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omments3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Tables/pivotTable1.xml" ContentType="application/vnd.openxmlformats-officedocument.spreadsheetml.pivot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eam Reference" sheetId="2" state="visible" r:id="rId4"/>
    <sheet name="Raw Data" sheetId="3" state="visible" r:id="rId5"/>
    <sheet name="Team Performance Summary" sheetId="4" state="visible" r:id="rId6"/>
    <sheet name="Trends by Season" sheetId="5" state="visible" r:id="rId7"/>
  </sheets>
  <definedNames>
    <definedName function="false" hidden="true" localSheetId="2" name="_xlnm._FilterDatabase" vbProcedure="false">'Raw Data'!$A$1:$U$2137</definedName>
  </definedNames>
  <calcPr iterateCount="100" refMode="A1" iterate="false" iterateDelta="0.0001"/>
  <pivotCaches>
    <pivotCache cacheId="1" r:id="rId9"/>
  </pivotCaches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Portfolio Notes</author>
  </authors>
  <commentList>
    <comment ref="A5" authorId="0">
      <text>
        <r>
          <rPr>
            <sz val="10"/>
            <rFont val="Arial"/>
            <family val="2"/>
          </rPr>
          <t xml:space="preserve">This lookup table is the source range for the VLOOKUP formulas on the Raw Data sheet (columns M, N). It maps each full team name appearing in HomeTeam/AwayTeam to a single abbreviation. The Rams and Chargers each appear twice (St. Louis/LA Rams -&gt; LAR, San Diego/LA Chargers -&gt; LAC) because the source data's own FavoriteTeamID codes use the CURRENT abbreviation for relocated franchises even in older seasons -- verified empirically against the raw data before building this table.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Portfolio Notes</author>
  </authors>
  <commentList>
    <comment ref="M2" authorId="0">
      <text>
        <r>
          <rPr>
            <sz val="10"/>
            <rFont val="Arial"/>
            <family val="2"/>
          </rPr>
          <t xml:space="preserve">VLOOKUP: looks up the full home team name against the Team Reference sheet (exact match, FALSE) and returns column 2 (Abbreviation). Needed because FavoriteTeamID uses abbreviations while HomeTeam/AwayTeam use full names -- there's no shared key to join on otherwise.</t>
        </r>
      </text>
    </comment>
    <comment ref="O2" authorId="0">
      <text>
        <r>
          <rPr>
            <sz val="10"/>
            <rFont val="Arial"/>
            <family val="2"/>
          </rPr>
          <t xml:space="preserve">Nested IF: compares HomeScore vs AwayScore and returns the winning team's abbreviation (or 'Tie'). Built on the VLOOKUP-derived abbreviation columns so results stay consistent with the rest of the sheet.</t>
        </r>
      </text>
    </comment>
    <comment ref="R2" authorId="0">
      <text>
        <r>
          <rPr>
            <sz val="10"/>
            <rFont val="Arial"/>
            <family val="2"/>
          </rPr>
          <t xml:space="preserve">Nested IF: compares the betting favorite's code (FavoriteTeamID) against the VLOOKUP'd home and away abbreviations to determine which side was favored, or flags a 'Pick' (no favorite) game.</t>
        </r>
      </text>
    </comment>
    <comment ref="T2" authorId="0">
      <text>
        <r>
          <rPr>
            <sz val="10"/>
            <rFont val="Arial"/>
            <family val="2"/>
          </rPr>
          <t xml:space="preserve">Against-the-spread result. SpreadFavorite is stored as a negative number (e.g. -7 means the favorite is expected to win by 7). The favorite 'covers' if their actual margin exceeds that expected margin, i.e. FavoriteMargin + SpreadFavorite &gt; 0. Equal to zero is a push.</t>
        </r>
      </text>
    </comment>
    <comment ref="U2" authorId="0">
      <text>
        <r>
          <rPr>
            <sz val="10"/>
            <rFont val="Arial"/>
            <family val="2"/>
          </rPr>
          <t xml:space="preserve">Compares the combined final score (TotalPoints) against the pre-game Over/Under betting line.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Portfolio Notes</author>
  </authors>
  <commentList>
    <comment ref="B5" authorId="0">
      <text>
        <r>
          <rPr>
            <sz val="10"/>
            <rFont val="Arial"/>
            <family val="2"/>
          </rPr>
          <t xml:space="preserve">COUNTIF run twice (once against HomeAbbrev, once against AwayAbbrev) and summed -- a team's total games played regardless of whether they were home or away.</t>
        </r>
      </text>
    </comment>
    <comment ref="F5" authorId="0">
      <text>
        <r>
          <rPr>
            <sz val="10"/>
            <rFont val="Arial"/>
            <family val="2"/>
          </rPr>
          <t xml:space="preserve">Two-criteria COUNTIFS, summed across the home and away cases: counts games where this team was tagged as the betting favorite (FavoriteSide = 'Home' while this team was the home team, OR 'Away' while this team was the away team).</t>
        </r>
      </text>
    </comment>
    <comment ref="G5" authorId="0">
      <text>
        <r>
          <rPr>
            <sz val="10"/>
            <rFont val="Arial"/>
            <family val="2"/>
          </rPr>
          <t xml:space="preserve">Three-criteria COUNTIFS (team + favorite side + ATS result), summed across home/away -- counts how many of this team's games AS FAVORITE resulted in 'Favorite Covered'. Answers: which teams are the most reliable favorites against the spread?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Portfolio Notes</author>
  </authors>
  <commentList>
    <comment ref="C5" authorId="0">
      <text>
        <r>
          <rPr>
            <sz val="10"/>
            <rFont val="Arial"/>
            <family val="2"/>
          </rPr>
          <t xml:space="preserve">COUNTIFS: counts games in this season whose OUResult equals 'Over' -- a two-criteria count (Season + outcome) built on the OUResult helper column from Raw Data.</t>
        </r>
      </text>
    </comment>
    <comment ref="F5" authorId="0">
      <text>
        <r>
          <rPr>
            <sz val="10"/>
            <rFont val="Arial"/>
            <family val="2"/>
          </rPr>
          <t xml:space="preserve">'Decided ATS Games' excludes pushes and no-line (pick'em) games from the denominator, so the cover rate reflects only games where the spread had a clear winner.</t>
        </r>
      </text>
    </comment>
  </commentList>
</comments>
</file>

<file path=xl/sharedStrings.xml><?xml version="1.0" encoding="utf-8"?>
<sst xmlns="http://schemas.openxmlformats.org/spreadsheetml/2006/main" count="12974" uniqueCount="664">
  <si>
    <t xml:space="preserve">NFL Betting Trends -- Portfolio Project</t>
  </si>
  <si>
    <t xml:space="preserve">Data analyst portfolio piece | Built in Excel (openpyxl + native pivot tables)</t>
  </si>
  <si>
    <t xml:space="preserve">Data Source</t>
  </si>
  <si>
    <t xml:space="preserve">"NFL scores and betting data" -- Kaggle dataset by tobycrabtree. https://www.kaggle.com/datasets/tobycrabtree/nfl-scores-and-betting-data</t>
  </si>
  <si>
    <t xml:space="preserve">Filtered to the 2010-2017 regular and post-season (2,136 games). The original spreadspoke_scores.csv has no team-abbreviation column, so the Team Reference sheet was hand-built from public NFL franchise history and checked against the distinct HomeTeam/AwayTeam/FavoriteTeamID values that actually appear in this slice, to guarantee every VLOOKUP resolves cleanly with no broken matches.</t>
  </si>
  <si>
    <t xml:space="preserve">Why this dataset</t>
  </si>
  <si>
    <t xml:space="preserve">Betting-line data forces a different lookup problem than a typical "look up a name" exercise: team identity is split across two different coding schemes (full names vs. abbreviations) that have to be reconciled before any team-level analysis works. That makes VLOOKUP the natural tool here, instead of force-fitting it in.</t>
  </si>
  <si>
    <t xml:space="preserve">Technique Map</t>
  </si>
  <si>
    <t xml:space="preserve">Technique / Function</t>
  </si>
  <si>
    <t xml:space="preserve">Sheet</t>
  </si>
  <si>
    <t xml:space="preserve">Cell(s)</t>
  </si>
  <si>
    <t xml:space="preserve">Purpose</t>
  </si>
  <si>
    <t xml:space="preserve">VLOOKUP</t>
  </si>
  <si>
    <t xml:space="preserve">Raw Data</t>
  </si>
  <si>
    <t xml:space="preserve">M2, N2 (cols M-N)</t>
  </si>
  <si>
    <t xml:space="preserve">Translates full team names into the abbreviation scheme used by FavoriteTeamID.</t>
  </si>
  <si>
    <t xml:space="preserve">Nested IF</t>
  </si>
  <si>
    <t xml:space="preserve">O2, R2 (Winner, FavoriteSide)</t>
  </si>
  <si>
    <t xml:space="preserve">Derives the game winner and which side was favored.</t>
  </si>
  <si>
    <t xml:space="preserve">Nested IF (nested 3 deep)</t>
  </si>
  <si>
    <t xml:space="preserve">T2 (ATSResult)</t>
  </si>
  <si>
    <t xml:space="preserve">Determines whether the favorite covered the spread, using the spread-sign convention.</t>
  </si>
  <si>
    <t xml:space="preserve">IF</t>
  </si>
  <si>
    <t xml:space="preserve">U2 (OUResult)</t>
  </si>
  <si>
    <t xml:space="preserve">Compares final score total against the Over/Under line.</t>
  </si>
  <si>
    <t xml:space="preserve">COUNTIF</t>
  </si>
  <si>
    <t xml:space="preserve">Team Performance Summary</t>
  </si>
  <si>
    <t xml:space="preserve">B5:C36</t>
  </si>
  <si>
    <t xml:space="preserve">Games played and wins per team, combining home + away counts.</t>
  </si>
  <si>
    <t xml:space="preserve">AVERAGEIF</t>
  </si>
  <si>
    <t xml:space="preserve">E5:E36</t>
  </si>
  <si>
    <t xml:space="preserve">Average home scoring margin per team.</t>
  </si>
  <si>
    <t xml:space="preserve">COUNTIFS (2 &amp; 3 criteria)</t>
  </si>
  <si>
    <t xml:space="preserve">F5:G36</t>
  </si>
  <si>
    <t xml:space="preserve">Times favored, and cover rate when favored, per team.</t>
  </si>
  <si>
    <t xml:space="preserve">Conditional formatting (color scale)</t>
  </si>
  <si>
    <t xml:space="preserve">D5:D36, H5:H36</t>
  </si>
  <si>
    <t xml:space="preserve">Highlights best/worst win % and cover rate.</t>
  </si>
  <si>
    <t xml:space="preserve">COUNTIF / COUNTIFS</t>
  </si>
  <si>
    <t xml:space="preserve">Trends by Season</t>
  </si>
  <si>
    <t xml:space="preserve">B6:F13</t>
  </si>
  <si>
    <t xml:space="preserve">Season-level game, Over, and ATS-cover counts.</t>
  </si>
  <si>
    <t xml:space="preserve">Native Pivot Table</t>
  </si>
  <si>
    <t xml:space="preserve">I4</t>
  </si>
  <si>
    <t xml:space="preserve">Game count cross-tabbed by Season x Over/Under result.</t>
  </si>
  <si>
    <t xml:space="preserve">Line Chart</t>
  </si>
  <si>
    <t xml:space="preserve">below table</t>
  </si>
  <si>
    <t xml:space="preserve">Visualizes the Over Rate trend across seasons.</t>
  </si>
  <si>
    <t xml:space="preserve">Tip: click any formula cell across this workbook -- cells with a small red corner marker have a comment explaining the technique used, in addition to this map.</t>
  </si>
  <si>
    <t xml:space="preserve">TEAM NAME -&gt; ABBREVIATION REFERENCE</t>
  </si>
  <si>
    <t xml:space="preserve">Manually compiled by the analyst from public NFL franchise history; not part of the original Kaggle file.</t>
  </si>
  <si>
    <t xml:space="preserve">Team Name</t>
  </si>
  <si>
    <t xml:space="preserve">Abbreviation</t>
  </si>
  <si>
    <t xml:space="preserve">Arizona Cardinals</t>
  </si>
  <si>
    <t xml:space="preserve">ARI</t>
  </si>
  <si>
    <t xml:space="preserve">Atlanta Falcons</t>
  </si>
  <si>
    <t xml:space="preserve">ATL</t>
  </si>
  <si>
    <t xml:space="preserve">Baltimore Ravens</t>
  </si>
  <si>
    <t xml:space="preserve">BAL</t>
  </si>
  <si>
    <t xml:space="preserve">Buffalo Bills</t>
  </si>
  <si>
    <t xml:space="preserve">BUF</t>
  </si>
  <si>
    <t xml:space="preserve">Carolina Panthers</t>
  </si>
  <si>
    <t xml:space="preserve">CAR</t>
  </si>
  <si>
    <t xml:space="preserve">Chicago Bears</t>
  </si>
  <si>
    <t xml:space="preserve">CHI</t>
  </si>
  <si>
    <t xml:space="preserve">Cincinnati Bengals</t>
  </si>
  <si>
    <t xml:space="preserve">CIN</t>
  </si>
  <si>
    <t xml:space="preserve">Cleveland Browns</t>
  </si>
  <si>
    <t xml:space="preserve">CLE</t>
  </si>
  <si>
    <t xml:space="preserve">Dallas Cowboys</t>
  </si>
  <si>
    <t xml:space="preserve">DAL</t>
  </si>
  <si>
    <t xml:space="preserve">Denver Broncos</t>
  </si>
  <si>
    <t xml:space="preserve">DEN</t>
  </si>
  <si>
    <t xml:space="preserve">Detroit Lions</t>
  </si>
  <si>
    <t xml:space="preserve">DET</t>
  </si>
  <si>
    <t xml:space="preserve">Green Bay Packers</t>
  </si>
  <si>
    <t xml:space="preserve">GB</t>
  </si>
  <si>
    <t xml:space="preserve">Houston Texans</t>
  </si>
  <si>
    <t xml:space="preserve">HOU</t>
  </si>
  <si>
    <t xml:space="preserve">Indianapolis Colts</t>
  </si>
  <si>
    <t xml:space="preserve">IND</t>
  </si>
  <si>
    <t xml:space="preserve">Jacksonville Jaguars</t>
  </si>
  <si>
    <t xml:space="preserve">JAX</t>
  </si>
  <si>
    <t xml:space="preserve">Kansas City Chiefs</t>
  </si>
  <si>
    <t xml:space="preserve">KC</t>
  </si>
  <si>
    <t xml:space="preserve">Los Angeles Chargers</t>
  </si>
  <si>
    <t xml:space="preserve">LAC</t>
  </si>
  <si>
    <t xml:space="preserve">Los Angeles Rams</t>
  </si>
  <si>
    <t xml:space="preserve">LAR</t>
  </si>
  <si>
    <t xml:space="preserve">Miami Dolphins</t>
  </si>
  <si>
    <t xml:space="preserve">MIA</t>
  </si>
  <si>
    <t xml:space="preserve">Minnesota Vikings</t>
  </si>
  <si>
    <t xml:space="preserve">MIN</t>
  </si>
  <si>
    <t xml:space="preserve">New England Patriots</t>
  </si>
  <si>
    <t xml:space="preserve">NE</t>
  </si>
  <si>
    <t xml:space="preserve">New Orleans Saints</t>
  </si>
  <si>
    <t xml:space="preserve">NO</t>
  </si>
  <si>
    <t xml:space="preserve">New York Giants</t>
  </si>
  <si>
    <t xml:space="preserve">NYG</t>
  </si>
  <si>
    <t xml:space="preserve">New York Jets</t>
  </si>
  <si>
    <t xml:space="preserve">NYJ</t>
  </si>
  <si>
    <t xml:space="preserve">Oakland Raiders</t>
  </si>
  <si>
    <t xml:space="preserve">OAK</t>
  </si>
  <si>
    <t xml:space="preserve">Philadelphia Eagles</t>
  </si>
  <si>
    <t xml:space="preserve">PHI</t>
  </si>
  <si>
    <t xml:space="preserve">Pittsburgh Steelers</t>
  </si>
  <si>
    <t xml:space="preserve">PIT</t>
  </si>
  <si>
    <t xml:space="preserve">San Diego Chargers</t>
  </si>
  <si>
    <t xml:space="preserve">San Francisco 49ers</t>
  </si>
  <si>
    <t xml:space="preserve">SF</t>
  </si>
  <si>
    <t xml:space="preserve">Seattle Seahawks</t>
  </si>
  <si>
    <t xml:space="preserve">SEA</t>
  </si>
  <si>
    <t xml:space="preserve">St. Louis Rams</t>
  </si>
  <si>
    <t xml:space="preserve">Tampa Bay Buccaneers</t>
  </si>
  <si>
    <t xml:space="preserve">TB</t>
  </si>
  <si>
    <t xml:space="preserve">Tennessee Titans</t>
  </si>
  <si>
    <t xml:space="preserve">TEN</t>
  </si>
  <si>
    <t xml:space="preserve">Washington Redskins</t>
  </si>
  <si>
    <t xml:space="preserve">WAS</t>
  </si>
  <si>
    <t xml:space="preserve">Date</t>
  </si>
  <si>
    <t xml:space="preserve">Season</t>
  </si>
  <si>
    <t xml:space="preserve">Week</t>
  </si>
  <si>
    <t xml:space="preserve">HomeTeam</t>
  </si>
  <si>
    <t xml:space="preserve">AwayTeam</t>
  </si>
  <si>
    <t xml:space="preserve">HomeScore</t>
  </si>
  <si>
    <t xml:space="preserve">AwayScore</t>
  </si>
  <si>
    <t xml:space="preserve">FavoriteTeamID</t>
  </si>
  <si>
    <t xml:space="preserve">SpreadFavorite</t>
  </si>
  <si>
    <t xml:space="preserve">OverUnderLine</t>
  </si>
  <si>
    <t xml:space="preserve">Stadium</t>
  </si>
  <si>
    <t xml:space="preserve">IsPlayoff</t>
  </si>
  <si>
    <t xml:space="preserve">HomeAbbrev</t>
  </si>
  <si>
    <t xml:space="preserve">AwayAbbrev</t>
  </si>
  <si>
    <t xml:space="preserve">Winner</t>
  </si>
  <si>
    <t xml:space="preserve">HomeMargin</t>
  </si>
  <si>
    <t xml:space="preserve">TotalPoints</t>
  </si>
  <si>
    <t xml:space="preserve">FavoriteSide</t>
  </si>
  <si>
    <t xml:space="preserve">FavoriteMargin</t>
  </si>
  <si>
    <t xml:space="preserve">ATSResult</t>
  </si>
  <si>
    <t xml:space="preserve">OUResult</t>
  </si>
  <si>
    <t xml:space="preserve">09/09/2010</t>
  </si>
  <si>
    <t xml:space="preserve">1</t>
  </si>
  <si>
    <t xml:space="preserve">Louisiana Superdome</t>
  </si>
  <si>
    <t xml:space="preserve">09/12/2010</t>
  </si>
  <si>
    <t xml:space="preserve">Ralph Wilson Stadium</t>
  </si>
  <si>
    <t xml:space="preserve">Soldier Field</t>
  </si>
  <si>
    <t xml:space="preserve">Reliant Stadium</t>
  </si>
  <si>
    <t xml:space="preserve">EverBank Field</t>
  </si>
  <si>
    <t xml:space="preserve">Gillette Stadium</t>
  </si>
  <si>
    <t xml:space="preserve">MetLife Stadium</t>
  </si>
  <si>
    <t xml:space="preserve">Lincoln Financial Field</t>
  </si>
  <si>
    <t xml:space="preserve">Heinz Field</t>
  </si>
  <si>
    <t xml:space="preserve">CenturyLink Field</t>
  </si>
  <si>
    <t xml:space="preserve">Edward Jones Dome</t>
  </si>
  <si>
    <t xml:space="preserve">Raymond James Stadium</t>
  </si>
  <si>
    <t xml:space="preserve">Nissan Stadium</t>
  </si>
  <si>
    <t xml:space="preserve">FedExField</t>
  </si>
  <si>
    <t xml:space="preserve">09/13/2010</t>
  </si>
  <si>
    <t xml:space="preserve">Arrowhead Stadium</t>
  </si>
  <si>
    <t xml:space="preserve">09/19/2010</t>
  </si>
  <si>
    <t xml:space="preserve">2</t>
  </si>
  <si>
    <t xml:space="preserve">Georgia Dome</t>
  </si>
  <si>
    <t xml:space="preserve">Bank of America Stadium</t>
  </si>
  <si>
    <t xml:space="preserve">Paul Brown Stadium</t>
  </si>
  <si>
    <t xml:space="preserve">FirstEnergy Stadium</t>
  </si>
  <si>
    <t xml:space="preserve">Cowboys Stadium</t>
  </si>
  <si>
    <t xml:space="preserve">Sports Authority Field at Mile High</t>
  </si>
  <si>
    <t xml:space="preserve">Ford Field</t>
  </si>
  <si>
    <t xml:space="preserve">Lambeau Field</t>
  </si>
  <si>
    <t xml:space="preserve">Lucas Oil Stadium</t>
  </si>
  <si>
    <t xml:space="preserve">Mall of America Field</t>
  </si>
  <si>
    <t xml:space="preserve">Oakland Coliseum</t>
  </si>
  <si>
    <t xml:space="preserve">Qualcomm Stadium</t>
  </si>
  <si>
    <t xml:space="preserve">09/20/2010</t>
  </si>
  <si>
    <t xml:space="preserve">Candlestick Park</t>
  </si>
  <si>
    <t xml:space="preserve">09/26/2010</t>
  </si>
  <si>
    <t xml:space="preserve">3</t>
  </si>
  <si>
    <t xml:space="preserve">University of Phoenix Stadium</t>
  </si>
  <si>
    <t xml:space="preserve">M&amp;T Bank Stadium</t>
  </si>
  <si>
    <t xml:space="preserve">Sun Life Stadium</t>
  </si>
  <si>
    <t xml:space="preserve">09/27/2010</t>
  </si>
  <si>
    <t xml:space="preserve">10/03/2010</t>
  </si>
  <si>
    <t xml:space="preserve">4</t>
  </si>
  <si>
    <t xml:space="preserve">10/04/2010</t>
  </si>
  <si>
    <t xml:space="preserve">10/10/2010</t>
  </si>
  <si>
    <t xml:space="preserve">5</t>
  </si>
  <si>
    <t xml:space="preserve">10/11/2010</t>
  </si>
  <si>
    <t xml:space="preserve">10/17/2010</t>
  </si>
  <si>
    <t xml:space="preserve">6</t>
  </si>
  <si>
    <t xml:space="preserve">10/18/2010</t>
  </si>
  <si>
    <t xml:space="preserve">10/24/2010</t>
  </si>
  <si>
    <t xml:space="preserve">7</t>
  </si>
  <si>
    <t xml:space="preserve">10/25/2010</t>
  </si>
  <si>
    <t xml:space="preserve">10/31/2010</t>
  </si>
  <si>
    <t xml:space="preserve">8</t>
  </si>
  <si>
    <t xml:space="preserve">Wembley Stadium</t>
  </si>
  <si>
    <t xml:space="preserve">11/01/2010</t>
  </si>
  <si>
    <t xml:space="preserve">11/07/2010</t>
  </si>
  <si>
    <t xml:space="preserve">9</t>
  </si>
  <si>
    <t xml:space="preserve">Rogers Centre</t>
  </si>
  <si>
    <t xml:space="preserve">PICK</t>
  </si>
  <si>
    <t xml:space="preserve">11/08/2010</t>
  </si>
  <si>
    <t xml:space="preserve">11/11/2010</t>
  </si>
  <si>
    <t xml:space="preserve">10</t>
  </si>
  <si>
    <t xml:space="preserve">11/14/2010</t>
  </si>
  <si>
    <t xml:space="preserve">11/15/2010</t>
  </si>
  <si>
    <t xml:space="preserve">11/18/2010</t>
  </si>
  <si>
    <t xml:space="preserve">11</t>
  </si>
  <si>
    <t xml:space="preserve">11/21/2010</t>
  </si>
  <si>
    <t xml:space="preserve">11/22/2010</t>
  </si>
  <si>
    <t xml:space="preserve">11/25/2010</t>
  </si>
  <si>
    <t xml:space="preserve">12</t>
  </si>
  <si>
    <t xml:space="preserve">11/28/2010</t>
  </si>
  <si>
    <t xml:space="preserve">11/29/2010</t>
  </si>
  <si>
    <t xml:space="preserve">12/02/2010</t>
  </si>
  <si>
    <t xml:space="preserve">13</t>
  </si>
  <si>
    <t xml:space="preserve">12/05/2010</t>
  </si>
  <si>
    <t xml:space="preserve">12/06/2010</t>
  </si>
  <si>
    <t xml:space="preserve">12/09/2010</t>
  </si>
  <si>
    <t xml:space="preserve">14</t>
  </si>
  <si>
    <t xml:space="preserve">12/12/2010</t>
  </si>
  <si>
    <t xml:space="preserve">12/13/2010</t>
  </si>
  <si>
    <t xml:space="preserve">12/16/2010</t>
  </si>
  <si>
    <t xml:space="preserve">15</t>
  </si>
  <si>
    <t xml:space="preserve">12/19/2010</t>
  </si>
  <si>
    <t xml:space="preserve">12/20/2010</t>
  </si>
  <si>
    <t xml:space="preserve">12/23/2010</t>
  </si>
  <si>
    <t xml:space="preserve">16</t>
  </si>
  <si>
    <t xml:space="preserve">12/25/2010</t>
  </si>
  <si>
    <t xml:space="preserve">12/26/2010</t>
  </si>
  <si>
    <t xml:space="preserve">12/27/2010</t>
  </si>
  <si>
    <t xml:space="preserve">12/28/2010</t>
  </si>
  <si>
    <t xml:space="preserve">01/02/2011</t>
  </si>
  <si>
    <t xml:space="preserve">17</t>
  </si>
  <si>
    <t xml:space="preserve">01/08/2011</t>
  </si>
  <si>
    <t xml:space="preserve">Wildcard</t>
  </si>
  <si>
    <t xml:space="preserve">01/09/2011</t>
  </si>
  <si>
    <t xml:space="preserve">01/15/2011</t>
  </si>
  <si>
    <t xml:space="preserve">Division</t>
  </si>
  <si>
    <t xml:space="preserve">01/16/2011</t>
  </si>
  <si>
    <t xml:space="preserve">01/23/2011</t>
  </si>
  <si>
    <t xml:space="preserve">Conference</t>
  </si>
  <si>
    <t xml:space="preserve">02/06/2011</t>
  </si>
  <si>
    <t xml:space="preserve">Superbowl</t>
  </si>
  <si>
    <t xml:space="preserve">09/08/2011</t>
  </si>
  <si>
    <t xml:space="preserve">09/11/2011</t>
  </si>
  <si>
    <t xml:space="preserve">09/12/2011</t>
  </si>
  <si>
    <t xml:space="preserve">09/18/2011</t>
  </si>
  <si>
    <t xml:space="preserve">09/19/2011</t>
  </si>
  <si>
    <t xml:space="preserve">09/25/2011</t>
  </si>
  <si>
    <t xml:space="preserve">09/26/2011</t>
  </si>
  <si>
    <t xml:space="preserve">10/02/2011</t>
  </si>
  <si>
    <t xml:space="preserve">10/03/2011</t>
  </si>
  <si>
    <t xml:space="preserve">10/09/2011</t>
  </si>
  <si>
    <t xml:space="preserve">10/10/2011</t>
  </si>
  <si>
    <t xml:space="preserve">10/16/2011</t>
  </si>
  <si>
    <t xml:space="preserve">10/17/2011</t>
  </si>
  <si>
    <t xml:space="preserve">10/23/2011</t>
  </si>
  <si>
    <t xml:space="preserve">10/24/2011</t>
  </si>
  <si>
    <t xml:space="preserve">10/30/2011</t>
  </si>
  <si>
    <t xml:space="preserve">10/31/2011</t>
  </si>
  <si>
    <t xml:space="preserve">11/06/2011</t>
  </si>
  <si>
    <t xml:space="preserve">11/07/2011</t>
  </si>
  <si>
    <t xml:space="preserve">11/10/2011</t>
  </si>
  <si>
    <t xml:space="preserve">11/13/2011</t>
  </si>
  <si>
    <t xml:space="preserve">11/14/2011</t>
  </si>
  <si>
    <t xml:space="preserve">11/17/2011</t>
  </si>
  <si>
    <t xml:space="preserve">11/20/2011</t>
  </si>
  <si>
    <t xml:space="preserve">11/21/2011</t>
  </si>
  <si>
    <t xml:space="preserve">11/24/2011</t>
  </si>
  <si>
    <t xml:space="preserve">11/27/2011</t>
  </si>
  <si>
    <t xml:space="preserve">11/28/2011</t>
  </si>
  <si>
    <t xml:space="preserve">12/01/2011</t>
  </si>
  <si>
    <t xml:space="preserve">12/04/2011</t>
  </si>
  <si>
    <t xml:space="preserve">12/05/2011</t>
  </si>
  <si>
    <t xml:space="preserve">12/08/2011</t>
  </si>
  <si>
    <t xml:space="preserve">12/11/2011</t>
  </si>
  <si>
    <t xml:space="preserve">12/12/2011</t>
  </si>
  <si>
    <t xml:space="preserve">12/15/2011</t>
  </si>
  <si>
    <t xml:space="preserve">12/17/2011</t>
  </si>
  <si>
    <t xml:space="preserve">12/18/2011</t>
  </si>
  <si>
    <t xml:space="preserve">12/19/2011</t>
  </si>
  <si>
    <t xml:space="preserve">12/22/2011</t>
  </si>
  <si>
    <t xml:space="preserve">12/24/2011</t>
  </si>
  <si>
    <t xml:space="preserve">12/25/2011</t>
  </si>
  <si>
    <t xml:space="preserve">12/26/2011</t>
  </si>
  <si>
    <t xml:space="preserve">01/01/2012</t>
  </si>
  <si>
    <t xml:space="preserve">01/07/2012</t>
  </si>
  <si>
    <t xml:space="preserve">01/08/2012</t>
  </si>
  <si>
    <t xml:space="preserve">01/14/2012</t>
  </si>
  <si>
    <t xml:space="preserve">01/15/2012</t>
  </si>
  <si>
    <t xml:space="preserve">01/22/2012</t>
  </si>
  <si>
    <t xml:space="preserve">02/05/2012</t>
  </si>
  <si>
    <t xml:space="preserve">09/05/2012</t>
  </si>
  <si>
    <t xml:space="preserve">09/09/2012</t>
  </si>
  <si>
    <t xml:space="preserve">09/10/2012</t>
  </si>
  <si>
    <t xml:space="preserve">09/13/2012</t>
  </si>
  <si>
    <t xml:space="preserve">09/16/2012</t>
  </si>
  <si>
    <t xml:space="preserve">09/17/2012</t>
  </si>
  <si>
    <t xml:space="preserve">09/20/2012</t>
  </si>
  <si>
    <t xml:space="preserve">09/23/2012</t>
  </si>
  <si>
    <t xml:space="preserve">09/24/2012</t>
  </si>
  <si>
    <t xml:space="preserve">09/27/2012</t>
  </si>
  <si>
    <t xml:space="preserve">09/30/2012</t>
  </si>
  <si>
    <t xml:space="preserve">10/01/2012</t>
  </si>
  <si>
    <t xml:space="preserve">10/04/2012</t>
  </si>
  <si>
    <t xml:space="preserve">10/07/2012</t>
  </si>
  <si>
    <t xml:space="preserve">10/08/2012</t>
  </si>
  <si>
    <t xml:space="preserve">10/11/2012</t>
  </si>
  <si>
    <t xml:space="preserve">10/14/2012</t>
  </si>
  <si>
    <t xml:space="preserve">10/15/2012</t>
  </si>
  <si>
    <t xml:space="preserve">10/18/2012</t>
  </si>
  <si>
    <t xml:space="preserve">10/21/2012</t>
  </si>
  <si>
    <t xml:space="preserve">10/22/2012</t>
  </si>
  <si>
    <t xml:space="preserve">10/25/2012</t>
  </si>
  <si>
    <t xml:space="preserve">10/28/2012</t>
  </si>
  <si>
    <t xml:space="preserve">10/29/2012</t>
  </si>
  <si>
    <t xml:space="preserve">11/01/2012</t>
  </si>
  <si>
    <t xml:space="preserve">11/04/2012</t>
  </si>
  <si>
    <t xml:space="preserve">11/05/2012</t>
  </si>
  <si>
    <t xml:space="preserve">11/08/2012</t>
  </si>
  <si>
    <t xml:space="preserve">11/11/2012</t>
  </si>
  <si>
    <t xml:space="preserve">11/12/2012</t>
  </si>
  <si>
    <t xml:space="preserve">11/15/2012</t>
  </si>
  <si>
    <t xml:space="preserve">11/18/2012</t>
  </si>
  <si>
    <t xml:space="preserve">11/19/2012</t>
  </si>
  <si>
    <t xml:space="preserve">11/22/2012</t>
  </si>
  <si>
    <t xml:space="preserve">11/25/2012</t>
  </si>
  <si>
    <t xml:space="preserve">11/26/2012</t>
  </si>
  <si>
    <t xml:space="preserve">11/29/2012</t>
  </si>
  <si>
    <t xml:space="preserve">12/02/2012</t>
  </si>
  <si>
    <t xml:space="preserve">12/03/2012</t>
  </si>
  <si>
    <t xml:space="preserve">12/06/2012</t>
  </si>
  <si>
    <t xml:space="preserve">12/09/2012</t>
  </si>
  <si>
    <t xml:space="preserve">12/10/2012</t>
  </si>
  <si>
    <t xml:space="preserve">12/13/2012</t>
  </si>
  <si>
    <t xml:space="preserve">12/16/2012</t>
  </si>
  <si>
    <t xml:space="preserve">12/17/2012</t>
  </si>
  <si>
    <t xml:space="preserve">12/22/2012</t>
  </si>
  <si>
    <t xml:space="preserve">12/23/2012</t>
  </si>
  <si>
    <t xml:space="preserve">12/30/2012</t>
  </si>
  <si>
    <t xml:space="preserve">01/05/2013</t>
  </si>
  <si>
    <t xml:space="preserve">01/06/2013</t>
  </si>
  <si>
    <t xml:space="preserve">01/12/2013</t>
  </si>
  <si>
    <t xml:space="preserve">01/13/2013</t>
  </si>
  <si>
    <t xml:space="preserve">01/20/2013</t>
  </si>
  <si>
    <t xml:space="preserve">02/03/2013</t>
  </si>
  <si>
    <t xml:space="preserve">Mercedes-Benz Superdome</t>
  </si>
  <si>
    <t xml:space="preserve">09/05/2013</t>
  </si>
  <si>
    <t xml:space="preserve">09/08/2013</t>
  </si>
  <si>
    <t xml:space="preserve">09/09/2013</t>
  </si>
  <si>
    <t xml:space="preserve">09/12/2013</t>
  </si>
  <si>
    <t xml:space="preserve">09/15/2013</t>
  </si>
  <si>
    <t xml:space="preserve">09/16/2013</t>
  </si>
  <si>
    <t xml:space="preserve">09/19/2013</t>
  </si>
  <si>
    <t xml:space="preserve">09/22/2013</t>
  </si>
  <si>
    <t xml:space="preserve">09/23/2013</t>
  </si>
  <si>
    <t xml:space="preserve">09/26/2013</t>
  </si>
  <si>
    <t xml:space="preserve">09/29/2013</t>
  </si>
  <si>
    <t xml:space="preserve">09/30/2013</t>
  </si>
  <si>
    <t xml:space="preserve">10/03/2013</t>
  </si>
  <si>
    <t xml:space="preserve">10/06/2013</t>
  </si>
  <si>
    <t xml:space="preserve">10/07/2013</t>
  </si>
  <si>
    <t xml:space="preserve">10/10/2013</t>
  </si>
  <si>
    <t xml:space="preserve">10/13/2013</t>
  </si>
  <si>
    <t xml:space="preserve">10/14/2013</t>
  </si>
  <si>
    <t xml:space="preserve">10/17/2013</t>
  </si>
  <si>
    <t xml:space="preserve">10/20/2013</t>
  </si>
  <si>
    <t xml:space="preserve">10/21/2013</t>
  </si>
  <si>
    <t xml:space="preserve">10/24/2013</t>
  </si>
  <si>
    <t xml:space="preserve">10/27/2013</t>
  </si>
  <si>
    <t xml:space="preserve">10/28/2013</t>
  </si>
  <si>
    <t xml:space="preserve">10/31/2013</t>
  </si>
  <si>
    <t xml:space="preserve">11/03/2013</t>
  </si>
  <si>
    <t xml:space="preserve">11/04/2013</t>
  </si>
  <si>
    <t xml:space="preserve">11/07/2013</t>
  </si>
  <si>
    <t xml:space="preserve">11/10/2013</t>
  </si>
  <si>
    <t xml:space="preserve">11/11/2013</t>
  </si>
  <si>
    <t xml:space="preserve">11/14/2013</t>
  </si>
  <si>
    <t xml:space="preserve">11/17/2013</t>
  </si>
  <si>
    <t xml:space="preserve">11/18/2013</t>
  </si>
  <si>
    <t xml:space="preserve">11/21/2013</t>
  </si>
  <si>
    <t xml:space="preserve">11/24/2013</t>
  </si>
  <si>
    <t xml:space="preserve">11/25/2013</t>
  </si>
  <si>
    <t xml:space="preserve">11/28/2013</t>
  </si>
  <si>
    <t xml:space="preserve">12/01/2013</t>
  </si>
  <si>
    <t xml:space="preserve">12/02/2013</t>
  </si>
  <si>
    <t xml:space="preserve">12/05/2013</t>
  </si>
  <si>
    <t xml:space="preserve">12/08/2013</t>
  </si>
  <si>
    <t xml:space="preserve">12/09/2013</t>
  </si>
  <si>
    <t xml:space="preserve">12/12/2013</t>
  </si>
  <si>
    <t xml:space="preserve">12/15/2013</t>
  </si>
  <si>
    <t xml:space="preserve">12/16/2013</t>
  </si>
  <si>
    <t xml:space="preserve">12/22/2013</t>
  </si>
  <si>
    <t xml:space="preserve">12/23/2013</t>
  </si>
  <si>
    <t xml:space="preserve">12/29/2013</t>
  </si>
  <si>
    <t xml:space="preserve">01/04/2014</t>
  </si>
  <si>
    <t xml:space="preserve">01/05/2014</t>
  </si>
  <si>
    <t xml:space="preserve">01/11/2014</t>
  </si>
  <si>
    <t xml:space="preserve">01/12/2014</t>
  </si>
  <si>
    <t xml:space="preserve">01/19/2014</t>
  </si>
  <si>
    <t xml:space="preserve">02/02/2014</t>
  </si>
  <si>
    <t xml:space="preserve">09/04/2014</t>
  </si>
  <si>
    <t xml:space="preserve">09/07/2014</t>
  </si>
  <si>
    <t xml:space="preserve">09/08/2014</t>
  </si>
  <si>
    <t xml:space="preserve">09/11/2014</t>
  </si>
  <si>
    <t xml:space="preserve">09/14/2014</t>
  </si>
  <si>
    <t xml:space="preserve">TCF Bank Stadium</t>
  </si>
  <si>
    <t xml:space="preserve">Levi's Stadium</t>
  </si>
  <si>
    <t xml:space="preserve">09/15/2014</t>
  </si>
  <si>
    <t xml:space="preserve">09/18/2014</t>
  </si>
  <si>
    <t xml:space="preserve">09/21/2014</t>
  </si>
  <si>
    <t xml:space="preserve">09/22/2014</t>
  </si>
  <si>
    <t xml:space="preserve">09/25/2014</t>
  </si>
  <si>
    <t xml:space="preserve">09/28/2014</t>
  </si>
  <si>
    <t xml:space="preserve">09/29/2014</t>
  </si>
  <si>
    <t xml:space="preserve">10/02/2014</t>
  </si>
  <si>
    <t xml:space="preserve">10/05/2014</t>
  </si>
  <si>
    <t xml:space="preserve">10/06/2014</t>
  </si>
  <si>
    <t xml:space="preserve">10/09/2014</t>
  </si>
  <si>
    <t xml:space="preserve">10/12/2014</t>
  </si>
  <si>
    <t xml:space="preserve">10/13/2014</t>
  </si>
  <si>
    <t xml:space="preserve">10/16/2014</t>
  </si>
  <si>
    <t xml:space="preserve">10/19/2014</t>
  </si>
  <si>
    <t xml:space="preserve">10/20/2014</t>
  </si>
  <si>
    <t xml:space="preserve">10/23/2014</t>
  </si>
  <si>
    <t xml:space="preserve">10/26/2014</t>
  </si>
  <si>
    <t xml:space="preserve">10/27/2014</t>
  </si>
  <si>
    <t xml:space="preserve">10/30/2014</t>
  </si>
  <si>
    <t xml:space="preserve">11/02/2014</t>
  </si>
  <si>
    <t xml:space="preserve">11/03/2014</t>
  </si>
  <si>
    <t xml:space="preserve">11/06/2014</t>
  </si>
  <si>
    <t xml:space="preserve">11/09/2014</t>
  </si>
  <si>
    <t xml:space="preserve">11/10/2014</t>
  </si>
  <si>
    <t xml:space="preserve">11/13/2014</t>
  </si>
  <si>
    <t xml:space="preserve">11/16/2014</t>
  </si>
  <si>
    <t xml:space="preserve">11/17/2014</t>
  </si>
  <si>
    <t xml:space="preserve">11/20/2014</t>
  </si>
  <si>
    <t xml:space="preserve">11/23/2014</t>
  </si>
  <si>
    <t xml:space="preserve">11/24/2014</t>
  </si>
  <si>
    <t xml:space="preserve">11/27/2014</t>
  </si>
  <si>
    <t xml:space="preserve">11/30/2014</t>
  </si>
  <si>
    <t xml:space="preserve">12/01/2014</t>
  </si>
  <si>
    <t xml:space="preserve">12/04/2014</t>
  </si>
  <si>
    <t xml:space="preserve">12/07/2014</t>
  </si>
  <si>
    <t xml:space="preserve">12/08/2014</t>
  </si>
  <si>
    <t xml:space="preserve">12/11/2014</t>
  </si>
  <si>
    <t xml:space="preserve">12/14/2014</t>
  </si>
  <si>
    <t xml:space="preserve">12/15/2014</t>
  </si>
  <si>
    <t xml:space="preserve">12/18/2014</t>
  </si>
  <si>
    <t xml:space="preserve">12/20/2014</t>
  </si>
  <si>
    <t xml:space="preserve">12/21/2014</t>
  </si>
  <si>
    <t xml:space="preserve">12/22/2014</t>
  </si>
  <si>
    <t xml:space="preserve">12/28/2014</t>
  </si>
  <si>
    <t xml:space="preserve">01/03/2015</t>
  </si>
  <si>
    <t xml:space="preserve">01/04/2015</t>
  </si>
  <si>
    <t xml:space="preserve">01/10/2015</t>
  </si>
  <si>
    <t xml:space="preserve">01/11/2015</t>
  </si>
  <si>
    <t xml:space="preserve">01/18/2015</t>
  </si>
  <si>
    <t xml:space="preserve">02/01/2015</t>
  </si>
  <si>
    <t xml:space="preserve">09/10/2015</t>
  </si>
  <si>
    <t xml:space="preserve">09/13/2015</t>
  </si>
  <si>
    <t xml:space="preserve">09/14/2015</t>
  </si>
  <si>
    <t xml:space="preserve">09/17/2015</t>
  </si>
  <si>
    <t xml:space="preserve">09/20/2015</t>
  </si>
  <si>
    <t xml:space="preserve">09/21/2015</t>
  </si>
  <si>
    <t xml:space="preserve">09/24/2015</t>
  </si>
  <si>
    <t xml:space="preserve">09/27/2015</t>
  </si>
  <si>
    <t xml:space="preserve">09/28/2015</t>
  </si>
  <si>
    <t xml:space="preserve">10/01/2015</t>
  </si>
  <si>
    <t xml:space="preserve">10/04/2015</t>
  </si>
  <si>
    <t xml:space="preserve">10/05/2015</t>
  </si>
  <si>
    <t xml:space="preserve">10/08/2015</t>
  </si>
  <si>
    <t xml:space="preserve">10/11/2015</t>
  </si>
  <si>
    <t xml:space="preserve">10/12/2015</t>
  </si>
  <si>
    <t xml:space="preserve">10/15/2015</t>
  </si>
  <si>
    <t xml:space="preserve">10/18/2015</t>
  </si>
  <si>
    <t xml:space="preserve">10/19/2015</t>
  </si>
  <si>
    <t xml:space="preserve">10/22/2015</t>
  </si>
  <si>
    <t xml:space="preserve">10/25/2015</t>
  </si>
  <si>
    <t xml:space="preserve">10/26/2015</t>
  </si>
  <si>
    <t xml:space="preserve">10/29/2015</t>
  </si>
  <si>
    <t xml:space="preserve">11/01/2015</t>
  </si>
  <si>
    <t xml:space="preserve">11/02/2015</t>
  </si>
  <si>
    <t xml:space="preserve">11/05/2015</t>
  </si>
  <si>
    <t xml:space="preserve">11/08/2015</t>
  </si>
  <si>
    <t xml:space="preserve">11/09/2015</t>
  </si>
  <si>
    <t xml:space="preserve">11/12/2015</t>
  </si>
  <si>
    <t xml:space="preserve">11/15/2015</t>
  </si>
  <si>
    <t xml:space="preserve">11/16/2015</t>
  </si>
  <si>
    <t xml:space="preserve">11/19/2015</t>
  </si>
  <si>
    <t xml:space="preserve">11/22/2015</t>
  </si>
  <si>
    <t xml:space="preserve">11/23/2015</t>
  </si>
  <si>
    <t xml:space="preserve">11/26/2015</t>
  </si>
  <si>
    <t xml:space="preserve">11/29/2015</t>
  </si>
  <si>
    <t xml:space="preserve">11/30/2015</t>
  </si>
  <si>
    <t xml:space="preserve">12/03/2015</t>
  </si>
  <si>
    <t xml:space="preserve">12/06/2015</t>
  </si>
  <si>
    <t xml:space="preserve">12/07/2015</t>
  </si>
  <si>
    <t xml:space="preserve">12/10/2015</t>
  </si>
  <si>
    <t xml:space="preserve">12/13/2015</t>
  </si>
  <si>
    <t xml:space="preserve">12/14/2015</t>
  </si>
  <si>
    <t xml:space="preserve">12/17/2015</t>
  </si>
  <si>
    <t xml:space="preserve">12/19/2015</t>
  </si>
  <si>
    <t xml:space="preserve">12/20/2015</t>
  </si>
  <si>
    <t xml:space="preserve">12/21/2015</t>
  </si>
  <si>
    <t xml:space="preserve">12/24/2015</t>
  </si>
  <si>
    <t xml:space="preserve">12/26/2015</t>
  </si>
  <si>
    <t xml:space="preserve">12/27/2015</t>
  </si>
  <si>
    <t xml:space="preserve">12/28/2015</t>
  </si>
  <si>
    <t xml:space="preserve">01/03/2016</t>
  </si>
  <si>
    <t xml:space="preserve">01/09/2016</t>
  </si>
  <si>
    <t xml:space="preserve">01/10/2016</t>
  </si>
  <si>
    <t xml:space="preserve">01/16/2016</t>
  </si>
  <si>
    <t xml:space="preserve">01/17/2016</t>
  </si>
  <si>
    <t xml:space="preserve">01/24/2016</t>
  </si>
  <si>
    <t xml:space="preserve">02/07/2016</t>
  </si>
  <si>
    <t xml:space="preserve">09/08/2016</t>
  </si>
  <si>
    <t xml:space="preserve">09/11/2016</t>
  </si>
  <si>
    <t xml:space="preserve">09/12/2016</t>
  </si>
  <si>
    <t xml:space="preserve">Los Angeles Memorial Coliseum</t>
  </si>
  <si>
    <t xml:space="preserve">09/15/2016</t>
  </si>
  <si>
    <t xml:space="preserve">New Era Field</t>
  </si>
  <si>
    <t xml:space="preserve">09/18/2016</t>
  </si>
  <si>
    <t xml:space="preserve">09/19/2016</t>
  </si>
  <si>
    <t xml:space="preserve">U.S. Bank Stadium</t>
  </si>
  <si>
    <t xml:space="preserve">09/22/2016</t>
  </si>
  <si>
    <t xml:space="preserve">09/25/2016</t>
  </si>
  <si>
    <t xml:space="preserve">09/26/2016</t>
  </si>
  <si>
    <t xml:space="preserve">09/29/2016</t>
  </si>
  <si>
    <t xml:space="preserve">10/02/2016</t>
  </si>
  <si>
    <t xml:space="preserve">10/03/2016</t>
  </si>
  <si>
    <t xml:space="preserve">10/06/2016</t>
  </si>
  <si>
    <t xml:space="preserve">10/09/2016</t>
  </si>
  <si>
    <t xml:space="preserve">10/10/2016</t>
  </si>
  <si>
    <t xml:space="preserve">10/13/2016</t>
  </si>
  <si>
    <t xml:space="preserve">10/16/2016</t>
  </si>
  <si>
    <t xml:space="preserve">10/17/2016</t>
  </si>
  <si>
    <t xml:space="preserve">10/20/2016</t>
  </si>
  <si>
    <t xml:space="preserve">10/23/2016</t>
  </si>
  <si>
    <t xml:space="preserve">Twickenham Stadium</t>
  </si>
  <si>
    <t xml:space="preserve">10/24/2016</t>
  </si>
  <si>
    <t xml:space="preserve">10/27/2016</t>
  </si>
  <si>
    <t xml:space="preserve">10/30/2016</t>
  </si>
  <si>
    <t xml:space="preserve">10/31/2016</t>
  </si>
  <si>
    <t xml:space="preserve">11/03/2016</t>
  </si>
  <si>
    <t xml:space="preserve">11/06/2016</t>
  </si>
  <si>
    <t xml:space="preserve">11/07/2016</t>
  </si>
  <si>
    <t xml:space="preserve">11/10/2016</t>
  </si>
  <si>
    <t xml:space="preserve">11/13/2016</t>
  </si>
  <si>
    <t xml:space="preserve">11/14/2016</t>
  </si>
  <si>
    <t xml:space="preserve">11/17/2016</t>
  </si>
  <si>
    <t xml:space="preserve">11/20/2016</t>
  </si>
  <si>
    <t xml:space="preserve">11/21/2016</t>
  </si>
  <si>
    <t xml:space="preserve">Estadio Azteca</t>
  </si>
  <si>
    <t xml:space="preserve">11/24/2016</t>
  </si>
  <si>
    <t xml:space="preserve">11/27/2016</t>
  </si>
  <si>
    <t xml:space="preserve">11/28/2016</t>
  </si>
  <si>
    <t xml:space="preserve">12/01/2016</t>
  </si>
  <si>
    <t xml:space="preserve">12/04/2016</t>
  </si>
  <si>
    <t xml:space="preserve">12/05/2016</t>
  </si>
  <si>
    <t xml:space="preserve">12/08/2016</t>
  </si>
  <si>
    <t xml:space="preserve">12/11/2016</t>
  </si>
  <si>
    <t xml:space="preserve">12/12/2016</t>
  </si>
  <si>
    <t xml:space="preserve">12/15/2016</t>
  </si>
  <si>
    <t xml:space="preserve">12/17/2016</t>
  </si>
  <si>
    <t xml:space="preserve">12/18/2016</t>
  </si>
  <si>
    <t xml:space="preserve">12/19/2016</t>
  </si>
  <si>
    <t xml:space="preserve">12/22/2016</t>
  </si>
  <si>
    <t xml:space="preserve">12/24/2016</t>
  </si>
  <si>
    <t xml:space="preserve">12/25/2016</t>
  </si>
  <si>
    <t xml:space="preserve">12/26/2016</t>
  </si>
  <si>
    <t xml:space="preserve">01/01/2017</t>
  </si>
  <si>
    <t xml:space="preserve">01/07/2017</t>
  </si>
  <si>
    <t xml:space="preserve">WildCard</t>
  </si>
  <si>
    <t xml:space="preserve">01/08/2017</t>
  </si>
  <si>
    <t xml:space="preserve">01/14/2017</t>
  </si>
  <si>
    <t xml:space="preserve">01/15/2017</t>
  </si>
  <si>
    <t xml:space="preserve">01/22/2017</t>
  </si>
  <si>
    <t xml:space="preserve">SuperBowl</t>
  </si>
  <si>
    <t xml:space="preserve">NRG Stadium</t>
  </si>
  <si>
    <t xml:space="preserve">09/07/2017</t>
  </si>
  <si>
    <t xml:space="preserve">09/10/2017</t>
  </si>
  <si>
    <t xml:space="preserve">AT&amp;T Stadium</t>
  </si>
  <si>
    <t xml:space="preserve">LP Stadium</t>
  </si>
  <si>
    <t xml:space="preserve">09/11/2017</t>
  </si>
  <si>
    <t xml:space="preserve">09/14/2017</t>
  </si>
  <si>
    <t xml:space="preserve">09/17/2017</t>
  </si>
  <si>
    <t xml:space="preserve">StubHub Center</t>
  </si>
  <si>
    <t xml:space="preserve">09/18/2017</t>
  </si>
  <si>
    <t xml:space="preserve">09/21/2017</t>
  </si>
  <si>
    <t xml:space="preserve">09/24/2017</t>
  </si>
  <si>
    <t xml:space="preserve">09/25/2017</t>
  </si>
  <si>
    <t xml:space="preserve">09/28/2017</t>
  </si>
  <si>
    <t xml:space="preserve">10/01/2017</t>
  </si>
  <si>
    <t xml:space="preserve">10/02/2017</t>
  </si>
  <si>
    <t xml:space="preserve">10/05/2017</t>
  </si>
  <si>
    <t xml:space="preserve">10/08/2017</t>
  </si>
  <si>
    <t xml:space="preserve">Hard Rock Stadium</t>
  </si>
  <si>
    <t xml:space="preserve">10/09/2017</t>
  </si>
  <si>
    <t xml:space="preserve">10/12/2017</t>
  </si>
  <si>
    <t xml:space="preserve">10/15/2017</t>
  </si>
  <si>
    <t xml:space="preserve">10/16/2017</t>
  </si>
  <si>
    <t xml:space="preserve">10/19/2017</t>
  </si>
  <si>
    <t xml:space="preserve">10/22/2017</t>
  </si>
  <si>
    <t xml:space="preserve">10/23/2017</t>
  </si>
  <si>
    <t xml:space="preserve">10/26/2017</t>
  </si>
  <si>
    <t xml:space="preserve">10/29/2017</t>
  </si>
  <si>
    <t xml:space="preserve">10/30/2017</t>
  </si>
  <si>
    <t xml:space="preserve">11/02/2017</t>
  </si>
  <si>
    <t xml:space="preserve">11/05/2017</t>
  </si>
  <si>
    <t xml:space="preserve">11/06/2017</t>
  </si>
  <si>
    <t xml:space="preserve">11/09/2017</t>
  </si>
  <si>
    <t xml:space="preserve">11/12/2017</t>
  </si>
  <si>
    <t xml:space="preserve">11/13/2017</t>
  </si>
  <si>
    <t xml:space="preserve">11/16/2017</t>
  </si>
  <si>
    <t xml:space="preserve">11/19/2017</t>
  </si>
  <si>
    <t xml:space="preserve">11/20/2017</t>
  </si>
  <si>
    <t xml:space="preserve">11/23/2017</t>
  </si>
  <si>
    <t xml:space="preserve">11/26/2017</t>
  </si>
  <si>
    <t xml:space="preserve">11/27/2017</t>
  </si>
  <si>
    <t xml:space="preserve">11/30/2017</t>
  </si>
  <si>
    <t xml:space="preserve">12/03/2017</t>
  </si>
  <si>
    <t xml:space="preserve">12/04/2017</t>
  </si>
  <si>
    <t xml:space="preserve">12/07/2017</t>
  </si>
  <si>
    <t xml:space="preserve">12/10/2017</t>
  </si>
  <si>
    <t xml:space="preserve">12/11/2017</t>
  </si>
  <si>
    <t xml:space="preserve">12/14/2017</t>
  </si>
  <si>
    <t xml:space="preserve">12/16/2017</t>
  </si>
  <si>
    <t xml:space="preserve">12/17/2017</t>
  </si>
  <si>
    <t xml:space="preserve">12/18/2017</t>
  </si>
  <si>
    <t xml:space="preserve">12/23/2017</t>
  </si>
  <si>
    <t xml:space="preserve">12/24/2017</t>
  </si>
  <si>
    <t xml:space="preserve">12/25/2017</t>
  </si>
  <si>
    <t xml:space="preserve">12/31/2017</t>
  </si>
  <si>
    <t xml:space="preserve">01/06/2018</t>
  </si>
  <si>
    <t xml:space="preserve">01/07/2018</t>
  </si>
  <si>
    <t xml:space="preserve">01/13/2018</t>
  </si>
  <si>
    <t xml:space="preserve">01/14/2018</t>
  </si>
  <si>
    <t xml:space="preserve">01/21/2018</t>
  </si>
  <si>
    <t xml:space="preserve">02/04/2018</t>
  </si>
  <si>
    <t xml:space="preserve">TEAM PERFORMANCE SUMMARY (2010-2017)</t>
  </si>
  <si>
    <t xml:space="preserve">Aggregated by franchise abbreviation, so relocated franchises (Rams, Chargers) show one combined record.</t>
  </si>
  <si>
    <t xml:space="preserve">Team</t>
  </si>
  <si>
    <t xml:space="preserve">Games</t>
  </si>
  <si>
    <t xml:space="preserve">Wins</t>
  </si>
  <si>
    <t xml:space="preserve">Win %</t>
  </si>
  <si>
    <t xml:space="preserve">Avg Home Margin</t>
  </si>
  <si>
    <t xml:space="preserve">Times Favored</t>
  </si>
  <si>
    <t xml:space="preserve">Covers When Favored</t>
  </si>
  <si>
    <t xml:space="preserve">Cover Rate When Favored</t>
  </si>
  <si>
    <t xml:space="preserve">BETTING TRENDS BY SEASON</t>
  </si>
  <si>
    <t xml:space="preserve">Over/Under and against-the-spread outcomes, season by season.</t>
  </si>
  <si>
    <t xml:space="preserve">Over Count</t>
  </si>
  <si>
    <t xml:space="preserve">Over Rate</t>
  </si>
  <si>
    <t xml:space="preserve">Favorite Covers</t>
  </si>
  <si>
    <t xml:space="preserve">Decided ATS Games</t>
  </si>
  <si>
    <t xml:space="preserve">Favorite Cover Rate</t>
  </si>
  <si>
    <t xml:space="preserve">Filter</t>
  </si>
  <si>
    <t xml:space="preserve">Count - Date</t>
  </si>
  <si>
    <t xml:space="preserve">Over</t>
  </si>
  <si>
    <t xml:space="preserve">Push</t>
  </si>
  <si>
    <t xml:space="preserve">Under</t>
  </si>
  <si>
    <t xml:space="preserve">Total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</si>
</sst>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6"/>
      <color rgb="FF7B241C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2"/>
      <color rgb="FF7B241C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Arial"/>
      <family val="2"/>
    </font>
    <font>
      <b val="true"/>
      <sz val="10"/>
      <color rgb="FF0000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B241C"/>
        <bgColor rgb="FF800000"/>
      </patternFill>
    </fill>
    <fill>
      <patternFill patternType="solid">
        <fgColor rgb="FFFFF2CC"/>
        <bgColor rgb="FFFFFFFF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4">
    <dxf>
      <fill>
        <patternFill patternType="solid">
          <fgColor rgb="FF7B241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7B24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pivotCacheDefinition" Target="pivotCache/pivotCacheDefinition1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Over Rate by Season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'Trends by Season'!D4</c:f>
              <c:strCache>
                <c:ptCount val="1"/>
                <c:pt idx="0">
                  <c:v>Over Rate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'Trends by Season'!$A$5:$A$12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'Trends by Season'!$D$5:$D$12</c:f>
              <c:numCache>
                <c:formatCode>0.0%</c:formatCode>
                <c:ptCount val="8"/>
                <c:pt idx="0">
                  <c:v>0.546816479400749</c:v>
                </c:pt>
                <c:pt idx="1">
                  <c:v>0.48689138576779</c:v>
                </c:pt>
                <c:pt idx="2">
                  <c:v>0.48314606741573</c:v>
                </c:pt>
                <c:pt idx="3">
                  <c:v>0.49812734082397</c:v>
                </c:pt>
                <c:pt idx="4">
                  <c:v>0.460674157303371</c:v>
                </c:pt>
                <c:pt idx="5">
                  <c:v>0.464419475655431</c:v>
                </c:pt>
                <c:pt idx="6">
                  <c:v>0.52434456928839</c:v>
                </c:pt>
                <c:pt idx="7">
                  <c:v>0.453183520599251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6657269"/>
        <c:axId val="45602145"/>
      </c:lineChart>
      <c:catAx>
        <c:axId val="866572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Season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602145"/>
        <c:crosses val="autoZero"/>
        <c:auto val="1"/>
        <c:lblAlgn val="ctr"/>
        <c:lblOffset val="100"/>
        <c:noMultiLvlLbl val="0"/>
      </c:catAx>
      <c:valAx>
        <c:axId val="456021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Share of games going Over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65726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0</xdr:rowOff>
    </xdr:from>
    <xdr:to>
      <xdr:col>6</xdr:col>
      <xdr:colOff>1247760</xdr:colOff>
      <xdr:row>30</xdr:row>
      <xdr:rowOff>10800</xdr:rowOff>
    </xdr:to>
    <xdr:graphicFrame>
      <xdr:nvGraphicFramePr>
        <xdr:cNvPr id="1" name="Chart 1"/>
        <xdr:cNvGraphicFramePr/>
      </xdr:nvGraphicFramePr>
      <xdr:xfrm>
        <a:off x="634320" y="2726640"/>
        <a:ext cx="5758920" cy="30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136" createdVersion="3">
  <cacheSource type="worksheet">
    <worksheetSource ref="A1:U2137" sheet="Raw Data"/>
  </cacheSource>
  <cacheFields count="21">
    <cacheField name="Date" numFmtId="0">
      <sharedItems count="431">
        <s v="01/01/2012"/>
        <s v="01/01/2017"/>
        <s v="01/02/2011"/>
        <s v="01/03/2015"/>
        <s v="01/03/2016"/>
        <s v="01/04/2014"/>
        <s v="01/04/2015"/>
        <s v="01/05/2013"/>
        <s v="01/05/2014"/>
        <s v="01/06/2013"/>
        <s v="01/06/2018"/>
        <s v="01/07/2012"/>
        <s v="01/07/2017"/>
        <s v="01/07/2018"/>
        <s v="01/08/2011"/>
        <s v="01/08/2012"/>
        <s v="01/08/2017"/>
        <s v="01/09/2011"/>
        <s v="01/09/2016"/>
        <s v="01/10/2015"/>
        <s v="01/10/2016"/>
        <s v="01/11/2014"/>
        <s v="01/11/2015"/>
        <s v="01/12/2013"/>
        <s v="01/12/2014"/>
        <s v="01/13/2013"/>
        <s v="01/13/2018"/>
        <s v="01/14/2012"/>
        <s v="01/14/2017"/>
        <s v="01/14/2018"/>
        <s v="01/15/2011"/>
        <s v="01/15/2012"/>
        <s v="01/15/2017"/>
        <s v="01/16/2011"/>
        <s v="01/16/2016"/>
        <s v="01/17/2016"/>
        <s v="01/18/2015"/>
        <s v="01/19/2014"/>
        <s v="01/20/2013"/>
        <s v="01/21/2018"/>
        <s v="01/22/2012"/>
        <s v="01/22/2017"/>
        <s v="01/23/2011"/>
        <s v="01/24/2016"/>
        <s v="02/01/2015"/>
        <s v="02/02/2014"/>
        <s v="02/03/2013"/>
        <s v="02/04/2018"/>
        <s v="02/05/2012"/>
        <s v="02/06/2011"/>
        <s v="02/07/2016"/>
        <s v="09/04/2014"/>
        <s v="09/05/2012"/>
        <s v="09/05/2013"/>
        <s v="09/07/2014"/>
        <s v="09/07/2017"/>
        <s v="09/08/2011"/>
        <s v="09/08/2013"/>
        <s v="09/08/2014"/>
        <s v="09/08/2016"/>
        <s v="09/09/2010"/>
        <s v="09/09/2012"/>
        <s v="09/09/2013"/>
        <s v="09/10/2012"/>
        <s v="09/10/2015"/>
        <s v="09/10/2017"/>
        <s v="09/11/2011"/>
        <s v="09/11/2014"/>
        <s v="09/11/2016"/>
        <s v="09/11/2017"/>
        <s v="09/12/2010"/>
        <s v="09/12/2011"/>
        <s v="09/12/2013"/>
        <s v="09/12/2016"/>
        <s v="09/13/2010"/>
        <s v="09/13/2012"/>
        <s v="09/13/2015"/>
        <s v="09/14/2014"/>
        <s v="09/14/2015"/>
        <s v="09/14/2017"/>
        <s v="09/15/2013"/>
        <s v="09/15/2014"/>
        <s v="09/15/2016"/>
        <s v="09/16/2012"/>
        <s v="09/16/2013"/>
        <s v="09/17/2012"/>
        <s v="09/17/2015"/>
        <s v="09/17/2017"/>
        <s v="09/18/2011"/>
        <s v="09/18/2014"/>
        <s v="09/18/2016"/>
        <s v="09/18/2017"/>
        <s v="09/19/2010"/>
        <s v="09/19/2011"/>
        <s v="09/19/2013"/>
        <s v="09/19/2016"/>
        <s v="09/20/2010"/>
        <s v="09/20/2012"/>
        <s v="09/20/2015"/>
        <s v="09/21/2014"/>
        <s v="09/21/2015"/>
        <s v="09/21/2017"/>
        <s v="09/22/2013"/>
        <s v="09/22/2014"/>
        <s v="09/22/2016"/>
        <s v="09/23/2012"/>
        <s v="09/23/2013"/>
        <s v="09/24/2012"/>
        <s v="09/24/2015"/>
        <s v="09/24/2017"/>
        <s v="09/25/2011"/>
        <s v="09/25/2014"/>
        <s v="09/25/2016"/>
        <s v="09/25/2017"/>
        <s v="09/26/2010"/>
        <s v="09/26/2011"/>
        <s v="09/26/2013"/>
        <s v="09/26/2016"/>
        <s v="09/27/2010"/>
        <s v="09/27/2012"/>
        <s v="09/27/2015"/>
        <s v="09/28/2014"/>
        <s v="09/28/2015"/>
        <s v="09/28/2017"/>
        <s v="09/29/2013"/>
        <s v="09/29/2014"/>
        <s v="09/29/2016"/>
        <s v="09/30/2012"/>
        <s v="09/30/2013"/>
        <s v="10/01/2012"/>
        <s v="10/01/2015"/>
        <s v="10/01/2017"/>
        <s v="10/02/2011"/>
        <s v="10/02/2014"/>
        <s v="10/02/2016"/>
        <s v="10/02/2017"/>
        <s v="10/03/2010"/>
        <s v="10/03/2011"/>
        <s v="10/03/2013"/>
        <s v="10/03/2016"/>
        <s v="10/04/2010"/>
        <s v="10/04/2012"/>
        <s v="10/04/2015"/>
        <s v="10/05/2014"/>
        <s v="10/05/2015"/>
        <s v="10/05/2017"/>
        <s v="10/06/2013"/>
        <s v="10/06/2014"/>
        <s v="10/06/2016"/>
        <s v="10/07/2012"/>
        <s v="10/07/2013"/>
        <s v="10/08/2012"/>
        <s v="10/08/2015"/>
        <s v="10/08/2017"/>
        <s v="10/09/2011"/>
        <s v="10/09/2014"/>
        <s v="10/09/2016"/>
        <s v="10/09/2017"/>
        <s v="10/10/2010"/>
        <s v="10/10/2011"/>
        <s v="10/10/2013"/>
        <s v="10/10/2016"/>
        <s v="10/11/2010"/>
        <s v="10/11/2012"/>
        <s v="10/11/2015"/>
        <s v="10/12/2014"/>
        <s v="10/12/2015"/>
        <s v="10/12/2017"/>
        <s v="10/13/2013"/>
        <s v="10/13/2014"/>
        <s v="10/13/2016"/>
        <s v="10/14/2012"/>
        <s v="10/14/2013"/>
        <s v="10/15/2012"/>
        <s v="10/15/2015"/>
        <s v="10/15/2017"/>
        <s v="10/16/2011"/>
        <s v="10/16/2014"/>
        <s v="10/16/2016"/>
        <s v="10/16/2017"/>
        <s v="10/17/2010"/>
        <s v="10/17/2011"/>
        <s v="10/17/2013"/>
        <s v="10/17/2016"/>
        <s v="10/18/2010"/>
        <s v="10/18/2012"/>
        <s v="10/18/2015"/>
        <s v="10/19/2014"/>
        <s v="10/19/2015"/>
        <s v="10/19/2017"/>
        <s v="10/20/2013"/>
        <s v="10/20/2014"/>
        <s v="10/20/2016"/>
        <s v="10/21/2012"/>
        <s v="10/21/2013"/>
        <s v="10/22/2012"/>
        <s v="10/22/2015"/>
        <s v="10/22/2017"/>
        <s v="10/23/2011"/>
        <s v="10/23/2014"/>
        <s v="10/23/2016"/>
        <s v="10/23/2017"/>
        <s v="10/24/2010"/>
        <s v="10/24/2011"/>
        <s v="10/24/2013"/>
        <s v="10/24/2016"/>
        <s v="10/25/2010"/>
        <s v="10/25/2012"/>
        <s v="10/25/2015"/>
        <s v="10/26/2014"/>
        <s v="10/26/2015"/>
        <s v="10/26/2017"/>
        <s v="10/27/2013"/>
        <s v="10/27/2014"/>
        <s v="10/27/2016"/>
        <s v="10/28/2012"/>
        <s v="10/28/2013"/>
        <s v="10/29/2012"/>
        <s v="10/29/2015"/>
        <s v="10/29/2017"/>
        <s v="10/30/2011"/>
        <s v="10/30/2014"/>
        <s v="10/30/2016"/>
        <s v="10/30/2017"/>
        <s v="10/31/2010"/>
        <s v="10/31/2011"/>
        <s v="10/31/2013"/>
        <s v="10/31/2016"/>
        <s v="11/01/2010"/>
        <s v="11/01/2012"/>
        <s v="11/01/2015"/>
        <s v="11/02/2014"/>
        <s v="11/02/2015"/>
        <s v="11/02/2017"/>
        <s v="11/03/2013"/>
        <s v="11/03/2014"/>
        <s v="11/03/2016"/>
        <s v="11/04/2012"/>
        <s v="11/04/2013"/>
        <s v="11/05/2012"/>
        <s v="11/05/2015"/>
        <s v="11/05/2017"/>
        <s v="11/06/2011"/>
        <s v="11/06/2014"/>
        <s v="11/06/2016"/>
        <s v="11/06/2017"/>
        <s v="11/07/2010"/>
        <s v="11/07/2011"/>
        <s v="11/07/2013"/>
        <s v="11/07/2016"/>
        <s v="11/08/2010"/>
        <s v="11/08/2012"/>
        <s v="11/08/2015"/>
        <s v="11/09/2014"/>
        <s v="11/09/2015"/>
        <s v="11/09/2017"/>
        <s v="11/10/2011"/>
        <s v="11/10/2013"/>
        <s v="11/10/2014"/>
        <s v="11/10/2016"/>
        <s v="11/11/2010"/>
        <s v="11/11/2012"/>
        <s v="11/11/2013"/>
        <s v="11/12/2012"/>
        <s v="11/12/2015"/>
        <s v="11/12/2017"/>
        <s v="11/13/2011"/>
        <s v="11/13/2014"/>
        <s v="11/13/2016"/>
        <s v="11/13/2017"/>
        <s v="11/14/2010"/>
        <s v="11/14/2011"/>
        <s v="11/14/2013"/>
        <s v="11/14/2016"/>
        <s v="11/15/2010"/>
        <s v="11/15/2012"/>
        <s v="11/15/2015"/>
        <s v="11/16/2014"/>
        <s v="11/16/2015"/>
        <s v="11/16/2017"/>
        <s v="11/17/2011"/>
        <s v="11/17/2013"/>
        <s v="11/17/2014"/>
        <s v="11/17/2016"/>
        <s v="11/18/2010"/>
        <s v="11/18/2012"/>
        <s v="11/18/2013"/>
        <s v="11/19/2012"/>
        <s v="11/19/2015"/>
        <s v="11/19/2017"/>
        <s v="11/20/2011"/>
        <s v="11/20/2014"/>
        <s v="11/20/2016"/>
        <s v="11/20/2017"/>
        <s v="11/21/2010"/>
        <s v="11/21/2011"/>
        <s v="11/21/2013"/>
        <s v="11/21/2016"/>
        <s v="11/22/2010"/>
        <s v="11/22/2012"/>
        <s v="11/22/2015"/>
        <s v="11/23/2014"/>
        <s v="11/23/2015"/>
        <s v="11/23/2017"/>
        <s v="11/24/2011"/>
        <s v="11/24/2013"/>
        <s v="11/24/2014"/>
        <s v="11/24/2016"/>
        <s v="11/25/2010"/>
        <s v="11/25/2012"/>
        <s v="11/25/2013"/>
        <s v="11/26/2012"/>
        <s v="11/26/2015"/>
        <s v="11/26/2017"/>
        <s v="11/27/2011"/>
        <s v="11/27/2014"/>
        <s v="11/27/2016"/>
        <s v="11/27/2017"/>
        <s v="11/28/2010"/>
        <s v="11/28/2011"/>
        <s v="11/28/2013"/>
        <s v="11/28/2016"/>
        <s v="11/29/2010"/>
        <s v="11/29/2012"/>
        <s v="11/29/2015"/>
        <s v="11/30/2014"/>
        <s v="11/30/2015"/>
        <s v="11/30/2017"/>
        <s v="12/01/2011"/>
        <s v="12/01/2013"/>
        <s v="12/01/2014"/>
        <s v="12/01/2016"/>
        <s v="12/02/2010"/>
        <s v="12/02/2012"/>
        <s v="12/02/2013"/>
        <s v="12/03/2012"/>
        <s v="12/03/2015"/>
        <s v="12/03/2017"/>
        <s v="12/04/2011"/>
        <s v="12/04/2014"/>
        <s v="12/04/2016"/>
        <s v="12/04/2017"/>
        <s v="12/05/2010"/>
        <s v="12/05/2011"/>
        <s v="12/05/2013"/>
        <s v="12/05/2016"/>
        <s v="12/06/2010"/>
        <s v="12/06/2012"/>
        <s v="12/06/2015"/>
        <s v="12/07/2014"/>
        <s v="12/07/2015"/>
        <s v="12/07/2017"/>
        <s v="12/08/2011"/>
        <s v="12/08/2013"/>
        <s v="12/08/2014"/>
        <s v="12/08/2016"/>
        <s v="12/09/2010"/>
        <s v="12/09/2012"/>
        <s v="12/09/2013"/>
        <s v="12/10/2012"/>
        <s v="12/10/2015"/>
        <s v="12/10/2017"/>
        <s v="12/11/2011"/>
        <s v="12/11/2014"/>
        <s v="12/11/2016"/>
        <s v="12/11/2017"/>
        <s v="12/12/2010"/>
        <s v="12/12/2011"/>
        <s v="12/12/2013"/>
        <s v="12/12/2016"/>
        <s v="12/13/2010"/>
        <s v="12/13/2012"/>
        <s v="12/13/2015"/>
        <s v="12/14/2014"/>
        <s v="12/14/2015"/>
        <s v="12/14/2017"/>
        <s v="12/15/2011"/>
        <s v="12/15/2013"/>
        <s v="12/15/2014"/>
        <s v="12/15/2016"/>
        <s v="12/16/2010"/>
        <s v="12/16/2012"/>
        <s v="12/16/2013"/>
        <s v="12/16/2017"/>
        <s v="12/17/2011"/>
        <s v="12/17/2012"/>
        <s v="12/17/2015"/>
        <s v="12/17/2016"/>
        <s v="12/17/2017"/>
        <s v="12/18/2011"/>
        <s v="12/18/2014"/>
        <s v="12/18/2016"/>
        <s v="12/18/2017"/>
        <s v="12/19/2010"/>
        <s v="12/19/2011"/>
        <s v="12/19/2015"/>
        <s v="12/19/2016"/>
        <s v="12/20/2010"/>
        <s v="12/20/2014"/>
        <s v="12/20/2015"/>
        <s v="12/21/2014"/>
        <s v="12/21/2015"/>
        <s v="12/22/2011"/>
        <s v="12/22/2012"/>
        <s v="12/22/2013"/>
        <s v="12/22/2014"/>
        <s v="12/22/2016"/>
        <s v="12/23/2010"/>
        <s v="12/23/2012"/>
        <s v="12/23/2013"/>
        <s v="12/23/2017"/>
        <s v="12/24/2011"/>
        <s v="12/24/2015"/>
        <s v="12/24/2016"/>
        <s v="12/24/2017"/>
        <s v="12/25/2010"/>
        <s v="12/25/2011"/>
        <s v="12/25/2016"/>
        <s v="12/25/2017"/>
        <s v="12/26/2010"/>
        <s v="12/26/2011"/>
        <s v="12/26/2015"/>
        <s v="12/26/2016"/>
        <s v="12/27/2010"/>
        <s v="12/27/2015"/>
        <s v="12/28/2010"/>
        <s v="12/28/2014"/>
        <s v="12/28/2015"/>
        <s v="12/29/2013"/>
        <s v="12/30/2012"/>
        <s v="12/31/2017"/>
      </sharedItems>
    </cacheField>
    <cacheField name="Season" numFmtId="0">
      <sharedItems containsSemiMixedTypes="0" containsString="0" containsNumber="1" containsInteger="1" minValue="2010" maxValue="2017" count="8">
        <n v="2010"/>
        <n v="2011"/>
        <n v="2012"/>
        <n v="2013"/>
        <n v="2014"/>
        <n v="2015"/>
        <n v="2016"/>
        <n v="2017"/>
      </sharedItems>
    </cacheField>
    <cacheField name="Week" numFmtId="0">
      <sharedItems count="21">
        <s v="1"/>
        <s v="10"/>
        <s v="11"/>
        <s v="12"/>
        <s v="13"/>
        <s v="14"/>
        <s v="15"/>
        <s v="16"/>
        <s v="17"/>
        <s v="2"/>
        <s v="3"/>
        <s v="4"/>
        <s v="5"/>
        <s v="6"/>
        <s v="7"/>
        <s v="8"/>
        <s v="9"/>
        <s v="Conference"/>
        <s v="Division"/>
        <s v="Superbowl"/>
        <s v="Wildcard"/>
      </sharedItems>
    </cacheField>
    <cacheField name="HomeTeam" numFmtId="0">
      <sharedItems count="34">
        <s v="Arizona Cardinals"/>
        <s v="Atlanta Falcons"/>
        <s v="Baltimore Ravens"/>
        <s v="Buffalo Bills"/>
        <s v="Carolina Panthers"/>
        <s v="Chicago Bears"/>
        <s v="Cincinnati Bengals"/>
        <s v="Cleveland Browns"/>
        <s v="Dallas Cowboys"/>
        <s v="Denver Broncos"/>
        <s v="Detroit Lions"/>
        <s v="Green Bay Packers"/>
        <s v="Houston Texans"/>
        <s v="Indianapolis Colts"/>
        <s v="Jacksonville Jaguars"/>
        <s v="Kansas City Chiefs"/>
        <s v="Los Angeles Chargers"/>
        <s v="Los Angeles Rams"/>
        <s v="Miami Dolphins"/>
        <s v="Minnesota Vikings"/>
        <s v="New England Patriots"/>
        <s v="New Orleans Saints"/>
        <s v="New York Giants"/>
        <s v="New York Jets"/>
        <s v="Oakland Raiders"/>
        <s v="Philadelphia Eagles"/>
        <s v="Pittsburgh Steelers"/>
        <s v="San Diego Chargers"/>
        <s v="San Francisco 49ers"/>
        <s v="Seattle Seahawks"/>
        <s v="St. Louis Rams"/>
        <s v="Tampa Bay Buccaneers"/>
        <s v="Tennessee Titans"/>
        <s v="Washington Redskins"/>
      </sharedItems>
    </cacheField>
    <cacheField name="AwayTeam" numFmtId="0">
      <sharedItems count="34">
        <s v="Arizona Cardinals"/>
        <s v="Atlanta Falcons"/>
        <s v="Baltimore Ravens"/>
        <s v="Buffalo Bills"/>
        <s v="Carolina Panthers"/>
        <s v="Chicago Bears"/>
        <s v="Cincinnati Bengals"/>
        <s v="Cleveland Browns"/>
        <s v="Dallas Cowboys"/>
        <s v="Denver Broncos"/>
        <s v="Detroit Lions"/>
        <s v="Green Bay Packers"/>
        <s v="Houston Texans"/>
        <s v="Indianapolis Colts"/>
        <s v="Jacksonville Jaguars"/>
        <s v="Kansas City Chiefs"/>
        <s v="Los Angeles Chargers"/>
        <s v="Los Angeles Rams"/>
        <s v="Miami Dolphins"/>
        <s v="Minnesota Vikings"/>
        <s v="New England Patriots"/>
        <s v="New Orleans Saints"/>
        <s v="New York Giants"/>
        <s v="New York Jets"/>
        <s v="Oakland Raiders"/>
        <s v="Philadelphia Eagles"/>
        <s v="Pittsburgh Steelers"/>
        <s v="San Diego Chargers"/>
        <s v="San Francisco 49ers"/>
        <s v="Seattle Seahawks"/>
        <s v="St. Louis Rams"/>
        <s v="Tampa Bay Buccaneers"/>
        <s v="Tennessee Titans"/>
        <s v="Washington Redskins"/>
      </sharedItems>
    </cacheField>
    <cacheField name="HomeScore" numFmtId="0">
      <sharedItems containsSemiMixedTypes="0" containsString="0" containsNumber="1" containsInteger="1" minValue="0" maxValue="62" count="57">
        <n v="0"/>
        <n v="2"/>
        <n v="3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1"/>
        <n v="52"/>
        <n v="53"/>
        <n v="54"/>
        <n v="55"/>
        <n v="56"/>
        <n v="57"/>
        <n v="58"/>
        <n v="59"/>
        <n v="62"/>
      </sharedItems>
    </cacheField>
    <cacheField name="AwayScore" numFmtId="0">
      <sharedItems containsSemiMixedTypes="0" containsString="0" containsNumber="1" containsInteger="1" minValue="0" maxValue="59" count="52">
        <n v="0"/>
        <n v="2"/>
        <n v="3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7"/>
        <n v="48"/>
        <n v="49"/>
        <n v="50"/>
        <n v="51"/>
        <n v="52"/>
        <n v="56"/>
        <n v="59"/>
      </sharedItems>
    </cacheField>
    <cacheField name="FavoriteTeamID" numFmtId="0">
      <sharedItems count="33">
        <s v="ARI"/>
        <s v="ATL"/>
        <s v="BAL"/>
        <s v="BUF"/>
        <s v="CAR"/>
        <s v="CHI"/>
        <s v="CIN"/>
        <s v="CLE"/>
        <s v="DAL"/>
        <s v="DEN"/>
        <s v="DET"/>
        <s v="GB"/>
        <s v="HOU"/>
        <s v="IND"/>
        <s v="JAX"/>
        <s v="KC"/>
        <s v="LAC"/>
        <s v="LAR"/>
        <s v="MIA"/>
        <s v="MIN"/>
        <s v="NE"/>
        <s v="NO"/>
        <s v="NYG"/>
        <s v="NYJ"/>
        <s v="OAK"/>
        <s v="PHI"/>
        <s v="PICK"/>
        <s v="PIT"/>
        <s v="SEA"/>
        <s v="SF"/>
        <s v="TB"/>
        <s v="TEN"/>
        <s v="WAS"/>
      </sharedItems>
    </cacheField>
    <cacheField name="SpreadFavorite" numFmtId="0">
      <sharedItems containsSemiMixedTypes="0" containsString="0" containsNumber="1" minValue="-26.5" maxValue="0" count="37">
        <n v="-26.5"/>
        <n v="-20.5"/>
        <n v="-20"/>
        <n v="-17"/>
        <n v="-16.5"/>
        <n v="-16"/>
        <n v="-15.5"/>
        <n v="-15"/>
        <n v="-14.5"/>
        <n v="-14"/>
        <n v="-13.5"/>
        <n v="-13"/>
        <n v="-12.5"/>
        <n v="-12"/>
        <n v="-11.5"/>
        <n v="-11"/>
        <n v="-10.5"/>
        <n v="-10"/>
        <n v="-9.5"/>
        <n v="-9"/>
        <n v="-8.5"/>
        <n v="-8"/>
        <n v="-7.5"/>
        <n v="-7"/>
        <n v="-6.5"/>
        <n v="-6"/>
        <n v="-5.5"/>
        <n v="-5"/>
        <n v="-4.5"/>
        <n v="-4"/>
        <n v="-3.5"/>
        <n v="-3"/>
        <n v="-2.5"/>
        <n v="-2"/>
        <n v="-1.5"/>
        <n v="-1"/>
        <n v="0"/>
      </sharedItems>
    </cacheField>
    <cacheField name="OverUnderLine" numFmtId="0">
      <sharedItems containsSemiMixedTypes="0" containsString="0" containsNumber="1" minValue="33" maxValue="60" count="55">
        <n v="33"/>
        <n v="33.5"/>
        <n v="34"/>
        <n v="34.5"/>
        <n v="35"/>
        <n v="35.5"/>
        <n v="36"/>
        <n v="36.5"/>
        <n v="37"/>
        <n v="37.5"/>
        <n v="38"/>
        <n v="38.5"/>
        <n v="39"/>
        <n v="39.5"/>
        <n v="40"/>
        <n v="40.5"/>
        <n v="41"/>
        <n v="41.5"/>
        <n v="42"/>
        <n v="42.5"/>
        <n v="43"/>
        <n v="43.5"/>
        <n v="44"/>
        <n v="44.5"/>
        <n v="45"/>
        <n v="45.5"/>
        <n v="46"/>
        <n v="46.5"/>
        <n v="47"/>
        <n v="47.5"/>
        <n v="48"/>
        <n v="48.5"/>
        <n v="49"/>
        <n v="49.5"/>
        <n v="50"/>
        <n v="50.5"/>
        <n v="51"/>
        <n v="51.5"/>
        <n v="52"/>
        <n v="52.5"/>
        <n v="53"/>
        <n v="53.5"/>
        <n v="54"/>
        <n v="54.5"/>
        <n v="55"/>
        <n v="55.5"/>
        <n v="56"/>
        <n v="56.5"/>
        <n v="57"/>
        <n v="57.5"/>
        <n v="58"/>
        <n v="58.5"/>
        <n v="59"/>
        <n v="59.5"/>
        <n v="60"/>
      </sharedItems>
    </cacheField>
    <cacheField name="Stadium" numFmtId="0">
      <sharedItems containsBlank="1" count="47">
        <s v="Arrowhead Stadium"/>
        <s v="AT&amp;T Stadium"/>
        <s v="Bank of America Stadium"/>
        <s v="Candlestick Park"/>
        <s v="CenturyLink Field"/>
        <s v="Cowboys Stadium"/>
        <s v="Edward Jones Dome"/>
        <s v="Estadio Azteca"/>
        <s v="EverBank Field"/>
        <s v="FedExField"/>
        <s v="FirstEnergy Stadium"/>
        <s v="Ford Field"/>
        <s v="Georgia Dome"/>
        <s v="Gillette Stadium"/>
        <s v="Hard Rock Stadium"/>
        <s v="Heinz Field"/>
        <s v="Lambeau Field"/>
        <s v="Levi's Stadium"/>
        <s v="Lincoln Financial Field"/>
        <s v="Los Angeles Memorial Coliseum"/>
        <s v="Louisiana Superdome"/>
        <s v="LP Stadium"/>
        <s v="Lucas Oil Stadium"/>
        <s v="M&amp;T Bank Stadium"/>
        <s v="Mall of America Field"/>
        <s v="Mercedes-Benz Superdome"/>
        <s v="MetLife Stadium"/>
        <s v="New Era Field"/>
        <s v="Nissan Stadium"/>
        <s v="NRG Stadium"/>
        <s v="Oakland Coliseum"/>
        <s v="Paul Brown Stadium"/>
        <s v="Qualcomm Stadium"/>
        <s v="Ralph Wilson Stadium"/>
        <s v="Raymond James Stadium"/>
        <s v="Reliant Stadium"/>
        <s v="Rogers Centre"/>
        <s v="Soldier Field"/>
        <s v="Sports Authority Field at Mile High"/>
        <s v="StubHub Center"/>
        <s v="Sun Life Stadium"/>
        <s v="TCF Bank Stadium"/>
        <s v="Twickenham Stadium"/>
        <s v="U.S. Bank Stadium"/>
        <s v="University of Phoenix Stadium"/>
        <s v="Wembley Stadium"/>
        <m/>
      </sharedItems>
    </cacheField>
    <cacheField name="IsPlayoff" numFmtId="0">
      <sharedItems containsSemiMixedTypes="0" containsString="0" containsNumber="1" containsInteger="1" minValue="0" maxValue="1" count="2">
        <n v="0"/>
        <n v="1"/>
      </sharedItems>
    </cacheField>
    <cacheField name="HomeAbbrev" numFmtId="0">
      <sharedItems count="32">
        <s v="ARI"/>
        <s v="ATL"/>
        <s v="BAL"/>
        <s v="BUF"/>
        <s v="CAR"/>
        <s v="CHI"/>
        <s v="CIN"/>
        <s v="CLE"/>
        <s v="DAL"/>
        <s v="DEN"/>
        <s v="DET"/>
        <s v="GB"/>
        <s v="HOU"/>
        <s v="IND"/>
        <s v="JAX"/>
        <s v="KC"/>
        <s v="LAC"/>
        <s v="LAR"/>
        <s v="MIA"/>
        <s v="MIN"/>
        <s v="NE"/>
        <s v="NO"/>
        <s v="NYG"/>
        <s v="NYJ"/>
        <s v="OAK"/>
        <s v="PHI"/>
        <s v="PIT"/>
        <s v="SEA"/>
        <s v="SF"/>
        <s v="TB"/>
        <s v="TEN"/>
        <s v="WAS"/>
      </sharedItems>
    </cacheField>
    <cacheField name="AwayAbbrev" numFmtId="0">
      <sharedItems count="32">
        <s v="ARI"/>
        <s v="ATL"/>
        <s v="BAL"/>
        <s v="BUF"/>
        <s v="CAR"/>
        <s v="CHI"/>
        <s v="CIN"/>
        <s v="CLE"/>
        <s v="DAL"/>
        <s v="DEN"/>
        <s v="DET"/>
        <s v="GB"/>
        <s v="HOU"/>
        <s v="IND"/>
        <s v="JAX"/>
        <s v="KC"/>
        <s v="LAC"/>
        <s v="LAR"/>
        <s v="MIA"/>
        <s v="MIN"/>
        <s v="NE"/>
        <s v="NO"/>
        <s v="NYG"/>
        <s v="NYJ"/>
        <s v="OAK"/>
        <s v="PHI"/>
        <s v="PIT"/>
        <s v="SEA"/>
        <s v="SF"/>
        <s v="TB"/>
        <s v="TEN"/>
        <s v="WAS"/>
      </sharedItems>
    </cacheField>
    <cacheField name="Winner" numFmtId="0">
      <sharedItems count="33">
        <s v="ARI"/>
        <s v="ATL"/>
        <s v="BAL"/>
        <s v="BUF"/>
        <s v="CAR"/>
        <s v="CHI"/>
        <s v="CIN"/>
        <s v="CLE"/>
        <s v="DAL"/>
        <s v="DEN"/>
        <s v="DET"/>
        <s v="GB"/>
        <s v="HOU"/>
        <s v="IND"/>
        <s v="JAX"/>
        <s v="KC"/>
        <s v="LAC"/>
        <s v="LAR"/>
        <s v="MIA"/>
        <s v="MIN"/>
        <s v="NE"/>
        <s v="NO"/>
        <s v="NYG"/>
        <s v="NYJ"/>
        <s v="OAK"/>
        <s v="PHI"/>
        <s v="PIT"/>
        <s v="SEA"/>
        <s v="SF"/>
        <s v="TB"/>
        <s v="TEN"/>
        <s v="Tie"/>
        <s v="WAS"/>
      </sharedItems>
    </cacheField>
    <cacheField name="HomeMargin" numFmtId="0">
      <sharedItems containsSemiMixedTypes="0" containsString="0" containsNumber="1" containsInteger="1" minValue="-45" maxValue="58" count="85">
        <n v="-45"/>
        <n v="-38"/>
        <n v="-37"/>
        <n v="-35"/>
        <n v="-34"/>
        <n v="-33"/>
        <n v="-32"/>
        <n v="-31"/>
        <n v="-30"/>
        <n v="-29"/>
        <n v="-28"/>
        <n v="-27"/>
        <n v="-26"/>
        <n v="-25"/>
        <n v="-24"/>
        <n v="-23"/>
        <n v="-22"/>
        <n v="-21"/>
        <n v="-20"/>
        <n v="-19"/>
        <n v="-18"/>
        <n v="-17"/>
        <n v="-16"/>
        <n v="-15"/>
        <n v="-14"/>
        <n v="-13"/>
        <n v="-12"/>
        <n v="-11"/>
        <n v="-10"/>
        <n v="-9"/>
        <n v="-8"/>
        <n v="-7"/>
        <n v="-6"/>
        <n v="-5"/>
        <n v="-4"/>
        <n v="-3"/>
        <n v="-2"/>
        <n v="-1"/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7"/>
        <n v="38"/>
        <n v="40"/>
        <n v="41"/>
        <n v="42"/>
        <n v="43"/>
        <n v="45"/>
        <n v="48"/>
        <n v="52"/>
        <n v="55"/>
        <n v="58"/>
      </sharedItems>
    </cacheField>
    <cacheField name="TotalPoints" numFmtId="0">
      <sharedItems containsSemiMixedTypes="0" containsString="0" containsNumber="1" containsInteger="1" minValue="6" maxValue="101" count="82">
        <n v="6"/>
        <n v="9"/>
        <n v="10"/>
        <n v="12"/>
        <n v="13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9"/>
        <n v="90"/>
        <n v="99"/>
        <n v="101"/>
      </sharedItems>
    </cacheField>
    <cacheField name="FavoriteSide" numFmtId="0">
      <sharedItems count="3">
        <s v="Away"/>
        <s v="Home"/>
        <s v="Pick"/>
      </sharedItems>
    </cacheField>
    <cacheField name="FavoriteMargin" numFmtId="0">
      <sharedItems containsMixedTypes="1" containsNumber="1" containsInteger="1" minValue="-52" maxValue="58" count="89">
        <n v="-52"/>
        <n v="-45"/>
        <n v="-43"/>
        <n v="-42"/>
        <n v="-41"/>
        <n v="-38"/>
        <n v="-37"/>
        <n v="-35"/>
        <n v="-34"/>
        <n v="-33"/>
        <n v="-32"/>
        <n v="-31"/>
        <n v="-30"/>
        <n v="-29"/>
        <n v="-28"/>
        <n v="-27"/>
        <n v="-26"/>
        <n v="-25"/>
        <n v="-24"/>
        <n v="-23"/>
        <n v="-22"/>
        <n v="-21"/>
        <n v="-20"/>
        <n v="-19"/>
        <n v="-18"/>
        <n v="-17"/>
        <n v="-16"/>
        <n v="-15"/>
        <n v="-14"/>
        <n v="-13"/>
        <n v="-12"/>
        <n v="-11"/>
        <n v="-10"/>
        <n v="-9"/>
        <n v="-8"/>
        <n v="-7"/>
        <n v="-6"/>
        <n v="-5"/>
        <n v="-4"/>
        <n v="-3"/>
        <n v="-2"/>
        <n v="-1"/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7"/>
        <n v="38"/>
        <n v="40"/>
        <n v="41"/>
        <n v="42"/>
        <n v="43"/>
        <n v="45"/>
        <n v="48"/>
        <n v="55"/>
        <n v="58"/>
        <s v=""/>
      </sharedItems>
    </cacheField>
    <cacheField name="ATSResult" numFmtId="0">
      <sharedItems count="4">
        <s v="Favorite Covered"/>
        <s v="No Line"/>
        <s v="Push"/>
        <s v="Underdog Covered"/>
      </sharedItems>
    </cacheField>
    <cacheField name="OUResult" numFmtId="0">
      <sharedItems count="3">
        <s v="Over"/>
        <s v="Push"/>
        <s v="Under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36">
  <r>
    <x v="60"/>
    <x v="0"/>
    <x v="0"/>
    <x v="21"/>
    <x v="19"/>
    <x v="11"/>
    <x v="7"/>
    <x v="21"/>
    <x v="27"/>
    <x v="33"/>
    <x v="20"/>
    <x v="0"/>
    <x v="21"/>
    <x v="19"/>
    <x v="21"/>
    <x v="43"/>
    <x v="13"/>
    <x v="1"/>
    <x v="47"/>
    <x v="2"/>
    <x v="2"/>
  </r>
  <r>
    <x v="70"/>
    <x v="0"/>
    <x v="0"/>
    <x v="3"/>
    <x v="18"/>
    <x v="7"/>
    <x v="13"/>
    <x v="18"/>
    <x v="31"/>
    <x v="12"/>
    <x v="33"/>
    <x v="0"/>
    <x v="3"/>
    <x v="18"/>
    <x v="18"/>
    <x v="33"/>
    <x v="15"/>
    <x v="0"/>
    <x v="47"/>
    <x v="0"/>
    <x v="2"/>
  </r>
  <r>
    <x v="70"/>
    <x v="0"/>
    <x v="0"/>
    <x v="5"/>
    <x v="10"/>
    <x v="16"/>
    <x v="12"/>
    <x v="5"/>
    <x v="24"/>
    <x v="24"/>
    <x v="37"/>
    <x v="0"/>
    <x v="5"/>
    <x v="10"/>
    <x v="5"/>
    <x v="43"/>
    <x v="23"/>
    <x v="1"/>
    <x v="47"/>
    <x v="3"/>
    <x v="2"/>
  </r>
  <r>
    <x v="70"/>
    <x v="0"/>
    <x v="0"/>
    <x v="12"/>
    <x v="13"/>
    <x v="31"/>
    <x v="22"/>
    <x v="13"/>
    <x v="35"/>
    <x v="30"/>
    <x v="35"/>
    <x v="0"/>
    <x v="12"/>
    <x v="13"/>
    <x v="12"/>
    <x v="48"/>
    <x v="48"/>
    <x v="0"/>
    <x v="32"/>
    <x v="3"/>
    <x v="0"/>
  </r>
  <r>
    <x v="70"/>
    <x v="0"/>
    <x v="0"/>
    <x v="14"/>
    <x v="9"/>
    <x v="21"/>
    <x v="15"/>
    <x v="14"/>
    <x v="31"/>
    <x v="17"/>
    <x v="8"/>
    <x v="0"/>
    <x v="14"/>
    <x v="9"/>
    <x v="14"/>
    <x v="45"/>
    <x v="31"/>
    <x v="1"/>
    <x v="49"/>
    <x v="0"/>
    <x v="2"/>
  </r>
  <r>
    <x v="70"/>
    <x v="0"/>
    <x v="0"/>
    <x v="20"/>
    <x v="6"/>
    <x v="35"/>
    <x v="22"/>
    <x v="20"/>
    <x v="26"/>
    <x v="24"/>
    <x v="13"/>
    <x v="0"/>
    <x v="20"/>
    <x v="6"/>
    <x v="20"/>
    <x v="52"/>
    <x v="52"/>
    <x v="1"/>
    <x v="56"/>
    <x v="0"/>
    <x v="0"/>
  </r>
  <r>
    <x v="70"/>
    <x v="0"/>
    <x v="0"/>
    <x v="22"/>
    <x v="4"/>
    <x v="28"/>
    <x v="16"/>
    <x v="22"/>
    <x v="25"/>
    <x v="16"/>
    <x v="26"/>
    <x v="0"/>
    <x v="22"/>
    <x v="4"/>
    <x v="22"/>
    <x v="51"/>
    <x v="39"/>
    <x v="1"/>
    <x v="55"/>
    <x v="0"/>
    <x v="0"/>
  </r>
  <r>
    <x v="70"/>
    <x v="0"/>
    <x v="0"/>
    <x v="25"/>
    <x v="11"/>
    <x v="17"/>
    <x v="25"/>
    <x v="11"/>
    <x v="31"/>
    <x v="30"/>
    <x v="18"/>
    <x v="0"/>
    <x v="25"/>
    <x v="11"/>
    <x v="11"/>
    <x v="31"/>
    <x v="37"/>
    <x v="0"/>
    <x v="49"/>
    <x v="0"/>
    <x v="2"/>
  </r>
  <r>
    <x v="70"/>
    <x v="0"/>
    <x v="0"/>
    <x v="26"/>
    <x v="1"/>
    <x v="12"/>
    <x v="7"/>
    <x v="1"/>
    <x v="34"/>
    <x v="13"/>
    <x v="15"/>
    <x v="0"/>
    <x v="26"/>
    <x v="1"/>
    <x v="26"/>
    <x v="44"/>
    <x v="14"/>
    <x v="0"/>
    <x v="36"/>
    <x v="3"/>
    <x v="2"/>
  </r>
  <r>
    <x v="70"/>
    <x v="0"/>
    <x v="0"/>
    <x v="29"/>
    <x v="28"/>
    <x v="28"/>
    <x v="4"/>
    <x v="29"/>
    <x v="31"/>
    <x v="8"/>
    <x v="4"/>
    <x v="0"/>
    <x v="27"/>
    <x v="28"/>
    <x v="27"/>
    <x v="63"/>
    <x v="27"/>
    <x v="0"/>
    <x v="17"/>
    <x v="3"/>
    <x v="1"/>
  </r>
  <r>
    <x v="70"/>
    <x v="0"/>
    <x v="0"/>
    <x v="30"/>
    <x v="0"/>
    <x v="10"/>
    <x v="15"/>
    <x v="0"/>
    <x v="31"/>
    <x v="13"/>
    <x v="6"/>
    <x v="0"/>
    <x v="17"/>
    <x v="0"/>
    <x v="0"/>
    <x v="34"/>
    <x v="20"/>
    <x v="0"/>
    <x v="46"/>
    <x v="0"/>
    <x v="2"/>
  </r>
  <r>
    <x v="70"/>
    <x v="0"/>
    <x v="0"/>
    <x v="31"/>
    <x v="7"/>
    <x v="14"/>
    <x v="12"/>
    <x v="30"/>
    <x v="32"/>
    <x v="8"/>
    <x v="34"/>
    <x v="0"/>
    <x v="29"/>
    <x v="7"/>
    <x v="29"/>
    <x v="41"/>
    <x v="21"/>
    <x v="1"/>
    <x v="45"/>
    <x v="0"/>
    <x v="2"/>
  </r>
  <r>
    <x v="70"/>
    <x v="0"/>
    <x v="0"/>
    <x v="32"/>
    <x v="24"/>
    <x v="35"/>
    <x v="11"/>
    <x v="31"/>
    <x v="24"/>
    <x v="14"/>
    <x v="28"/>
    <x v="0"/>
    <x v="30"/>
    <x v="24"/>
    <x v="30"/>
    <x v="63"/>
    <x v="41"/>
    <x v="1"/>
    <x v="67"/>
    <x v="0"/>
    <x v="0"/>
  </r>
  <r>
    <x v="70"/>
    <x v="0"/>
    <x v="0"/>
    <x v="33"/>
    <x v="8"/>
    <x v="10"/>
    <x v="5"/>
    <x v="8"/>
    <x v="31"/>
    <x v="14"/>
    <x v="9"/>
    <x v="0"/>
    <x v="31"/>
    <x v="8"/>
    <x v="32"/>
    <x v="44"/>
    <x v="10"/>
    <x v="0"/>
    <x v="36"/>
    <x v="3"/>
    <x v="2"/>
  </r>
  <r>
    <x v="74"/>
    <x v="0"/>
    <x v="0"/>
    <x v="15"/>
    <x v="27"/>
    <x v="18"/>
    <x v="12"/>
    <x v="16"/>
    <x v="29"/>
    <x v="25"/>
    <x v="0"/>
    <x v="0"/>
    <x v="15"/>
    <x v="16"/>
    <x v="15"/>
    <x v="45"/>
    <x v="25"/>
    <x v="0"/>
    <x v="35"/>
    <x v="3"/>
    <x v="2"/>
  </r>
  <r>
    <x v="74"/>
    <x v="0"/>
    <x v="0"/>
    <x v="23"/>
    <x v="2"/>
    <x v="6"/>
    <x v="8"/>
    <x v="23"/>
    <x v="35"/>
    <x v="7"/>
    <x v="26"/>
    <x v="0"/>
    <x v="23"/>
    <x v="2"/>
    <x v="2"/>
    <x v="37"/>
    <x v="9"/>
    <x v="1"/>
    <x v="41"/>
    <x v="3"/>
    <x v="2"/>
  </r>
  <r>
    <x v="92"/>
    <x v="0"/>
    <x v="9"/>
    <x v="1"/>
    <x v="0"/>
    <x v="38"/>
    <x v="5"/>
    <x v="1"/>
    <x v="23"/>
    <x v="21"/>
    <x v="12"/>
    <x v="0"/>
    <x v="1"/>
    <x v="0"/>
    <x v="1"/>
    <x v="72"/>
    <x v="38"/>
    <x v="1"/>
    <x v="76"/>
    <x v="0"/>
    <x v="0"/>
  </r>
  <r>
    <x v="92"/>
    <x v="0"/>
    <x v="9"/>
    <x v="4"/>
    <x v="31"/>
    <x v="4"/>
    <x v="18"/>
    <x v="4"/>
    <x v="29"/>
    <x v="9"/>
    <x v="2"/>
    <x v="0"/>
    <x v="4"/>
    <x v="29"/>
    <x v="29"/>
    <x v="25"/>
    <x v="17"/>
    <x v="1"/>
    <x v="29"/>
    <x v="3"/>
    <x v="2"/>
  </r>
  <r>
    <x v="92"/>
    <x v="0"/>
    <x v="9"/>
    <x v="6"/>
    <x v="2"/>
    <x v="12"/>
    <x v="8"/>
    <x v="2"/>
    <x v="31"/>
    <x v="13"/>
    <x v="31"/>
    <x v="0"/>
    <x v="6"/>
    <x v="2"/>
    <x v="6"/>
    <x v="43"/>
    <x v="15"/>
    <x v="0"/>
    <x v="37"/>
    <x v="3"/>
    <x v="2"/>
  </r>
  <r>
    <x v="92"/>
    <x v="0"/>
    <x v="9"/>
    <x v="7"/>
    <x v="15"/>
    <x v="11"/>
    <x v="14"/>
    <x v="7"/>
    <x v="31"/>
    <x v="10"/>
    <x v="10"/>
    <x v="0"/>
    <x v="7"/>
    <x v="15"/>
    <x v="15"/>
    <x v="36"/>
    <x v="20"/>
    <x v="1"/>
    <x v="40"/>
    <x v="3"/>
    <x v="2"/>
  </r>
  <r>
    <x v="92"/>
    <x v="0"/>
    <x v="9"/>
    <x v="8"/>
    <x v="5"/>
    <x v="17"/>
    <x v="25"/>
    <x v="8"/>
    <x v="23"/>
    <x v="17"/>
    <x v="5"/>
    <x v="0"/>
    <x v="8"/>
    <x v="5"/>
    <x v="5"/>
    <x v="31"/>
    <x v="37"/>
    <x v="1"/>
    <x v="35"/>
    <x v="3"/>
    <x v="0"/>
  </r>
  <r>
    <x v="92"/>
    <x v="0"/>
    <x v="9"/>
    <x v="9"/>
    <x v="29"/>
    <x v="28"/>
    <x v="12"/>
    <x v="9"/>
    <x v="30"/>
    <x v="16"/>
    <x v="38"/>
    <x v="0"/>
    <x v="9"/>
    <x v="27"/>
    <x v="9"/>
    <x v="55"/>
    <x v="35"/>
    <x v="1"/>
    <x v="59"/>
    <x v="0"/>
    <x v="0"/>
  </r>
  <r>
    <x v="92"/>
    <x v="0"/>
    <x v="9"/>
    <x v="10"/>
    <x v="25"/>
    <x v="29"/>
    <x v="33"/>
    <x v="25"/>
    <x v="24"/>
    <x v="16"/>
    <x v="11"/>
    <x v="0"/>
    <x v="10"/>
    <x v="25"/>
    <x v="25"/>
    <x v="35"/>
    <x v="57"/>
    <x v="0"/>
    <x v="45"/>
    <x v="3"/>
    <x v="0"/>
  </r>
  <r>
    <x v="92"/>
    <x v="0"/>
    <x v="9"/>
    <x v="11"/>
    <x v="3"/>
    <x v="31"/>
    <x v="5"/>
    <x v="11"/>
    <x v="11"/>
    <x v="20"/>
    <x v="16"/>
    <x v="0"/>
    <x v="11"/>
    <x v="3"/>
    <x v="11"/>
    <x v="65"/>
    <x v="31"/>
    <x v="1"/>
    <x v="69"/>
    <x v="0"/>
    <x v="2"/>
  </r>
  <r>
    <x v="92"/>
    <x v="0"/>
    <x v="9"/>
    <x v="13"/>
    <x v="22"/>
    <x v="35"/>
    <x v="12"/>
    <x v="13"/>
    <x v="29"/>
    <x v="31"/>
    <x v="22"/>
    <x v="0"/>
    <x v="13"/>
    <x v="22"/>
    <x v="13"/>
    <x v="62"/>
    <x v="42"/>
    <x v="1"/>
    <x v="66"/>
    <x v="0"/>
    <x v="0"/>
  </r>
  <r>
    <x v="92"/>
    <x v="0"/>
    <x v="9"/>
    <x v="19"/>
    <x v="18"/>
    <x v="7"/>
    <x v="12"/>
    <x v="19"/>
    <x v="25"/>
    <x v="16"/>
    <x v="24"/>
    <x v="0"/>
    <x v="19"/>
    <x v="18"/>
    <x v="18"/>
    <x v="34"/>
    <x v="14"/>
    <x v="1"/>
    <x v="38"/>
    <x v="3"/>
    <x v="2"/>
  </r>
  <r>
    <x v="92"/>
    <x v="0"/>
    <x v="9"/>
    <x v="23"/>
    <x v="20"/>
    <x v="25"/>
    <x v="12"/>
    <x v="20"/>
    <x v="31"/>
    <x v="13"/>
    <x v="26"/>
    <x v="0"/>
    <x v="23"/>
    <x v="20"/>
    <x v="23"/>
    <x v="52"/>
    <x v="32"/>
    <x v="0"/>
    <x v="28"/>
    <x v="3"/>
    <x v="0"/>
  </r>
  <r>
    <x v="92"/>
    <x v="0"/>
    <x v="9"/>
    <x v="24"/>
    <x v="30"/>
    <x v="13"/>
    <x v="12"/>
    <x v="24"/>
    <x v="31"/>
    <x v="9"/>
    <x v="30"/>
    <x v="0"/>
    <x v="24"/>
    <x v="17"/>
    <x v="24"/>
    <x v="40"/>
    <x v="20"/>
    <x v="1"/>
    <x v="44"/>
    <x v="3"/>
    <x v="2"/>
  </r>
  <r>
    <x v="92"/>
    <x v="0"/>
    <x v="9"/>
    <x v="27"/>
    <x v="14"/>
    <x v="35"/>
    <x v="11"/>
    <x v="16"/>
    <x v="23"/>
    <x v="24"/>
    <x v="32"/>
    <x v="0"/>
    <x v="16"/>
    <x v="14"/>
    <x v="16"/>
    <x v="63"/>
    <x v="41"/>
    <x v="1"/>
    <x v="67"/>
    <x v="0"/>
    <x v="0"/>
  </r>
  <r>
    <x v="92"/>
    <x v="0"/>
    <x v="9"/>
    <x v="32"/>
    <x v="26"/>
    <x v="8"/>
    <x v="17"/>
    <x v="31"/>
    <x v="25"/>
    <x v="8"/>
    <x v="28"/>
    <x v="0"/>
    <x v="30"/>
    <x v="26"/>
    <x v="26"/>
    <x v="30"/>
    <x v="20"/>
    <x v="1"/>
    <x v="34"/>
    <x v="3"/>
    <x v="2"/>
  </r>
  <r>
    <x v="92"/>
    <x v="0"/>
    <x v="9"/>
    <x v="33"/>
    <x v="12"/>
    <x v="24"/>
    <x v="28"/>
    <x v="12"/>
    <x v="31"/>
    <x v="19"/>
    <x v="9"/>
    <x v="0"/>
    <x v="31"/>
    <x v="12"/>
    <x v="12"/>
    <x v="35"/>
    <x v="47"/>
    <x v="0"/>
    <x v="45"/>
    <x v="2"/>
    <x v="0"/>
  </r>
  <r>
    <x v="96"/>
    <x v="0"/>
    <x v="9"/>
    <x v="28"/>
    <x v="21"/>
    <x v="19"/>
    <x v="23"/>
    <x v="21"/>
    <x v="27"/>
    <x v="21"/>
    <x v="3"/>
    <x v="0"/>
    <x v="28"/>
    <x v="21"/>
    <x v="21"/>
    <x v="35"/>
    <x v="37"/>
    <x v="0"/>
    <x v="45"/>
    <x v="3"/>
    <x v="0"/>
  </r>
  <r>
    <x v="114"/>
    <x v="0"/>
    <x v="10"/>
    <x v="0"/>
    <x v="24"/>
    <x v="21"/>
    <x v="21"/>
    <x v="0"/>
    <x v="26"/>
    <x v="12"/>
    <x v="44"/>
    <x v="0"/>
    <x v="0"/>
    <x v="24"/>
    <x v="0"/>
    <x v="39"/>
    <x v="37"/>
    <x v="1"/>
    <x v="43"/>
    <x v="3"/>
    <x v="0"/>
  </r>
  <r>
    <x v="114"/>
    <x v="0"/>
    <x v="10"/>
    <x v="2"/>
    <x v="7"/>
    <x v="21"/>
    <x v="15"/>
    <x v="2"/>
    <x v="12"/>
    <x v="7"/>
    <x v="23"/>
    <x v="0"/>
    <x v="2"/>
    <x v="7"/>
    <x v="2"/>
    <x v="45"/>
    <x v="31"/>
    <x v="1"/>
    <x v="49"/>
    <x v="3"/>
    <x v="0"/>
  </r>
  <r>
    <x v="114"/>
    <x v="0"/>
    <x v="10"/>
    <x v="4"/>
    <x v="6"/>
    <x v="4"/>
    <x v="18"/>
    <x v="6"/>
    <x v="30"/>
    <x v="8"/>
    <x v="2"/>
    <x v="0"/>
    <x v="4"/>
    <x v="6"/>
    <x v="6"/>
    <x v="25"/>
    <x v="17"/>
    <x v="0"/>
    <x v="55"/>
    <x v="0"/>
    <x v="2"/>
  </r>
  <r>
    <x v="114"/>
    <x v="0"/>
    <x v="10"/>
    <x v="9"/>
    <x v="13"/>
    <x v="10"/>
    <x v="25"/>
    <x v="13"/>
    <x v="25"/>
    <x v="28"/>
    <x v="38"/>
    <x v="0"/>
    <x v="9"/>
    <x v="13"/>
    <x v="13"/>
    <x v="24"/>
    <x v="30"/>
    <x v="0"/>
    <x v="56"/>
    <x v="0"/>
    <x v="2"/>
  </r>
  <r>
    <x v="114"/>
    <x v="0"/>
    <x v="10"/>
    <x v="12"/>
    <x v="8"/>
    <x v="10"/>
    <x v="25"/>
    <x v="12"/>
    <x v="32"/>
    <x v="29"/>
    <x v="35"/>
    <x v="0"/>
    <x v="12"/>
    <x v="8"/>
    <x v="8"/>
    <x v="24"/>
    <x v="30"/>
    <x v="1"/>
    <x v="28"/>
    <x v="3"/>
    <x v="2"/>
  </r>
  <r>
    <x v="114"/>
    <x v="0"/>
    <x v="10"/>
    <x v="14"/>
    <x v="25"/>
    <x v="2"/>
    <x v="26"/>
    <x v="25"/>
    <x v="31"/>
    <x v="24"/>
    <x v="8"/>
    <x v="0"/>
    <x v="14"/>
    <x v="25"/>
    <x v="25"/>
    <x v="13"/>
    <x v="21"/>
    <x v="0"/>
    <x v="67"/>
    <x v="0"/>
    <x v="2"/>
  </r>
  <r>
    <x v="114"/>
    <x v="0"/>
    <x v="10"/>
    <x v="15"/>
    <x v="28"/>
    <x v="28"/>
    <x v="8"/>
    <x v="29"/>
    <x v="31"/>
    <x v="10"/>
    <x v="0"/>
    <x v="0"/>
    <x v="15"/>
    <x v="28"/>
    <x v="15"/>
    <x v="59"/>
    <x v="31"/>
    <x v="0"/>
    <x v="21"/>
    <x v="3"/>
    <x v="0"/>
  </r>
  <r>
    <x v="114"/>
    <x v="0"/>
    <x v="10"/>
    <x v="18"/>
    <x v="23"/>
    <x v="20"/>
    <x v="29"/>
    <x v="18"/>
    <x v="32"/>
    <x v="6"/>
    <x v="40"/>
    <x v="0"/>
    <x v="18"/>
    <x v="23"/>
    <x v="23"/>
    <x v="30"/>
    <x v="44"/>
    <x v="1"/>
    <x v="34"/>
    <x v="3"/>
    <x v="0"/>
  </r>
  <r>
    <x v="114"/>
    <x v="0"/>
    <x v="10"/>
    <x v="19"/>
    <x v="10"/>
    <x v="21"/>
    <x v="8"/>
    <x v="19"/>
    <x v="11"/>
    <x v="20"/>
    <x v="24"/>
    <x v="0"/>
    <x v="19"/>
    <x v="10"/>
    <x v="19"/>
    <x v="52"/>
    <x v="24"/>
    <x v="1"/>
    <x v="56"/>
    <x v="0"/>
    <x v="2"/>
  </r>
  <r>
    <x v="114"/>
    <x v="0"/>
    <x v="10"/>
    <x v="20"/>
    <x v="3"/>
    <x v="35"/>
    <x v="28"/>
    <x v="20"/>
    <x v="8"/>
    <x v="20"/>
    <x v="13"/>
    <x v="0"/>
    <x v="20"/>
    <x v="3"/>
    <x v="20"/>
    <x v="46"/>
    <x v="58"/>
    <x v="1"/>
    <x v="50"/>
    <x v="3"/>
    <x v="0"/>
  </r>
  <r>
    <x v="114"/>
    <x v="0"/>
    <x v="10"/>
    <x v="21"/>
    <x v="1"/>
    <x v="21"/>
    <x v="25"/>
    <x v="21"/>
    <x v="31"/>
    <x v="33"/>
    <x v="20"/>
    <x v="0"/>
    <x v="21"/>
    <x v="1"/>
    <x v="1"/>
    <x v="35"/>
    <x v="41"/>
    <x v="1"/>
    <x v="39"/>
    <x v="3"/>
    <x v="0"/>
  </r>
  <r>
    <x v="114"/>
    <x v="0"/>
    <x v="10"/>
    <x v="22"/>
    <x v="32"/>
    <x v="7"/>
    <x v="27"/>
    <x v="22"/>
    <x v="31"/>
    <x v="21"/>
    <x v="26"/>
    <x v="0"/>
    <x v="22"/>
    <x v="30"/>
    <x v="30"/>
    <x v="19"/>
    <x v="29"/>
    <x v="1"/>
    <x v="23"/>
    <x v="3"/>
    <x v="2"/>
  </r>
  <r>
    <x v="114"/>
    <x v="0"/>
    <x v="10"/>
    <x v="29"/>
    <x v="27"/>
    <x v="24"/>
    <x v="18"/>
    <x v="16"/>
    <x v="29"/>
    <x v="22"/>
    <x v="4"/>
    <x v="0"/>
    <x v="27"/>
    <x v="16"/>
    <x v="27"/>
    <x v="45"/>
    <x v="37"/>
    <x v="0"/>
    <x v="35"/>
    <x v="3"/>
    <x v="0"/>
  </r>
  <r>
    <x v="114"/>
    <x v="0"/>
    <x v="10"/>
    <x v="30"/>
    <x v="33"/>
    <x v="27"/>
    <x v="14"/>
    <x v="32"/>
    <x v="27"/>
    <x v="12"/>
    <x v="6"/>
    <x v="0"/>
    <x v="17"/>
    <x v="31"/>
    <x v="17"/>
    <x v="52"/>
    <x v="36"/>
    <x v="0"/>
    <x v="28"/>
    <x v="3"/>
    <x v="0"/>
  </r>
  <r>
    <x v="114"/>
    <x v="0"/>
    <x v="10"/>
    <x v="31"/>
    <x v="26"/>
    <x v="10"/>
    <x v="36"/>
    <x v="27"/>
    <x v="31"/>
    <x v="0"/>
    <x v="34"/>
    <x v="0"/>
    <x v="29"/>
    <x v="26"/>
    <x v="26"/>
    <x v="13"/>
    <x v="41"/>
    <x v="0"/>
    <x v="67"/>
    <x v="0"/>
    <x v="0"/>
  </r>
  <r>
    <x v="118"/>
    <x v="0"/>
    <x v="10"/>
    <x v="5"/>
    <x v="11"/>
    <x v="17"/>
    <x v="15"/>
    <x v="11"/>
    <x v="31"/>
    <x v="27"/>
    <x v="37"/>
    <x v="0"/>
    <x v="5"/>
    <x v="11"/>
    <x v="5"/>
    <x v="41"/>
    <x v="27"/>
    <x v="0"/>
    <x v="39"/>
    <x v="3"/>
    <x v="2"/>
  </r>
  <r>
    <x v="136"/>
    <x v="0"/>
    <x v="11"/>
    <x v="1"/>
    <x v="28"/>
    <x v="13"/>
    <x v="12"/>
    <x v="1"/>
    <x v="23"/>
    <x v="19"/>
    <x v="12"/>
    <x v="0"/>
    <x v="1"/>
    <x v="28"/>
    <x v="1"/>
    <x v="40"/>
    <x v="20"/>
    <x v="1"/>
    <x v="44"/>
    <x v="3"/>
    <x v="2"/>
  </r>
  <r>
    <x v="136"/>
    <x v="0"/>
    <x v="11"/>
    <x v="3"/>
    <x v="23"/>
    <x v="11"/>
    <x v="36"/>
    <x v="23"/>
    <x v="25"/>
    <x v="8"/>
    <x v="33"/>
    <x v="0"/>
    <x v="3"/>
    <x v="23"/>
    <x v="23"/>
    <x v="14"/>
    <x v="42"/>
    <x v="0"/>
    <x v="66"/>
    <x v="0"/>
    <x v="0"/>
  </r>
  <r>
    <x v="136"/>
    <x v="0"/>
    <x v="11"/>
    <x v="7"/>
    <x v="6"/>
    <x v="20"/>
    <x v="18"/>
    <x v="6"/>
    <x v="32"/>
    <x v="8"/>
    <x v="10"/>
    <x v="0"/>
    <x v="7"/>
    <x v="6"/>
    <x v="7"/>
    <x v="41"/>
    <x v="33"/>
    <x v="0"/>
    <x v="39"/>
    <x v="3"/>
    <x v="0"/>
  </r>
  <r>
    <x v="136"/>
    <x v="0"/>
    <x v="11"/>
    <x v="11"/>
    <x v="10"/>
    <x v="25"/>
    <x v="24"/>
    <x v="11"/>
    <x v="8"/>
    <x v="26"/>
    <x v="16"/>
    <x v="0"/>
    <x v="11"/>
    <x v="10"/>
    <x v="11"/>
    <x v="40"/>
    <x v="44"/>
    <x v="1"/>
    <x v="44"/>
    <x v="3"/>
    <x v="0"/>
  </r>
  <r>
    <x v="136"/>
    <x v="0"/>
    <x v="11"/>
    <x v="14"/>
    <x v="13"/>
    <x v="28"/>
    <x v="26"/>
    <x v="13"/>
    <x v="23"/>
    <x v="26"/>
    <x v="8"/>
    <x v="0"/>
    <x v="14"/>
    <x v="13"/>
    <x v="14"/>
    <x v="41"/>
    <x v="49"/>
    <x v="0"/>
    <x v="39"/>
    <x v="3"/>
    <x v="0"/>
  </r>
  <r>
    <x v="136"/>
    <x v="0"/>
    <x v="11"/>
    <x v="21"/>
    <x v="4"/>
    <x v="13"/>
    <x v="12"/>
    <x v="21"/>
    <x v="12"/>
    <x v="22"/>
    <x v="20"/>
    <x v="0"/>
    <x v="21"/>
    <x v="4"/>
    <x v="21"/>
    <x v="40"/>
    <x v="20"/>
    <x v="1"/>
    <x v="44"/>
    <x v="3"/>
    <x v="2"/>
  </r>
  <r>
    <x v="136"/>
    <x v="0"/>
    <x v="11"/>
    <x v="22"/>
    <x v="5"/>
    <x v="14"/>
    <x v="2"/>
    <x v="22"/>
    <x v="30"/>
    <x v="22"/>
    <x v="26"/>
    <x v="0"/>
    <x v="22"/>
    <x v="5"/>
    <x v="22"/>
    <x v="52"/>
    <x v="10"/>
    <x v="1"/>
    <x v="56"/>
    <x v="0"/>
    <x v="2"/>
  </r>
  <r>
    <x v="136"/>
    <x v="0"/>
    <x v="11"/>
    <x v="24"/>
    <x v="12"/>
    <x v="21"/>
    <x v="29"/>
    <x v="12"/>
    <x v="30"/>
    <x v="22"/>
    <x v="30"/>
    <x v="0"/>
    <x v="24"/>
    <x v="12"/>
    <x v="12"/>
    <x v="31"/>
    <x v="45"/>
    <x v="0"/>
    <x v="49"/>
    <x v="0"/>
    <x v="0"/>
  </r>
  <r>
    <x v="136"/>
    <x v="0"/>
    <x v="11"/>
    <x v="25"/>
    <x v="33"/>
    <x v="9"/>
    <x v="15"/>
    <x v="25"/>
    <x v="27"/>
    <x v="21"/>
    <x v="18"/>
    <x v="0"/>
    <x v="25"/>
    <x v="31"/>
    <x v="32"/>
    <x v="33"/>
    <x v="19"/>
    <x v="1"/>
    <x v="37"/>
    <x v="3"/>
    <x v="2"/>
  </r>
  <r>
    <x v="136"/>
    <x v="0"/>
    <x v="11"/>
    <x v="26"/>
    <x v="2"/>
    <x v="11"/>
    <x v="15"/>
    <x v="27"/>
    <x v="32"/>
    <x v="3"/>
    <x v="15"/>
    <x v="0"/>
    <x v="26"/>
    <x v="2"/>
    <x v="2"/>
    <x v="35"/>
    <x v="21"/>
    <x v="1"/>
    <x v="39"/>
    <x v="3"/>
    <x v="2"/>
  </r>
  <r>
    <x v="136"/>
    <x v="0"/>
    <x v="11"/>
    <x v="27"/>
    <x v="0"/>
    <x v="38"/>
    <x v="8"/>
    <x v="16"/>
    <x v="18"/>
    <x v="27"/>
    <x v="32"/>
    <x v="0"/>
    <x v="16"/>
    <x v="0"/>
    <x v="16"/>
    <x v="69"/>
    <x v="41"/>
    <x v="1"/>
    <x v="73"/>
    <x v="0"/>
    <x v="0"/>
  </r>
  <r>
    <x v="136"/>
    <x v="0"/>
    <x v="11"/>
    <x v="30"/>
    <x v="29"/>
    <x v="17"/>
    <x v="2"/>
    <x v="28"/>
    <x v="33"/>
    <x v="14"/>
    <x v="6"/>
    <x v="0"/>
    <x v="17"/>
    <x v="27"/>
    <x v="17"/>
    <x v="55"/>
    <x v="13"/>
    <x v="0"/>
    <x v="25"/>
    <x v="3"/>
    <x v="2"/>
  </r>
  <r>
    <x v="136"/>
    <x v="0"/>
    <x v="11"/>
    <x v="32"/>
    <x v="9"/>
    <x v="17"/>
    <x v="24"/>
    <x v="31"/>
    <x v="24"/>
    <x v="21"/>
    <x v="28"/>
    <x v="0"/>
    <x v="30"/>
    <x v="9"/>
    <x v="9"/>
    <x v="32"/>
    <x v="36"/>
    <x v="1"/>
    <x v="36"/>
    <x v="3"/>
    <x v="0"/>
  </r>
  <r>
    <x v="140"/>
    <x v="0"/>
    <x v="11"/>
    <x v="18"/>
    <x v="20"/>
    <x v="11"/>
    <x v="39"/>
    <x v="20"/>
    <x v="35"/>
    <x v="30"/>
    <x v="40"/>
    <x v="0"/>
    <x v="18"/>
    <x v="20"/>
    <x v="20"/>
    <x v="11"/>
    <x v="45"/>
    <x v="0"/>
    <x v="69"/>
    <x v="0"/>
    <x v="0"/>
  </r>
  <r>
    <x v="158"/>
    <x v="0"/>
    <x v="12"/>
    <x v="0"/>
    <x v="21"/>
    <x v="27"/>
    <x v="18"/>
    <x v="21"/>
    <x v="23"/>
    <x v="25"/>
    <x v="44"/>
    <x v="0"/>
    <x v="0"/>
    <x v="21"/>
    <x v="0"/>
    <x v="48"/>
    <x v="40"/>
    <x v="0"/>
    <x v="32"/>
    <x v="3"/>
    <x v="0"/>
  </r>
  <r>
    <x v="158"/>
    <x v="0"/>
    <x v="12"/>
    <x v="2"/>
    <x v="9"/>
    <x v="28"/>
    <x v="15"/>
    <x v="2"/>
    <x v="21"/>
    <x v="13"/>
    <x v="23"/>
    <x v="0"/>
    <x v="2"/>
    <x v="9"/>
    <x v="2"/>
    <x v="52"/>
    <x v="38"/>
    <x v="1"/>
    <x v="56"/>
    <x v="0"/>
    <x v="0"/>
  </r>
  <r>
    <x v="158"/>
    <x v="0"/>
    <x v="12"/>
    <x v="3"/>
    <x v="14"/>
    <x v="23"/>
    <x v="34"/>
    <x v="3"/>
    <x v="32"/>
    <x v="17"/>
    <x v="33"/>
    <x v="0"/>
    <x v="3"/>
    <x v="14"/>
    <x v="14"/>
    <x v="28"/>
    <x v="52"/>
    <x v="1"/>
    <x v="32"/>
    <x v="3"/>
    <x v="0"/>
  </r>
  <r>
    <x v="158"/>
    <x v="0"/>
    <x v="12"/>
    <x v="4"/>
    <x v="5"/>
    <x v="3"/>
    <x v="21"/>
    <x v="4"/>
    <x v="31"/>
    <x v="0"/>
    <x v="2"/>
    <x v="0"/>
    <x v="4"/>
    <x v="5"/>
    <x v="5"/>
    <x v="21"/>
    <x v="19"/>
    <x v="1"/>
    <x v="25"/>
    <x v="3"/>
    <x v="2"/>
  </r>
  <r>
    <x v="158"/>
    <x v="0"/>
    <x v="12"/>
    <x v="6"/>
    <x v="31"/>
    <x v="18"/>
    <x v="22"/>
    <x v="6"/>
    <x v="23"/>
    <x v="11"/>
    <x v="31"/>
    <x v="0"/>
    <x v="6"/>
    <x v="29"/>
    <x v="29"/>
    <x v="35"/>
    <x v="35"/>
    <x v="1"/>
    <x v="39"/>
    <x v="3"/>
    <x v="0"/>
  </r>
  <r>
    <x v="158"/>
    <x v="0"/>
    <x v="12"/>
    <x v="7"/>
    <x v="1"/>
    <x v="7"/>
    <x v="18"/>
    <x v="1"/>
    <x v="31"/>
    <x v="17"/>
    <x v="10"/>
    <x v="0"/>
    <x v="7"/>
    <x v="1"/>
    <x v="1"/>
    <x v="28"/>
    <x v="20"/>
    <x v="0"/>
    <x v="52"/>
    <x v="0"/>
    <x v="2"/>
  </r>
  <r>
    <x v="158"/>
    <x v="0"/>
    <x v="12"/>
    <x v="8"/>
    <x v="32"/>
    <x v="24"/>
    <x v="32"/>
    <x v="8"/>
    <x v="23"/>
    <x v="20"/>
    <x v="5"/>
    <x v="0"/>
    <x v="8"/>
    <x v="30"/>
    <x v="30"/>
    <x v="31"/>
    <x v="51"/>
    <x v="1"/>
    <x v="35"/>
    <x v="3"/>
    <x v="0"/>
  </r>
  <r>
    <x v="158"/>
    <x v="0"/>
    <x v="12"/>
    <x v="10"/>
    <x v="30"/>
    <x v="41"/>
    <x v="4"/>
    <x v="10"/>
    <x v="31"/>
    <x v="19"/>
    <x v="11"/>
    <x v="0"/>
    <x v="10"/>
    <x v="17"/>
    <x v="10"/>
    <x v="75"/>
    <x v="40"/>
    <x v="1"/>
    <x v="79"/>
    <x v="0"/>
    <x v="0"/>
  </r>
  <r>
    <x v="158"/>
    <x v="0"/>
    <x v="12"/>
    <x v="12"/>
    <x v="22"/>
    <x v="7"/>
    <x v="32"/>
    <x v="12"/>
    <x v="31"/>
    <x v="31"/>
    <x v="35"/>
    <x v="0"/>
    <x v="12"/>
    <x v="22"/>
    <x v="22"/>
    <x v="14"/>
    <x v="34"/>
    <x v="1"/>
    <x v="18"/>
    <x v="3"/>
    <x v="2"/>
  </r>
  <r>
    <x v="158"/>
    <x v="0"/>
    <x v="12"/>
    <x v="13"/>
    <x v="15"/>
    <x v="16"/>
    <x v="7"/>
    <x v="13"/>
    <x v="22"/>
    <x v="27"/>
    <x v="22"/>
    <x v="0"/>
    <x v="13"/>
    <x v="15"/>
    <x v="13"/>
    <x v="48"/>
    <x v="18"/>
    <x v="1"/>
    <x v="52"/>
    <x v="0"/>
    <x v="2"/>
  </r>
  <r>
    <x v="158"/>
    <x v="0"/>
    <x v="12"/>
    <x v="24"/>
    <x v="27"/>
    <x v="32"/>
    <x v="25"/>
    <x v="16"/>
    <x v="23"/>
    <x v="22"/>
    <x v="30"/>
    <x v="0"/>
    <x v="24"/>
    <x v="16"/>
    <x v="24"/>
    <x v="46"/>
    <x v="52"/>
    <x v="0"/>
    <x v="34"/>
    <x v="3"/>
    <x v="0"/>
  </r>
  <r>
    <x v="158"/>
    <x v="0"/>
    <x v="12"/>
    <x v="28"/>
    <x v="25"/>
    <x v="21"/>
    <x v="25"/>
    <x v="29"/>
    <x v="31"/>
    <x v="11"/>
    <x v="3"/>
    <x v="0"/>
    <x v="28"/>
    <x v="25"/>
    <x v="25"/>
    <x v="35"/>
    <x v="41"/>
    <x v="1"/>
    <x v="39"/>
    <x v="3"/>
    <x v="0"/>
  </r>
  <r>
    <x v="158"/>
    <x v="0"/>
    <x v="12"/>
    <x v="33"/>
    <x v="11"/>
    <x v="13"/>
    <x v="11"/>
    <x v="11"/>
    <x v="31"/>
    <x v="25"/>
    <x v="9"/>
    <x v="0"/>
    <x v="31"/>
    <x v="11"/>
    <x v="32"/>
    <x v="41"/>
    <x v="19"/>
    <x v="0"/>
    <x v="39"/>
    <x v="3"/>
    <x v="2"/>
  </r>
  <r>
    <x v="162"/>
    <x v="0"/>
    <x v="12"/>
    <x v="23"/>
    <x v="19"/>
    <x v="26"/>
    <x v="18"/>
    <x v="23"/>
    <x v="28"/>
    <x v="14"/>
    <x v="26"/>
    <x v="0"/>
    <x v="23"/>
    <x v="19"/>
    <x v="23"/>
    <x v="47"/>
    <x v="39"/>
    <x v="1"/>
    <x v="51"/>
    <x v="0"/>
    <x v="0"/>
  </r>
  <r>
    <x v="180"/>
    <x v="0"/>
    <x v="13"/>
    <x v="5"/>
    <x v="29"/>
    <x v="17"/>
    <x v="21"/>
    <x v="5"/>
    <x v="25"/>
    <x v="10"/>
    <x v="37"/>
    <x v="0"/>
    <x v="5"/>
    <x v="27"/>
    <x v="27"/>
    <x v="35"/>
    <x v="33"/>
    <x v="1"/>
    <x v="39"/>
    <x v="3"/>
    <x v="0"/>
  </r>
  <r>
    <x v="180"/>
    <x v="0"/>
    <x v="13"/>
    <x v="9"/>
    <x v="23"/>
    <x v="17"/>
    <x v="22"/>
    <x v="23"/>
    <x v="30"/>
    <x v="20"/>
    <x v="38"/>
    <x v="0"/>
    <x v="9"/>
    <x v="23"/>
    <x v="23"/>
    <x v="34"/>
    <x v="34"/>
    <x v="0"/>
    <x v="46"/>
    <x v="0"/>
    <x v="0"/>
  </r>
  <r>
    <x v="180"/>
    <x v="0"/>
    <x v="13"/>
    <x v="11"/>
    <x v="18"/>
    <x v="17"/>
    <x v="21"/>
    <x v="11"/>
    <x v="31"/>
    <x v="22"/>
    <x v="16"/>
    <x v="0"/>
    <x v="11"/>
    <x v="18"/>
    <x v="18"/>
    <x v="35"/>
    <x v="33"/>
    <x v="1"/>
    <x v="39"/>
    <x v="3"/>
    <x v="2"/>
  </r>
  <r>
    <x v="180"/>
    <x v="0"/>
    <x v="13"/>
    <x v="12"/>
    <x v="15"/>
    <x v="32"/>
    <x v="29"/>
    <x v="12"/>
    <x v="28"/>
    <x v="26"/>
    <x v="35"/>
    <x v="0"/>
    <x v="12"/>
    <x v="15"/>
    <x v="12"/>
    <x v="42"/>
    <x v="56"/>
    <x v="1"/>
    <x v="46"/>
    <x v="3"/>
    <x v="0"/>
  </r>
  <r>
    <x v="180"/>
    <x v="0"/>
    <x v="13"/>
    <x v="19"/>
    <x v="8"/>
    <x v="21"/>
    <x v="19"/>
    <x v="19"/>
    <x v="34"/>
    <x v="22"/>
    <x v="24"/>
    <x v="0"/>
    <x v="19"/>
    <x v="8"/>
    <x v="19"/>
    <x v="41"/>
    <x v="35"/>
    <x v="1"/>
    <x v="45"/>
    <x v="0"/>
    <x v="0"/>
  </r>
  <r>
    <x v="180"/>
    <x v="0"/>
    <x v="13"/>
    <x v="20"/>
    <x v="2"/>
    <x v="20"/>
    <x v="18"/>
    <x v="20"/>
    <x v="31"/>
    <x v="23"/>
    <x v="13"/>
    <x v="0"/>
    <x v="20"/>
    <x v="2"/>
    <x v="20"/>
    <x v="41"/>
    <x v="33"/>
    <x v="1"/>
    <x v="45"/>
    <x v="2"/>
    <x v="2"/>
  </r>
  <r>
    <x v="180"/>
    <x v="0"/>
    <x v="13"/>
    <x v="22"/>
    <x v="10"/>
    <x v="25"/>
    <x v="18"/>
    <x v="22"/>
    <x v="17"/>
    <x v="25"/>
    <x v="26"/>
    <x v="0"/>
    <x v="22"/>
    <x v="10"/>
    <x v="22"/>
    <x v="46"/>
    <x v="38"/>
    <x v="1"/>
    <x v="50"/>
    <x v="3"/>
    <x v="0"/>
  </r>
  <r>
    <x v="180"/>
    <x v="0"/>
    <x v="13"/>
    <x v="25"/>
    <x v="1"/>
    <x v="28"/>
    <x v="15"/>
    <x v="25"/>
    <x v="34"/>
    <x v="20"/>
    <x v="18"/>
    <x v="0"/>
    <x v="25"/>
    <x v="1"/>
    <x v="25"/>
    <x v="52"/>
    <x v="38"/>
    <x v="1"/>
    <x v="56"/>
    <x v="0"/>
    <x v="0"/>
  </r>
  <r>
    <x v="180"/>
    <x v="0"/>
    <x v="13"/>
    <x v="26"/>
    <x v="7"/>
    <x v="25"/>
    <x v="8"/>
    <x v="27"/>
    <x v="9"/>
    <x v="9"/>
    <x v="15"/>
    <x v="0"/>
    <x v="26"/>
    <x v="7"/>
    <x v="26"/>
    <x v="56"/>
    <x v="28"/>
    <x v="1"/>
    <x v="60"/>
    <x v="0"/>
    <x v="0"/>
  </r>
  <r>
    <x v="180"/>
    <x v="0"/>
    <x v="13"/>
    <x v="28"/>
    <x v="24"/>
    <x v="14"/>
    <x v="7"/>
    <x v="29"/>
    <x v="23"/>
    <x v="16"/>
    <x v="3"/>
    <x v="0"/>
    <x v="28"/>
    <x v="24"/>
    <x v="28"/>
    <x v="46"/>
    <x v="16"/>
    <x v="1"/>
    <x v="50"/>
    <x v="0"/>
    <x v="2"/>
  </r>
  <r>
    <x v="180"/>
    <x v="0"/>
    <x v="13"/>
    <x v="30"/>
    <x v="27"/>
    <x v="17"/>
    <x v="15"/>
    <x v="16"/>
    <x v="20"/>
    <x v="24"/>
    <x v="6"/>
    <x v="0"/>
    <x v="17"/>
    <x v="16"/>
    <x v="17"/>
    <x v="41"/>
    <x v="27"/>
    <x v="0"/>
    <x v="39"/>
    <x v="3"/>
    <x v="2"/>
  </r>
  <r>
    <x v="180"/>
    <x v="0"/>
    <x v="13"/>
    <x v="31"/>
    <x v="21"/>
    <x v="3"/>
    <x v="29"/>
    <x v="21"/>
    <x v="26"/>
    <x v="22"/>
    <x v="34"/>
    <x v="0"/>
    <x v="29"/>
    <x v="21"/>
    <x v="21"/>
    <x v="13"/>
    <x v="27"/>
    <x v="0"/>
    <x v="67"/>
    <x v="0"/>
    <x v="2"/>
  </r>
  <r>
    <x v="180"/>
    <x v="0"/>
    <x v="13"/>
    <x v="33"/>
    <x v="13"/>
    <x v="21"/>
    <x v="25"/>
    <x v="13"/>
    <x v="31"/>
    <x v="24"/>
    <x v="9"/>
    <x v="0"/>
    <x v="31"/>
    <x v="13"/>
    <x v="13"/>
    <x v="35"/>
    <x v="41"/>
    <x v="0"/>
    <x v="45"/>
    <x v="2"/>
    <x v="0"/>
  </r>
  <r>
    <x v="184"/>
    <x v="0"/>
    <x v="13"/>
    <x v="14"/>
    <x v="32"/>
    <x v="2"/>
    <x v="28"/>
    <x v="31"/>
    <x v="31"/>
    <x v="21"/>
    <x v="8"/>
    <x v="0"/>
    <x v="14"/>
    <x v="30"/>
    <x v="30"/>
    <x v="11"/>
    <x v="23"/>
    <x v="0"/>
    <x v="69"/>
    <x v="0"/>
    <x v="2"/>
  </r>
  <r>
    <x v="202"/>
    <x v="0"/>
    <x v="14"/>
    <x v="1"/>
    <x v="6"/>
    <x v="36"/>
    <x v="30"/>
    <x v="1"/>
    <x v="30"/>
    <x v="20"/>
    <x v="12"/>
    <x v="0"/>
    <x v="1"/>
    <x v="6"/>
    <x v="1"/>
    <x v="45"/>
    <x v="61"/>
    <x v="1"/>
    <x v="49"/>
    <x v="0"/>
    <x v="0"/>
  </r>
  <r>
    <x v="202"/>
    <x v="0"/>
    <x v="14"/>
    <x v="2"/>
    <x v="3"/>
    <x v="34"/>
    <x v="32"/>
    <x v="2"/>
    <x v="12"/>
    <x v="14"/>
    <x v="23"/>
    <x v="0"/>
    <x v="2"/>
    <x v="3"/>
    <x v="2"/>
    <x v="41"/>
    <x v="61"/>
    <x v="1"/>
    <x v="45"/>
    <x v="3"/>
    <x v="0"/>
  </r>
  <r>
    <x v="202"/>
    <x v="0"/>
    <x v="14"/>
    <x v="4"/>
    <x v="28"/>
    <x v="20"/>
    <x v="18"/>
    <x v="29"/>
    <x v="32"/>
    <x v="5"/>
    <x v="2"/>
    <x v="0"/>
    <x v="4"/>
    <x v="28"/>
    <x v="4"/>
    <x v="41"/>
    <x v="33"/>
    <x v="0"/>
    <x v="39"/>
    <x v="3"/>
    <x v="0"/>
  </r>
  <r>
    <x v="202"/>
    <x v="0"/>
    <x v="14"/>
    <x v="5"/>
    <x v="33"/>
    <x v="11"/>
    <x v="15"/>
    <x v="5"/>
    <x v="31"/>
    <x v="14"/>
    <x v="37"/>
    <x v="0"/>
    <x v="5"/>
    <x v="31"/>
    <x v="32"/>
    <x v="35"/>
    <x v="21"/>
    <x v="1"/>
    <x v="39"/>
    <x v="3"/>
    <x v="2"/>
  </r>
  <r>
    <x v="202"/>
    <x v="0"/>
    <x v="14"/>
    <x v="9"/>
    <x v="24"/>
    <x v="11"/>
    <x v="51"/>
    <x v="9"/>
    <x v="23"/>
    <x v="20"/>
    <x v="38"/>
    <x v="0"/>
    <x v="9"/>
    <x v="24"/>
    <x v="24"/>
    <x v="0"/>
    <x v="63"/>
    <x v="1"/>
    <x v="1"/>
    <x v="3"/>
    <x v="0"/>
  </r>
  <r>
    <x v="202"/>
    <x v="0"/>
    <x v="14"/>
    <x v="11"/>
    <x v="19"/>
    <x v="25"/>
    <x v="22"/>
    <x v="11"/>
    <x v="32"/>
    <x v="23"/>
    <x v="16"/>
    <x v="0"/>
    <x v="11"/>
    <x v="19"/>
    <x v="11"/>
    <x v="42"/>
    <x v="42"/>
    <x v="1"/>
    <x v="46"/>
    <x v="0"/>
    <x v="0"/>
  </r>
  <r>
    <x v="202"/>
    <x v="0"/>
    <x v="14"/>
    <x v="15"/>
    <x v="14"/>
    <x v="39"/>
    <x v="18"/>
    <x v="15"/>
    <x v="19"/>
    <x v="12"/>
    <x v="0"/>
    <x v="0"/>
    <x v="15"/>
    <x v="14"/>
    <x v="15"/>
    <x v="60"/>
    <x v="52"/>
    <x v="1"/>
    <x v="64"/>
    <x v="0"/>
    <x v="0"/>
  </r>
  <r>
    <x v="202"/>
    <x v="0"/>
    <x v="14"/>
    <x v="18"/>
    <x v="26"/>
    <x v="19"/>
    <x v="21"/>
    <x v="27"/>
    <x v="31"/>
    <x v="15"/>
    <x v="40"/>
    <x v="0"/>
    <x v="18"/>
    <x v="26"/>
    <x v="26"/>
    <x v="37"/>
    <x v="35"/>
    <x v="0"/>
    <x v="43"/>
    <x v="3"/>
    <x v="0"/>
  </r>
  <r>
    <x v="202"/>
    <x v="0"/>
    <x v="14"/>
    <x v="21"/>
    <x v="7"/>
    <x v="14"/>
    <x v="28"/>
    <x v="21"/>
    <x v="12"/>
    <x v="22"/>
    <x v="20"/>
    <x v="0"/>
    <x v="21"/>
    <x v="7"/>
    <x v="7"/>
    <x v="25"/>
    <x v="37"/>
    <x v="1"/>
    <x v="29"/>
    <x v="3"/>
    <x v="0"/>
  </r>
  <r>
    <x v="202"/>
    <x v="0"/>
    <x v="14"/>
    <x v="27"/>
    <x v="20"/>
    <x v="17"/>
    <x v="21"/>
    <x v="16"/>
    <x v="34"/>
    <x v="33"/>
    <x v="32"/>
    <x v="0"/>
    <x v="16"/>
    <x v="20"/>
    <x v="20"/>
    <x v="35"/>
    <x v="33"/>
    <x v="1"/>
    <x v="39"/>
    <x v="3"/>
    <x v="2"/>
  </r>
  <r>
    <x v="202"/>
    <x v="0"/>
    <x v="14"/>
    <x v="29"/>
    <x v="0"/>
    <x v="19"/>
    <x v="8"/>
    <x v="28"/>
    <x v="24"/>
    <x v="15"/>
    <x v="4"/>
    <x v="0"/>
    <x v="27"/>
    <x v="0"/>
    <x v="27"/>
    <x v="50"/>
    <x v="22"/>
    <x v="1"/>
    <x v="54"/>
    <x v="0"/>
    <x v="2"/>
  </r>
  <r>
    <x v="202"/>
    <x v="0"/>
    <x v="14"/>
    <x v="31"/>
    <x v="30"/>
    <x v="15"/>
    <x v="15"/>
    <x v="30"/>
    <x v="31"/>
    <x v="12"/>
    <x v="34"/>
    <x v="0"/>
    <x v="29"/>
    <x v="17"/>
    <x v="29"/>
    <x v="39"/>
    <x v="25"/>
    <x v="1"/>
    <x v="43"/>
    <x v="3"/>
    <x v="2"/>
  </r>
  <r>
    <x v="202"/>
    <x v="0"/>
    <x v="14"/>
    <x v="32"/>
    <x v="25"/>
    <x v="34"/>
    <x v="17"/>
    <x v="31"/>
    <x v="31"/>
    <x v="18"/>
    <x v="28"/>
    <x v="0"/>
    <x v="30"/>
    <x v="25"/>
    <x v="30"/>
    <x v="56"/>
    <x v="46"/>
    <x v="1"/>
    <x v="60"/>
    <x v="0"/>
    <x v="0"/>
  </r>
  <r>
    <x v="206"/>
    <x v="0"/>
    <x v="14"/>
    <x v="8"/>
    <x v="22"/>
    <x v="32"/>
    <x v="39"/>
    <x v="8"/>
    <x v="30"/>
    <x v="25"/>
    <x v="5"/>
    <x v="0"/>
    <x v="8"/>
    <x v="22"/>
    <x v="22"/>
    <x v="32"/>
    <x v="66"/>
    <x v="1"/>
    <x v="36"/>
    <x v="3"/>
    <x v="0"/>
  </r>
  <r>
    <x v="224"/>
    <x v="0"/>
    <x v="15"/>
    <x v="0"/>
    <x v="31"/>
    <x v="32"/>
    <x v="36"/>
    <x v="0"/>
    <x v="31"/>
    <x v="10"/>
    <x v="44"/>
    <x v="0"/>
    <x v="0"/>
    <x v="29"/>
    <x v="29"/>
    <x v="35"/>
    <x v="63"/>
    <x v="1"/>
    <x v="39"/>
    <x v="3"/>
    <x v="0"/>
  </r>
  <r>
    <x v="224"/>
    <x v="0"/>
    <x v="15"/>
    <x v="6"/>
    <x v="18"/>
    <x v="11"/>
    <x v="20"/>
    <x v="6"/>
    <x v="35"/>
    <x v="22"/>
    <x v="31"/>
    <x v="0"/>
    <x v="6"/>
    <x v="18"/>
    <x v="18"/>
    <x v="30"/>
    <x v="26"/>
    <x v="1"/>
    <x v="34"/>
    <x v="3"/>
    <x v="2"/>
  </r>
  <r>
    <x v="224"/>
    <x v="0"/>
    <x v="15"/>
    <x v="8"/>
    <x v="14"/>
    <x v="14"/>
    <x v="33"/>
    <x v="8"/>
    <x v="24"/>
    <x v="22"/>
    <x v="5"/>
    <x v="0"/>
    <x v="8"/>
    <x v="14"/>
    <x v="14"/>
    <x v="20"/>
    <x v="42"/>
    <x v="1"/>
    <x v="24"/>
    <x v="3"/>
    <x v="0"/>
  </r>
  <r>
    <x v="224"/>
    <x v="0"/>
    <x v="15"/>
    <x v="10"/>
    <x v="33"/>
    <x v="34"/>
    <x v="23"/>
    <x v="10"/>
    <x v="31"/>
    <x v="24"/>
    <x v="11"/>
    <x v="0"/>
    <x v="10"/>
    <x v="31"/>
    <x v="10"/>
    <x v="50"/>
    <x v="52"/>
    <x v="1"/>
    <x v="54"/>
    <x v="0"/>
    <x v="0"/>
  </r>
  <r>
    <x v="224"/>
    <x v="0"/>
    <x v="15"/>
    <x v="15"/>
    <x v="3"/>
    <x v="10"/>
    <x v="8"/>
    <x v="15"/>
    <x v="23"/>
    <x v="26"/>
    <x v="0"/>
    <x v="0"/>
    <x v="15"/>
    <x v="3"/>
    <x v="15"/>
    <x v="41"/>
    <x v="13"/>
    <x v="1"/>
    <x v="45"/>
    <x v="3"/>
    <x v="2"/>
  </r>
  <r>
    <x v="224"/>
    <x v="0"/>
    <x v="15"/>
    <x v="20"/>
    <x v="19"/>
    <x v="25"/>
    <x v="16"/>
    <x v="20"/>
    <x v="26"/>
    <x v="24"/>
    <x v="13"/>
    <x v="0"/>
    <x v="20"/>
    <x v="19"/>
    <x v="20"/>
    <x v="48"/>
    <x v="36"/>
    <x v="1"/>
    <x v="52"/>
    <x v="0"/>
    <x v="0"/>
  </r>
  <r>
    <x v="224"/>
    <x v="0"/>
    <x v="15"/>
    <x v="21"/>
    <x v="26"/>
    <x v="17"/>
    <x v="8"/>
    <x v="21"/>
    <x v="35"/>
    <x v="25"/>
    <x v="20"/>
    <x v="0"/>
    <x v="21"/>
    <x v="26"/>
    <x v="21"/>
    <x v="48"/>
    <x v="20"/>
    <x v="1"/>
    <x v="52"/>
    <x v="0"/>
    <x v="2"/>
  </r>
  <r>
    <x v="224"/>
    <x v="0"/>
    <x v="15"/>
    <x v="23"/>
    <x v="11"/>
    <x v="0"/>
    <x v="7"/>
    <x v="23"/>
    <x v="25"/>
    <x v="18"/>
    <x v="26"/>
    <x v="0"/>
    <x v="23"/>
    <x v="11"/>
    <x v="11"/>
    <x v="29"/>
    <x v="1"/>
    <x v="1"/>
    <x v="33"/>
    <x v="3"/>
    <x v="2"/>
  </r>
  <r>
    <x v="224"/>
    <x v="0"/>
    <x v="15"/>
    <x v="24"/>
    <x v="29"/>
    <x v="30"/>
    <x v="2"/>
    <x v="24"/>
    <x v="33"/>
    <x v="15"/>
    <x v="30"/>
    <x v="0"/>
    <x v="24"/>
    <x v="27"/>
    <x v="24"/>
    <x v="68"/>
    <x v="26"/>
    <x v="1"/>
    <x v="72"/>
    <x v="0"/>
    <x v="2"/>
  </r>
  <r>
    <x v="224"/>
    <x v="0"/>
    <x v="15"/>
    <x v="27"/>
    <x v="32"/>
    <x v="30"/>
    <x v="23"/>
    <x v="16"/>
    <x v="25"/>
    <x v="24"/>
    <x v="32"/>
    <x v="0"/>
    <x v="16"/>
    <x v="30"/>
    <x v="16"/>
    <x v="46"/>
    <x v="48"/>
    <x v="1"/>
    <x v="50"/>
    <x v="0"/>
    <x v="0"/>
  </r>
  <r>
    <x v="224"/>
    <x v="0"/>
    <x v="15"/>
    <x v="28"/>
    <x v="9"/>
    <x v="21"/>
    <x v="14"/>
    <x v="29"/>
    <x v="32"/>
    <x v="17"/>
    <x v="45"/>
    <x v="0"/>
    <x v="28"/>
    <x v="9"/>
    <x v="28"/>
    <x v="46"/>
    <x v="30"/>
    <x v="1"/>
    <x v="50"/>
    <x v="0"/>
    <x v="2"/>
  </r>
  <r>
    <x v="224"/>
    <x v="0"/>
    <x v="15"/>
    <x v="30"/>
    <x v="4"/>
    <x v="17"/>
    <x v="8"/>
    <x v="17"/>
    <x v="32"/>
    <x v="8"/>
    <x v="6"/>
    <x v="0"/>
    <x v="17"/>
    <x v="4"/>
    <x v="17"/>
    <x v="48"/>
    <x v="20"/>
    <x v="1"/>
    <x v="52"/>
    <x v="0"/>
    <x v="2"/>
  </r>
  <r>
    <x v="228"/>
    <x v="0"/>
    <x v="15"/>
    <x v="13"/>
    <x v="12"/>
    <x v="27"/>
    <x v="15"/>
    <x v="13"/>
    <x v="26"/>
    <x v="36"/>
    <x v="22"/>
    <x v="0"/>
    <x v="13"/>
    <x v="12"/>
    <x v="13"/>
    <x v="51"/>
    <x v="37"/>
    <x v="1"/>
    <x v="55"/>
    <x v="0"/>
    <x v="2"/>
  </r>
  <r>
    <x v="246"/>
    <x v="0"/>
    <x v="16"/>
    <x v="1"/>
    <x v="31"/>
    <x v="24"/>
    <x v="19"/>
    <x v="1"/>
    <x v="19"/>
    <x v="25"/>
    <x v="12"/>
    <x v="0"/>
    <x v="1"/>
    <x v="29"/>
    <x v="1"/>
    <x v="44"/>
    <x v="38"/>
    <x v="1"/>
    <x v="48"/>
    <x v="3"/>
    <x v="0"/>
  </r>
  <r>
    <x v="246"/>
    <x v="0"/>
    <x v="16"/>
    <x v="2"/>
    <x v="18"/>
    <x v="23"/>
    <x v="8"/>
    <x v="2"/>
    <x v="27"/>
    <x v="16"/>
    <x v="23"/>
    <x v="0"/>
    <x v="2"/>
    <x v="18"/>
    <x v="2"/>
    <x v="54"/>
    <x v="26"/>
    <x v="1"/>
    <x v="58"/>
    <x v="0"/>
    <x v="2"/>
  </r>
  <r>
    <x v="246"/>
    <x v="0"/>
    <x v="16"/>
    <x v="3"/>
    <x v="5"/>
    <x v="16"/>
    <x v="20"/>
    <x v="5"/>
    <x v="31"/>
    <x v="17"/>
    <x v="36"/>
    <x v="0"/>
    <x v="3"/>
    <x v="5"/>
    <x v="5"/>
    <x v="35"/>
    <x v="31"/>
    <x v="0"/>
    <x v="45"/>
    <x v="2"/>
    <x v="2"/>
  </r>
  <r>
    <x v="246"/>
    <x v="0"/>
    <x v="16"/>
    <x v="4"/>
    <x v="21"/>
    <x v="2"/>
    <x v="32"/>
    <x v="21"/>
    <x v="24"/>
    <x v="15"/>
    <x v="2"/>
    <x v="0"/>
    <x v="4"/>
    <x v="21"/>
    <x v="21"/>
    <x v="7"/>
    <x v="27"/>
    <x v="0"/>
    <x v="73"/>
    <x v="0"/>
    <x v="2"/>
  </r>
  <r>
    <x v="246"/>
    <x v="0"/>
    <x v="16"/>
    <x v="7"/>
    <x v="20"/>
    <x v="31"/>
    <x v="12"/>
    <x v="20"/>
    <x v="29"/>
    <x v="21"/>
    <x v="10"/>
    <x v="0"/>
    <x v="7"/>
    <x v="20"/>
    <x v="7"/>
    <x v="58"/>
    <x v="38"/>
    <x v="0"/>
    <x v="22"/>
    <x v="3"/>
    <x v="0"/>
  </r>
  <r>
    <x v="246"/>
    <x v="0"/>
    <x v="16"/>
    <x v="10"/>
    <x v="23"/>
    <x v="17"/>
    <x v="21"/>
    <x v="23"/>
    <x v="26"/>
    <x v="18"/>
    <x v="11"/>
    <x v="0"/>
    <x v="10"/>
    <x v="23"/>
    <x v="23"/>
    <x v="35"/>
    <x v="33"/>
    <x v="0"/>
    <x v="45"/>
    <x v="3"/>
    <x v="0"/>
  </r>
  <r>
    <x v="246"/>
    <x v="0"/>
    <x v="16"/>
    <x v="11"/>
    <x v="8"/>
    <x v="42"/>
    <x v="5"/>
    <x v="11"/>
    <x v="23"/>
    <x v="25"/>
    <x v="16"/>
    <x v="0"/>
    <x v="11"/>
    <x v="8"/>
    <x v="11"/>
    <x v="75"/>
    <x v="42"/>
    <x v="1"/>
    <x v="79"/>
    <x v="0"/>
    <x v="0"/>
  </r>
  <r>
    <x v="246"/>
    <x v="0"/>
    <x v="16"/>
    <x v="12"/>
    <x v="27"/>
    <x v="20"/>
    <x v="27"/>
    <x v="16"/>
    <x v="31"/>
    <x v="33"/>
    <x v="35"/>
    <x v="0"/>
    <x v="12"/>
    <x v="16"/>
    <x v="16"/>
    <x v="32"/>
    <x v="42"/>
    <x v="0"/>
    <x v="48"/>
    <x v="0"/>
    <x v="0"/>
  </r>
  <r>
    <x v="246"/>
    <x v="0"/>
    <x v="16"/>
    <x v="19"/>
    <x v="0"/>
    <x v="24"/>
    <x v="22"/>
    <x v="19"/>
    <x v="22"/>
    <x v="19"/>
    <x v="24"/>
    <x v="0"/>
    <x v="19"/>
    <x v="0"/>
    <x v="19"/>
    <x v="41"/>
    <x v="41"/>
    <x v="1"/>
    <x v="45"/>
    <x v="3"/>
    <x v="0"/>
  </r>
  <r>
    <x v="246"/>
    <x v="0"/>
    <x v="16"/>
    <x v="24"/>
    <x v="15"/>
    <x v="20"/>
    <x v="18"/>
    <x v="26"/>
    <x v="36"/>
    <x v="16"/>
    <x v="30"/>
    <x v="0"/>
    <x v="24"/>
    <x v="15"/>
    <x v="24"/>
    <x v="41"/>
    <x v="33"/>
    <x v="2"/>
    <x v="88"/>
    <x v="1"/>
    <x v="0"/>
  </r>
  <r>
    <x v="246"/>
    <x v="0"/>
    <x v="16"/>
    <x v="25"/>
    <x v="13"/>
    <x v="23"/>
    <x v="22"/>
    <x v="25"/>
    <x v="31"/>
    <x v="28"/>
    <x v="18"/>
    <x v="0"/>
    <x v="25"/>
    <x v="13"/>
    <x v="25"/>
    <x v="40"/>
    <x v="40"/>
    <x v="1"/>
    <x v="44"/>
    <x v="3"/>
    <x v="0"/>
  </r>
  <r>
    <x v="246"/>
    <x v="0"/>
    <x v="16"/>
    <x v="29"/>
    <x v="22"/>
    <x v="4"/>
    <x v="39"/>
    <x v="22"/>
    <x v="22"/>
    <x v="15"/>
    <x v="4"/>
    <x v="0"/>
    <x v="27"/>
    <x v="22"/>
    <x v="22"/>
    <x v="4"/>
    <x v="38"/>
    <x v="0"/>
    <x v="76"/>
    <x v="0"/>
    <x v="0"/>
  </r>
  <r>
    <x v="250"/>
    <x v="0"/>
    <x v="16"/>
    <x v="6"/>
    <x v="26"/>
    <x v="18"/>
    <x v="25"/>
    <x v="27"/>
    <x v="26"/>
    <x v="17"/>
    <x v="31"/>
    <x v="0"/>
    <x v="6"/>
    <x v="26"/>
    <x v="26"/>
    <x v="32"/>
    <x v="38"/>
    <x v="0"/>
    <x v="48"/>
    <x v="0"/>
    <x v="0"/>
  </r>
  <r>
    <x v="260"/>
    <x v="0"/>
    <x v="1"/>
    <x v="1"/>
    <x v="2"/>
    <x v="23"/>
    <x v="19"/>
    <x v="1"/>
    <x v="35"/>
    <x v="22"/>
    <x v="12"/>
    <x v="0"/>
    <x v="1"/>
    <x v="2"/>
    <x v="1"/>
    <x v="43"/>
    <x v="37"/>
    <x v="1"/>
    <x v="47"/>
    <x v="0"/>
    <x v="0"/>
  </r>
  <r>
    <x v="270"/>
    <x v="0"/>
    <x v="1"/>
    <x v="0"/>
    <x v="29"/>
    <x v="15"/>
    <x v="34"/>
    <x v="0"/>
    <x v="29"/>
    <x v="17"/>
    <x v="44"/>
    <x v="0"/>
    <x v="0"/>
    <x v="27"/>
    <x v="27"/>
    <x v="20"/>
    <x v="44"/>
    <x v="1"/>
    <x v="24"/>
    <x v="3"/>
    <x v="0"/>
  </r>
  <r>
    <x v="270"/>
    <x v="0"/>
    <x v="1"/>
    <x v="3"/>
    <x v="10"/>
    <x v="11"/>
    <x v="10"/>
    <x v="3"/>
    <x v="34"/>
    <x v="24"/>
    <x v="33"/>
    <x v="0"/>
    <x v="3"/>
    <x v="10"/>
    <x v="3"/>
    <x v="40"/>
    <x v="16"/>
    <x v="1"/>
    <x v="44"/>
    <x v="0"/>
    <x v="2"/>
  </r>
  <r>
    <x v="270"/>
    <x v="0"/>
    <x v="1"/>
    <x v="5"/>
    <x v="19"/>
    <x v="24"/>
    <x v="11"/>
    <x v="19"/>
    <x v="35"/>
    <x v="17"/>
    <x v="37"/>
    <x v="0"/>
    <x v="5"/>
    <x v="19"/>
    <x v="5"/>
    <x v="52"/>
    <x v="30"/>
    <x v="0"/>
    <x v="28"/>
    <x v="3"/>
    <x v="2"/>
  </r>
  <r>
    <x v="270"/>
    <x v="0"/>
    <x v="1"/>
    <x v="7"/>
    <x v="23"/>
    <x v="17"/>
    <x v="24"/>
    <x v="23"/>
    <x v="30"/>
    <x v="8"/>
    <x v="10"/>
    <x v="0"/>
    <x v="7"/>
    <x v="23"/>
    <x v="23"/>
    <x v="32"/>
    <x v="36"/>
    <x v="0"/>
    <x v="48"/>
    <x v="0"/>
    <x v="0"/>
  </r>
  <r>
    <x v="270"/>
    <x v="0"/>
    <x v="1"/>
    <x v="9"/>
    <x v="15"/>
    <x v="46"/>
    <x v="27"/>
    <x v="15"/>
    <x v="35"/>
    <x v="23"/>
    <x v="38"/>
    <x v="0"/>
    <x v="9"/>
    <x v="15"/>
    <x v="9"/>
    <x v="58"/>
    <x v="68"/>
    <x v="0"/>
    <x v="22"/>
    <x v="3"/>
    <x v="0"/>
  </r>
  <r>
    <x v="270"/>
    <x v="0"/>
    <x v="1"/>
    <x v="13"/>
    <x v="6"/>
    <x v="20"/>
    <x v="15"/>
    <x v="13"/>
    <x v="23"/>
    <x v="28"/>
    <x v="22"/>
    <x v="0"/>
    <x v="13"/>
    <x v="6"/>
    <x v="13"/>
    <x v="44"/>
    <x v="30"/>
    <x v="1"/>
    <x v="48"/>
    <x v="3"/>
    <x v="2"/>
  </r>
  <r>
    <x v="270"/>
    <x v="0"/>
    <x v="1"/>
    <x v="14"/>
    <x v="12"/>
    <x v="28"/>
    <x v="22"/>
    <x v="26"/>
    <x v="36"/>
    <x v="31"/>
    <x v="8"/>
    <x v="0"/>
    <x v="14"/>
    <x v="12"/>
    <x v="14"/>
    <x v="45"/>
    <x v="45"/>
    <x v="2"/>
    <x v="88"/>
    <x v="1"/>
    <x v="0"/>
  </r>
  <r>
    <x v="270"/>
    <x v="0"/>
    <x v="1"/>
    <x v="18"/>
    <x v="32"/>
    <x v="26"/>
    <x v="15"/>
    <x v="18"/>
    <x v="35"/>
    <x v="20"/>
    <x v="40"/>
    <x v="0"/>
    <x v="18"/>
    <x v="30"/>
    <x v="18"/>
    <x v="50"/>
    <x v="36"/>
    <x v="1"/>
    <x v="54"/>
    <x v="0"/>
    <x v="0"/>
  </r>
  <r>
    <x v="270"/>
    <x v="0"/>
    <x v="1"/>
    <x v="22"/>
    <x v="8"/>
    <x v="17"/>
    <x v="31"/>
    <x v="22"/>
    <x v="12"/>
    <x v="27"/>
    <x v="26"/>
    <x v="0"/>
    <x v="22"/>
    <x v="8"/>
    <x v="8"/>
    <x v="25"/>
    <x v="43"/>
    <x v="1"/>
    <x v="29"/>
    <x v="3"/>
    <x v="0"/>
  </r>
  <r>
    <x v="270"/>
    <x v="0"/>
    <x v="1"/>
    <x v="26"/>
    <x v="20"/>
    <x v="23"/>
    <x v="37"/>
    <x v="27"/>
    <x v="28"/>
    <x v="24"/>
    <x v="15"/>
    <x v="0"/>
    <x v="26"/>
    <x v="20"/>
    <x v="20"/>
    <x v="25"/>
    <x v="55"/>
    <x v="1"/>
    <x v="29"/>
    <x v="3"/>
    <x v="0"/>
  </r>
  <r>
    <x v="270"/>
    <x v="0"/>
    <x v="1"/>
    <x v="28"/>
    <x v="30"/>
    <x v="20"/>
    <x v="18"/>
    <x v="29"/>
    <x v="28"/>
    <x v="12"/>
    <x v="3"/>
    <x v="0"/>
    <x v="28"/>
    <x v="17"/>
    <x v="28"/>
    <x v="41"/>
    <x v="33"/>
    <x v="1"/>
    <x v="45"/>
    <x v="3"/>
    <x v="0"/>
  </r>
  <r>
    <x v="270"/>
    <x v="0"/>
    <x v="1"/>
    <x v="31"/>
    <x v="4"/>
    <x v="28"/>
    <x v="14"/>
    <x v="30"/>
    <x v="23"/>
    <x v="8"/>
    <x v="34"/>
    <x v="0"/>
    <x v="29"/>
    <x v="4"/>
    <x v="29"/>
    <x v="53"/>
    <x v="37"/>
    <x v="1"/>
    <x v="57"/>
    <x v="0"/>
    <x v="0"/>
  </r>
  <r>
    <x v="274"/>
    <x v="0"/>
    <x v="1"/>
    <x v="33"/>
    <x v="25"/>
    <x v="25"/>
    <x v="51"/>
    <x v="25"/>
    <x v="30"/>
    <x v="21"/>
    <x v="9"/>
    <x v="0"/>
    <x v="31"/>
    <x v="25"/>
    <x v="25"/>
    <x v="7"/>
    <x v="77"/>
    <x v="0"/>
    <x v="73"/>
    <x v="0"/>
    <x v="0"/>
  </r>
  <r>
    <x v="284"/>
    <x v="0"/>
    <x v="2"/>
    <x v="18"/>
    <x v="5"/>
    <x v="0"/>
    <x v="14"/>
    <x v="18"/>
    <x v="33"/>
    <x v="14"/>
    <x v="40"/>
    <x v="0"/>
    <x v="18"/>
    <x v="5"/>
    <x v="5"/>
    <x v="22"/>
    <x v="6"/>
    <x v="1"/>
    <x v="26"/>
    <x v="3"/>
    <x v="2"/>
  </r>
  <r>
    <x v="294"/>
    <x v="0"/>
    <x v="2"/>
    <x v="4"/>
    <x v="2"/>
    <x v="10"/>
    <x v="35"/>
    <x v="2"/>
    <x v="10"/>
    <x v="8"/>
    <x v="2"/>
    <x v="0"/>
    <x v="4"/>
    <x v="2"/>
    <x v="2"/>
    <x v="14"/>
    <x v="40"/>
    <x v="0"/>
    <x v="66"/>
    <x v="0"/>
    <x v="0"/>
  </r>
  <r>
    <x v="294"/>
    <x v="0"/>
    <x v="2"/>
    <x v="6"/>
    <x v="3"/>
    <x v="28"/>
    <x v="46"/>
    <x v="6"/>
    <x v="29"/>
    <x v="16"/>
    <x v="31"/>
    <x v="0"/>
    <x v="6"/>
    <x v="3"/>
    <x v="3"/>
    <x v="20"/>
    <x v="70"/>
    <x v="1"/>
    <x v="24"/>
    <x v="3"/>
    <x v="0"/>
  </r>
  <r>
    <x v="294"/>
    <x v="0"/>
    <x v="2"/>
    <x v="8"/>
    <x v="10"/>
    <x v="32"/>
    <x v="17"/>
    <x v="8"/>
    <x v="23"/>
    <x v="23"/>
    <x v="5"/>
    <x v="0"/>
    <x v="8"/>
    <x v="10"/>
    <x v="8"/>
    <x v="54"/>
    <x v="44"/>
    <x v="1"/>
    <x v="58"/>
    <x v="0"/>
    <x v="0"/>
  </r>
  <r>
    <x v="294"/>
    <x v="0"/>
    <x v="2"/>
    <x v="14"/>
    <x v="7"/>
    <x v="21"/>
    <x v="18"/>
    <x v="14"/>
    <x v="32"/>
    <x v="20"/>
    <x v="8"/>
    <x v="0"/>
    <x v="14"/>
    <x v="7"/>
    <x v="14"/>
    <x v="42"/>
    <x v="34"/>
    <x v="1"/>
    <x v="46"/>
    <x v="0"/>
    <x v="0"/>
  </r>
  <r>
    <x v="294"/>
    <x v="0"/>
    <x v="2"/>
    <x v="15"/>
    <x v="0"/>
    <x v="28"/>
    <x v="11"/>
    <x v="15"/>
    <x v="23"/>
    <x v="24"/>
    <x v="0"/>
    <x v="0"/>
    <x v="15"/>
    <x v="0"/>
    <x v="15"/>
    <x v="56"/>
    <x v="34"/>
    <x v="1"/>
    <x v="60"/>
    <x v="0"/>
    <x v="2"/>
  </r>
  <r>
    <x v="294"/>
    <x v="0"/>
    <x v="2"/>
    <x v="19"/>
    <x v="11"/>
    <x v="2"/>
    <x v="29"/>
    <x v="11"/>
    <x v="31"/>
    <x v="24"/>
    <x v="24"/>
    <x v="0"/>
    <x v="19"/>
    <x v="11"/>
    <x v="11"/>
    <x v="10"/>
    <x v="24"/>
    <x v="0"/>
    <x v="70"/>
    <x v="0"/>
    <x v="2"/>
  </r>
  <r>
    <x v="294"/>
    <x v="0"/>
    <x v="2"/>
    <x v="20"/>
    <x v="13"/>
    <x v="28"/>
    <x v="26"/>
    <x v="20"/>
    <x v="28"/>
    <x v="34"/>
    <x v="13"/>
    <x v="0"/>
    <x v="20"/>
    <x v="13"/>
    <x v="20"/>
    <x v="41"/>
    <x v="49"/>
    <x v="1"/>
    <x v="45"/>
    <x v="3"/>
    <x v="0"/>
  </r>
  <r>
    <x v="294"/>
    <x v="0"/>
    <x v="2"/>
    <x v="21"/>
    <x v="29"/>
    <x v="31"/>
    <x v="17"/>
    <x v="21"/>
    <x v="15"/>
    <x v="24"/>
    <x v="20"/>
    <x v="0"/>
    <x v="21"/>
    <x v="27"/>
    <x v="21"/>
    <x v="53"/>
    <x v="43"/>
    <x v="1"/>
    <x v="57"/>
    <x v="0"/>
    <x v="0"/>
  </r>
  <r>
    <x v="294"/>
    <x v="0"/>
    <x v="2"/>
    <x v="23"/>
    <x v="12"/>
    <x v="27"/>
    <x v="25"/>
    <x v="23"/>
    <x v="24"/>
    <x v="26"/>
    <x v="26"/>
    <x v="0"/>
    <x v="23"/>
    <x v="12"/>
    <x v="23"/>
    <x v="41"/>
    <x v="47"/>
    <x v="1"/>
    <x v="45"/>
    <x v="3"/>
    <x v="0"/>
  </r>
  <r>
    <x v="294"/>
    <x v="0"/>
    <x v="2"/>
    <x v="25"/>
    <x v="22"/>
    <x v="24"/>
    <x v="15"/>
    <x v="25"/>
    <x v="30"/>
    <x v="30"/>
    <x v="18"/>
    <x v="0"/>
    <x v="25"/>
    <x v="22"/>
    <x v="25"/>
    <x v="48"/>
    <x v="34"/>
    <x v="1"/>
    <x v="52"/>
    <x v="0"/>
    <x v="2"/>
  </r>
  <r>
    <x v="294"/>
    <x v="0"/>
    <x v="2"/>
    <x v="26"/>
    <x v="24"/>
    <x v="32"/>
    <x v="2"/>
    <x v="27"/>
    <x v="23"/>
    <x v="16"/>
    <x v="15"/>
    <x v="0"/>
    <x v="26"/>
    <x v="24"/>
    <x v="26"/>
    <x v="70"/>
    <x v="28"/>
    <x v="1"/>
    <x v="74"/>
    <x v="0"/>
    <x v="2"/>
  </r>
  <r>
    <x v="294"/>
    <x v="0"/>
    <x v="2"/>
    <x v="28"/>
    <x v="31"/>
    <x v="0"/>
    <x v="19"/>
    <x v="29"/>
    <x v="30"/>
    <x v="17"/>
    <x v="3"/>
    <x v="0"/>
    <x v="28"/>
    <x v="29"/>
    <x v="29"/>
    <x v="17"/>
    <x v="11"/>
    <x v="1"/>
    <x v="21"/>
    <x v="3"/>
    <x v="2"/>
  </r>
  <r>
    <x v="294"/>
    <x v="0"/>
    <x v="2"/>
    <x v="30"/>
    <x v="1"/>
    <x v="14"/>
    <x v="32"/>
    <x v="1"/>
    <x v="30"/>
    <x v="21"/>
    <x v="6"/>
    <x v="0"/>
    <x v="17"/>
    <x v="1"/>
    <x v="1"/>
    <x v="21"/>
    <x v="41"/>
    <x v="0"/>
    <x v="59"/>
    <x v="0"/>
    <x v="0"/>
  </r>
  <r>
    <x v="294"/>
    <x v="0"/>
    <x v="2"/>
    <x v="32"/>
    <x v="33"/>
    <x v="13"/>
    <x v="17"/>
    <x v="31"/>
    <x v="23"/>
    <x v="23"/>
    <x v="28"/>
    <x v="0"/>
    <x v="30"/>
    <x v="31"/>
    <x v="32"/>
    <x v="35"/>
    <x v="25"/>
    <x v="1"/>
    <x v="39"/>
    <x v="3"/>
    <x v="2"/>
  </r>
  <r>
    <x v="298"/>
    <x v="0"/>
    <x v="2"/>
    <x v="27"/>
    <x v="9"/>
    <x v="32"/>
    <x v="12"/>
    <x v="16"/>
    <x v="19"/>
    <x v="34"/>
    <x v="32"/>
    <x v="0"/>
    <x v="16"/>
    <x v="9"/>
    <x v="16"/>
    <x v="59"/>
    <x v="39"/>
    <x v="1"/>
    <x v="63"/>
    <x v="0"/>
    <x v="2"/>
  </r>
  <r>
    <x v="308"/>
    <x v="0"/>
    <x v="3"/>
    <x v="8"/>
    <x v="21"/>
    <x v="24"/>
    <x v="28"/>
    <x v="21"/>
    <x v="28"/>
    <x v="32"/>
    <x v="5"/>
    <x v="0"/>
    <x v="8"/>
    <x v="21"/>
    <x v="21"/>
    <x v="35"/>
    <x v="47"/>
    <x v="0"/>
    <x v="45"/>
    <x v="3"/>
    <x v="0"/>
  </r>
  <r>
    <x v="308"/>
    <x v="0"/>
    <x v="3"/>
    <x v="10"/>
    <x v="20"/>
    <x v="21"/>
    <x v="43"/>
    <x v="20"/>
    <x v="22"/>
    <x v="35"/>
    <x v="11"/>
    <x v="0"/>
    <x v="10"/>
    <x v="20"/>
    <x v="20"/>
    <x v="17"/>
    <x v="59"/>
    <x v="0"/>
    <x v="63"/>
    <x v="0"/>
    <x v="0"/>
  </r>
  <r>
    <x v="308"/>
    <x v="0"/>
    <x v="3"/>
    <x v="23"/>
    <x v="6"/>
    <x v="23"/>
    <x v="8"/>
    <x v="23"/>
    <x v="18"/>
    <x v="21"/>
    <x v="26"/>
    <x v="0"/>
    <x v="23"/>
    <x v="6"/>
    <x v="23"/>
    <x v="54"/>
    <x v="26"/>
    <x v="1"/>
    <x v="58"/>
    <x v="0"/>
    <x v="2"/>
  </r>
  <r>
    <x v="318"/>
    <x v="0"/>
    <x v="3"/>
    <x v="1"/>
    <x v="11"/>
    <x v="17"/>
    <x v="15"/>
    <x v="1"/>
    <x v="33"/>
    <x v="30"/>
    <x v="12"/>
    <x v="0"/>
    <x v="1"/>
    <x v="11"/>
    <x v="1"/>
    <x v="41"/>
    <x v="27"/>
    <x v="1"/>
    <x v="45"/>
    <x v="0"/>
    <x v="2"/>
  </r>
  <r>
    <x v="318"/>
    <x v="0"/>
    <x v="3"/>
    <x v="2"/>
    <x v="31"/>
    <x v="14"/>
    <x v="8"/>
    <x v="2"/>
    <x v="22"/>
    <x v="17"/>
    <x v="23"/>
    <x v="0"/>
    <x v="2"/>
    <x v="29"/>
    <x v="2"/>
    <x v="45"/>
    <x v="17"/>
    <x v="1"/>
    <x v="49"/>
    <x v="3"/>
    <x v="2"/>
  </r>
  <r>
    <x v="318"/>
    <x v="0"/>
    <x v="3"/>
    <x v="3"/>
    <x v="26"/>
    <x v="13"/>
    <x v="17"/>
    <x v="27"/>
    <x v="23"/>
    <x v="22"/>
    <x v="33"/>
    <x v="0"/>
    <x v="3"/>
    <x v="26"/>
    <x v="26"/>
    <x v="35"/>
    <x v="25"/>
    <x v="0"/>
    <x v="45"/>
    <x v="3"/>
    <x v="2"/>
  </r>
  <r>
    <x v="318"/>
    <x v="0"/>
    <x v="3"/>
    <x v="5"/>
    <x v="25"/>
    <x v="28"/>
    <x v="24"/>
    <x v="25"/>
    <x v="30"/>
    <x v="20"/>
    <x v="37"/>
    <x v="0"/>
    <x v="5"/>
    <x v="25"/>
    <x v="5"/>
    <x v="43"/>
    <x v="47"/>
    <x v="0"/>
    <x v="37"/>
    <x v="3"/>
    <x v="0"/>
  </r>
  <r>
    <x v="318"/>
    <x v="0"/>
    <x v="3"/>
    <x v="7"/>
    <x v="4"/>
    <x v="21"/>
    <x v="21"/>
    <x v="7"/>
    <x v="22"/>
    <x v="9"/>
    <x v="10"/>
    <x v="0"/>
    <x v="7"/>
    <x v="4"/>
    <x v="7"/>
    <x v="39"/>
    <x v="37"/>
    <x v="1"/>
    <x v="43"/>
    <x v="3"/>
    <x v="0"/>
  </r>
  <r>
    <x v="318"/>
    <x v="0"/>
    <x v="3"/>
    <x v="9"/>
    <x v="30"/>
    <x v="30"/>
    <x v="34"/>
    <x v="9"/>
    <x v="31"/>
    <x v="24"/>
    <x v="38"/>
    <x v="0"/>
    <x v="9"/>
    <x v="17"/>
    <x v="17"/>
    <x v="35"/>
    <x v="59"/>
    <x v="1"/>
    <x v="39"/>
    <x v="3"/>
    <x v="0"/>
  </r>
  <r>
    <x v="318"/>
    <x v="0"/>
    <x v="3"/>
    <x v="12"/>
    <x v="32"/>
    <x v="17"/>
    <x v="0"/>
    <x v="12"/>
    <x v="27"/>
    <x v="27"/>
    <x v="35"/>
    <x v="0"/>
    <x v="12"/>
    <x v="30"/>
    <x v="12"/>
    <x v="58"/>
    <x v="10"/>
    <x v="1"/>
    <x v="62"/>
    <x v="0"/>
    <x v="2"/>
  </r>
  <r>
    <x v="318"/>
    <x v="0"/>
    <x v="3"/>
    <x v="13"/>
    <x v="27"/>
    <x v="11"/>
    <x v="34"/>
    <x v="13"/>
    <x v="33"/>
    <x v="36"/>
    <x v="22"/>
    <x v="0"/>
    <x v="13"/>
    <x v="16"/>
    <x v="16"/>
    <x v="16"/>
    <x v="40"/>
    <x v="1"/>
    <x v="20"/>
    <x v="3"/>
    <x v="2"/>
  </r>
  <r>
    <x v="318"/>
    <x v="0"/>
    <x v="3"/>
    <x v="22"/>
    <x v="14"/>
    <x v="21"/>
    <x v="18"/>
    <x v="22"/>
    <x v="22"/>
    <x v="22"/>
    <x v="26"/>
    <x v="0"/>
    <x v="22"/>
    <x v="14"/>
    <x v="22"/>
    <x v="42"/>
    <x v="34"/>
    <x v="1"/>
    <x v="46"/>
    <x v="3"/>
    <x v="1"/>
  </r>
  <r>
    <x v="318"/>
    <x v="0"/>
    <x v="3"/>
    <x v="24"/>
    <x v="18"/>
    <x v="14"/>
    <x v="31"/>
    <x v="24"/>
    <x v="31"/>
    <x v="10"/>
    <x v="30"/>
    <x v="0"/>
    <x v="24"/>
    <x v="18"/>
    <x v="18"/>
    <x v="22"/>
    <x v="40"/>
    <x v="1"/>
    <x v="26"/>
    <x v="3"/>
    <x v="0"/>
  </r>
  <r>
    <x v="318"/>
    <x v="0"/>
    <x v="3"/>
    <x v="29"/>
    <x v="15"/>
    <x v="21"/>
    <x v="40"/>
    <x v="15"/>
    <x v="33"/>
    <x v="24"/>
    <x v="4"/>
    <x v="0"/>
    <x v="27"/>
    <x v="15"/>
    <x v="15"/>
    <x v="20"/>
    <x v="56"/>
    <x v="0"/>
    <x v="60"/>
    <x v="0"/>
    <x v="0"/>
  </r>
  <r>
    <x v="318"/>
    <x v="0"/>
    <x v="3"/>
    <x v="33"/>
    <x v="19"/>
    <x v="10"/>
    <x v="15"/>
    <x v="19"/>
    <x v="32"/>
    <x v="22"/>
    <x v="9"/>
    <x v="0"/>
    <x v="31"/>
    <x v="19"/>
    <x v="19"/>
    <x v="34"/>
    <x v="20"/>
    <x v="0"/>
    <x v="46"/>
    <x v="0"/>
    <x v="2"/>
  </r>
  <r>
    <x v="322"/>
    <x v="0"/>
    <x v="3"/>
    <x v="0"/>
    <x v="28"/>
    <x v="3"/>
    <x v="25"/>
    <x v="29"/>
    <x v="33"/>
    <x v="18"/>
    <x v="44"/>
    <x v="0"/>
    <x v="0"/>
    <x v="28"/>
    <x v="28"/>
    <x v="17"/>
    <x v="23"/>
    <x v="0"/>
    <x v="63"/>
    <x v="0"/>
    <x v="2"/>
  </r>
  <r>
    <x v="332"/>
    <x v="0"/>
    <x v="4"/>
    <x v="25"/>
    <x v="12"/>
    <x v="31"/>
    <x v="22"/>
    <x v="25"/>
    <x v="21"/>
    <x v="33"/>
    <x v="18"/>
    <x v="0"/>
    <x v="25"/>
    <x v="12"/>
    <x v="25"/>
    <x v="48"/>
    <x v="48"/>
    <x v="1"/>
    <x v="52"/>
    <x v="0"/>
    <x v="0"/>
  </r>
  <r>
    <x v="342"/>
    <x v="0"/>
    <x v="4"/>
    <x v="0"/>
    <x v="30"/>
    <x v="3"/>
    <x v="17"/>
    <x v="17"/>
    <x v="30"/>
    <x v="22"/>
    <x v="44"/>
    <x v="0"/>
    <x v="0"/>
    <x v="17"/>
    <x v="17"/>
    <x v="25"/>
    <x v="15"/>
    <x v="0"/>
    <x v="55"/>
    <x v="0"/>
    <x v="2"/>
  </r>
  <r>
    <x v="342"/>
    <x v="0"/>
    <x v="4"/>
    <x v="2"/>
    <x v="26"/>
    <x v="7"/>
    <x v="11"/>
    <x v="2"/>
    <x v="31"/>
    <x v="12"/>
    <x v="23"/>
    <x v="0"/>
    <x v="2"/>
    <x v="26"/>
    <x v="26"/>
    <x v="35"/>
    <x v="13"/>
    <x v="1"/>
    <x v="39"/>
    <x v="3"/>
    <x v="2"/>
  </r>
  <r>
    <x v="342"/>
    <x v="0"/>
    <x v="4"/>
    <x v="6"/>
    <x v="21"/>
    <x v="27"/>
    <x v="32"/>
    <x v="21"/>
    <x v="23"/>
    <x v="25"/>
    <x v="31"/>
    <x v="0"/>
    <x v="6"/>
    <x v="21"/>
    <x v="21"/>
    <x v="34"/>
    <x v="54"/>
    <x v="0"/>
    <x v="46"/>
    <x v="3"/>
    <x v="0"/>
  </r>
  <r>
    <x v="342"/>
    <x v="0"/>
    <x v="4"/>
    <x v="10"/>
    <x v="5"/>
    <x v="17"/>
    <x v="22"/>
    <x v="5"/>
    <x v="26"/>
    <x v="21"/>
    <x v="11"/>
    <x v="0"/>
    <x v="10"/>
    <x v="5"/>
    <x v="5"/>
    <x v="34"/>
    <x v="34"/>
    <x v="0"/>
    <x v="46"/>
    <x v="3"/>
    <x v="0"/>
  </r>
  <r>
    <x v="342"/>
    <x v="0"/>
    <x v="4"/>
    <x v="11"/>
    <x v="28"/>
    <x v="31"/>
    <x v="14"/>
    <x v="11"/>
    <x v="19"/>
    <x v="16"/>
    <x v="16"/>
    <x v="0"/>
    <x v="11"/>
    <x v="28"/>
    <x v="11"/>
    <x v="56"/>
    <x v="40"/>
    <x v="1"/>
    <x v="60"/>
    <x v="0"/>
    <x v="0"/>
  </r>
  <r>
    <x v="342"/>
    <x v="0"/>
    <x v="4"/>
    <x v="13"/>
    <x v="8"/>
    <x v="32"/>
    <x v="36"/>
    <x v="13"/>
    <x v="26"/>
    <x v="30"/>
    <x v="22"/>
    <x v="0"/>
    <x v="13"/>
    <x v="8"/>
    <x v="8"/>
    <x v="35"/>
    <x v="63"/>
    <x v="1"/>
    <x v="39"/>
    <x v="3"/>
    <x v="0"/>
  </r>
  <r>
    <x v="342"/>
    <x v="0"/>
    <x v="4"/>
    <x v="15"/>
    <x v="9"/>
    <x v="7"/>
    <x v="4"/>
    <x v="15"/>
    <x v="21"/>
    <x v="31"/>
    <x v="0"/>
    <x v="0"/>
    <x v="15"/>
    <x v="9"/>
    <x v="15"/>
    <x v="42"/>
    <x v="6"/>
    <x v="1"/>
    <x v="46"/>
    <x v="3"/>
    <x v="2"/>
  </r>
  <r>
    <x v="342"/>
    <x v="0"/>
    <x v="4"/>
    <x v="18"/>
    <x v="7"/>
    <x v="7"/>
    <x v="11"/>
    <x v="18"/>
    <x v="25"/>
    <x v="21"/>
    <x v="40"/>
    <x v="0"/>
    <x v="18"/>
    <x v="7"/>
    <x v="7"/>
    <x v="35"/>
    <x v="13"/>
    <x v="1"/>
    <x v="39"/>
    <x v="3"/>
    <x v="2"/>
  </r>
  <r>
    <x v="342"/>
    <x v="0"/>
    <x v="4"/>
    <x v="19"/>
    <x v="3"/>
    <x v="35"/>
    <x v="12"/>
    <x v="19"/>
    <x v="27"/>
    <x v="22"/>
    <x v="24"/>
    <x v="0"/>
    <x v="19"/>
    <x v="3"/>
    <x v="19"/>
    <x v="62"/>
    <x v="42"/>
    <x v="1"/>
    <x v="66"/>
    <x v="0"/>
    <x v="0"/>
  </r>
  <r>
    <x v="342"/>
    <x v="0"/>
    <x v="4"/>
    <x v="22"/>
    <x v="33"/>
    <x v="28"/>
    <x v="5"/>
    <x v="22"/>
    <x v="22"/>
    <x v="20"/>
    <x v="26"/>
    <x v="0"/>
    <x v="22"/>
    <x v="31"/>
    <x v="22"/>
    <x v="62"/>
    <x v="28"/>
    <x v="1"/>
    <x v="66"/>
    <x v="0"/>
    <x v="2"/>
  </r>
  <r>
    <x v="342"/>
    <x v="0"/>
    <x v="4"/>
    <x v="27"/>
    <x v="24"/>
    <x v="10"/>
    <x v="26"/>
    <x v="16"/>
    <x v="11"/>
    <x v="23"/>
    <x v="32"/>
    <x v="0"/>
    <x v="16"/>
    <x v="24"/>
    <x v="24"/>
    <x v="23"/>
    <x v="31"/>
    <x v="1"/>
    <x v="27"/>
    <x v="3"/>
    <x v="2"/>
  </r>
  <r>
    <x v="342"/>
    <x v="0"/>
    <x v="4"/>
    <x v="29"/>
    <x v="4"/>
    <x v="28"/>
    <x v="12"/>
    <x v="28"/>
    <x v="27"/>
    <x v="14"/>
    <x v="4"/>
    <x v="0"/>
    <x v="27"/>
    <x v="4"/>
    <x v="27"/>
    <x v="55"/>
    <x v="35"/>
    <x v="1"/>
    <x v="59"/>
    <x v="0"/>
    <x v="0"/>
  </r>
  <r>
    <x v="342"/>
    <x v="0"/>
    <x v="4"/>
    <x v="31"/>
    <x v="1"/>
    <x v="21"/>
    <x v="26"/>
    <x v="1"/>
    <x v="31"/>
    <x v="21"/>
    <x v="34"/>
    <x v="0"/>
    <x v="29"/>
    <x v="1"/>
    <x v="1"/>
    <x v="34"/>
    <x v="42"/>
    <x v="0"/>
    <x v="46"/>
    <x v="0"/>
    <x v="0"/>
  </r>
  <r>
    <x v="342"/>
    <x v="0"/>
    <x v="4"/>
    <x v="32"/>
    <x v="14"/>
    <x v="3"/>
    <x v="15"/>
    <x v="31"/>
    <x v="31"/>
    <x v="21"/>
    <x v="28"/>
    <x v="0"/>
    <x v="30"/>
    <x v="14"/>
    <x v="14"/>
    <x v="27"/>
    <x v="13"/>
    <x v="1"/>
    <x v="31"/>
    <x v="3"/>
    <x v="2"/>
  </r>
  <r>
    <x v="346"/>
    <x v="0"/>
    <x v="4"/>
    <x v="20"/>
    <x v="23"/>
    <x v="42"/>
    <x v="2"/>
    <x v="20"/>
    <x v="29"/>
    <x v="23"/>
    <x v="13"/>
    <x v="0"/>
    <x v="20"/>
    <x v="23"/>
    <x v="20"/>
    <x v="78"/>
    <x v="38"/>
    <x v="1"/>
    <x v="82"/>
    <x v="0"/>
    <x v="0"/>
  </r>
  <r>
    <x v="356"/>
    <x v="0"/>
    <x v="5"/>
    <x v="32"/>
    <x v="13"/>
    <x v="25"/>
    <x v="28"/>
    <x v="13"/>
    <x v="29"/>
    <x v="22"/>
    <x v="28"/>
    <x v="0"/>
    <x v="30"/>
    <x v="13"/>
    <x v="13"/>
    <x v="36"/>
    <x v="48"/>
    <x v="0"/>
    <x v="44"/>
    <x v="3"/>
    <x v="0"/>
  </r>
  <r>
    <x v="366"/>
    <x v="0"/>
    <x v="5"/>
    <x v="0"/>
    <x v="9"/>
    <x v="40"/>
    <x v="11"/>
    <x v="9"/>
    <x v="29"/>
    <x v="22"/>
    <x v="44"/>
    <x v="0"/>
    <x v="0"/>
    <x v="9"/>
    <x v="0"/>
    <x v="68"/>
    <x v="46"/>
    <x v="0"/>
    <x v="12"/>
    <x v="3"/>
    <x v="0"/>
  </r>
  <r>
    <x v="366"/>
    <x v="0"/>
    <x v="5"/>
    <x v="3"/>
    <x v="7"/>
    <x v="10"/>
    <x v="4"/>
    <x v="26"/>
    <x v="36"/>
    <x v="12"/>
    <x v="33"/>
    <x v="0"/>
    <x v="3"/>
    <x v="7"/>
    <x v="3"/>
    <x v="45"/>
    <x v="9"/>
    <x v="2"/>
    <x v="88"/>
    <x v="1"/>
    <x v="2"/>
  </r>
  <r>
    <x v="366"/>
    <x v="0"/>
    <x v="5"/>
    <x v="4"/>
    <x v="1"/>
    <x v="7"/>
    <x v="29"/>
    <x v="1"/>
    <x v="22"/>
    <x v="16"/>
    <x v="2"/>
    <x v="0"/>
    <x v="4"/>
    <x v="1"/>
    <x v="1"/>
    <x v="17"/>
    <x v="31"/>
    <x v="0"/>
    <x v="63"/>
    <x v="0"/>
    <x v="1"/>
  </r>
  <r>
    <x v="366"/>
    <x v="0"/>
    <x v="5"/>
    <x v="5"/>
    <x v="20"/>
    <x v="4"/>
    <x v="34"/>
    <x v="20"/>
    <x v="31"/>
    <x v="8"/>
    <x v="37"/>
    <x v="0"/>
    <x v="5"/>
    <x v="20"/>
    <x v="20"/>
    <x v="9"/>
    <x v="33"/>
    <x v="0"/>
    <x v="71"/>
    <x v="0"/>
    <x v="0"/>
  </r>
  <r>
    <x v="366"/>
    <x v="0"/>
    <x v="5"/>
    <x v="8"/>
    <x v="25"/>
    <x v="24"/>
    <x v="28"/>
    <x v="25"/>
    <x v="29"/>
    <x v="36"/>
    <x v="5"/>
    <x v="0"/>
    <x v="8"/>
    <x v="25"/>
    <x v="25"/>
    <x v="35"/>
    <x v="47"/>
    <x v="0"/>
    <x v="45"/>
    <x v="3"/>
    <x v="0"/>
  </r>
  <r>
    <x v="366"/>
    <x v="0"/>
    <x v="5"/>
    <x v="10"/>
    <x v="11"/>
    <x v="4"/>
    <x v="2"/>
    <x v="11"/>
    <x v="23"/>
    <x v="26"/>
    <x v="11"/>
    <x v="0"/>
    <x v="10"/>
    <x v="11"/>
    <x v="10"/>
    <x v="42"/>
    <x v="2"/>
    <x v="0"/>
    <x v="38"/>
    <x v="3"/>
    <x v="2"/>
  </r>
  <r>
    <x v="366"/>
    <x v="0"/>
    <x v="5"/>
    <x v="14"/>
    <x v="24"/>
    <x v="35"/>
    <x v="29"/>
    <x v="14"/>
    <x v="30"/>
    <x v="17"/>
    <x v="8"/>
    <x v="0"/>
    <x v="14"/>
    <x v="24"/>
    <x v="14"/>
    <x v="45"/>
    <x v="59"/>
    <x v="1"/>
    <x v="49"/>
    <x v="0"/>
    <x v="0"/>
  </r>
  <r>
    <x v="366"/>
    <x v="0"/>
    <x v="5"/>
    <x v="21"/>
    <x v="30"/>
    <x v="28"/>
    <x v="11"/>
    <x v="21"/>
    <x v="19"/>
    <x v="28"/>
    <x v="20"/>
    <x v="0"/>
    <x v="21"/>
    <x v="17"/>
    <x v="21"/>
    <x v="56"/>
    <x v="34"/>
    <x v="1"/>
    <x v="60"/>
    <x v="0"/>
    <x v="2"/>
  </r>
  <r>
    <x v="366"/>
    <x v="0"/>
    <x v="5"/>
    <x v="23"/>
    <x v="18"/>
    <x v="3"/>
    <x v="8"/>
    <x v="23"/>
    <x v="26"/>
    <x v="10"/>
    <x v="26"/>
    <x v="0"/>
    <x v="23"/>
    <x v="18"/>
    <x v="18"/>
    <x v="34"/>
    <x v="6"/>
    <x v="1"/>
    <x v="38"/>
    <x v="3"/>
    <x v="2"/>
  </r>
  <r>
    <x v="366"/>
    <x v="0"/>
    <x v="5"/>
    <x v="26"/>
    <x v="6"/>
    <x v="20"/>
    <x v="5"/>
    <x v="27"/>
    <x v="21"/>
    <x v="13"/>
    <x v="15"/>
    <x v="0"/>
    <x v="26"/>
    <x v="6"/>
    <x v="26"/>
    <x v="54"/>
    <x v="20"/>
    <x v="1"/>
    <x v="58"/>
    <x v="0"/>
    <x v="2"/>
  </r>
  <r>
    <x v="366"/>
    <x v="0"/>
    <x v="5"/>
    <x v="27"/>
    <x v="15"/>
    <x v="28"/>
    <x v="0"/>
    <x v="16"/>
    <x v="17"/>
    <x v="25"/>
    <x v="32"/>
    <x v="0"/>
    <x v="16"/>
    <x v="15"/>
    <x v="16"/>
    <x v="69"/>
    <x v="21"/>
    <x v="1"/>
    <x v="73"/>
    <x v="0"/>
    <x v="2"/>
  </r>
  <r>
    <x v="366"/>
    <x v="0"/>
    <x v="5"/>
    <x v="28"/>
    <x v="29"/>
    <x v="37"/>
    <x v="19"/>
    <x v="29"/>
    <x v="27"/>
    <x v="20"/>
    <x v="3"/>
    <x v="0"/>
    <x v="28"/>
    <x v="27"/>
    <x v="28"/>
    <x v="57"/>
    <x v="51"/>
    <x v="1"/>
    <x v="61"/>
    <x v="0"/>
    <x v="0"/>
  </r>
  <r>
    <x v="366"/>
    <x v="0"/>
    <x v="5"/>
    <x v="33"/>
    <x v="31"/>
    <x v="13"/>
    <x v="15"/>
    <x v="30"/>
    <x v="34"/>
    <x v="17"/>
    <x v="9"/>
    <x v="0"/>
    <x v="31"/>
    <x v="29"/>
    <x v="29"/>
    <x v="37"/>
    <x v="23"/>
    <x v="0"/>
    <x v="43"/>
    <x v="3"/>
    <x v="2"/>
  </r>
  <r>
    <x v="370"/>
    <x v="0"/>
    <x v="5"/>
    <x v="12"/>
    <x v="2"/>
    <x v="25"/>
    <x v="32"/>
    <x v="2"/>
    <x v="31"/>
    <x v="28"/>
    <x v="35"/>
    <x v="0"/>
    <x v="12"/>
    <x v="2"/>
    <x v="2"/>
    <x v="32"/>
    <x v="52"/>
    <x v="0"/>
    <x v="48"/>
    <x v="0"/>
    <x v="0"/>
  </r>
  <r>
    <x v="370"/>
    <x v="0"/>
    <x v="5"/>
    <x v="19"/>
    <x v="22"/>
    <x v="2"/>
    <x v="19"/>
    <x v="22"/>
    <x v="26"/>
    <x v="22"/>
    <x v="11"/>
    <x v="0"/>
    <x v="19"/>
    <x v="22"/>
    <x v="22"/>
    <x v="20"/>
    <x v="14"/>
    <x v="0"/>
    <x v="60"/>
    <x v="0"/>
    <x v="2"/>
  </r>
  <r>
    <x v="380"/>
    <x v="0"/>
    <x v="6"/>
    <x v="27"/>
    <x v="28"/>
    <x v="31"/>
    <x v="5"/>
    <x v="16"/>
    <x v="16"/>
    <x v="24"/>
    <x v="32"/>
    <x v="0"/>
    <x v="16"/>
    <x v="28"/>
    <x v="16"/>
    <x v="65"/>
    <x v="31"/>
    <x v="1"/>
    <x v="69"/>
    <x v="0"/>
    <x v="2"/>
  </r>
  <r>
    <x v="393"/>
    <x v="0"/>
    <x v="6"/>
    <x v="2"/>
    <x v="21"/>
    <x v="27"/>
    <x v="22"/>
    <x v="2"/>
    <x v="32"/>
    <x v="23"/>
    <x v="23"/>
    <x v="0"/>
    <x v="2"/>
    <x v="21"/>
    <x v="2"/>
    <x v="44"/>
    <x v="44"/>
    <x v="1"/>
    <x v="48"/>
    <x v="0"/>
    <x v="0"/>
  </r>
  <r>
    <x v="393"/>
    <x v="0"/>
    <x v="6"/>
    <x v="4"/>
    <x v="0"/>
    <x v="16"/>
    <x v="10"/>
    <x v="4"/>
    <x v="32"/>
    <x v="9"/>
    <x v="2"/>
    <x v="0"/>
    <x v="4"/>
    <x v="0"/>
    <x v="4"/>
    <x v="45"/>
    <x v="21"/>
    <x v="1"/>
    <x v="49"/>
    <x v="0"/>
    <x v="2"/>
  </r>
  <r>
    <x v="393"/>
    <x v="0"/>
    <x v="6"/>
    <x v="6"/>
    <x v="7"/>
    <x v="16"/>
    <x v="15"/>
    <x v="26"/>
    <x v="36"/>
    <x v="16"/>
    <x v="31"/>
    <x v="0"/>
    <x v="6"/>
    <x v="7"/>
    <x v="6"/>
    <x v="40"/>
    <x v="26"/>
    <x v="2"/>
    <x v="88"/>
    <x v="1"/>
    <x v="2"/>
  </r>
  <r>
    <x v="393"/>
    <x v="0"/>
    <x v="6"/>
    <x v="8"/>
    <x v="33"/>
    <x v="30"/>
    <x v="28"/>
    <x v="8"/>
    <x v="18"/>
    <x v="23"/>
    <x v="5"/>
    <x v="0"/>
    <x v="8"/>
    <x v="31"/>
    <x v="8"/>
    <x v="41"/>
    <x v="53"/>
    <x v="1"/>
    <x v="45"/>
    <x v="3"/>
    <x v="0"/>
  </r>
  <r>
    <x v="393"/>
    <x v="0"/>
    <x v="6"/>
    <x v="13"/>
    <x v="14"/>
    <x v="31"/>
    <x v="22"/>
    <x v="13"/>
    <x v="28"/>
    <x v="30"/>
    <x v="22"/>
    <x v="0"/>
    <x v="13"/>
    <x v="14"/>
    <x v="13"/>
    <x v="48"/>
    <x v="48"/>
    <x v="1"/>
    <x v="52"/>
    <x v="0"/>
    <x v="0"/>
  </r>
  <r>
    <x v="393"/>
    <x v="0"/>
    <x v="6"/>
    <x v="18"/>
    <x v="3"/>
    <x v="11"/>
    <x v="15"/>
    <x v="18"/>
    <x v="26"/>
    <x v="14"/>
    <x v="40"/>
    <x v="0"/>
    <x v="18"/>
    <x v="3"/>
    <x v="3"/>
    <x v="35"/>
    <x v="21"/>
    <x v="1"/>
    <x v="39"/>
    <x v="3"/>
    <x v="2"/>
  </r>
  <r>
    <x v="393"/>
    <x v="0"/>
    <x v="6"/>
    <x v="20"/>
    <x v="11"/>
    <x v="28"/>
    <x v="25"/>
    <x v="20"/>
    <x v="8"/>
    <x v="21"/>
    <x v="13"/>
    <x v="0"/>
    <x v="20"/>
    <x v="11"/>
    <x v="20"/>
    <x v="42"/>
    <x v="48"/>
    <x v="1"/>
    <x v="46"/>
    <x v="3"/>
    <x v="0"/>
  </r>
  <r>
    <x v="393"/>
    <x v="0"/>
    <x v="6"/>
    <x v="22"/>
    <x v="25"/>
    <x v="28"/>
    <x v="36"/>
    <x v="22"/>
    <x v="31"/>
    <x v="28"/>
    <x v="26"/>
    <x v="0"/>
    <x v="22"/>
    <x v="25"/>
    <x v="25"/>
    <x v="31"/>
    <x v="59"/>
    <x v="1"/>
    <x v="35"/>
    <x v="3"/>
    <x v="0"/>
  </r>
  <r>
    <x v="393"/>
    <x v="0"/>
    <x v="6"/>
    <x v="24"/>
    <x v="9"/>
    <x v="36"/>
    <x v="21"/>
    <x v="24"/>
    <x v="21"/>
    <x v="18"/>
    <x v="30"/>
    <x v="0"/>
    <x v="24"/>
    <x v="9"/>
    <x v="24"/>
    <x v="54"/>
    <x v="52"/>
    <x v="1"/>
    <x v="58"/>
    <x v="0"/>
    <x v="0"/>
  </r>
  <r>
    <x v="393"/>
    <x v="0"/>
    <x v="6"/>
    <x v="26"/>
    <x v="23"/>
    <x v="14"/>
    <x v="20"/>
    <x v="27"/>
    <x v="29"/>
    <x v="5"/>
    <x v="15"/>
    <x v="0"/>
    <x v="26"/>
    <x v="23"/>
    <x v="23"/>
    <x v="33"/>
    <x v="29"/>
    <x v="1"/>
    <x v="37"/>
    <x v="3"/>
    <x v="0"/>
  </r>
  <r>
    <x v="393"/>
    <x v="0"/>
    <x v="6"/>
    <x v="29"/>
    <x v="1"/>
    <x v="15"/>
    <x v="32"/>
    <x v="1"/>
    <x v="25"/>
    <x v="27"/>
    <x v="4"/>
    <x v="0"/>
    <x v="27"/>
    <x v="1"/>
    <x v="1"/>
    <x v="22"/>
    <x v="42"/>
    <x v="0"/>
    <x v="58"/>
    <x v="0"/>
    <x v="0"/>
  </r>
  <r>
    <x v="393"/>
    <x v="0"/>
    <x v="6"/>
    <x v="30"/>
    <x v="15"/>
    <x v="10"/>
    <x v="25"/>
    <x v="17"/>
    <x v="31"/>
    <x v="19"/>
    <x v="6"/>
    <x v="0"/>
    <x v="17"/>
    <x v="15"/>
    <x v="15"/>
    <x v="24"/>
    <x v="30"/>
    <x v="1"/>
    <x v="28"/>
    <x v="3"/>
    <x v="2"/>
  </r>
  <r>
    <x v="393"/>
    <x v="0"/>
    <x v="6"/>
    <x v="31"/>
    <x v="10"/>
    <x v="17"/>
    <x v="21"/>
    <x v="30"/>
    <x v="29"/>
    <x v="20"/>
    <x v="34"/>
    <x v="0"/>
    <x v="29"/>
    <x v="10"/>
    <x v="10"/>
    <x v="35"/>
    <x v="33"/>
    <x v="1"/>
    <x v="39"/>
    <x v="3"/>
    <x v="1"/>
  </r>
  <r>
    <x v="393"/>
    <x v="0"/>
    <x v="6"/>
    <x v="32"/>
    <x v="12"/>
    <x v="28"/>
    <x v="15"/>
    <x v="31"/>
    <x v="35"/>
    <x v="28"/>
    <x v="28"/>
    <x v="0"/>
    <x v="30"/>
    <x v="12"/>
    <x v="30"/>
    <x v="52"/>
    <x v="38"/>
    <x v="1"/>
    <x v="56"/>
    <x v="0"/>
    <x v="0"/>
  </r>
  <r>
    <x v="397"/>
    <x v="0"/>
    <x v="6"/>
    <x v="19"/>
    <x v="5"/>
    <x v="11"/>
    <x v="38"/>
    <x v="5"/>
    <x v="23"/>
    <x v="0"/>
    <x v="24"/>
    <x v="0"/>
    <x v="19"/>
    <x v="5"/>
    <x v="5"/>
    <x v="12"/>
    <x v="44"/>
    <x v="0"/>
    <x v="68"/>
    <x v="0"/>
    <x v="0"/>
  </r>
  <r>
    <x v="407"/>
    <x v="0"/>
    <x v="7"/>
    <x v="26"/>
    <x v="4"/>
    <x v="24"/>
    <x v="2"/>
    <x v="27"/>
    <x v="8"/>
    <x v="10"/>
    <x v="15"/>
    <x v="0"/>
    <x v="26"/>
    <x v="4"/>
    <x v="26"/>
    <x v="62"/>
    <x v="20"/>
    <x v="1"/>
    <x v="66"/>
    <x v="0"/>
    <x v="2"/>
  </r>
  <r>
    <x v="415"/>
    <x v="0"/>
    <x v="7"/>
    <x v="0"/>
    <x v="8"/>
    <x v="24"/>
    <x v="24"/>
    <x v="8"/>
    <x v="22"/>
    <x v="24"/>
    <x v="44"/>
    <x v="0"/>
    <x v="0"/>
    <x v="8"/>
    <x v="0"/>
    <x v="39"/>
    <x v="43"/>
    <x v="0"/>
    <x v="41"/>
    <x v="3"/>
    <x v="0"/>
  </r>
  <r>
    <x v="419"/>
    <x v="0"/>
    <x v="7"/>
    <x v="3"/>
    <x v="20"/>
    <x v="2"/>
    <x v="32"/>
    <x v="20"/>
    <x v="19"/>
    <x v="25"/>
    <x v="33"/>
    <x v="0"/>
    <x v="3"/>
    <x v="20"/>
    <x v="20"/>
    <x v="7"/>
    <x v="27"/>
    <x v="0"/>
    <x v="73"/>
    <x v="0"/>
    <x v="2"/>
  </r>
  <r>
    <x v="419"/>
    <x v="0"/>
    <x v="7"/>
    <x v="5"/>
    <x v="23"/>
    <x v="35"/>
    <x v="32"/>
    <x v="5"/>
    <x v="31"/>
    <x v="6"/>
    <x v="37"/>
    <x v="0"/>
    <x v="5"/>
    <x v="23"/>
    <x v="5"/>
    <x v="42"/>
    <x v="62"/>
    <x v="1"/>
    <x v="46"/>
    <x v="0"/>
    <x v="0"/>
  </r>
  <r>
    <x v="419"/>
    <x v="0"/>
    <x v="7"/>
    <x v="6"/>
    <x v="27"/>
    <x v="31"/>
    <x v="18"/>
    <x v="16"/>
    <x v="21"/>
    <x v="21"/>
    <x v="31"/>
    <x v="0"/>
    <x v="6"/>
    <x v="16"/>
    <x v="6"/>
    <x v="52"/>
    <x v="44"/>
    <x v="0"/>
    <x v="28"/>
    <x v="3"/>
    <x v="0"/>
  </r>
  <r>
    <x v="419"/>
    <x v="0"/>
    <x v="7"/>
    <x v="7"/>
    <x v="2"/>
    <x v="7"/>
    <x v="18"/>
    <x v="2"/>
    <x v="29"/>
    <x v="14"/>
    <x v="10"/>
    <x v="0"/>
    <x v="7"/>
    <x v="2"/>
    <x v="2"/>
    <x v="28"/>
    <x v="20"/>
    <x v="0"/>
    <x v="52"/>
    <x v="0"/>
    <x v="2"/>
  </r>
  <r>
    <x v="419"/>
    <x v="0"/>
    <x v="7"/>
    <x v="9"/>
    <x v="12"/>
    <x v="21"/>
    <x v="21"/>
    <x v="12"/>
    <x v="32"/>
    <x v="33"/>
    <x v="38"/>
    <x v="0"/>
    <x v="9"/>
    <x v="12"/>
    <x v="9"/>
    <x v="39"/>
    <x v="37"/>
    <x v="0"/>
    <x v="41"/>
    <x v="3"/>
    <x v="2"/>
  </r>
  <r>
    <x v="419"/>
    <x v="0"/>
    <x v="7"/>
    <x v="11"/>
    <x v="22"/>
    <x v="42"/>
    <x v="15"/>
    <x v="11"/>
    <x v="31"/>
    <x v="20"/>
    <x v="16"/>
    <x v="0"/>
    <x v="11"/>
    <x v="22"/>
    <x v="11"/>
    <x v="66"/>
    <x v="52"/>
    <x v="1"/>
    <x v="70"/>
    <x v="0"/>
    <x v="0"/>
  </r>
  <r>
    <x v="419"/>
    <x v="0"/>
    <x v="7"/>
    <x v="14"/>
    <x v="33"/>
    <x v="14"/>
    <x v="18"/>
    <x v="14"/>
    <x v="24"/>
    <x v="24"/>
    <x v="8"/>
    <x v="0"/>
    <x v="14"/>
    <x v="31"/>
    <x v="32"/>
    <x v="35"/>
    <x v="27"/>
    <x v="1"/>
    <x v="39"/>
    <x v="3"/>
    <x v="2"/>
  </r>
  <r>
    <x v="419"/>
    <x v="0"/>
    <x v="7"/>
    <x v="15"/>
    <x v="32"/>
    <x v="31"/>
    <x v="12"/>
    <x v="15"/>
    <x v="29"/>
    <x v="19"/>
    <x v="0"/>
    <x v="0"/>
    <x v="15"/>
    <x v="30"/>
    <x v="15"/>
    <x v="58"/>
    <x v="38"/>
    <x v="1"/>
    <x v="62"/>
    <x v="0"/>
    <x v="0"/>
  </r>
  <r>
    <x v="419"/>
    <x v="0"/>
    <x v="7"/>
    <x v="18"/>
    <x v="10"/>
    <x v="24"/>
    <x v="32"/>
    <x v="18"/>
    <x v="30"/>
    <x v="16"/>
    <x v="40"/>
    <x v="0"/>
    <x v="18"/>
    <x v="10"/>
    <x v="10"/>
    <x v="31"/>
    <x v="51"/>
    <x v="1"/>
    <x v="35"/>
    <x v="3"/>
    <x v="0"/>
  </r>
  <r>
    <x v="419"/>
    <x v="0"/>
    <x v="7"/>
    <x v="24"/>
    <x v="13"/>
    <x v="23"/>
    <x v="29"/>
    <x v="13"/>
    <x v="32"/>
    <x v="29"/>
    <x v="30"/>
    <x v="0"/>
    <x v="24"/>
    <x v="13"/>
    <x v="13"/>
    <x v="33"/>
    <x v="47"/>
    <x v="0"/>
    <x v="47"/>
    <x v="0"/>
    <x v="0"/>
  </r>
  <r>
    <x v="419"/>
    <x v="0"/>
    <x v="7"/>
    <x v="30"/>
    <x v="28"/>
    <x v="22"/>
    <x v="15"/>
    <x v="17"/>
    <x v="32"/>
    <x v="14"/>
    <x v="6"/>
    <x v="0"/>
    <x v="17"/>
    <x v="28"/>
    <x v="17"/>
    <x v="46"/>
    <x v="32"/>
    <x v="1"/>
    <x v="50"/>
    <x v="0"/>
    <x v="0"/>
  </r>
  <r>
    <x v="419"/>
    <x v="0"/>
    <x v="7"/>
    <x v="31"/>
    <x v="29"/>
    <x v="35"/>
    <x v="13"/>
    <x v="30"/>
    <x v="25"/>
    <x v="21"/>
    <x v="34"/>
    <x v="0"/>
    <x v="29"/>
    <x v="27"/>
    <x v="29"/>
    <x v="61"/>
    <x v="43"/>
    <x v="1"/>
    <x v="65"/>
    <x v="0"/>
    <x v="0"/>
  </r>
  <r>
    <x v="423"/>
    <x v="0"/>
    <x v="7"/>
    <x v="1"/>
    <x v="21"/>
    <x v="11"/>
    <x v="15"/>
    <x v="1"/>
    <x v="32"/>
    <x v="33"/>
    <x v="12"/>
    <x v="0"/>
    <x v="1"/>
    <x v="21"/>
    <x v="21"/>
    <x v="35"/>
    <x v="21"/>
    <x v="1"/>
    <x v="39"/>
    <x v="3"/>
    <x v="2"/>
  </r>
  <r>
    <x v="425"/>
    <x v="0"/>
    <x v="7"/>
    <x v="25"/>
    <x v="19"/>
    <x v="11"/>
    <x v="22"/>
    <x v="25"/>
    <x v="8"/>
    <x v="23"/>
    <x v="18"/>
    <x v="0"/>
    <x v="25"/>
    <x v="19"/>
    <x v="19"/>
    <x v="28"/>
    <x v="28"/>
    <x v="1"/>
    <x v="32"/>
    <x v="3"/>
    <x v="2"/>
  </r>
  <r>
    <x v="2"/>
    <x v="0"/>
    <x v="8"/>
    <x v="1"/>
    <x v="4"/>
    <x v="28"/>
    <x v="8"/>
    <x v="1"/>
    <x v="8"/>
    <x v="17"/>
    <x v="12"/>
    <x v="0"/>
    <x v="1"/>
    <x v="4"/>
    <x v="1"/>
    <x v="59"/>
    <x v="31"/>
    <x v="1"/>
    <x v="63"/>
    <x v="0"/>
    <x v="2"/>
  </r>
  <r>
    <x v="2"/>
    <x v="0"/>
    <x v="8"/>
    <x v="2"/>
    <x v="6"/>
    <x v="10"/>
    <x v="5"/>
    <x v="2"/>
    <x v="18"/>
    <x v="20"/>
    <x v="23"/>
    <x v="0"/>
    <x v="2"/>
    <x v="6"/>
    <x v="2"/>
    <x v="44"/>
    <x v="10"/>
    <x v="1"/>
    <x v="48"/>
    <x v="3"/>
    <x v="2"/>
  </r>
  <r>
    <x v="2"/>
    <x v="0"/>
    <x v="8"/>
    <x v="7"/>
    <x v="26"/>
    <x v="6"/>
    <x v="39"/>
    <x v="27"/>
    <x v="24"/>
    <x v="10"/>
    <x v="10"/>
    <x v="0"/>
    <x v="7"/>
    <x v="26"/>
    <x v="26"/>
    <x v="6"/>
    <x v="40"/>
    <x v="0"/>
    <x v="74"/>
    <x v="0"/>
    <x v="0"/>
  </r>
  <r>
    <x v="2"/>
    <x v="0"/>
    <x v="8"/>
    <x v="9"/>
    <x v="27"/>
    <x v="25"/>
    <x v="31"/>
    <x v="16"/>
    <x v="30"/>
    <x v="29"/>
    <x v="38"/>
    <x v="0"/>
    <x v="9"/>
    <x v="16"/>
    <x v="16"/>
    <x v="33"/>
    <x v="51"/>
    <x v="0"/>
    <x v="47"/>
    <x v="0"/>
    <x v="0"/>
  </r>
  <r>
    <x v="2"/>
    <x v="0"/>
    <x v="8"/>
    <x v="10"/>
    <x v="19"/>
    <x v="17"/>
    <x v="11"/>
    <x v="10"/>
    <x v="30"/>
    <x v="21"/>
    <x v="11"/>
    <x v="0"/>
    <x v="10"/>
    <x v="19"/>
    <x v="10"/>
    <x v="45"/>
    <x v="23"/>
    <x v="1"/>
    <x v="49"/>
    <x v="0"/>
    <x v="2"/>
  </r>
  <r>
    <x v="2"/>
    <x v="0"/>
    <x v="8"/>
    <x v="11"/>
    <x v="5"/>
    <x v="7"/>
    <x v="2"/>
    <x v="11"/>
    <x v="16"/>
    <x v="21"/>
    <x v="16"/>
    <x v="0"/>
    <x v="11"/>
    <x v="5"/>
    <x v="11"/>
    <x v="45"/>
    <x v="4"/>
    <x v="1"/>
    <x v="49"/>
    <x v="3"/>
    <x v="2"/>
  </r>
  <r>
    <x v="2"/>
    <x v="0"/>
    <x v="8"/>
    <x v="12"/>
    <x v="14"/>
    <x v="31"/>
    <x v="15"/>
    <x v="12"/>
    <x v="29"/>
    <x v="30"/>
    <x v="35"/>
    <x v="0"/>
    <x v="12"/>
    <x v="14"/>
    <x v="12"/>
    <x v="55"/>
    <x v="41"/>
    <x v="1"/>
    <x v="59"/>
    <x v="0"/>
    <x v="0"/>
  </r>
  <r>
    <x v="2"/>
    <x v="0"/>
    <x v="8"/>
    <x v="13"/>
    <x v="32"/>
    <x v="20"/>
    <x v="18"/>
    <x v="13"/>
    <x v="18"/>
    <x v="30"/>
    <x v="22"/>
    <x v="0"/>
    <x v="13"/>
    <x v="30"/>
    <x v="13"/>
    <x v="41"/>
    <x v="33"/>
    <x v="1"/>
    <x v="45"/>
    <x v="3"/>
    <x v="2"/>
  </r>
  <r>
    <x v="2"/>
    <x v="0"/>
    <x v="8"/>
    <x v="15"/>
    <x v="24"/>
    <x v="7"/>
    <x v="29"/>
    <x v="15"/>
    <x v="28"/>
    <x v="21"/>
    <x v="0"/>
    <x v="0"/>
    <x v="15"/>
    <x v="24"/>
    <x v="24"/>
    <x v="17"/>
    <x v="31"/>
    <x v="1"/>
    <x v="21"/>
    <x v="3"/>
    <x v="2"/>
  </r>
  <r>
    <x v="2"/>
    <x v="0"/>
    <x v="8"/>
    <x v="20"/>
    <x v="18"/>
    <x v="35"/>
    <x v="5"/>
    <x v="20"/>
    <x v="25"/>
    <x v="22"/>
    <x v="13"/>
    <x v="0"/>
    <x v="20"/>
    <x v="18"/>
    <x v="20"/>
    <x v="69"/>
    <x v="35"/>
    <x v="1"/>
    <x v="73"/>
    <x v="0"/>
    <x v="0"/>
  </r>
  <r>
    <x v="2"/>
    <x v="0"/>
    <x v="8"/>
    <x v="21"/>
    <x v="31"/>
    <x v="10"/>
    <x v="21"/>
    <x v="21"/>
    <x v="23"/>
    <x v="28"/>
    <x v="20"/>
    <x v="0"/>
    <x v="21"/>
    <x v="29"/>
    <x v="29"/>
    <x v="28"/>
    <x v="26"/>
    <x v="1"/>
    <x v="32"/>
    <x v="3"/>
    <x v="2"/>
  </r>
  <r>
    <x v="2"/>
    <x v="0"/>
    <x v="8"/>
    <x v="23"/>
    <x v="3"/>
    <x v="35"/>
    <x v="5"/>
    <x v="23"/>
    <x v="34"/>
    <x v="10"/>
    <x v="26"/>
    <x v="0"/>
    <x v="23"/>
    <x v="3"/>
    <x v="23"/>
    <x v="69"/>
    <x v="35"/>
    <x v="1"/>
    <x v="73"/>
    <x v="0"/>
    <x v="0"/>
  </r>
  <r>
    <x v="2"/>
    <x v="0"/>
    <x v="8"/>
    <x v="25"/>
    <x v="8"/>
    <x v="10"/>
    <x v="12"/>
    <x v="26"/>
    <x v="36"/>
    <x v="21"/>
    <x v="18"/>
    <x v="0"/>
    <x v="25"/>
    <x v="8"/>
    <x v="8"/>
    <x v="37"/>
    <x v="17"/>
    <x v="2"/>
    <x v="88"/>
    <x v="1"/>
    <x v="2"/>
  </r>
  <r>
    <x v="2"/>
    <x v="0"/>
    <x v="8"/>
    <x v="28"/>
    <x v="0"/>
    <x v="35"/>
    <x v="5"/>
    <x v="29"/>
    <x v="25"/>
    <x v="12"/>
    <x v="3"/>
    <x v="0"/>
    <x v="28"/>
    <x v="0"/>
    <x v="28"/>
    <x v="69"/>
    <x v="35"/>
    <x v="1"/>
    <x v="73"/>
    <x v="0"/>
    <x v="0"/>
  </r>
  <r>
    <x v="2"/>
    <x v="0"/>
    <x v="8"/>
    <x v="29"/>
    <x v="30"/>
    <x v="13"/>
    <x v="4"/>
    <x v="17"/>
    <x v="31"/>
    <x v="17"/>
    <x v="4"/>
    <x v="0"/>
    <x v="27"/>
    <x v="17"/>
    <x v="27"/>
    <x v="48"/>
    <x v="12"/>
    <x v="0"/>
    <x v="32"/>
    <x v="3"/>
    <x v="2"/>
  </r>
  <r>
    <x v="2"/>
    <x v="0"/>
    <x v="8"/>
    <x v="33"/>
    <x v="22"/>
    <x v="11"/>
    <x v="15"/>
    <x v="22"/>
    <x v="29"/>
    <x v="23"/>
    <x v="9"/>
    <x v="0"/>
    <x v="31"/>
    <x v="22"/>
    <x v="22"/>
    <x v="35"/>
    <x v="21"/>
    <x v="0"/>
    <x v="45"/>
    <x v="3"/>
    <x v="2"/>
  </r>
  <r>
    <x v="14"/>
    <x v="0"/>
    <x v="20"/>
    <x v="13"/>
    <x v="23"/>
    <x v="13"/>
    <x v="15"/>
    <x v="13"/>
    <x v="33"/>
    <x v="23"/>
    <x v="46"/>
    <x v="1"/>
    <x v="13"/>
    <x v="23"/>
    <x v="23"/>
    <x v="37"/>
    <x v="23"/>
    <x v="1"/>
    <x v="41"/>
    <x v="3"/>
    <x v="2"/>
  </r>
  <r>
    <x v="14"/>
    <x v="0"/>
    <x v="20"/>
    <x v="29"/>
    <x v="21"/>
    <x v="38"/>
    <x v="34"/>
    <x v="21"/>
    <x v="17"/>
    <x v="26"/>
    <x v="46"/>
    <x v="1"/>
    <x v="27"/>
    <x v="21"/>
    <x v="27"/>
    <x v="43"/>
    <x v="67"/>
    <x v="0"/>
    <x v="37"/>
    <x v="3"/>
    <x v="0"/>
  </r>
  <r>
    <x v="17"/>
    <x v="0"/>
    <x v="20"/>
    <x v="15"/>
    <x v="2"/>
    <x v="4"/>
    <x v="28"/>
    <x v="2"/>
    <x v="31"/>
    <x v="16"/>
    <x v="46"/>
    <x v="1"/>
    <x v="15"/>
    <x v="2"/>
    <x v="2"/>
    <x v="15"/>
    <x v="27"/>
    <x v="0"/>
    <x v="65"/>
    <x v="0"/>
    <x v="2"/>
  </r>
  <r>
    <x v="17"/>
    <x v="0"/>
    <x v="20"/>
    <x v="25"/>
    <x v="11"/>
    <x v="13"/>
    <x v="19"/>
    <x v="25"/>
    <x v="32"/>
    <x v="28"/>
    <x v="46"/>
    <x v="1"/>
    <x v="25"/>
    <x v="11"/>
    <x v="11"/>
    <x v="33"/>
    <x v="27"/>
    <x v="1"/>
    <x v="37"/>
    <x v="3"/>
    <x v="2"/>
  </r>
  <r>
    <x v="30"/>
    <x v="0"/>
    <x v="18"/>
    <x v="1"/>
    <x v="11"/>
    <x v="18"/>
    <x v="45"/>
    <x v="1"/>
    <x v="34"/>
    <x v="21"/>
    <x v="12"/>
    <x v="1"/>
    <x v="1"/>
    <x v="11"/>
    <x v="11"/>
    <x v="11"/>
    <x v="59"/>
    <x v="1"/>
    <x v="15"/>
    <x v="3"/>
    <x v="0"/>
  </r>
  <r>
    <x v="30"/>
    <x v="0"/>
    <x v="18"/>
    <x v="26"/>
    <x v="2"/>
    <x v="28"/>
    <x v="22"/>
    <x v="27"/>
    <x v="31"/>
    <x v="8"/>
    <x v="46"/>
    <x v="1"/>
    <x v="26"/>
    <x v="2"/>
    <x v="26"/>
    <x v="45"/>
    <x v="45"/>
    <x v="1"/>
    <x v="49"/>
    <x v="0"/>
    <x v="0"/>
  </r>
  <r>
    <x v="33"/>
    <x v="0"/>
    <x v="18"/>
    <x v="5"/>
    <x v="29"/>
    <x v="32"/>
    <x v="22"/>
    <x v="5"/>
    <x v="17"/>
    <x v="20"/>
    <x v="37"/>
    <x v="1"/>
    <x v="5"/>
    <x v="27"/>
    <x v="5"/>
    <x v="49"/>
    <x v="49"/>
    <x v="1"/>
    <x v="53"/>
    <x v="0"/>
    <x v="0"/>
  </r>
  <r>
    <x v="33"/>
    <x v="0"/>
    <x v="18"/>
    <x v="20"/>
    <x v="23"/>
    <x v="18"/>
    <x v="26"/>
    <x v="20"/>
    <x v="18"/>
    <x v="24"/>
    <x v="46"/>
    <x v="1"/>
    <x v="20"/>
    <x v="23"/>
    <x v="23"/>
    <x v="31"/>
    <x v="39"/>
    <x v="1"/>
    <x v="35"/>
    <x v="3"/>
    <x v="0"/>
  </r>
  <r>
    <x v="42"/>
    <x v="0"/>
    <x v="17"/>
    <x v="5"/>
    <x v="11"/>
    <x v="11"/>
    <x v="19"/>
    <x v="11"/>
    <x v="30"/>
    <x v="19"/>
    <x v="37"/>
    <x v="1"/>
    <x v="5"/>
    <x v="11"/>
    <x v="11"/>
    <x v="31"/>
    <x v="25"/>
    <x v="0"/>
    <x v="49"/>
    <x v="0"/>
    <x v="2"/>
  </r>
  <r>
    <x v="42"/>
    <x v="0"/>
    <x v="17"/>
    <x v="26"/>
    <x v="23"/>
    <x v="21"/>
    <x v="17"/>
    <x v="27"/>
    <x v="29"/>
    <x v="10"/>
    <x v="46"/>
    <x v="1"/>
    <x v="26"/>
    <x v="23"/>
    <x v="26"/>
    <x v="43"/>
    <x v="33"/>
    <x v="1"/>
    <x v="47"/>
    <x v="0"/>
    <x v="0"/>
  </r>
  <r>
    <x v="49"/>
    <x v="0"/>
    <x v="19"/>
    <x v="11"/>
    <x v="26"/>
    <x v="28"/>
    <x v="23"/>
    <x v="11"/>
    <x v="31"/>
    <x v="24"/>
    <x v="5"/>
    <x v="1"/>
    <x v="11"/>
    <x v="26"/>
    <x v="11"/>
    <x v="44"/>
    <x v="46"/>
    <x v="1"/>
    <x v="48"/>
    <x v="0"/>
    <x v="0"/>
  </r>
  <r>
    <x v="56"/>
    <x v="1"/>
    <x v="0"/>
    <x v="11"/>
    <x v="21"/>
    <x v="39"/>
    <x v="32"/>
    <x v="11"/>
    <x v="27"/>
    <x v="30"/>
    <x v="16"/>
    <x v="0"/>
    <x v="11"/>
    <x v="21"/>
    <x v="11"/>
    <x v="46"/>
    <x v="66"/>
    <x v="1"/>
    <x v="50"/>
    <x v="0"/>
    <x v="0"/>
  </r>
  <r>
    <x v="66"/>
    <x v="1"/>
    <x v="0"/>
    <x v="0"/>
    <x v="4"/>
    <x v="25"/>
    <x v="19"/>
    <x v="0"/>
    <x v="23"/>
    <x v="9"/>
    <x v="44"/>
    <x v="0"/>
    <x v="0"/>
    <x v="4"/>
    <x v="0"/>
    <x v="45"/>
    <x v="39"/>
    <x v="1"/>
    <x v="49"/>
    <x v="2"/>
    <x v="0"/>
  </r>
  <r>
    <x v="66"/>
    <x v="1"/>
    <x v="0"/>
    <x v="2"/>
    <x v="26"/>
    <x v="32"/>
    <x v="5"/>
    <x v="2"/>
    <x v="34"/>
    <x v="8"/>
    <x v="23"/>
    <x v="0"/>
    <x v="2"/>
    <x v="26"/>
    <x v="2"/>
    <x v="66"/>
    <x v="32"/>
    <x v="1"/>
    <x v="70"/>
    <x v="0"/>
    <x v="0"/>
  </r>
  <r>
    <x v="66"/>
    <x v="1"/>
    <x v="0"/>
    <x v="5"/>
    <x v="1"/>
    <x v="27"/>
    <x v="10"/>
    <x v="1"/>
    <x v="34"/>
    <x v="16"/>
    <x v="37"/>
    <x v="0"/>
    <x v="5"/>
    <x v="1"/>
    <x v="5"/>
    <x v="56"/>
    <x v="32"/>
    <x v="0"/>
    <x v="24"/>
    <x v="3"/>
    <x v="0"/>
  </r>
  <r>
    <x v="66"/>
    <x v="1"/>
    <x v="0"/>
    <x v="7"/>
    <x v="6"/>
    <x v="14"/>
    <x v="25"/>
    <x v="7"/>
    <x v="23"/>
    <x v="7"/>
    <x v="10"/>
    <x v="0"/>
    <x v="7"/>
    <x v="6"/>
    <x v="6"/>
    <x v="28"/>
    <x v="34"/>
    <x v="1"/>
    <x v="32"/>
    <x v="3"/>
    <x v="0"/>
  </r>
  <r>
    <x v="66"/>
    <x v="1"/>
    <x v="0"/>
    <x v="12"/>
    <x v="13"/>
    <x v="31"/>
    <x v="5"/>
    <x v="12"/>
    <x v="19"/>
    <x v="22"/>
    <x v="35"/>
    <x v="0"/>
    <x v="12"/>
    <x v="13"/>
    <x v="12"/>
    <x v="65"/>
    <x v="31"/>
    <x v="1"/>
    <x v="69"/>
    <x v="0"/>
    <x v="2"/>
  </r>
  <r>
    <x v="66"/>
    <x v="1"/>
    <x v="0"/>
    <x v="14"/>
    <x v="32"/>
    <x v="13"/>
    <x v="12"/>
    <x v="31"/>
    <x v="34"/>
    <x v="10"/>
    <x v="8"/>
    <x v="0"/>
    <x v="14"/>
    <x v="30"/>
    <x v="14"/>
    <x v="40"/>
    <x v="20"/>
    <x v="0"/>
    <x v="40"/>
    <x v="3"/>
    <x v="2"/>
  </r>
  <r>
    <x v="66"/>
    <x v="1"/>
    <x v="0"/>
    <x v="15"/>
    <x v="3"/>
    <x v="4"/>
    <x v="39"/>
    <x v="15"/>
    <x v="30"/>
    <x v="14"/>
    <x v="0"/>
    <x v="0"/>
    <x v="15"/>
    <x v="3"/>
    <x v="3"/>
    <x v="4"/>
    <x v="38"/>
    <x v="1"/>
    <x v="8"/>
    <x v="3"/>
    <x v="0"/>
  </r>
  <r>
    <x v="66"/>
    <x v="1"/>
    <x v="0"/>
    <x v="23"/>
    <x v="8"/>
    <x v="24"/>
    <x v="22"/>
    <x v="23"/>
    <x v="25"/>
    <x v="16"/>
    <x v="26"/>
    <x v="0"/>
    <x v="23"/>
    <x v="8"/>
    <x v="23"/>
    <x v="41"/>
    <x v="41"/>
    <x v="1"/>
    <x v="45"/>
    <x v="3"/>
    <x v="0"/>
  </r>
  <r>
    <x v="66"/>
    <x v="1"/>
    <x v="0"/>
    <x v="27"/>
    <x v="19"/>
    <x v="21"/>
    <x v="15"/>
    <x v="16"/>
    <x v="20"/>
    <x v="20"/>
    <x v="32"/>
    <x v="0"/>
    <x v="16"/>
    <x v="19"/>
    <x v="16"/>
    <x v="45"/>
    <x v="31"/>
    <x v="1"/>
    <x v="49"/>
    <x v="3"/>
    <x v="2"/>
  </r>
  <r>
    <x v="66"/>
    <x v="1"/>
    <x v="0"/>
    <x v="28"/>
    <x v="29"/>
    <x v="30"/>
    <x v="15"/>
    <x v="29"/>
    <x v="25"/>
    <x v="10"/>
    <x v="3"/>
    <x v="0"/>
    <x v="28"/>
    <x v="27"/>
    <x v="28"/>
    <x v="54"/>
    <x v="40"/>
    <x v="1"/>
    <x v="58"/>
    <x v="0"/>
    <x v="0"/>
  </r>
  <r>
    <x v="66"/>
    <x v="1"/>
    <x v="0"/>
    <x v="30"/>
    <x v="25"/>
    <x v="10"/>
    <x v="29"/>
    <x v="25"/>
    <x v="29"/>
    <x v="23"/>
    <x v="6"/>
    <x v="0"/>
    <x v="17"/>
    <x v="25"/>
    <x v="25"/>
    <x v="20"/>
    <x v="34"/>
    <x v="0"/>
    <x v="60"/>
    <x v="0"/>
    <x v="2"/>
  </r>
  <r>
    <x v="66"/>
    <x v="1"/>
    <x v="0"/>
    <x v="31"/>
    <x v="10"/>
    <x v="17"/>
    <x v="25"/>
    <x v="30"/>
    <x v="34"/>
    <x v="21"/>
    <x v="34"/>
    <x v="0"/>
    <x v="29"/>
    <x v="10"/>
    <x v="10"/>
    <x v="31"/>
    <x v="37"/>
    <x v="1"/>
    <x v="35"/>
    <x v="3"/>
    <x v="0"/>
  </r>
  <r>
    <x v="66"/>
    <x v="1"/>
    <x v="0"/>
    <x v="33"/>
    <x v="22"/>
    <x v="25"/>
    <x v="12"/>
    <x v="22"/>
    <x v="33"/>
    <x v="14"/>
    <x v="9"/>
    <x v="0"/>
    <x v="31"/>
    <x v="22"/>
    <x v="32"/>
    <x v="52"/>
    <x v="32"/>
    <x v="0"/>
    <x v="28"/>
    <x v="3"/>
    <x v="0"/>
  </r>
  <r>
    <x v="71"/>
    <x v="1"/>
    <x v="0"/>
    <x v="9"/>
    <x v="24"/>
    <x v="17"/>
    <x v="21"/>
    <x v="9"/>
    <x v="31"/>
    <x v="18"/>
    <x v="38"/>
    <x v="0"/>
    <x v="9"/>
    <x v="24"/>
    <x v="24"/>
    <x v="35"/>
    <x v="33"/>
    <x v="1"/>
    <x v="39"/>
    <x v="3"/>
    <x v="0"/>
  </r>
  <r>
    <x v="71"/>
    <x v="1"/>
    <x v="0"/>
    <x v="18"/>
    <x v="20"/>
    <x v="21"/>
    <x v="36"/>
    <x v="20"/>
    <x v="22"/>
    <x v="28"/>
    <x v="40"/>
    <x v="0"/>
    <x v="18"/>
    <x v="20"/>
    <x v="20"/>
    <x v="24"/>
    <x v="52"/>
    <x v="0"/>
    <x v="56"/>
    <x v="0"/>
    <x v="0"/>
  </r>
  <r>
    <x v="88"/>
    <x v="1"/>
    <x v="9"/>
    <x v="1"/>
    <x v="25"/>
    <x v="32"/>
    <x v="29"/>
    <x v="25"/>
    <x v="32"/>
    <x v="33"/>
    <x v="12"/>
    <x v="0"/>
    <x v="1"/>
    <x v="25"/>
    <x v="1"/>
    <x v="42"/>
    <x v="56"/>
    <x v="0"/>
    <x v="38"/>
    <x v="3"/>
    <x v="0"/>
  </r>
  <r>
    <x v="88"/>
    <x v="1"/>
    <x v="9"/>
    <x v="3"/>
    <x v="24"/>
    <x v="35"/>
    <x v="33"/>
    <x v="3"/>
    <x v="29"/>
    <x v="16"/>
    <x v="33"/>
    <x v="0"/>
    <x v="3"/>
    <x v="24"/>
    <x v="3"/>
    <x v="41"/>
    <x v="63"/>
    <x v="1"/>
    <x v="45"/>
    <x v="3"/>
    <x v="0"/>
  </r>
  <r>
    <x v="88"/>
    <x v="1"/>
    <x v="9"/>
    <x v="4"/>
    <x v="11"/>
    <x v="20"/>
    <x v="28"/>
    <x v="11"/>
    <x v="15"/>
    <x v="24"/>
    <x v="2"/>
    <x v="0"/>
    <x v="4"/>
    <x v="11"/>
    <x v="11"/>
    <x v="31"/>
    <x v="43"/>
    <x v="0"/>
    <x v="49"/>
    <x v="3"/>
    <x v="0"/>
  </r>
  <r>
    <x v="88"/>
    <x v="1"/>
    <x v="9"/>
    <x v="9"/>
    <x v="6"/>
    <x v="21"/>
    <x v="20"/>
    <x v="9"/>
    <x v="31"/>
    <x v="16"/>
    <x v="38"/>
    <x v="0"/>
    <x v="9"/>
    <x v="6"/>
    <x v="9"/>
    <x v="40"/>
    <x v="36"/>
    <x v="1"/>
    <x v="44"/>
    <x v="3"/>
    <x v="0"/>
  </r>
  <r>
    <x v="88"/>
    <x v="1"/>
    <x v="9"/>
    <x v="10"/>
    <x v="15"/>
    <x v="45"/>
    <x v="2"/>
    <x v="10"/>
    <x v="19"/>
    <x v="24"/>
    <x v="11"/>
    <x v="0"/>
    <x v="10"/>
    <x v="15"/>
    <x v="10"/>
    <x v="80"/>
    <x v="41"/>
    <x v="1"/>
    <x v="84"/>
    <x v="0"/>
    <x v="0"/>
  </r>
  <r>
    <x v="88"/>
    <x v="1"/>
    <x v="9"/>
    <x v="13"/>
    <x v="7"/>
    <x v="16"/>
    <x v="25"/>
    <x v="7"/>
    <x v="34"/>
    <x v="12"/>
    <x v="22"/>
    <x v="0"/>
    <x v="13"/>
    <x v="7"/>
    <x v="7"/>
    <x v="30"/>
    <x v="36"/>
    <x v="0"/>
    <x v="50"/>
    <x v="0"/>
    <x v="0"/>
  </r>
  <r>
    <x v="88"/>
    <x v="1"/>
    <x v="9"/>
    <x v="18"/>
    <x v="12"/>
    <x v="10"/>
    <x v="21"/>
    <x v="12"/>
    <x v="31"/>
    <x v="29"/>
    <x v="40"/>
    <x v="0"/>
    <x v="18"/>
    <x v="12"/>
    <x v="12"/>
    <x v="28"/>
    <x v="26"/>
    <x v="0"/>
    <x v="52"/>
    <x v="0"/>
    <x v="2"/>
  </r>
  <r>
    <x v="88"/>
    <x v="1"/>
    <x v="9"/>
    <x v="19"/>
    <x v="31"/>
    <x v="17"/>
    <x v="22"/>
    <x v="19"/>
    <x v="35"/>
    <x v="16"/>
    <x v="24"/>
    <x v="0"/>
    <x v="19"/>
    <x v="29"/>
    <x v="29"/>
    <x v="34"/>
    <x v="34"/>
    <x v="1"/>
    <x v="38"/>
    <x v="3"/>
    <x v="0"/>
  </r>
  <r>
    <x v="88"/>
    <x v="1"/>
    <x v="9"/>
    <x v="20"/>
    <x v="27"/>
    <x v="32"/>
    <x v="19"/>
    <x v="20"/>
    <x v="23"/>
    <x v="41"/>
    <x v="13"/>
    <x v="0"/>
    <x v="20"/>
    <x v="16"/>
    <x v="20"/>
    <x v="52"/>
    <x v="46"/>
    <x v="1"/>
    <x v="56"/>
    <x v="0"/>
    <x v="0"/>
  </r>
  <r>
    <x v="88"/>
    <x v="1"/>
    <x v="9"/>
    <x v="21"/>
    <x v="5"/>
    <x v="27"/>
    <x v="11"/>
    <x v="21"/>
    <x v="27"/>
    <x v="27"/>
    <x v="20"/>
    <x v="0"/>
    <x v="21"/>
    <x v="5"/>
    <x v="21"/>
    <x v="55"/>
    <x v="33"/>
    <x v="1"/>
    <x v="59"/>
    <x v="0"/>
    <x v="2"/>
  </r>
  <r>
    <x v="88"/>
    <x v="1"/>
    <x v="9"/>
    <x v="23"/>
    <x v="14"/>
    <x v="29"/>
    <x v="2"/>
    <x v="23"/>
    <x v="19"/>
    <x v="11"/>
    <x v="26"/>
    <x v="0"/>
    <x v="23"/>
    <x v="14"/>
    <x v="23"/>
    <x v="67"/>
    <x v="25"/>
    <x v="1"/>
    <x v="71"/>
    <x v="0"/>
    <x v="2"/>
  </r>
  <r>
    <x v="88"/>
    <x v="1"/>
    <x v="9"/>
    <x v="26"/>
    <x v="29"/>
    <x v="21"/>
    <x v="0"/>
    <x v="27"/>
    <x v="9"/>
    <x v="14"/>
    <x v="15"/>
    <x v="0"/>
    <x v="26"/>
    <x v="27"/>
    <x v="26"/>
    <x v="62"/>
    <x v="14"/>
    <x v="1"/>
    <x v="66"/>
    <x v="0"/>
    <x v="2"/>
  </r>
  <r>
    <x v="88"/>
    <x v="1"/>
    <x v="9"/>
    <x v="28"/>
    <x v="8"/>
    <x v="21"/>
    <x v="25"/>
    <x v="8"/>
    <x v="31"/>
    <x v="17"/>
    <x v="3"/>
    <x v="0"/>
    <x v="28"/>
    <x v="8"/>
    <x v="8"/>
    <x v="35"/>
    <x v="41"/>
    <x v="0"/>
    <x v="45"/>
    <x v="2"/>
    <x v="0"/>
  </r>
  <r>
    <x v="88"/>
    <x v="1"/>
    <x v="9"/>
    <x v="32"/>
    <x v="2"/>
    <x v="23"/>
    <x v="11"/>
    <x v="2"/>
    <x v="25"/>
    <x v="12"/>
    <x v="28"/>
    <x v="0"/>
    <x v="30"/>
    <x v="2"/>
    <x v="30"/>
    <x v="51"/>
    <x v="29"/>
    <x v="0"/>
    <x v="29"/>
    <x v="3"/>
    <x v="1"/>
  </r>
  <r>
    <x v="88"/>
    <x v="1"/>
    <x v="9"/>
    <x v="33"/>
    <x v="0"/>
    <x v="19"/>
    <x v="19"/>
    <x v="32"/>
    <x v="28"/>
    <x v="24"/>
    <x v="9"/>
    <x v="0"/>
    <x v="31"/>
    <x v="0"/>
    <x v="32"/>
    <x v="39"/>
    <x v="33"/>
    <x v="1"/>
    <x v="43"/>
    <x v="3"/>
    <x v="2"/>
  </r>
  <r>
    <x v="93"/>
    <x v="1"/>
    <x v="9"/>
    <x v="22"/>
    <x v="30"/>
    <x v="25"/>
    <x v="14"/>
    <x v="22"/>
    <x v="23"/>
    <x v="22"/>
    <x v="26"/>
    <x v="0"/>
    <x v="22"/>
    <x v="17"/>
    <x v="22"/>
    <x v="50"/>
    <x v="34"/>
    <x v="1"/>
    <x v="54"/>
    <x v="0"/>
    <x v="1"/>
  </r>
  <r>
    <x v="110"/>
    <x v="1"/>
    <x v="10"/>
    <x v="3"/>
    <x v="20"/>
    <x v="31"/>
    <x v="29"/>
    <x v="20"/>
    <x v="22"/>
    <x v="43"/>
    <x v="33"/>
    <x v="0"/>
    <x v="3"/>
    <x v="20"/>
    <x v="3"/>
    <x v="41"/>
    <x v="55"/>
    <x v="0"/>
    <x v="39"/>
    <x v="3"/>
    <x v="0"/>
  </r>
  <r>
    <x v="110"/>
    <x v="1"/>
    <x v="10"/>
    <x v="4"/>
    <x v="14"/>
    <x v="13"/>
    <x v="8"/>
    <x v="4"/>
    <x v="30"/>
    <x v="21"/>
    <x v="2"/>
    <x v="0"/>
    <x v="4"/>
    <x v="14"/>
    <x v="4"/>
    <x v="44"/>
    <x v="16"/>
    <x v="1"/>
    <x v="48"/>
    <x v="0"/>
    <x v="2"/>
  </r>
  <r>
    <x v="110"/>
    <x v="1"/>
    <x v="10"/>
    <x v="5"/>
    <x v="11"/>
    <x v="14"/>
    <x v="25"/>
    <x v="11"/>
    <x v="27"/>
    <x v="25"/>
    <x v="37"/>
    <x v="0"/>
    <x v="5"/>
    <x v="11"/>
    <x v="11"/>
    <x v="28"/>
    <x v="34"/>
    <x v="0"/>
    <x v="52"/>
    <x v="0"/>
    <x v="2"/>
  </r>
  <r>
    <x v="110"/>
    <x v="1"/>
    <x v="10"/>
    <x v="6"/>
    <x v="28"/>
    <x v="5"/>
    <x v="11"/>
    <x v="6"/>
    <x v="35"/>
    <x v="11"/>
    <x v="31"/>
    <x v="0"/>
    <x v="6"/>
    <x v="28"/>
    <x v="28"/>
    <x v="33"/>
    <x v="11"/>
    <x v="1"/>
    <x v="37"/>
    <x v="3"/>
    <x v="2"/>
  </r>
  <r>
    <x v="110"/>
    <x v="1"/>
    <x v="10"/>
    <x v="7"/>
    <x v="18"/>
    <x v="14"/>
    <x v="14"/>
    <x v="18"/>
    <x v="33"/>
    <x v="19"/>
    <x v="10"/>
    <x v="0"/>
    <x v="7"/>
    <x v="18"/>
    <x v="7"/>
    <x v="39"/>
    <x v="23"/>
    <x v="0"/>
    <x v="41"/>
    <x v="3"/>
    <x v="2"/>
  </r>
  <r>
    <x v="110"/>
    <x v="1"/>
    <x v="10"/>
    <x v="13"/>
    <x v="26"/>
    <x v="17"/>
    <x v="21"/>
    <x v="27"/>
    <x v="15"/>
    <x v="13"/>
    <x v="22"/>
    <x v="0"/>
    <x v="13"/>
    <x v="26"/>
    <x v="26"/>
    <x v="35"/>
    <x v="33"/>
    <x v="0"/>
    <x v="45"/>
    <x v="3"/>
    <x v="0"/>
  </r>
  <r>
    <x v="110"/>
    <x v="1"/>
    <x v="10"/>
    <x v="19"/>
    <x v="10"/>
    <x v="20"/>
    <x v="24"/>
    <x v="10"/>
    <x v="31"/>
    <x v="24"/>
    <x v="24"/>
    <x v="0"/>
    <x v="19"/>
    <x v="10"/>
    <x v="10"/>
    <x v="35"/>
    <x v="39"/>
    <x v="0"/>
    <x v="45"/>
    <x v="2"/>
    <x v="0"/>
  </r>
  <r>
    <x v="110"/>
    <x v="1"/>
    <x v="10"/>
    <x v="21"/>
    <x v="12"/>
    <x v="37"/>
    <x v="31"/>
    <x v="21"/>
    <x v="29"/>
    <x v="36"/>
    <x v="20"/>
    <x v="0"/>
    <x v="21"/>
    <x v="12"/>
    <x v="21"/>
    <x v="45"/>
    <x v="63"/>
    <x v="1"/>
    <x v="49"/>
    <x v="0"/>
    <x v="0"/>
  </r>
  <r>
    <x v="110"/>
    <x v="1"/>
    <x v="10"/>
    <x v="24"/>
    <x v="23"/>
    <x v="31"/>
    <x v="22"/>
    <x v="23"/>
    <x v="31"/>
    <x v="16"/>
    <x v="30"/>
    <x v="0"/>
    <x v="24"/>
    <x v="23"/>
    <x v="24"/>
    <x v="48"/>
    <x v="48"/>
    <x v="0"/>
    <x v="32"/>
    <x v="3"/>
    <x v="0"/>
  </r>
  <r>
    <x v="110"/>
    <x v="1"/>
    <x v="10"/>
    <x v="25"/>
    <x v="22"/>
    <x v="13"/>
    <x v="27"/>
    <x v="25"/>
    <x v="21"/>
    <x v="27"/>
    <x v="18"/>
    <x v="0"/>
    <x v="25"/>
    <x v="22"/>
    <x v="22"/>
    <x v="25"/>
    <x v="35"/>
    <x v="1"/>
    <x v="29"/>
    <x v="3"/>
    <x v="2"/>
  </r>
  <r>
    <x v="110"/>
    <x v="1"/>
    <x v="10"/>
    <x v="27"/>
    <x v="15"/>
    <x v="17"/>
    <x v="15"/>
    <x v="16"/>
    <x v="8"/>
    <x v="23"/>
    <x v="32"/>
    <x v="0"/>
    <x v="16"/>
    <x v="15"/>
    <x v="16"/>
    <x v="41"/>
    <x v="27"/>
    <x v="1"/>
    <x v="45"/>
    <x v="3"/>
    <x v="2"/>
  </r>
  <r>
    <x v="110"/>
    <x v="1"/>
    <x v="10"/>
    <x v="29"/>
    <x v="0"/>
    <x v="10"/>
    <x v="8"/>
    <x v="0"/>
    <x v="31"/>
    <x v="20"/>
    <x v="4"/>
    <x v="0"/>
    <x v="27"/>
    <x v="0"/>
    <x v="27"/>
    <x v="41"/>
    <x v="13"/>
    <x v="0"/>
    <x v="39"/>
    <x v="3"/>
    <x v="2"/>
  </r>
  <r>
    <x v="110"/>
    <x v="1"/>
    <x v="10"/>
    <x v="30"/>
    <x v="2"/>
    <x v="4"/>
    <x v="35"/>
    <x v="2"/>
    <x v="25"/>
    <x v="18"/>
    <x v="6"/>
    <x v="0"/>
    <x v="17"/>
    <x v="2"/>
    <x v="2"/>
    <x v="8"/>
    <x v="34"/>
    <x v="0"/>
    <x v="72"/>
    <x v="0"/>
    <x v="0"/>
  </r>
  <r>
    <x v="110"/>
    <x v="1"/>
    <x v="10"/>
    <x v="31"/>
    <x v="1"/>
    <x v="13"/>
    <x v="11"/>
    <x v="30"/>
    <x v="35"/>
    <x v="24"/>
    <x v="34"/>
    <x v="0"/>
    <x v="29"/>
    <x v="1"/>
    <x v="29"/>
    <x v="41"/>
    <x v="19"/>
    <x v="1"/>
    <x v="45"/>
    <x v="0"/>
    <x v="2"/>
  </r>
  <r>
    <x v="110"/>
    <x v="1"/>
    <x v="10"/>
    <x v="32"/>
    <x v="9"/>
    <x v="14"/>
    <x v="12"/>
    <x v="31"/>
    <x v="23"/>
    <x v="22"/>
    <x v="28"/>
    <x v="0"/>
    <x v="30"/>
    <x v="9"/>
    <x v="30"/>
    <x v="41"/>
    <x v="21"/>
    <x v="1"/>
    <x v="45"/>
    <x v="3"/>
    <x v="2"/>
  </r>
  <r>
    <x v="115"/>
    <x v="1"/>
    <x v="10"/>
    <x v="8"/>
    <x v="33"/>
    <x v="15"/>
    <x v="14"/>
    <x v="8"/>
    <x v="30"/>
    <x v="24"/>
    <x v="5"/>
    <x v="0"/>
    <x v="8"/>
    <x v="31"/>
    <x v="8"/>
    <x v="40"/>
    <x v="24"/>
    <x v="1"/>
    <x v="44"/>
    <x v="3"/>
    <x v="2"/>
  </r>
  <r>
    <x v="132"/>
    <x v="1"/>
    <x v="11"/>
    <x v="0"/>
    <x v="22"/>
    <x v="24"/>
    <x v="29"/>
    <x v="22"/>
    <x v="34"/>
    <x v="24"/>
    <x v="44"/>
    <x v="0"/>
    <x v="0"/>
    <x v="22"/>
    <x v="22"/>
    <x v="34"/>
    <x v="48"/>
    <x v="0"/>
    <x v="46"/>
    <x v="0"/>
    <x v="0"/>
  </r>
  <r>
    <x v="132"/>
    <x v="1"/>
    <x v="11"/>
    <x v="2"/>
    <x v="23"/>
    <x v="31"/>
    <x v="15"/>
    <x v="2"/>
    <x v="27"/>
    <x v="21"/>
    <x v="23"/>
    <x v="0"/>
    <x v="2"/>
    <x v="23"/>
    <x v="2"/>
    <x v="55"/>
    <x v="41"/>
    <x v="1"/>
    <x v="59"/>
    <x v="0"/>
    <x v="0"/>
  </r>
  <r>
    <x v="132"/>
    <x v="1"/>
    <x v="11"/>
    <x v="5"/>
    <x v="4"/>
    <x v="31"/>
    <x v="27"/>
    <x v="5"/>
    <x v="23"/>
    <x v="18"/>
    <x v="37"/>
    <x v="0"/>
    <x v="5"/>
    <x v="4"/>
    <x v="5"/>
    <x v="43"/>
    <x v="53"/>
    <x v="1"/>
    <x v="47"/>
    <x v="3"/>
    <x v="0"/>
  </r>
  <r>
    <x v="132"/>
    <x v="1"/>
    <x v="11"/>
    <x v="6"/>
    <x v="3"/>
    <x v="20"/>
    <x v="18"/>
    <x v="3"/>
    <x v="31"/>
    <x v="20"/>
    <x v="31"/>
    <x v="0"/>
    <x v="6"/>
    <x v="3"/>
    <x v="6"/>
    <x v="41"/>
    <x v="33"/>
    <x v="0"/>
    <x v="39"/>
    <x v="3"/>
    <x v="1"/>
  </r>
  <r>
    <x v="132"/>
    <x v="1"/>
    <x v="11"/>
    <x v="7"/>
    <x v="32"/>
    <x v="10"/>
    <x v="29"/>
    <x v="7"/>
    <x v="34"/>
    <x v="9"/>
    <x v="10"/>
    <x v="0"/>
    <x v="7"/>
    <x v="30"/>
    <x v="30"/>
    <x v="20"/>
    <x v="34"/>
    <x v="1"/>
    <x v="24"/>
    <x v="3"/>
    <x v="0"/>
  </r>
  <r>
    <x v="132"/>
    <x v="1"/>
    <x v="11"/>
    <x v="8"/>
    <x v="10"/>
    <x v="27"/>
    <x v="32"/>
    <x v="8"/>
    <x v="32"/>
    <x v="27"/>
    <x v="5"/>
    <x v="0"/>
    <x v="8"/>
    <x v="10"/>
    <x v="10"/>
    <x v="34"/>
    <x v="54"/>
    <x v="1"/>
    <x v="38"/>
    <x v="3"/>
    <x v="0"/>
  </r>
  <r>
    <x v="132"/>
    <x v="1"/>
    <x v="11"/>
    <x v="11"/>
    <x v="9"/>
    <x v="46"/>
    <x v="21"/>
    <x v="11"/>
    <x v="13"/>
    <x v="27"/>
    <x v="16"/>
    <x v="0"/>
    <x v="11"/>
    <x v="9"/>
    <x v="11"/>
    <x v="64"/>
    <x v="62"/>
    <x v="1"/>
    <x v="68"/>
    <x v="0"/>
    <x v="0"/>
  </r>
  <r>
    <x v="132"/>
    <x v="1"/>
    <x v="11"/>
    <x v="12"/>
    <x v="26"/>
    <x v="14"/>
    <x v="8"/>
    <x v="12"/>
    <x v="29"/>
    <x v="27"/>
    <x v="35"/>
    <x v="0"/>
    <x v="12"/>
    <x v="26"/>
    <x v="12"/>
    <x v="45"/>
    <x v="17"/>
    <x v="1"/>
    <x v="49"/>
    <x v="0"/>
    <x v="2"/>
  </r>
  <r>
    <x v="132"/>
    <x v="1"/>
    <x v="11"/>
    <x v="14"/>
    <x v="21"/>
    <x v="7"/>
    <x v="21"/>
    <x v="21"/>
    <x v="19"/>
    <x v="24"/>
    <x v="8"/>
    <x v="0"/>
    <x v="14"/>
    <x v="21"/>
    <x v="21"/>
    <x v="25"/>
    <x v="23"/>
    <x v="0"/>
    <x v="55"/>
    <x v="0"/>
    <x v="2"/>
  </r>
  <r>
    <x v="132"/>
    <x v="1"/>
    <x v="11"/>
    <x v="15"/>
    <x v="19"/>
    <x v="19"/>
    <x v="15"/>
    <x v="19"/>
    <x v="31"/>
    <x v="14"/>
    <x v="0"/>
    <x v="0"/>
    <x v="15"/>
    <x v="19"/>
    <x v="15"/>
    <x v="43"/>
    <x v="29"/>
    <x v="0"/>
    <x v="37"/>
    <x v="3"/>
    <x v="2"/>
  </r>
  <r>
    <x v="132"/>
    <x v="1"/>
    <x v="11"/>
    <x v="24"/>
    <x v="20"/>
    <x v="16"/>
    <x v="29"/>
    <x v="20"/>
    <x v="24"/>
    <x v="45"/>
    <x v="30"/>
    <x v="0"/>
    <x v="24"/>
    <x v="20"/>
    <x v="20"/>
    <x v="26"/>
    <x v="40"/>
    <x v="0"/>
    <x v="54"/>
    <x v="0"/>
    <x v="2"/>
  </r>
  <r>
    <x v="132"/>
    <x v="1"/>
    <x v="11"/>
    <x v="25"/>
    <x v="28"/>
    <x v="20"/>
    <x v="22"/>
    <x v="25"/>
    <x v="17"/>
    <x v="21"/>
    <x v="18"/>
    <x v="0"/>
    <x v="25"/>
    <x v="28"/>
    <x v="28"/>
    <x v="37"/>
    <x v="37"/>
    <x v="1"/>
    <x v="41"/>
    <x v="3"/>
    <x v="0"/>
  </r>
  <r>
    <x v="132"/>
    <x v="1"/>
    <x v="11"/>
    <x v="27"/>
    <x v="18"/>
    <x v="23"/>
    <x v="14"/>
    <x v="16"/>
    <x v="23"/>
    <x v="24"/>
    <x v="32"/>
    <x v="0"/>
    <x v="16"/>
    <x v="18"/>
    <x v="16"/>
    <x v="48"/>
    <x v="32"/>
    <x v="1"/>
    <x v="52"/>
    <x v="0"/>
    <x v="2"/>
  </r>
  <r>
    <x v="132"/>
    <x v="1"/>
    <x v="11"/>
    <x v="29"/>
    <x v="1"/>
    <x v="25"/>
    <x v="28"/>
    <x v="1"/>
    <x v="25"/>
    <x v="12"/>
    <x v="4"/>
    <x v="0"/>
    <x v="27"/>
    <x v="1"/>
    <x v="1"/>
    <x v="36"/>
    <x v="48"/>
    <x v="0"/>
    <x v="44"/>
    <x v="3"/>
    <x v="0"/>
  </r>
  <r>
    <x v="132"/>
    <x v="1"/>
    <x v="11"/>
    <x v="30"/>
    <x v="33"/>
    <x v="7"/>
    <x v="15"/>
    <x v="32"/>
    <x v="31"/>
    <x v="22"/>
    <x v="6"/>
    <x v="0"/>
    <x v="17"/>
    <x v="31"/>
    <x v="32"/>
    <x v="31"/>
    <x v="17"/>
    <x v="0"/>
    <x v="49"/>
    <x v="0"/>
    <x v="2"/>
  </r>
  <r>
    <x v="137"/>
    <x v="1"/>
    <x v="11"/>
    <x v="31"/>
    <x v="13"/>
    <x v="21"/>
    <x v="15"/>
    <x v="30"/>
    <x v="17"/>
    <x v="15"/>
    <x v="34"/>
    <x v="0"/>
    <x v="29"/>
    <x v="13"/>
    <x v="29"/>
    <x v="45"/>
    <x v="31"/>
    <x v="1"/>
    <x v="49"/>
    <x v="3"/>
    <x v="0"/>
  </r>
  <r>
    <x v="154"/>
    <x v="1"/>
    <x v="12"/>
    <x v="1"/>
    <x v="11"/>
    <x v="11"/>
    <x v="23"/>
    <x v="11"/>
    <x v="24"/>
    <x v="40"/>
    <x v="12"/>
    <x v="0"/>
    <x v="1"/>
    <x v="11"/>
    <x v="11"/>
    <x v="27"/>
    <x v="29"/>
    <x v="0"/>
    <x v="53"/>
    <x v="0"/>
    <x v="2"/>
  </r>
  <r>
    <x v="154"/>
    <x v="1"/>
    <x v="12"/>
    <x v="3"/>
    <x v="25"/>
    <x v="28"/>
    <x v="22"/>
    <x v="25"/>
    <x v="31"/>
    <x v="40"/>
    <x v="33"/>
    <x v="0"/>
    <x v="3"/>
    <x v="25"/>
    <x v="3"/>
    <x v="45"/>
    <x v="45"/>
    <x v="0"/>
    <x v="35"/>
    <x v="3"/>
    <x v="0"/>
  </r>
  <r>
    <x v="154"/>
    <x v="1"/>
    <x v="12"/>
    <x v="4"/>
    <x v="21"/>
    <x v="24"/>
    <x v="28"/>
    <x v="21"/>
    <x v="24"/>
    <x v="37"/>
    <x v="2"/>
    <x v="0"/>
    <x v="4"/>
    <x v="21"/>
    <x v="21"/>
    <x v="35"/>
    <x v="47"/>
    <x v="0"/>
    <x v="45"/>
    <x v="3"/>
    <x v="0"/>
  </r>
  <r>
    <x v="154"/>
    <x v="1"/>
    <x v="12"/>
    <x v="9"/>
    <x v="27"/>
    <x v="21"/>
    <x v="27"/>
    <x v="16"/>
    <x v="30"/>
    <x v="27"/>
    <x v="38"/>
    <x v="0"/>
    <x v="9"/>
    <x v="16"/>
    <x v="16"/>
    <x v="33"/>
    <x v="43"/>
    <x v="0"/>
    <x v="47"/>
    <x v="0"/>
    <x v="0"/>
  </r>
  <r>
    <x v="154"/>
    <x v="1"/>
    <x v="12"/>
    <x v="12"/>
    <x v="24"/>
    <x v="17"/>
    <x v="23"/>
    <x v="12"/>
    <x v="28"/>
    <x v="31"/>
    <x v="35"/>
    <x v="0"/>
    <x v="12"/>
    <x v="24"/>
    <x v="24"/>
    <x v="33"/>
    <x v="35"/>
    <x v="1"/>
    <x v="37"/>
    <x v="3"/>
    <x v="2"/>
  </r>
  <r>
    <x v="154"/>
    <x v="1"/>
    <x v="12"/>
    <x v="13"/>
    <x v="15"/>
    <x v="21"/>
    <x v="26"/>
    <x v="13"/>
    <x v="34"/>
    <x v="10"/>
    <x v="22"/>
    <x v="0"/>
    <x v="13"/>
    <x v="15"/>
    <x v="15"/>
    <x v="34"/>
    <x v="42"/>
    <x v="1"/>
    <x v="38"/>
    <x v="3"/>
    <x v="0"/>
  </r>
  <r>
    <x v="154"/>
    <x v="1"/>
    <x v="12"/>
    <x v="14"/>
    <x v="6"/>
    <x v="17"/>
    <x v="28"/>
    <x v="6"/>
    <x v="32"/>
    <x v="8"/>
    <x v="8"/>
    <x v="0"/>
    <x v="14"/>
    <x v="6"/>
    <x v="6"/>
    <x v="28"/>
    <x v="40"/>
    <x v="0"/>
    <x v="52"/>
    <x v="0"/>
    <x v="0"/>
  </r>
  <r>
    <x v="154"/>
    <x v="1"/>
    <x v="12"/>
    <x v="19"/>
    <x v="0"/>
    <x v="31"/>
    <x v="8"/>
    <x v="19"/>
    <x v="30"/>
    <x v="24"/>
    <x v="24"/>
    <x v="0"/>
    <x v="19"/>
    <x v="0"/>
    <x v="19"/>
    <x v="62"/>
    <x v="34"/>
    <x v="1"/>
    <x v="66"/>
    <x v="0"/>
    <x v="2"/>
  </r>
  <r>
    <x v="154"/>
    <x v="1"/>
    <x v="12"/>
    <x v="20"/>
    <x v="23"/>
    <x v="27"/>
    <x v="19"/>
    <x v="20"/>
    <x v="22"/>
    <x v="34"/>
    <x v="13"/>
    <x v="0"/>
    <x v="20"/>
    <x v="23"/>
    <x v="20"/>
    <x v="47"/>
    <x v="41"/>
    <x v="1"/>
    <x v="51"/>
    <x v="0"/>
    <x v="0"/>
  </r>
  <r>
    <x v="154"/>
    <x v="1"/>
    <x v="12"/>
    <x v="22"/>
    <x v="29"/>
    <x v="22"/>
    <x v="34"/>
    <x v="22"/>
    <x v="17"/>
    <x v="21"/>
    <x v="26"/>
    <x v="0"/>
    <x v="22"/>
    <x v="27"/>
    <x v="27"/>
    <x v="27"/>
    <x v="51"/>
    <x v="1"/>
    <x v="31"/>
    <x v="3"/>
    <x v="0"/>
  </r>
  <r>
    <x v="154"/>
    <x v="1"/>
    <x v="12"/>
    <x v="26"/>
    <x v="32"/>
    <x v="35"/>
    <x v="15"/>
    <x v="27"/>
    <x v="31"/>
    <x v="14"/>
    <x v="15"/>
    <x v="0"/>
    <x v="26"/>
    <x v="30"/>
    <x v="26"/>
    <x v="59"/>
    <x v="45"/>
    <x v="1"/>
    <x v="63"/>
    <x v="0"/>
    <x v="0"/>
  </r>
  <r>
    <x v="154"/>
    <x v="1"/>
    <x v="12"/>
    <x v="28"/>
    <x v="31"/>
    <x v="45"/>
    <x v="2"/>
    <x v="29"/>
    <x v="31"/>
    <x v="17"/>
    <x v="3"/>
    <x v="0"/>
    <x v="28"/>
    <x v="29"/>
    <x v="28"/>
    <x v="80"/>
    <x v="41"/>
    <x v="1"/>
    <x v="84"/>
    <x v="0"/>
    <x v="0"/>
  </r>
  <r>
    <x v="159"/>
    <x v="1"/>
    <x v="12"/>
    <x v="10"/>
    <x v="5"/>
    <x v="21"/>
    <x v="11"/>
    <x v="10"/>
    <x v="23"/>
    <x v="28"/>
    <x v="11"/>
    <x v="0"/>
    <x v="10"/>
    <x v="5"/>
    <x v="10"/>
    <x v="49"/>
    <x v="27"/>
    <x v="1"/>
    <x v="53"/>
    <x v="0"/>
    <x v="2"/>
  </r>
  <r>
    <x v="176"/>
    <x v="1"/>
    <x v="13"/>
    <x v="1"/>
    <x v="4"/>
    <x v="28"/>
    <x v="15"/>
    <x v="1"/>
    <x v="30"/>
    <x v="33"/>
    <x v="12"/>
    <x v="0"/>
    <x v="1"/>
    <x v="4"/>
    <x v="1"/>
    <x v="52"/>
    <x v="38"/>
    <x v="1"/>
    <x v="56"/>
    <x v="0"/>
    <x v="2"/>
  </r>
  <r>
    <x v="176"/>
    <x v="1"/>
    <x v="13"/>
    <x v="2"/>
    <x v="12"/>
    <x v="26"/>
    <x v="12"/>
    <x v="2"/>
    <x v="23"/>
    <x v="21"/>
    <x v="23"/>
    <x v="0"/>
    <x v="2"/>
    <x v="12"/>
    <x v="2"/>
    <x v="53"/>
    <x v="33"/>
    <x v="1"/>
    <x v="57"/>
    <x v="0"/>
    <x v="2"/>
  </r>
  <r>
    <x v="176"/>
    <x v="1"/>
    <x v="13"/>
    <x v="5"/>
    <x v="19"/>
    <x v="36"/>
    <x v="8"/>
    <x v="5"/>
    <x v="32"/>
    <x v="18"/>
    <x v="37"/>
    <x v="0"/>
    <x v="5"/>
    <x v="19"/>
    <x v="5"/>
    <x v="67"/>
    <x v="39"/>
    <x v="1"/>
    <x v="71"/>
    <x v="0"/>
    <x v="0"/>
  </r>
  <r>
    <x v="176"/>
    <x v="1"/>
    <x v="13"/>
    <x v="6"/>
    <x v="13"/>
    <x v="24"/>
    <x v="15"/>
    <x v="6"/>
    <x v="28"/>
    <x v="15"/>
    <x v="31"/>
    <x v="0"/>
    <x v="6"/>
    <x v="13"/>
    <x v="6"/>
    <x v="48"/>
    <x v="34"/>
    <x v="1"/>
    <x v="52"/>
    <x v="0"/>
    <x v="0"/>
  </r>
  <r>
    <x v="176"/>
    <x v="1"/>
    <x v="13"/>
    <x v="10"/>
    <x v="28"/>
    <x v="16"/>
    <x v="23"/>
    <x v="10"/>
    <x v="27"/>
    <x v="24"/>
    <x v="11"/>
    <x v="0"/>
    <x v="10"/>
    <x v="28"/>
    <x v="28"/>
    <x v="32"/>
    <x v="34"/>
    <x v="1"/>
    <x v="36"/>
    <x v="3"/>
    <x v="2"/>
  </r>
  <r>
    <x v="176"/>
    <x v="1"/>
    <x v="13"/>
    <x v="11"/>
    <x v="30"/>
    <x v="21"/>
    <x v="2"/>
    <x v="11"/>
    <x v="9"/>
    <x v="29"/>
    <x v="16"/>
    <x v="0"/>
    <x v="11"/>
    <x v="17"/>
    <x v="11"/>
    <x v="59"/>
    <x v="17"/>
    <x v="1"/>
    <x v="63"/>
    <x v="0"/>
    <x v="2"/>
  </r>
  <r>
    <x v="176"/>
    <x v="1"/>
    <x v="13"/>
    <x v="20"/>
    <x v="8"/>
    <x v="17"/>
    <x v="14"/>
    <x v="20"/>
    <x v="23"/>
    <x v="43"/>
    <x v="13"/>
    <x v="0"/>
    <x v="20"/>
    <x v="8"/>
    <x v="20"/>
    <x v="42"/>
    <x v="26"/>
    <x v="1"/>
    <x v="46"/>
    <x v="3"/>
    <x v="2"/>
  </r>
  <r>
    <x v="176"/>
    <x v="1"/>
    <x v="13"/>
    <x v="22"/>
    <x v="3"/>
    <x v="24"/>
    <x v="22"/>
    <x v="22"/>
    <x v="31"/>
    <x v="32"/>
    <x v="26"/>
    <x v="0"/>
    <x v="22"/>
    <x v="3"/>
    <x v="22"/>
    <x v="41"/>
    <x v="41"/>
    <x v="1"/>
    <x v="45"/>
    <x v="2"/>
    <x v="0"/>
  </r>
  <r>
    <x v="176"/>
    <x v="1"/>
    <x v="13"/>
    <x v="24"/>
    <x v="7"/>
    <x v="21"/>
    <x v="15"/>
    <x v="24"/>
    <x v="24"/>
    <x v="24"/>
    <x v="30"/>
    <x v="0"/>
    <x v="24"/>
    <x v="7"/>
    <x v="24"/>
    <x v="45"/>
    <x v="31"/>
    <x v="1"/>
    <x v="49"/>
    <x v="0"/>
    <x v="2"/>
  </r>
  <r>
    <x v="176"/>
    <x v="1"/>
    <x v="13"/>
    <x v="26"/>
    <x v="14"/>
    <x v="14"/>
    <x v="11"/>
    <x v="27"/>
    <x v="12"/>
    <x v="14"/>
    <x v="15"/>
    <x v="0"/>
    <x v="26"/>
    <x v="14"/>
    <x v="26"/>
    <x v="42"/>
    <x v="20"/>
    <x v="1"/>
    <x v="46"/>
    <x v="3"/>
    <x v="2"/>
  </r>
  <r>
    <x v="176"/>
    <x v="1"/>
    <x v="13"/>
    <x v="31"/>
    <x v="21"/>
    <x v="23"/>
    <x v="18"/>
    <x v="21"/>
    <x v="24"/>
    <x v="33"/>
    <x v="34"/>
    <x v="0"/>
    <x v="29"/>
    <x v="21"/>
    <x v="29"/>
    <x v="44"/>
    <x v="36"/>
    <x v="0"/>
    <x v="36"/>
    <x v="3"/>
    <x v="2"/>
  </r>
  <r>
    <x v="176"/>
    <x v="1"/>
    <x v="13"/>
    <x v="33"/>
    <x v="25"/>
    <x v="10"/>
    <x v="18"/>
    <x v="25"/>
    <x v="31"/>
    <x v="27"/>
    <x v="9"/>
    <x v="0"/>
    <x v="31"/>
    <x v="25"/>
    <x v="25"/>
    <x v="31"/>
    <x v="23"/>
    <x v="0"/>
    <x v="49"/>
    <x v="0"/>
    <x v="2"/>
  </r>
  <r>
    <x v="181"/>
    <x v="1"/>
    <x v="13"/>
    <x v="23"/>
    <x v="18"/>
    <x v="21"/>
    <x v="4"/>
    <x v="23"/>
    <x v="22"/>
    <x v="17"/>
    <x v="26"/>
    <x v="0"/>
    <x v="23"/>
    <x v="18"/>
    <x v="23"/>
    <x v="56"/>
    <x v="20"/>
    <x v="1"/>
    <x v="60"/>
    <x v="0"/>
    <x v="2"/>
  </r>
  <r>
    <x v="198"/>
    <x v="1"/>
    <x v="14"/>
    <x v="0"/>
    <x v="26"/>
    <x v="17"/>
    <x v="30"/>
    <x v="27"/>
    <x v="28"/>
    <x v="27"/>
    <x v="44"/>
    <x v="0"/>
    <x v="0"/>
    <x v="26"/>
    <x v="26"/>
    <x v="26"/>
    <x v="42"/>
    <x v="0"/>
    <x v="54"/>
    <x v="0"/>
    <x v="0"/>
  </r>
  <r>
    <x v="198"/>
    <x v="1"/>
    <x v="14"/>
    <x v="4"/>
    <x v="33"/>
    <x v="30"/>
    <x v="18"/>
    <x v="4"/>
    <x v="32"/>
    <x v="23"/>
    <x v="2"/>
    <x v="0"/>
    <x v="4"/>
    <x v="31"/>
    <x v="4"/>
    <x v="51"/>
    <x v="43"/>
    <x v="1"/>
    <x v="55"/>
    <x v="0"/>
    <x v="0"/>
  </r>
  <r>
    <x v="198"/>
    <x v="1"/>
    <x v="14"/>
    <x v="7"/>
    <x v="29"/>
    <x v="3"/>
    <x v="2"/>
    <x v="7"/>
    <x v="31"/>
    <x v="16"/>
    <x v="10"/>
    <x v="0"/>
    <x v="7"/>
    <x v="27"/>
    <x v="7"/>
    <x v="41"/>
    <x v="1"/>
    <x v="1"/>
    <x v="45"/>
    <x v="2"/>
    <x v="2"/>
  </r>
  <r>
    <x v="198"/>
    <x v="1"/>
    <x v="14"/>
    <x v="8"/>
    <x v="30"/>
    <x v="31"/>
    <x v="5"/>
    <x v="8"/>
    <x v="9"/>
    <x v="20"/>
    <x v="5"/>
    <x v="0"/>
    <x v="8"/>
    <x v="17"/>
    <x v="8"/>
    <x v="65"/>
    <x v="31"/>
    <x v="1"/>
    <x v="69"/>
    <x v="0"/>
    <x v="2"/>
  </r>
  <r>
    <x v="198"/>
    <x v="1"/>
    <x v="14"/>
    <x v="10"/>
    <x v="1"/>
    <x v="13"/>
    <x v="21"/>
    <x v="10"/>
    <x v="28"/>
    <x v="28"/>
    <x v="11"/>
    <x v="0"/>
    <x v="10"/>
    <x v="1"/>
    <x v="1"/>
    <x v="31"/>
    <x v="29"/>
    <x v="1"/>
    <x v="35"/>
    <x v="3"/>
    <x v="2"/>
  </r>
  <r>
    <x v="198"/>
    <x v="1"/>
    <x v="14"/>
    <x v="18"/>
    <x v="9"/>
    <x v="12"/>
    <x v="16"/>
    <x v="9"/>
    <x v="35"/>
    <x v="17"/>
    <x v="40"/>
    <x v="0"/>
    <x v="18"/>
    <x v="9"/>
    <x v="9"/>
    <x v="35"/>
    <x v="23"/>
    <x v="0"/>
    <x v="45"/>
    <x v="0"/>
    <x v="2"/>
  </r>
  <r>
    <x v="198"/>
    <x v="1"/>
    <x v="14"/>
    <x v="19"/>
    <x v="11"/>
    <x v="24"/>
    <x v="31"/>
    <x v="11"/>
    <x v="15"/>
    <x v="28"/>
    <x v="24"/>
    <x v="0"/>
    <x v="19"/>
    <x v="11"/>
    <x v="11"/>
    <x v="32"/>
    <x v="50"/>
    <x v="0"/>
    <x v="48"/>
    <x v="3"/>
    <x v="0"/>
  </r>
  <r>
    <x v="198"/>
    <x v="1"/>
    <x v="14"/>
    <x v="21"/>
    <x v="13"/>
    <x v="56"/>
    <x v="5"/>
    <x v="21"/>
    <x v="9"/>
    <x v="32"/>
    <x v="20"/>
    <x v="0"/>
    <x v="21"/>
    <x v="13"/>
    <x v="21"/>
    <x v="83"/>
    <x v="59"/>
    <x v="1"/>
    <x v="86"/>
    <x v="0"/>
    <x v="0"/>
  </r>
  <r>
    <x v="198"/>
    <x v="1"/>
    <x v="14"/>
    <x v="23"/>
    <x v="27"/>
    <x v="24"/>
    <x v="19"/>
    <x v="16"/>
    <x v="35"/>
    <x v="21"/>
    <x v="26"/>
    <x v="0"/>
    <x v="23"/>
    <x v="16"/>
    <x v="23"/>
    <x v="44"/>
    <x v="38"/>
    <x v="0"/>
    <x v="36"/>
    <x v="3"/>
    <x v="0"/>
  </r>
  <r>
    <x v="198"/>
    <x v="1"/>
    <x v="14"/>
    <x v="24"/>
    <x v="15"/>
    <x v="0"/>
    <x v="26"/>
    <x v="24"/>
    <x v="30"/>
    <x v="17"/>
    <x v="30"/>
    <x v="0"/>
    <x v="24"/>
    <x v="15"/>
    <x v="15"/>
    <x v="10"/>
    <x v="18"/>
    <x v="1"/>
    <x v="14"/>
    <x v="3"/>
    <x v="2"/>
  </r>
  <r>
    <x v="198"/>
    <x v="1"/>
    <x v="14"/>
    <x v="31"/>
    <x v="5"/>
    <x v="15"/>
    <x v="22"/>
    <x v="5"/>
    <x v="33"/>
    <x v="22"/>
    <x v="45"/>
    <x v="0"/>
    <x v="29"/>
    <x v="5"/>
    <x v="5"/>
    <x v="32"/>
    <x v="32"/>
    <x v="0"/>
    <x v="48"/>
    <x v="0"/>
    <x v="2"/>
  </r>
  <r>
    <x v="198"/>
    <x v="1"/>
    <x v="14"/>
    <x v="32"/>
    <x v="12"/>
    <x v="4"/>
    <x v="39"/>
    <x v="31"/>
    <x v="32"/>
    <x v="22"/>
    <x v="28"/>
    <x v="0"/>
    <x v="30"/>
    <x v="12"/>
    <x v="12"/>
    <x v="4"/>
    <x v="38"/>
    <x v="1"/>
    <x v="8"/>
    <x v="3"/>
    <x v="0"/>
  </r>
  <r>
    <x v="203"/>
    <x v="1"/>
    <x v="14"/>
    <x v="14"/>
    <x v="2"/>
    <x v="9"/>
    <x v="5"/>
    <x v="2"/>
    <x v="16"/>
    <x v="12"/>
    <x v="8"/>
    <x v="0"/>
    <x v="14"/>
    <x v="2"/>
    <x v="14"/>
    <x v="43"/>
    <x v="9"/>
    <x v="0"/>
    <x v="37"/>
    <x v="3"/>
    <x v="2"/>
  </r>
  <r>
    <x v="220"/>
    <x v="1"/>
    <x v="15"/>
    <x v="2"/>
    <x v="0"/>
    <x v="27"/>
    <x v="25"/>
    <x v="2"/>
    <x v="14"/>
    <x v="20"/>
    <x v="23"/>
    <x v="0"/>
    <x v="2"/>
    <x v="0"/>
    <x v="2"/>
    <x v="41"/>
    <x v="47"/>
    <x v="1"/>
    <x v="45"/>
    <x v="3"/>
    <x v="0"/>
  </r>
  <r>
    <x v="220"/>
    <x v="1"/>
    <x v="15"/>
    <x v="3"/>
    <x v="33"/>
    <x v="20"/>
    <x v="0"/>
    <x v="3"/>
    <x v="29"/>
    <x v="27"/>
    <x v="36"/>
    <x v="0"/>
    <x v="3"/>
    <x v="31"/>
    <x v="3"/>
    <x v="61"/>
    <x v="13"/>
    <x v="1"/>
    <x v="65"/>
    <x v="0"/>
    <x v="2"/>
  </r>
  <r>
    <x v="220"/>
    <x v="1"/>
    <x v="15"/>
    <x v="4"/>
    <x v="19"/>
    <x v="18"/>
    <x v="22"/>
    <x v="4"/>
    <x v="31"/>
    <x v="28"/>
    <x v="2"/>
    <x v="0"/>
    <x v="4"/>
    <x v="19"/>
    <x v="19"/>
    <x v="35"/>
    <x v="35"/>
    <x v="1"/>
    <x v="39"/>
    <x v="3"/>
    <x v="2"/>
  </r>
  <r>
    <x v="220"/>
    <x v="1"/>
    <x v="15"/>
    <x v="9"/>
    <x v="10"/>
    <x v="7"/>
    <x v="43"/>
    <x v="10"/>
    <x v="30"/>
    <x v="21"/>
    <x v="38"/>
    <x v="0"/>
    <x v="9"/>
    <x v="10"/>
    <x v="10"/>
    <x v="3"/>
    <x v="45"/>
    <x v="0"/>
    <x v="77"/>
    <x v="0"/>
    <x v="0"/>
  </r>
  <r>
    <x v="220"/>
    <x v="1"/>
    <x v="15"/>
    <x v="12"/>
    <x v="14"/>
    <x v="21"/>
    <x v="12"/>
    <x v="12"/>
    <x v="17"/>
    <x v="16"/>
    <x v="35"/>
    <x v="0"/>
    <x v="12"/>
    <x v="14"/>
    <x v="12"/>
    <x v="48"/>
    <x v="28"/>
    <x v="1"/>
    <x v="52"/>
    <x v="2"/>
    <x v="2"/>
  </r>
  <r>
    <x v="220"/>
    <x v="1"/>
    <x v="15"/>
    <x v="22"/>
    <x v="18"/>
    <x v="17"/>
    <x v="15"/>
    <x v="22"/>
    <x v="17"/>
    <x v="21"/>
    <x v="26"/>
    <x v="0"/>
    <x v="22"/>
    <x v="18"/>
    <x v="22"/>
    <x v="41"/>
    <x v="27"/>
    <x v="1"/>
    <x v="45"/>
    <x v="3"/>
    <x v="2"/>
  </r>
  <r>
    <x v="220"/>
    <x v="1"/>
    <x v="15"/>
    <x v="25"/>
    <x v="8"/>
    <x v="31"/>
    <x v="5"/>
    <x v="25"/>
    <x v="31"/>
    <x v="33"/>
    <x v="18"/>
    <x v="0"/>
    <x v="25"/>
    <x v="8"/>
    <x v="25"/>
    <x v="65"/>
    <x v="31"/>
    <x v="1"/>
    <x v="69"/>
    <x v="0"/>
    <x v="2"/>
  </r>
  <r>
    <x v="220"/>
    <x v="1"/>
    <x v="15"/>
    <x v="26"/>
    <x v="20"/>
    <x v="22"/>
    <x v="15"/>
    <x v="20"/>
    <x v="31"/>
    <x v="38"/>
    <x v="15"/>
    <x v="0"/>
    <x v="26"/>
    <x v="20"/>
    <x v="26"/>
    <x v="46"/>
    <x v="32"/>
    <x v="0"/>
    <x v="34"/>
    <x v="3"/>
    <x v="2"/>
  </r>
  <r>
    <x v="220"/>
    <x v="1"/>
    <x v="15"/>
    <x v="28"/>
    <x v="7"/>
    <x v="17"/>
    <x v="8"/>
    <x v="29"/>
    <x v="18"/>
    <x v="11"/>
    <x v="3"/>
    <x v="0"/>
    <x v="28"/>
    <x v="7"/>
    <x v="28"/>
    <x v="48"/>
    <x v="20"/>
    <x v="1"/>
    <x v="52"/>
    <x v="0"/>
    <x v="2"/>
  </r>
  <r>
    <x v="220"/>
    <x v="1"/>
    <x v="15"/>
    <x v="29"/>
    <x v="6"/>
    <x v="9"/>
    <x v="32"/>
    <x v="6"/>
    <x v="34"/>
    <x v="9"/>
    <x v="4"/>
    <x v="0"/>
    <x v="27"/>
    <x v="6"/>
    <x v="6"/>
    <x v="16"/>
    <x v="36"/>
    <x v="0"/>
    <x v="64"/>
    <x v="0"/>
    <x v="0"/>
  </r>
  <r>
    <x v="220"/>
    <x v="1"/>
    <x v="15"/>
    <x v="30"/>
    <x v="21"/>
    <x v="28"/>
    <x v="19"/>
    <x v="21"/>
    <x v="9"/>
    <x v="31"/>
    <x v="6"/>
    <x v="0"/>
    <x v="17"/>
    <x v="21"/>
    <x v="17"/>
    <x v="48"/>
    <x v="42"/>
    <x v="0"/>
    <x v="32"/>
    <x v="3"/>
    <x v="0"/>
  </r>
  <r>
    <x v="220"/>
    <x v="1"/>
    <x v="15"/>
    <x v="32"/>
    <x v="13"/>
    <x v="24"/>
    <x v="8"/>
    <x v="31"/>
    <x v="22"/>
    <x v="21"/>
    <x v="28"/>
    <x v="0"/>
    <x v="30"/>
    <x v="13"/>
    <x v="30"/>
    <x v="55"/>
    <x v="27"/>
    <x v="1"/>
    <x v="59"/>
    <x v="0"/>
    <x v="2"/>
  </r>
  <r>
    <x v="225"/>
    <x v="1"/>
    <x v="15"/>
    <x v="15"/>
    <x v="27"/>
    <x v="20"/>
    <x v="18"/>
    <x v="16"/>
    <x v="31"/>
    <x v="23"/>
    <x v="0"/>
    <x v="0"/>
    <x v="15"/>
    <x v="16"/>
    <x v="15"/>
    <x v="41"/>
    <x v="33"/>
    <x v="0"/>
    <x v="39"/>
    <x v="3"/>
    <x v="2"/>
  </r>
  <r>
    <x v="242"/>
    <x v="1"/>
    <x v="16"/>
    <x v="0"/>
    <x v="30"/>
    <x v="16"/>
    <x v="11"/>
    <x v="0"/>
    <x v="31"/>
    <x v="17"/>
    <x v="44"/>
    <x v="0"/>
    <x v="0"/>
    <x v="17"/>
    <x v="0"/>
    <x v="44"/>
    <x v="22"/>
    <x v="1"/>
    <x v="48"/>
    <x v="0"/>
    <x v="2"/>
  </r>
  <r>
    <x v="242"/>
    <x v="1"/>
    <x v="16"/>
    <x v="3"/>
    <x v="23"/>
    <x v="8"/>
    <x v="25"/>
    <x v="3"/>
    <x v="32"/>
    <x v="24"/>
    <x v="33"/>
    <x v="0"/>
    <x v="3"/>
    <x v="23"/>
    <x v="23"/>
    <x v="22"/>
    <x v="28"/>
    <x v="1"/>
    <x v="26"/>
    <x v="3"/>
    <x v="2"/>
  </r>
  <r>
    <x v="242"/>
    <x v="1"/>
    <x v="16"/>
    <x v="8"/>
    <x v="29"/>
    <x v="20"/>
    <x v="11"/>
    <x v="8"/>
    <x v="15"/>
    <x v="24"/>
    <x v="5"/>
    <x v="0"/>
    <x v="8"/>
    <x v="27"/>
    <x v="8"/>
    <x v="48"/>
    <x v="26"/>
    <x v="1"/>
    <x v="52"/>
    <x v="3"/>
    <x v="2"/>
  </r>
  <r>
    <x v="242"/>
    <x v="1"/>
    <x v="16"/>
    <x v="12"/>
    <x v="7"/>
    <x v="27"/>
    <x v="10"/>
    <x v="12"/>
    <x v="16"/>
    <x v="16"/>
    <x v="35"/>
    <x v="0"/>
    <x v="12"/>
    <x v="7"/>
    <x v="12"/>
    <x v="56"/>
    <x v="32"/>
    <x v="1"/>
    <x v="60"/>
    <x v="0"/>
    <x v="0"/>
  </r>
  <r>
    <x v="242"/>
    <x v="1"/>
    <x v="16"/>
    <x v="13"/>
    <x v="1"/>
    <x v="4"/>
    <x v="29"/>
    <x v="1"/>
    <x v="23"/>
    <x v="25"/>
    <x v="22"/>
    <x v="0"/>
    <x v="13"/>
    <x v="1"/>
    <x v="1"/>
    <x v="14"/>
    <x v="28"/>
    <x v="0"/>
    <x v="66"/>
    <x v="0"/>
    <x v="2"/>
  </r>
  <r>
    <x v="242"/>
    <x v="1"/>
    <x v="16"/>
    <x v="15"/>
    <x v="18"/>
    <x v="2"/>
    <x v="29"/>
    <x v="15"/>
    <x v="29"/>
    <x v="15"/>
    <x v="0"/>
    <x v="0"/>
    <x v="15"/>
    <x v="18"/>
    <x v="18"/>
    <x v="10"/>
    <x v="24"/>
    <x v="1"/>
    <x v="14"/>
    <x v="3"/>
    <x v="2"/>
  </r>
  <r>
    <x v="242"/>
    <x v="1"/>
    <x v="16"/>
    <x v="20"/>
    <x v="22"/>
    <x v="17"/>
    <x v="22"/>
    <x v="20"/>
    <x v="19"/>
    <x v="36"/>
    <x v="13"/>
    <x v="0"/>
    <x v="20"/>
    <x v="22"/>
    <x v="22"/>
    <x v="34"/>
    <x v="34"/>
    <x v="1"/>
    <x v="38"/>
    <x v="3"/>
    <x v="2"/>
  </r>
  <r>
    <x v="242"/>
    <x v="1"/>
    <x v="16"/>
    <x v="21"/>
    <x v="31"/>
    <x v="24"/>
    <x v="14"/>
    <x v="21"/>
    <x v="19"/>
    <x v="35"/>
    <x v="20"/>
    <x v="0"/>
    <x v="21"/>
    <x v="29"/>
    <x v="21"/>
    <x v="49"/>
    <x v="33"/>
    <x v="1"/>
    <x v="53"/>
    <x v="0"/>
    <x v="2"/>
  </r>
  <r>
    <x v="242"/>
    <x v="1"/>
    <x v="16"/>
    <x v="24"/>
    <x v="9"/>
    <x v="21"/>
    <x v="36"/>
    <x v="24"/>
    <x v="22"/>
    <x v="19"/>
    <x v="30"/>
    <x v="0"/>
    <x v="24"/>
    <x v="9"/>
    <x v="9"/>
    <x v="24"/>
    <x v="52"/>
    <x v="1"/>
    <x v="28"/>
    <x v="3"/>
    <x v="0"/>
  </r>
  <r>
    <x v="242"/>
    <x v="1"/>
    <x v="16"/>
    <x v="26"/>
    <x v="2"/>
    <x v="17"/>
    <x v="21"/>
    <x v="27"/>
    <x v="30"/>
    <x v="18"/>
    <x v="15"/>
    <x v="0"/>
    <x v="26"/>
    <x v="2"/>
    <x v="2"/>
    <x v="35"/>
    <x v="33"/>
    <x v="1"/>
    <x v="39"/>
    <x v="3"/>
    <x v="0"/>
  </r>
  <r>
    <x v="242"/>
    <x v="1"/>
    <x v="16"/>
    <x v="27"/>
    <x v="11"/>
    <x v="35"/>
    <x v="43"/>
    <x v="11"/>
    <x v="25"/>
    <x v="36"/>
    <x v="32"/>
    <x v="0"/>
    <x v="16"/>
    <x v="11"/>
    <x v="11"/>
    <x v="31"/>
    <x v="73"/>
    <x v="0"/>
    <x v="49"/>
    <x v="0"/>
    <x v="0"/>
  </r>
  <r>
    <x v="242"/>
    <x v="1"/>
    <x v="16"/>
    <x v="32"/>
    <x v="6"/>
    <x v="14"/>
    <x v="22"/>
    <x v="31"/>
    <x v="31"/>
    <x v="17"/>
    <x v="28"/>
    <x v="0"/>
    <x v="30"/>
    <x v="6"/>
    <x v="6"/>
    <x v="31"/>
    <x v="31"/>
    <x v="1"/>
    <x v="35"/>
    <x v="3"/>
    <x v="2"/>
  </r>
  <r>
    <x v="242"/>
    <x v="1"/>
    <x v="16"/>
    <x v="33"/>
    <x v="28"/>
    <x v="8"/>
    <x v="17"/>
    <x v="29"/>
    <x v="28"/>
    <x v="9"/>
    <x v="9"/>
    <x v="0"/>
    <x v="31"/>
    <x v="28"/>
    <x v="28"/>
    <x v="30"/>
    <x v="20"/>
    <x v="0"/>
    <x v="50"/>
    <x v="0"/>
    <x v="2"/>
  </r>
  <r>
    <x v="247"/>
    <x v="1"/>
    <x v="16"/>
    <x v="25"/>
    <x v="5"/>
    <x v="21"/>
    <x v="28"/>
    <x v="25"/>
    <x v="21"/>
    <x v="29"/>
    <x v="18"/>
    <x v="0"/>
    <x v="25"/>
    <x v="5"/>
    <x v="5"/>
    <x v="32"/>
    <x v="44"/>
    <x v="1"/>
    <x v="36"/>
    <x v="3"/>
    <x v="0"/>
  </r>
  <r>
    <x v="256"/>
    <x v="1"/>
    <x v="1"/>
    <x v="27"/>
    <x v="24"/>
    <x v="14"/>
    <x v="22"/>
    <x v="16"/>
    <x v="23"/>
    <x v="30"/>
    <x v="32"/>
    <x v="0"/>
    <x v="16"/>
    <x v="24"/>
    <x v="24"/>
    <x v="31"/>
    <x v="31"/>
    <x v="1"/>
    <x v="35"/>
    <x v="3"/>
    <x v="2"/>
  </r>
  <r>
    <x v="266"/>
    <x v="1"/>
    <x v="1"/>
    <x v="1"/>
    <x v="21"/>
    <x v="20"/>
    <x v="24"/>
    <x v="1"/>
    <x v="35"/>
    <x v="34"/>
    <x v="12"/>
    <x v="0"/>
    <x v="1"/>
    <x v="21"/>
    <x v="21"/>
    <x v="35"/>
    <x v="39"/>
    <x v="1"/>
    <x v="39"/>
    <x v="3"/>
    <x v="2"/>
  </r>
  <r>
    <x v="266"/>
    <x v="1"/>
    <x v="1"/>
    <x v="4"/>
    <x v="32"/>
    <x v="2"/>
    <x v="28"/>
    <x v="4"/>
    <x v="30"/>
    <x v="29"/>
    <x v="2"/>
    <x v="0"/>
    <x v="4"/>
    <x v="30"/>
    <x v="30"/>
    <x v="11"/>
    <x v="23"/>
    <x v="1"/>
    <x v="15"/>
    <x v="3"/>
    <x v="2"/>
  </r>
  <r>
    <x v="266"/>
    <x v="1"/>
    <x v="1"/>
    <x v="5"/>
    <x v="10"/>
    <x v="34"/>
    <x v="11"/>
    <x v="5"/>
    <x v="31"/>
    <x v="19"/>
    <x v="37"/>
    <x v="0"/>
    <x v="5"/>
    <x v="10"/>
    <x v="5"/>
    <x v="62"/>
    <x v="40"/>
    <x v="1"/>
    <x v="66"/>
    <x v="0"/>
    <x v="0"/>
  </r>
  <r>
    <x v="266"/>
    <x v="1"/>
    <x v="1"/>
    <x v="6"/>
    <x v="26"/>
    <x v="14"/>
    <x v="22"/>
    <x v="27"/>
    <x v="29"/>
    <x v="15"/>
    <x v="31"/>
    <x v="0"/>
    <x v="6"/>
    <x v="26"/>
    <x v="26"/>
    <x v="31"/>
    <x v="31"/>
    <x v="0"/>
    <x v="49"/>
    <x v="0"/>
    <x v="0"/>
  </r>
  <r>
    <x v="266"/>
    <x v="1"/>
    <x v="1"/>
    <x v="7"/>
    <x v="30"/>
    <x v="9"/>
    <x v="11"/>
    <x v="7"/>
    <x v="31"/>
    <x v="7"/>
    <x v="10"/>
    <x v="0"/>
    <x v="7"/>
    <x v="17"/>
    <x v="17"/>
    <x v="37"/>
    <x v="15"/>
    <x v="1"/>
    <x v="41"/>
    <x v="3"/>
    <x v="2"/>
  </r>
  <r>
    <x v="266"/>
    <x v="1"/>
    <x v="1"/>
    <x v="8"/>
    <x v="3"/>
    <x v="41"/>
    <x v="5"/>
    <x v="8"/>
    <x v="28"/>
    <x v="32"/>
    <x v="5"/>
    <x v="0"/>
    <x v="8"/>
    <x v="3"/>
    <x v="8"/>
    <x v="74"/>
    <x v="41"/>
    <x v="1"/>
    <x v="78"/>
    <x v="0"/>
    <x v="0"/>
  </r>
  <r>
    <x v="266"/>
    <x v="1"/>
    <x v="1"/>
    <x v="13"/>
    <x v="14"/>
    <x v="2"/>
    <x v="15"/>
    <x v="14"/>
    <x v="31"/>
    <x v="9"/>
    <x v="22"/>
    <x v="0"/>
    <x v="13"/>
    <x v="14"/>
    <x v="14"/>
    <x v="24"/>
    <x v="10"/>
    <x v="0"/>
    <x v="56"/>
    <x v="0"/>
    <x v="2"/>
  </r>
  <r>
    <x v="266"/>
    <x v="1"/>
    <x v="1"/>
    <x v="15"/>
    <x v="9"/>
    <x v="7"/>
    <x v="15"/>
    <x v="15"/>
    <x v="30"/>
    <x v="19"/>
    <x v="0"/>
    <x v="0"/>
    <x v="15"/>
    <x v="9"/>
    <x v="9"/>
    <x v="31"/>
    <x v="17"/>
    <x v="1"/>
    <x v="35"/>
    <x v="3"/>
    <x v="2"/>
  </r>
  <r>
    <x v="266"/>
    <x v="1"/>
    <x v="1"/>
    <x v="18"/>
    <x v="33"/>
    <x v="17"/>
    <x v="7"/>
    <x v="18"/>
    <x v="29"/>
    <x v="10"/>
    <x v="40"/>
    <x v="0"/>
    <x v="18"/>
    <x v="31"/>
    <x v="18"/>
    <x v="49"/>
    <x v="19"/>
    <x v="1"/>
    <x v="53"/>
    <x v="0"/>
    <x v="2"/>
  </r>
  <r>
    <x v="266"/>
    <x v="1"/>
    <x v="1"/>
    <x v="23"/>
    <x v="20"/>
    <x v="13"/>
    <x v="35"/>
    <x v="23"/>
    <x v="32"/>
    <x v="28"/>
    <x v="26"/>
    <x v="0"/>
    <x v="23"/>
    <x v="20"/>
    <x v="20"/>
    <x v="17"/>
    <x v="43"/>
    <x v="1"/>
    <x v="21"/>
    <x v="3"/>
    <x v="0"/>
  </r>
  <r>
    <x v="266"/>
    <x v="1"/>
    <x v="1"/>
    <x v="25"/>
    <x v="0"/>
    <x v="14"/>
    <x v="19"/>
    <x v="25"/>
    <x v="11"/>
    <x v="29"/>
    <x v="18"/>
    <x v="0"/>
    <x v="25"/>
    <x v="0"/>
    <x v="0"/>
    <x v="34"/>
    <x v="28"/>
    <x v="1"/>
    <x v="38"/>
    <x v="3"/>
    <x v="2"/>
  </r>
  <r>
    <x v="266"/>
    <x v="1"/>
    <x v="1"/>
    <x v="28"/>
    <x v="22"/>
    <x v="24"/>
    <x v="18"/>
    <x v="29"/>
    <x v="29"/>
    <x v="19"/>
    <x v="3"/>
    <x v="0"/>
    <x v="28"/>
    <x v="22"/>
    <x v="28"/>
    <x v="45"/>
    <x v="37"/>
    <x v="1"/>
    <x v="49"/>
    <x v="0"/>
    <x v="0"/>
  </r>
  <r>
    <x v="266"/>
    <x v="1"/>
    <x v="1"/>
    <x v="29"/>
    <x v="2"/>
    <x v="19"/>
    <x v="15"/>
    <x v="2"/>
    <x v="23"/>
    <x v="12"/>
    <x v="4"/>
    <x v="0"/>
    <x v="27"/>
    <x v="2"/>
    <x v="27"/>
    <x v="43"/>
    <x v="29"/>
    <x v="0"/>
    <x v="37"/>
    <x v="3"/>
    <x v="1"/>
  </r>
  <r>
    <x v="266"/>
    <x v="1"/>
    <x v="1"/>
    <x v="31"/>
    <x v="12"/>
    <x v="6"/>
    <x v="35"/>
    <x v="12"/>
    <x v="29"/>
    <x v="25"/>
    <x v="34"/>
    <x v="0"/>
    <x v="29"/>
    <x v="12"/>
    <x v="12"/>
    <x v="10"/>
    <x v="36"/>
    <x v="0"/>
    <x v="70"/>
    <x v="0"/>
    <x v="0"/>
  </r>
  <r>
    <x v="271"/>
    <x v="1"/>
    <x v="1"/>
    <x v="11"/>
    <x v="19"/>
    <x v="42"/>
    <x v="5"/>
    <x v="11"/>
    <x v="11"/>
    <x v="34"/>
    <x v="16"/>
    <x v="0"/>
    <x v="11"/>
    <x v="19"/>
    <x v="11"/>
    <x v="75"/>
    <x v="42"/>
    <x v="1"/>
    <x v="79"/>
    <x v="0"/>
    <x v="0"/>
  </r>
  <r>
    <x v="280"/>
    <x v="1"/>
    <x v="2"/>
    <x v="9"/>
    <x v="23"/>
    <x v="14"/>
    <x v="11"/>
    <x v="23"/>
    <x v="24"/>
    <x v="11"/>
    <x v="38"/>
    <x v="0"/>
    <x v="9"/>
    <x v="23"/>
    <x v="9"/>
    <x v="42"/>
    <x v="20"/>
    <x v="0"/>
    <x v="38"/>
    <x v="3"/>
    <x v="2"/>
  </r>
  <r>
    <x v="290"/>
    <x v="1"/>
    <x v="2"/>
    <x v="1"/>
    <x v="32"/>
    <x v="20"/>
    <x v="15"/>
    <x v="1"/>
    <x v="24"/>
    <x v="22"/>
    <x v="12"/>
    <x v="0"/>
    <x v="1"/>
    <x v="30"/>
    <x v="1"/>
    <x v="44"/>
    <x v="30"/>
    <x v="1"/>
    <x v="48"/>
    <x v="3"/>
    <x v="2"/>
  </r>
  <r>
    <x v="290"/>
    <x v="1"/>
    <x v="2"/>
    <x v="2"/>
    <x v="6"/>
    <x v="28"/>
    <x v="22"/>
    <x v="2"/>
    <x v="23"/>
    <x v="15"/>
    <x v="23"/>
    <x v="0"/>
    <x v="2"/>
    <x v="6"/>
    <x v="2"/>
    <x v="45"/>
    <x v="45"/>
    <x v="1"/>
    <x v="49"/>
    <x v="2"/>
    <x v="0"/>
  </r>
  <r>
    <x v="290"/>
    <x v="1"/>
    <x v="2"/>
    <x v="5"/>
    <x v="27"/>
    <x v="28"/>
    <x v="18"/>
    <x v="5"/>
    <x v="28"/>
    <x v="25"/>
    <x v="37"/>
    <x v="0"/>
    <x v="5"/>
    <x v="16"/>
    <x v="5"/>
    <x v="49"/>
    <x v="41"/>
    <x v="1"/>
    <x v="53"/>
    <x v="0"/>
    <x v="0"/>
  </r>
  <r>
    <x v="290"/>
    <x v="1"/>
    <x v="2"/>
    <x v="7"/>
    <x v="14"/>
    <x v="11"/>
    <x v="8"/>
    <x v="7"/>
    <x v="34"/>
    <x v="3"/>
    <x v="10"/>
    <x v="0"/>
    <x v="7"/>
    <x v="14"/>
    <x v="7"/>
    <x v="42"/>
    <x v="14"/>
    <x v="1"/>
    <x v="46"/>
    <x v="0"/>
    <x v="2"/>
  </r>
  <r>
    <x v="290"/>
    <x v="1"/>
    <x v="2"/>
    <x v="10"/>
    <x v="4"/>
    <x v="46"/>
    <x v="33"/>
    <x v="10"/>
    <x v="23"/>
    <x v="29"/>
    <x v="11"/>
    <x v="0"/>
    <x v="10"/>
    <x v="4"/>
    <x v="10"/>
    <x v="52"/>
    <x v="74"/>
    <x v="1"/>
    <x v="56"/>
    <x v="0"/>
    <x v="0"/>
  </r>
  <r>
    <x v="290"/>
    <x v="1"/>
    <x v="2"/>
    <x v="11"/>
    <x v="31"/>
    <x v="32"/>
    <x v="24"/>
    <x v="11"/>
    <x v="10"/>
    <x v="32"/>
    <x v="16"/>
    <x v="0"/>
    <x v="11"/>
    <x v="29"/>
    <x v="11"/>
    <x v="47"/>
    <x v="51"/>
    <x v="1"/>
    <x v="51"/>
    <x v="3"/>
    <x v="0"/>
  </r>
  <r>
    <x v="290"/>
    <x v="1"/>
    <x v="2"/>
    <x v="18"/>
    <x v="3"/>
    <x v="32"/>
    <x v="6"/>
    <x v="18"/>
    <x v="31"/>
    <x v="22"/>
    <x v="40"/>
    <x v="0"/>
    <x v="18"/>
    <x v="3"/>
    <x v="18"/>
    <x v="65"/>
    <x v="33"/>
    <x v="1"/>
    <x v="69"/>
    <x v="0"/>
    <x v="2"/>
  </r>
  <r>
    <x v="290"/>
    <x v="1"/>
    <x v="2"/>
    <x v="19"/>
    <x v="24"/>
    <x v="18"/>
    <x v="25"/>
    <x v="19"/>
    <x v="33"/>
    <x v="27"/>
    <x v="24"/>
    <x v="0"/>
    <x v="19"/>
    <x v="24"/>
    <x v="24"/>
    <x v="32"/>
    <x v="38"/>
    <x v="1"/>
    <x v="36"/>
    <x v="3"/>
    <x v="0"/>
  </r>
  <r>
    <x v="290"/>
    <x v="1"/>
    <x v="2"/>
    <x v="22"/>
    <x v="25"/>
    <x v="7"/>
    <x v="15"/>
    <x v="22"/>
    <x v="25"/>
    <x v="25"/>
    <x v="26"/>
    <x v="0"/>
    <x v="22"/>
    <x v="25"/>
    <x v="25"/>
    <x v="31"/>
    <x v="17"/>
    <x v="1"/>
    <x v="35"/>
    <x v="3"/>
    <x v="2"/>
  </r>
  <r>
    <x v="290"/>
    <x v="1"/>
    <x v="2"/>
    <x v="28"/>
    <x v="0"/>
    <x v="20"/>
    <x v="5"/>
    <x v="29"/>
    <x v="17"/>
    <x v="15"/>
    <x v="3"/>
    <x v="0"/>
    <x v="28"/>
    <x v="0"/>
    <x v="28"/>
    <x v="54"/>
    <x v="20"/>
    <x v="1"/>
    <x v="58"/>
    <x v="0"/>
    <x v="2"/>
  </r>
  <r>
    <x v="290"/>
    <x v="1"/>
    <x v="2"/>
    <x v="30"/>
    <x v="29"/>
    <x v="4"/>
    <x v="22"/>
    <x v="17"/>
    <x v="31"/>
    <x v="14"/>
    <x v="6"/>
    <x v="0"/>
    <x v="17"/>
    <x v="27"/>
    <x v="27"/>
    <x v="21"/>
    <x v="21"/>
    <x v="1"/>
    <x v="25"/>
    <x v="3"/>
    <x v="2"/>
  </r>
  <r>
    <x v="290"/>
    <x v="1"/>
    <x v="2"/>
    <x v="33"/>
    <x v="8"/>
    <x v="21"/>
    <x v="25"/>
    <x v="8"/>
    <x v="23"/>
    <x v="20"/>
    <x v="9"/>
    <x v="0"/>
    <x v="31"/>
    <x v="8"/>
    <x v="8"/>
    <x v="35"/>
    <x v="41"/>
    <x v="0"/>
    <x v="45"/>
    <x v="3"/>
    <x v="0"/>
  </r>
  <r>
    <x v="295"/>
    <x v="1"/>
    <x v="2"/>
    <x v="20"/>
    <x v="15"/>
    <x v="31"/>
    <x v="2"/>
    <x v="20"/>
    <x v="3"/>
    <x v="28"/>
    <x v="13"/>
    <x v="0"/>
    <x v="20"/>
    <x v="15"/>
    <x v="20"/>
    <x v="69"/>
    <x v="27"/>
    <x v="1"/>
    <x v="73"/>
    <x v="0"/>
    <x v="2"/>
  </r>
  <r>
    <x v="304"/>
    <x v="1"/>
    <x v="3"/>
    <x v="2"/>
    <x v="28"/>
    <x v="13"/>
    <x v="4"/>
    <x v="2"/>
    <x v="30"/>
    <x v="15"/>
    <x v="23"/>
    <x v="0"/>
    <x v="2"/>
    <x v="28"/>
    <x v="2"/>
    <x v="48"/>
    <x v="12"/>
    <x v="1"/>
    <x v="52"/>
    <x v="0"/>
    <x v="2"/>
  </r>
  <r>
    <x v="304"/>
    <x v="1"/>
    <x v="3"/>
    <x v="8"/>
    <x v="18"/>
    <x v="17"/>
    <x v="17"/>
    <x v="8"/>
    <x v="23"/>
    <x v="26"/>
    <x v="5"/>
    <x v="0"/>
    <x v="8"/>
    <x v="18"/>
    <x v="8"/>
    <x v="39"/>
    <x v="29"/>
    <x v="1"/>
    <x v="43"/>
    <x v="3"/>
    <x v="2"/>
  </r>
  <r>
    <x v="304"/>
    <x v="1"/>
    <x v="3"/>
    <x v="10"/>
    <x v="11"/>
    <x v="12"/>
    <x v="25"/>
    <x v="11"/>
    <x v="28"/>
    <x v="44"/>
    <x v="11"/>
    <x v="0"/>
    <x v="10"/>
    <x v="11"/>
    <x v="11"/>
    <x v="26"/>
    <x v="32"/>
    <x v="0"/>
    <x v="54"/>
    <x v="0"/>
    <x v="2"/>
  </r>
  <r>
    <x v="314"/>
    <x v="1"/>
    <x v="3"/>
    <x v="1"/>
    <x v="19"/>
    <x v="21"/>
    <x v="12"/>
    <x v="1"/>
    <x v="17"/>
    <x v="22"/>
    <x v="12"/>
    <x v="0"/>
    <x v="1"/>
    <x v="19"/>
    <x v="1"/>
    <x v="48"/>
    <x v="28"/>
    <x v="1"/>
    <x v="52"/>
    <x v="2"/>
    <x v="2"/>
  </r>
  <r>
    <x v="314"/>
    <x v="1"/>
    <x v="3"/>
    <x v="6"/>
    <x v="7"/>
    <x v="20"/>
    <x v="18"/>
    <x v="6"/>
    <x v="23"/>
    <x v="10"/>
    <x v="31"/>
    <x v="0"/>
    <x v="6"/>
    <x v="7"/>
    <x v="6"/>
    <x v="41"/>
    <x v="33"/>
    <x v="1"/>
    <x v="45"/>
    <x v="3"/>
    <x v="0"/>
  </r>
  <r>
    <x v="314"/>
    <x v="1"/>
    <x v="3"/>
    <x v="13"/>
    <x v="4"/>
    <x v="16"/>
    <x v="25"/>
    <x v="4"/>
    <x v="30"/>
    <x v="27"/>
    <x v="22"/>
    <x v="0"/>
    <x v="13"/>
    <x v="4"/>
    <x v="4"/>
    <x v="30"/>
    <x v="36"/>
    <x v="0"/>
    <x v="50"/>
    <x v="0"/>
    <x v="2"/>
  </r>
  <r>
    <x v="314"/>
    <x v="1"/>
    <x v="3"/>
    <x v="14"/>
    <x v="12"/>
    <x v="10"/>
    <x v="18"/>
    <x v="12"/>
    <x v="24"/>
    <x v="8"/>
    <x v="8"/>
    <x v="0"/>
    <x v="14"/>
    <x v="12"/>
    <x v="12"/>
    <x v="31"/>
    <x v="23"/>
    <x v="0"/>
    <x v="49"/>
    <x v="0"/>
    <x v="2"/>
  </r>
  <r>
    <x v="314"/>
    <x v="1"/>
    <x v="3"/>
    <x v="15"/>
    <x v="26"/>
    <x v="6"/>
    <x v="11"/>
    <x v="27"/>
    <x v="16"/>
    <x v="15"/>
    <x v="0"/>
    <x v="0"/>
    <x v="15"/>
    <x v="26"/>
    <x v="26"/>
    <x v="34"/>
    <x v="12"/>
    <x v="0"/>
    <x v="46"/>
    <x v="3"/>
    <x v="2"/>
  </r>
  <r>
    <x v="314"/>
    <x v="1"/>
    <x v="3"/>
    <x v="23"/>
    <x v="3"/>
    <x v="25"/>
    <x v="22"/>
    <x v="23"/>
    <x v="18"/>
    <x v="19"/>
    <x v="26"/>
    <x v="0"/>
    <x v="23"/>
    <x v="3"/>
    <x v="23"/>
    <x v="42"/>
    <x v="42"/>
    <x v="1"/>
    <x v="46"/>
    <x v="3"/>
    <x v="0"/>
  </r>
  <r>
    <x v="314"/>
    <x v="1"/>
    <x v="3"/>
    <x v="24"/>
    <x v="5"/>
    <x v="22"/>
    <x v="18"/>
    <x v="24"/>
    <x v="31"/>
    <x v="16"/>
    <x v="30"/>
    <x v="0"/>
    <x v="24"/>
    <x v="5"/>
    <x v="24"/>
    <x v="43"/>
    <x v="35"/>
    <x v="1"/>
    <x v="47"/>
    <x v="0"/>
    <x v="0"/>
  </r>
  <r>
    <x v="314"/>
    <x v="1"/>
    <x v="3"/>
    <x v="25"/>
    <x v="20"/>
    <x v="17"/>
    <x v="36"/>
    <x v="20"/>
    <x v="30"/>
    <x v="35"/>
    <x v="18"/>
    <x v="0"/>
    <x v="25"/>
    <x v="20"/>
    <x v="20"/>
    <x v="20"/>
    <x v="48"/>
    <x v="0"/>
    <x v="60"/>
    <x v="0"/>
    <x v="0"/>
  </r>
  <r>
    <x v="314"/>
    <x v="1"/>
    <x v="3"/>
    <x v="27"/>
    <x v="9"/>
    <x v="10"/>
    <x v="14"/>
    <x v="16"/>
    <x v="26"/>
    <x v="18"/>
    <x v="32"/>
    <x v="0"/>
    <x v="16"/>
    <x v="9"/>
    <x v="9"/>
    <x v="35"/>
    <x v="19"/>
    <x v="1"/>
    <x v="39"/>
    <x v="3"/>
    <x v="2"/>
  </r>
  <r>
    <x v="314"/>
    <x v="1"/>
    <x v="3"/>
    <x v="29"/>
    <x v="33"/>
    <x v="14"/>
    <x v="21"/>
    <x v="28"/>
    <x v="31"/>
    <x v="9"/>
    <x v="4"/>
    <x v="0"/>
    <x v="27"/>
    <x v="31"/>
    <x v="32"/>
    <x v="32"/>
    <x v="30"/>
    <x v="1"/>
    <x v="36"/>
    <x v="3"/>
    <x v="0"/>
  </r>
  <r>
    <x v="314"/>
    <x v="1"/>
    <x v="3"/>
    <x v="30"/>
    <x v="0"/>
    <x v="17"/>
    <x v="21"/>
    <x v="17"/>
    <x v="32"/>
    <x v="14"/>
    <x v="6"/>
    <x v="0"/>
    <x v="17"/>
    <x v="0"/>
    <x v="0"/>
    <x v="35"/>
    <x v="33"/>
    <x v="1"/>
    <x v="39"/>
    <x v="3"/>
    <x v="0"/>
  </r>
  <r>
    <x v="314"/>
    <x v="1"/>
    <x v="3"/>
    <x v="32"/>
    <x v="31"/>
    <x v="20"/>
    <x v="15"/>
    <x v="31"/>
    <x v="31"/>
    <x v="22"/>
    <x v="28"/>
    <x v="0"/>
    <x v="30"/>
    <x v="29"/>
    <x v="30"/>
    <x v="44"/>
    <x v="30"/>
    <x v="1"/>
    <x v="48"/>
    <x v="0"/>
    <x v="2"/>
  </r>
  <r>
    <x v="319"/>
    <x v="1"/>
    <x v="3"/>
    <x v="21"/>
    <x v="22"/>
    <x v="46"/>
    <x v="22"/>
    <x v="21"/>
    <x v="23"/>
    <x v="36"/>
    <x v="20"/>
    <x v="0"/>
    <x v="21"/>
    <x v="22"/>
    <x v="21"/>
    <x v="63"/>
    <x v="63"/>
    <x v="1"/>
    <x v="67"/>
    <x v="0"/>
    <x v="0"/>
  </r>
  <r>
    <x v="328"/>
    <x v="1"/>
    <x v="4"/>
    <x v="29"/>
    <x v="25"/>
    <x v="28"/>
    <x v="12"/>
    <x v="25"/>
    <x v="31"/>
    <x v="21"/>
    <x v="4"/>
    <x v="0"/>
    <x v="27"/>
    <x v="25"/>
    <x v="27"/>
    <x v="55"/>
    <x v="35"/>
    <x v="0"/>
    <x v="25"/>
    <x v="3"/>
    <x v="0"/>
  </r>
  <r>
    <x v="338"/>
    <x v="1"/>
    <x v="4"/>
    <x v="0"/>
    <x v="8"/>
    <x v="16"/>
    <x v="11"/>
    <x v="8"/>
    <x v="28"/>
    <x v="27"/>
    <x v="44"/>
    <x v="0"/>
    <x v="0"/>
    <x v="8"/>
    <x v="0"/>
    <x v="44"/>
    <x v="22"/>
    <x v="0"/>
    <x v="36"/>
    <x v="3"/>
    <x v="2"/>
  </r>
  <r>
    <x v="338"/>
    <x v="1"/>
    <x v="4"/>
    <x v="3"/>
    <x v="32"/>
    <x v="14"/>
    <x v="21"/>
    <x v="3"/>
    <x v="35"/>
    <x v="22"/>
    <x v="33"/>
    <x v="0"/>
    <x v="3"/>
    <x v="30"/>
    <x v="30"/>
    <x v="32"/>
    <x v="30"/>
    <x v="1"/>
    <x v="36"/>
    <x v="3"/>
    <x v="2"/>
  </r>
  <r>
    <x v="338"/>
    <x v="1"/>
    <x v="4"/>
    <x v="5"/>
    <x v="15"/>
    <x v="2"/>
    <x v="8"/>
    <x v="5"/>
    <x v="19"/>
    <x v="4"/>
    <x v="37"/>
    <x v="0"/>
    <x v="5"/>
    <x v="15"/>
    <x v="15"/>
    <x v="31"/>
    <x v="4"/>
    <x v="1"/>
    <x v="35"/>
    <x v="3"/>
    <x v="2"/>
  </r>
  <r>
    <x v="338"/>
    <x v="1"/>
    <x v="4"/>
    <x v="7"/>
    <x v="2"/>
    <x v="7"/>
    <x v="22"/>
    <x v="2"/>
    <x v="23"/>
    <x v="11"/>
    <x v="10"/>
    <x v="0"/>
    <x v="7"/>
    <x v="2"/>
    <x v="2"/>
    <x v="24"/>
    <x v="24"/>
    <x v="0"/>
    <x v="56"/>
    <x v="0"/>
    <x v="2"/>
  </r>
  <r>
    <x v="338"/>
    <x v="1"/>
    <x v="4"/>
    <x v="12"/>
    <x v="1"/>
    <x v="14"/>
    <x v="8"/>
    <x v="1"/>
    <x v="33"/>
    <x v="10"/>
    <x v="35"/>
    <x v="0"/>
    <x v="12"/>
    <x v="1"/>
    <x v="12"/>
    <x v="45"/>
    <x v="17"/>
    <x v="0"/>
    <x v="35"/>
    <x v="3"/>
    <x v="2"/>
  </r>
  <r>
    <x v="338"/>
    <x v="1"/>
    <x v="4"/>
    <x v="18"/>
    <x v="24"/>
    <x v="31"/>
    <x v="12"/>
    <x v="18"/>
    <x v="31"/>
    <x v="20"/>
    <x v="40"/>
    <x v="0"/>
    <x v="18"/>
    <x v="24"/>
    <x v="18"/>
    <x v="58"/>
    <x v="38"/>
    <x v="1"/>
    <x v="62"/>
    <x v="0"/>
    <x v="0"/>
  </r>
  <r>
    <x v="338"/>
    <x v="1"/>
    <x v="4"/>
    <x v="19"/>
    <x v="9"/>
    <x v="29"/>
    <x v="33"/>
    <x v="19"/>
    <x v="34"/>
    <x v="9"/>
    <x v="24"/>
    <x v="0"/>
    <x v="19"/>
    <x v="9"/>
    <x v="9"/>
    <x v="35"/>
    <x v="57"/>
    <x v="1"/>
    <x v="39"/>
    <x v="3"/>
    <x v="0"/>
  </r>
  <r>
    <x v="338"/>
    <x v="1"/>
    <x v="4"/>
    <x v="20"/>
    <x v="13"/>
    <x v="28"/>
    <x v="22"/>
    <x v="20"/>
    <x v="1"/>
    <x v="31"/>
    <x v="13"/>
    <x v="0"/>
    <x v="20"/>
    <x v="13"/>
    <x v="20"/>
    <x v="45"/>
    <x v="45"/>
    <x v="1"/>
    <x v="49"/>
    <x v="3"/>
    <x v="0"/>
  </r>
  <r>
    <x v="338"/>
    <x v="1"/>
    <x v="4"/>
    <x v="21"/>
    <x v="10"/>
    <x v="28"/>
    <x v="15"/>
    <x v="21"/>
    <x v="19"/>
    <x v="43"/>
    <x v="20"/>
    <x v="0"/>
    <x v="21"/>
    <x v="10"/>
    <x v="21"/>
    <x v="52"/>
    <x v="38"/>
    <x v="1"/>
    <x v="56"/>
    <x v="0"/>
    <x v="2"/>
  </r>
  <r>
    <x v="338"/>
    <x v="1"/>
    <x v="4"/>
    <x v="22"/>
    <x v="11"/>
    <x v="32"/>
    <x v="36"/>
    <x v="11"/>
    <x v="23"/>
    <x v="42"/>
    <x v="26"/>
    <x v="0"/>
    <x v="22"/>
    <x v="11"/>
    <x v="11"/>
    <x v="35"/>
    <x v="63"/>
    <x v="0"/>
    <x v="45"/>
    <x v="3"/>
    <x v="0"/>
  </r>
  <r>
    <x v="338"/>
    <x v="1"/>
    <x v="4"/>
    <x v="26"/>
    <x v="6"/>
    <x v="32"/>
    <x v="5"/>
    <x v="27"/>
    <x v="23"/>
    <x v="20"/>
    <x v="15"/>
    <x v="0"/>
    <x v="26"/>
    <x v="6"/>
    <x v="26"/>
    <x v="66"/>
    <x v="32"/>
    <x v="1"/>
    <x v="70"/>
    <x v="0"/>
    <x v="2"/>
  </r>
  <r>
    <x v="338"/>
    <x v="1"/>
    <x v="4"/>
    <x v="28"/>
    <x v="30"/>
    <x v="23"/>
    <x v="0"/>
    <x v="29"/>
    <x v="8"/>
    <x v="11"/>
    <x v="3"/>
    <x v="0"/>
    <x v="28"/>
    <x v="17"/>
    <x v="28"/>
    <x v="64"/>
    <x v="16"/>
    <x v="1"/>
    <x v="68"/>
    <x v="0"/>
    <x v="2"/>
  </r>
  <r>
    <x v="338"/>
    <x v="1"/>
    <x v="4"/>
    <x v="31"/>
    <x v="4"/>
    <x v="16"/>
    <x v="36"/>
    <x v="4"/>
    <x v="32"/>
    <x v="27"/>
    <x v="34"/>
    <x v="0"/>
    <x v="29"/>
    <x v="4"/>
    <x v="4"/>
    <x v="19"/>
    <x v="47"/>
    <x v="0"/>
    <x v="61"/>
    <x v="0"/>
    <x v="0"/>
  </r>
  <r>
    <x v="338"/>
    <x v="1"/>
    <x v="4"/>
    <x v="33"/>
    <x v="23"/>
    <x v="16"/>
    <x v="32"/>
    <x v="23"/>
    <x v="31"/>
    <x v="11"/>
    <x v="9"/>
    <x v="0"/>
    <x v="31"/>
    <x v="23"/>
    <x v="23"/>
    <x v="23"/>
    <x v="43"/>
    <x v="0"/>
    <x v="57"/>
    <x v="0"/>
    <x v="0"/>
  </r>
  <r>
    <x v="343"/>
    <x v="1"/>
    <x v="4"/>
    <x v="14"/>
    <x v="27"/>
    <x v="11"/>
    <x v="36"/>
    <x v="16"/>
    <x v="31"/>
    <x v="13"/>
    <x v="8"/>
    <x v="0"/>
    <x v="14"/>
    <x v="16"/>
    <x v="16"/>
    <x v="14"/>
    <x v="42"/>
    <x v="0"/>
    <x v="66"/>
    <x v="0"/>
    <x v="0"/>
  </r>
  <r>
    <x v="352"/>
    <x v="1"/>
    <x v="5"/>
    <x v="26"/>
    <x v="7"/>
    <x v="11"/>
    <x v="2"/>
    <x v="27"/>
    <x v="9"/>
    <x v="14"/>
    <x v="15"/>
    <x v="0"/>
    <x v="26"/>
    <x v="7"/>
    <x v="26"/>
    <x v="49"/>
    <x v="7"/>
    <x v="1"/>
    <x v="53"/>
    <x v="3"/>
    <x v="2"/>
  </r>
  <r>
    <x v="362"/>
    <x v="1"/>
    <x v="5"/>
    <x v="0"/>
    <x v="28"/>
    <x v="18"/>
    <x v="17"/>
    <x v="29"/>
    <x v="30"/>
    <x v="14"/>
    <x v="44"/>
    <x v="0"/>
    <x v="0"/>
    <x v="28"/>
    <x v="0"/>
    <x v="40"/>
    <x v="30"/>
    <x v="0"/>
    <x v="40"/>
    <x v="3"/>
    <x v="1"/>
  </r>
  <r>
    <x v="362"/>
    <x v="1"/>
    <x v="5"/>
    <x v="2"/>
    <x v="13"/>
    <x v="21"/>
    <x v="8"/>
    <x v="2"/>
    <x v="4"/>
    <x v="17"/>
    <x v="23"/>
    <x v="0"/>
    <x v="2"/>
    <x v="13"/>
    <x v="2"/>
    <x v="52"/>
    <x v="24"/>
    <x v="1"/>
    <x v="56"/>
    <x v="3"/>
    <x v="2"/>
  </r>
  <r>
    <x v="362"/>
    <x v="1"/>
    <x v="5"/>
    <x v="4"/>
    <x v="1"/>
    <x v="20"/>
    <x v="29"/>
    <x v="1"/>
    <x v="31"/>
    <x v="29"/>
    <x v="2"/>
    <x v="0"/>
    <x v="4"/>
    <x v="1"/>
    <x v="1"/>
    <x v="30"/>
    <x v="44"/>
    <x v="0"/>
    <x v="50"/>
    <x v="0"/>
    <x v="0"/>
  </r>
  <r>
    <x v="362"/>
    <x v="1"/>
    <x v="5"/>
    <x v="6"/>
    <x v="12"/>
    <x v="16"/>
    <x v="18"/>
    <x v="6"/>
    <x v="31"/>
    <x v="8"/>
    <x v="31"/>
    <x v="0"/>
    <x v="6"/>
    <x v="12"/>
    <x v="12"/>
    <x v="37"/>
    <x v="29"/>
    <x v="1"/>
    <x v="41"/>
    <x v="3"/>
    <x v="0"/>
  </r>
  <r>
    <x v="362"/>
    <x v="1"/>
    <x v="5"/>
    <x v="8"/>
    <x v="22"/>
    <x v="31"/>
    <x v="35"/>
    <x v="8"/>
    <x v="28"/>
    <x v="35"/>
    <x v="5"/>
    <x v="0"/>
    <x v="8"/>
    <x v="22"/>
    <x v="22"/>
    <x v="35"/>
    <x v="61"/>
    <x v="1"/>
    <x v="39"/>
    <x v="3"/>
    <x v="0"/>
  </r>
  <r>
    <x v="362"/>
    <x v="1"/>
    <x v="5"/>
    <x v="9"/>
    <x v="5"/>
    <x v="10"/>
    <x v="8"/>
    <x v="9"/>
    <x v="30"/>
    <x v="5"/>
    <x v="38"/>
    <x v="0"/>
    <x v="9"/>
    <x v="5"/>
    <x v="9"/>
    <x v="41"/>
    <x v="13"/>
    <x v="1"/>
    <x v="45"/>
    <x v="3"/>
    <x v="2"/>
  </r>
  <r>
    <x v="362"/>
    <x v="1"/>
    <x v="5"/>
    <x v="10"/>
    <x v="19"/>
    <x v="31"/>
    <x v="26"/>
    <x v="10"/>
    <x v="17"/>
    <x v="28"/>
    <x v="11"/>
    <x v="0"/>
    <x v="10"/>
    <x v="19"/>
    <x v="10"/>
    <x v="44"/>
    <x v="52"/>
    <x v="1"/>
    <x v="48"/>
    <x v="3"/>
    <x v="0"/>
  </r>
  <r>
    <x v="362"/>
    <x v="1"/>
    <x v="5"/>
    <x v="11"/>
    <x v="24"/>
    <x v="43"/>
    <x v="14"/>
    <x v="11"/>
    <x v="14"/>
    <x v="33"/>
    <x v="16"/>
    <x v="0"/>
    <x v="11"/>
    <x v="24"/>
    <x v="11"/>
    <x v="68"/>
    <x v="52"/>
    <x v="1"/>
    <x v="72"/>
    <x v="0"/>
    <x v="0"/>
  </r>
  <r>
    <x v="362"/>
    <x v="1"/>
    <x v="5"/>
    <x v="14"/>
    <x v="31"/>
    <x v="38"/>
    <x v="12"/>
    <x v="30"/>
    <x v="31"/>
    <x v="18"/>
    <x v="8"/>
    <x v="0"/>
    <x v="14"/>
    <x v="29"/>
    <x v="14"/>
    <x v="65"/>
    <x v="45"/>
    <x v="0"/>
    <x v="15"/>
    <x v="3"/>
    <x v="0"/>
  </r>
  <r>
    <x v="362"/>
    <x v="1"/>
    <x v="5"/>
    <x v="18"/>
    <x v="25"/>
    <x v="7"/>
    <x v="24"/>
    <x v="18"/>
    <x v="31"/>
    <x v="23"/>
    <x v="40"/>
    <x v="0"/>
    <x v="18"/>
    <x v="25"/>
    <x v="25"/>
    <x v="22"/>
    <x v="26"/>
    <x v="1"/>
    <x v="26"/>
    <x v="3"/>
    <x v="2"/>
  </r>
  <r>
    <x v="362"/>
    <x v="1"/>
    <x v="5"/>
    <x v="23"/>
    <x v="15"/>
    <x v="34"/>
    <x v="8"/>
    <x v="23"/>
    <x v="16"/>
    <x v="5"/>
    <x v="26"/>
    <x v="0"/>
    <x v="23"/>
    <x v="15"/>
    <x v="23"/>
    <x v="65"/>
    <x v="37"/>
    <x v="1"/>
    <x v="69"/>
    <x v="0"/>
    <x v="0"/>
  </r>
  <r>
    <x v="362"/>
    <x v="1"/>
    <x v="5"/>
    <x v="27"/>
    <x v="3"/>
    <x v="34"/>
    <x v="8"/>
    <x v="16"/>
    <x v="23"/>
    <x v="32"/>
    <x v="32"/>
    <x v="0"/>
    <x v="16"/>
    <x v="3"/>
    <x v="16"/>
    <x v="65"/>
    <x v="37"/>
    <x v="1"/>
    <x v="69"/>
    <x v="0"/>
    <x v="2"/>
  </r>
  <r>
    <x v="362"/>
    <x v="1"/>
    <x v="5"/>
    <x v="32"/>
    <x v="21"/>
    <x v="14"/>
    <x v="20"/>
    <x v="21"/>
    <x v="30"/>
    <x v="30"/>
    <x v="28"/>
    <x v="0"/>
    <x v="30"/>
    <x v="21"/>
    <x v="21"/>
    <x v="33"/>
    <x v="29"/>
    <x v="0"/>
    <x v="47"/>
    <x v="0"/>
    <x v="2"/>
  </r>
  <r>
    <x v="362"/>
    <x v="1"/>
    <x v="5"/>
    <x v="33"/>
    <x v="20"/>
    <x v="24"/>
    <x v="32"/>
    <x v="20"/>
    <x v="22"/>
    <x v="28"/>
    <x v="9"/>
    <x v="0"/>
    <x v="31"/>
    <x v="20"/>
    <x v="20"/>
    <x v="31"/>
    <x v="51"/>
    <x v="0"/>
    <x v="49"/>
    <x v="3"/>
    <x v="0"/>
  </r>
  <r>
    <x v="367"/>
    <x v="1"/>
    <x v="5"/>
    <x v="29"/>
    <x v="30"/>
    <x v="27"/>
    <x v="11"/>
    <x v="28"/>
    <x v="18"/>
    <x v="8"/>
    <x v="4"/>
    <x v="0"/>
    <x v="27"/>
    <x v="17"/>
    <x v="27"/>
    <x v="55"/>
    <x v="33"/>
    <x v="1"/>
    <x v="59"/>
    <x v="0"/>
    <x v="0"/>
  </r>
  <r>
    <x v="376"/>
    <x v="1"/>
    <x v="6"/>
    <x v="1"/>
    <x v="14"/>
    <x v="38"/>
    <x v="12"/>
    <x v="1"/>
    <x v="10"/>
    <x v="18"/>
    <x v="12"/>
    <x v="0"/>
    <x v="1"/>
    <x v="14"/>
    <x v="1"/>
    <x v="65"/>
    <x v="45"/>
    <x v="1"/>
    <x v="69"/>
    <x v="0"/>
    <x v="0"/>
  </r>
  <r>
    <x v="384"/>
    <x v="1"/>
    <x v="6"/>
    <x v="31"/>
    <x v="8"/>
    <x v="12"/>
    <x v="29"/>
    <x v="8"/>
    <x v="23"/>
    <x v="28"/>
    <x v="34"/>
    <x v="0"/>
    <x v="29"/>
    <x v="8"/>
    <x v="8"/>
    <x v="22"/>
    <x v="36"/>
    <x v="0"/>
    <x v="58"/>
    <x v="0"/>
    <x v="2"/>
  </r>
  <r>
    <x v="389"/>
    <x v="1"/>
    <x v="6"/>
    <x v="0"/>
    <x v="7"/>
    <x v="17"/>
    <x v="15"/>
    <x v="0"/>
    <x v="24"/>
    <x v="9"/>
    <x v="44"/>
    <x v="0"/>
    <x v="0"/>
    <x v="7"/>
    <x v="0"/>
    <x v="41"/>
    <x v="27"/>
    <x v="1"/>
    <x v="45"/>
    <x v="3"/>
    <x v="2"/>
  </r>
  <r>
    <x v="389"/>
    <x v="1"/>
    <x v="6"/>
    <x v="3"/>
    <x v="18"/>
    <x v="20"/>
    <x v="28"/>
    <x v="3"/>
    <x v="34"/>
    <x v="15"/>
    <x v="33"/>
    <x v="0"/>
    <x v="3"/>
    <x v="18"/>
    <x v="18"/>
    <x v="31"/>
    <x v="43"/>
    <x v="1"/>
    <x v="35"/>
    <x v="3"/>
    <x v="0"/>
  </r>
  <r>
    <x v="389"/>
    <x v="1"/>
    <x v="6"/>
    <x v="5"/>
    <x v="29"/>
    <x v="11"/>
    <x v="36"/>
    <x v="5"/>
    <x v="30"/>
    <x v="4"/>
    <x v="37"/>
    <x v="0"/>
    <x v="5"/>
    <x v="27"/>
    <x v="27"/>
    <x v="14"/>
    <x v="42"/>
    <x v="1"/>
    <x v="18"/>
    <x v="3"/>
    <x v="0"/>
  </r>
  <r>
    <x v="389"/>
    <x v="1"/>
    <x v="6"/>
    <x v="9"/>
    <x v="20"/>
    <x v="20"/>
    <x v="39"/>
    <x v="20"/>
    <x v="22"/>
    <x v="29"/>
    <x v="38"/>
    <x v="0"/>
    <x v="9"/>
    <x v="20"/>
    <x v="20"/>
    <x v="20"/>
    <x v="54"/>
    <x v="0"/>
    <x v="60"/>
    <x v="0"/>
    <x v="0"/>
  </r>
  <r>
    <x v="389"/>
    <x v="1"/>
    <x v="6"/>
    <x v="12"/>
    <x v="4"/>
    <x v="10"/>
    <x v="26"/>
    <x v="12"/>
    <x v="25"/>
    <x v="25"/>
    <x v="35"/>
    <x v="0"/>
    <x v="12"/>
    <x v="4"/>
    <x v="4"/>
    <x v="23"/>
    <x v="31"/>
    <x v="1"/>
    <x v="27"/>
    <x v="3"/>
    <x v="2"/>
  </r>
  <r>
    <x v="389"/>
    <x v="1"/>
    <x v="6"/>
    <x v="13"/>
    <x v="32"/>
    <x v="24"/>
    <x v="11"/>
    <x v="31"/>
    <x v="24"/>
    <x v="17"/>
    <x v="22"/>
    <x v="0"/>
    <x v="13"/>
    <x v="30"/>
    <x v="13"/>
    <x v="52"/>
    <x v="30"/>
    <x v="0"/>
    <x v="28"/>
    <x v="3"/>
    <x v="2"/>
  </r>
  <r>
    <x v="389"/>
    <x v="1"/>
    <x v="6"/>
    <x v="15"/>
    <x v="11"/>
    <x v="16"/>
    <x v="12"/>
    <x v="11"/>
    <x v="14"/>
    <x v="26"/>
    <x v="0"/>
    <x v="0"/>
    <x v="15"/>
    <x v="11"/>
    <x v="15"/>
    <x v="43"/>
    <x v="23"/>
    <x v="0"/>
    <x v="37"/>
    <x v="3"/>
    <x v="2"/>
  </r>
  <r>
    <x v="389"/>
    <x v="1"/>
    <x v="6"/>
    <x v="19"/>
    <x v="21"/>
    <x v="17"/>
    <x v="40"/>
    <x v="21"/>
    <x v="22"/>
    <x v="41"/>
    <x v="24"/>
    <x v="0"/>
    <x v="19"/>
    <x v="21"/>
    <x v="21"/>
    <x v="16"/>
    <x v="52"/>
    <x v="0"/>
    <x v="64"/>
    <x v="0"/>
    <x v="0"/>
  </r>
  <r>
    <x v="389"/>
    <x v="1"/>
    <x v="6"/>
    <x v="22"/>
    <x v="33"/>
    <x v="7"/>
    <x v="21"/>
    <x v="22"/>
    <x v="25"/>
    <x v="27"/>
    <x v="26"/>
    <x v="0"/>
    <x v="22"/>
    <x v="31"/>
    <x v="32"/>
    <x v="25"/>
    <x v="23"/>
    <x v="1"/>
    <x v="29"/>
    <x v="3"/>
    <x v="2"/>
  </r>
  <r>
    <x v="389"/>
    <x v="1"/>
    <x v="6"/>
    <x v="24"/>
    <x v="10"/>
    <x v="24"/>
    <x v="26"/>
    <x v="10"/>
    <x v="34"/>
    <x v="29"/>
    <x v="30"/>
    <x v="0"/>
    <x v="24"/>
    <x v="10"/>
    <x v="10"/>
    <x v="37"/>
    <x v="45"/>
    <x v="0"/>
    <x v="43"/>
    <x v="3"/>
    <x v="0"/>
  </r>
  <r>
    <x v="389"/>
    <x v="1"/>
    <x v="6"/>
    <x v="25"/>
    <x v="23"/>
    <x v="42"/>
    <x v="17"/>
    <x v="25"/>
    <x v="31"/>
    <x v="22"/>
    <x v="18"/>
    <x v="0"/>
    <x v="25"/>
    <x v="23"/>
    <x v="25"/>
    <x v="64"/>
    <x v="54"/>
    <x v="1"/>
    <x v="68"/>
    <x v="0"/>
    <x v="0"/>
  </r>
  <r>
    <x v="389"/>
    <x v="1"/>
    <x v="6"/>
    <x v="27"/>
    <x v="2"/>
    <x v="31"/>
    <x v="12"/>
    <x v="2"/>
    <x v="32"/>
    <x v="22"/>
    <x v="32"/>
    <x v="0"/>
    <x v="16"/>
    <x v="2"/>
    <x v="16"/>
    <x v="58"/>
    <x v="38"/>
    <x v="0"/>
    <x v="22"/>
    <x v="3"/>
    <x v="0"/>
  </r>
  <r>
    <x v="389"/>
    <x v="1"/>
    <x v="6"/>
    <x v="30"/>
    <x v="6"/>
    <x v="10"/>
    <x v="18"/>
    <x v="6"/>
    <x v="23"/>
    <x v="12"/>
    <x v="6"/>
    <x v="0"/>
    <x v="17"/>
    <x v="6"/>
    <x v="6"/>
    <x v="31"/>
    <x v="23"/>
    <x v="0"/>
    <x v="49"/>
    <x v="2"/>
    <x v="2"/>
  </r>
  <r>
    <x v="394"/>
    <x v="1"/>
    <x v="6"/>
    <x v="28"/>
    <x v="26"/>
    <x v="17"/>
    <x v="2"/>
    <x v="29"/>
    <x v="31"/>
    <x v="8"/>
    <x v="3"/>
    <x v="0"/>
    <x v="28"/>
    <x v="26"/>
    <x v="28"/>
    <x v="55"/>
    <x v="13"/>
    <x v="1"/>
    <x v="59"/>
    <x v="0"/>
    <x v="2"/>
  </r>
  <r>
    <x v="402"/>
    <x v="1"/>
    <x v="7"/>
    <x v="13"/>
    <x v="12"/>
    <x v="16"/>
    <x v="14"/>
    <x v="12"/>
    <x v="23"/>
    <x v="15"/>
    <x v="22"/>
    <x v="0"/>
    <x v="13"/>
    <x v="12"/>
    <x v="13"/>
    <x v="41"/>
    <x v="25"/>
    <x v="0"/>
    <x v="39"/>
    <x v="3"/>
    <x v="2"/>
  </r>
  <r>
    <x v="411"/>
    <x v="1"/>
    <x v="7"/>
    <x v="2"/>
    <x v="7"/>
    <x v="17"/>
    <x v="12"/>
    <x v="2"/>
    <x v="15"/>
    <x v="10"/>
    <x v="23"/>
    <x v="0"/>
    <x v="2"/>
    <x v="7"/>
    <x v="2"/>
    <x v="44"/>
    <x v="24"/>
    <x v="1"/>
    <x v="48"/>
    <x v="3"/>
    <x v="2"/>
  </r>
  <r>
    <x v="411"/>
    <x v="1"/>
    <x v="7"/>
    <x v="3"/>
    <x v="9"/>
    <x v="37"/>
    <x v="12"/>
    <x v="9"/>
    <x v="31"/>
    <x v="21"/>
    <x v="33"/>
    <x v="0"/>
    <x v="3"/>
    <x v="9"/>
    <x v="3"/>
    <x v="64"/>
    <x v="44"/>
    <x v="0"/>
    <x v="16"/>
    <x v="3"/>
    <x v="0"/>
  </r>
  <r>
    <x v="411"/>
    <x v="1"/>
    <x v="7"/>
    <x v="4"/>
    <x v="31"/>
    <x v="45"/>
    <x v="14"/>
    <x v="4"/>
    <x v="22"/>
    <x v="30"/>
    <x v="2"/>
    <x v="0"/>
    <x v="4"/>
    <x v="29"/>
    <x v="4"/>
    <x v="70"/>
    <x v="54"/>
    <x v="1"/>
    <x v="74"/>
    <x v="0"/>
    <x v="0"/>
  </r>
  <r>
    <x v="411"/>
    <x v="1"/>
    <x v="7"/>
    <x v="6"/>
    <x v="0"/>
    <x v="20"/>
    <x v="14"/>
    <x v="6"/>
    <x v="29"/>
    <x v="16"/>
    <x v="31"/>
    <x v="0"/>
    <x v="6"/>
    <x v="0"/>
    <x v="6"/>
    <x v="45"/>
    <x v="29"/>
    <x v="1"/>
    <x v="49"/>
    <x v="0"/>
    <x v="2"/>
  </r>
  <r>
    <x v="411"/>
    <x v="1"/>
    <x v="7"/>
    <x v="8"/>
    <x v="25"/>
    <x v="4"/>
    <x v="18"/>
    <x v="25"/>
    <x v="32"/>
    <x v="34"/>
    <x v="5"/>
    <x v="0"/>
    <x v="8"/>
    <x v="25"/>
    <x v="25"/>
    <x v="25"/>
    <x v="17"/>
    <x v="0"/>
    <x v="55"/>
    <x v="0"/>
    <x v="2"/>
  </r>
  <r>
    <x v="411"/>
    <x v="1"/>
    <x v="7"/>
    <x v="10"/>
    <x v="27"/>
    <x v="35"/>
    <x v="8"/>
    <x v="16"/>
    <x v="35"/>
    <x v="40"/>
    <x v="11"/>
    <x v="0"/>
    <x v="10"/>
    <x v="16"/>
    <x v="10"/>
    <x v="66"/>
    <x v="38"/>
    <x v="0"/>
    <x v="14"/>
    <x v="3"/>
    <x v="2"/>
  </r>
  <r>
    <x v="411"/>
    <x v="1"/>
    <x v="7"/>
    <x v="15"/>
    <x v="24"/>
    <x v="10"/>
    <x v="14"/>
    <x v="15"/>
    <x v="31"/>
    <x v="20"/>
    <x v="0"/>
    <x v="0"/>
    <x v="15"/>
    <x v="24"/>
    <x v="24"/>
    <x v="35"/>
    <x v="19"/>
    <x v="1"/>
    <x v="39"/>
    <x v="3"/>
    <x v="2"/>
  </r>
  <r>
    <x v="411"/>
    <x v="1"/>
    <x v="7"/>
    <x v="20"/>
    <x v="18"/>
    <x v="24"/>
    <x v="22"/>
    <x v="20"/>
    <x v="22"/>
    <x v="33"/>
    <x v="13"/>
    <x v="0"/>
    <x v="20"/>
    <x v="18"/>
    <x v="20"/>
    <x v="41"/>
    <x v="41"/>
    <x v="1"/>
    <x v="45"/>
    <x v="3"/>
    <x v="0"/>
  </r>
  <r>
    <x v="411"/>
    <x v="1"/>
    <x v="7"/>
    <x v="23"/>
    <x v="22"/>
    <x v="11"/>
    <x v="27"/>
    <x v="23"/>
    <x v="31"/>
    <x v="26"/>
    <x v="26"/>
    <x v="0"/>
    <x v="23"/>
    <x v="22"/>
    <x v="22"/>
    <x v="23"/>
    <x v="33"/>
    <x v="1"/>
    <x v="27"/>
    <x v="3"/>
    <x v="2"/>
  </r>
  <r>
    <x v="411"/>
    <x v="1"/>
    <x v="7"/>
    <x v="26"/>
    <x v="30"/>
    <x v="24"/>
    <x v="0"/>
    <x v="27"/>
    <x v="17"/>
    <x v="2"/>
    <x v="15"/>
    <x v="0"/>
    <x v="26"/>
    <x v="17"/>
    <x v="26"/>
    <x v="65"/>
    <x v="17"/>
    <x v="1"/>
    <x v="69"/>
    <x v="0"/>
    <x v="2"/>
  </r>
  <r>
    <x v="411"/>
    <x v="1"/>
    <x v="7"/>
    <x v="29"/>
    <x v="28"/>
    <x v="14"/>
    <x v="17"/>
    <x v="29"/>
    <x v="32"/>
    <x v="8"/>
    <x v="4"/>
    <x v="0"/>
    <x v="27"/>
    <x v="28"/>
    <x v="28"/>
    <x v="36"/>
    <x v="26"/>
    <x v="0"/>
    <x v="44"/>
    <x v="3"/>
    <x v="2"/>
  </r>
  <r>
    <x v="411"/>
    <x v="1"/>
    <x v="7"/>
    <x v="32"/>
    <x v="14"/>
    <x v="20"/>
    <x v="15"/>
    <x v="31"/>
    <x v="20"/>
    <x v="11"/>
    <x v="28"/>
    <x v="0"/>
    <x v="30"/>
    <x v="14"/>
    <x v="30"/>
    <x v="44"/>
    <x v="30"/>
    <x v="1"/>
    <x v="48"/>
    <x v="3"/>
    <x v="0"/>
  </r>
  <r>
    <x v="411"/>
    <x v="1"/>
    <x v="7"/>
    <x v="33"/>
    <x v="19"/>
    <x v="23"/>
    <x v="31"/>
    <x v="32"/>
    <x v="25"/>
    <x v="20"/>
    <x v="9"/>
    <x v="0"/>
    <x v="31"/>
    <x v="19"/>
    <x v="19"/>
    <x v="31"/>
    <x v="49"/>
    <x v="1"/>
    <x v="35"/>
    <x v="3"/>
    <x v="0"/>
  </r>
  <r>
    <x v="416"/>
    <x v="1"/>
    <x v="7"/>
    <x v="11"/>
    <x v="5"/>
    <x v="32"/>
    <x v="19"/>
    <x v="11"/>
    <x v="11"/>
    <x v="18"/>
    <x v="16"/>
    <x v="0"/>
    <x v="11"/>
    <x v="5"/>
    <x v="11"/>
    <x v="52"/>
    <x v="46"/>
    <x v="1"/>
    <x v="56"/>
    <x v="0"/>
    <x v="0"/>
  </r>
  <r>
    <x v="420"/>
    <x v="1"/>
    <x v="7"/>
    <x v="21"/>
    <x v="1"/>
    <x v="42"/>
    <x v="14"/>
    <x v="21"/>
    <x v="23"/>
    <x v="39"/>
    <x v="20"/>
    <x v="0"/>
    <x v="21"/>
    <x v="1"/>
    <x v="21"/>
    <x v="67"/>
    <x v="51"/>
    <x v="1"/>
    <x v="71"/>
    <x v="0"/>
    <x v="0"/>
  </r>
  <r>
    <x v="0"/>
    <x v="1"/>
    <x v="8"/>
    <x v="0"/>
    <x v="29"/>
    <x v="20"/>
    <x v="18"/>
    <x v="0"/>
    <x v="32"/>
    <x v="15"/>
    <x v="44"/>
    <x v="0"/>
    <x v="0"/>
    <x v="27"/>
    <x v="0"/>
    <x v="41"/>
    <x v="33"/>
    <x v="1"/>
    <x v="45"/>
    <x v="0"/>
    <x v="0"/>
  </r>
  <r>
    <x v="0"/>
    <x v="1"/>
    <x v="8"/>
    <x v="1"/>
    <x v="31"/>
    <x v="42"/>
    <x v="22"/>
    <x v="1"/>
    <x v="18"/>
    <x v="24"/>
    <x v="12"/>
    <x v="0"/>
    <x v="1"/>
    <x v="29"/>
    <x v="1"/>
    <x v="59"/>
    <x v="59"/>
    <x v="1"/>
    <x v="63"/>
    <x v="0"/>
    <x v="0"/>
  </r>
  <r>
    <x v="0"/>
    <x v="1"/>
    <x v="8"/>
    <x v="6"/>
    <x v="2"/>
    <x v="13"/>
    <x v="22"/>
    <x v="2"/>
    <x v="32"/>
    <x v="10"/>
    <x v="31"/>
    <x v="0"/>
    <x v="6"/>
    <x v="2"/>
    <x v="2"/>
    <x v="30"/>
    <x v="30"/>
    <x v="0"/>
    <x v="50"/>
    <x v="0"/>
    <x v="0"/>
  </r>
  <r>
    <x v="0"/>
    <x v="1"/>
    <x v="8"/>
    <x v="7"/>
    <x v="26"/>
    <x v="6"/>
    <x v="11"/>
    <x v="27"/>
    <x v="23"/>
    <x v="0"/>
    <x v="10"/>
    <x v="0"/>
    <x v="7"/>
    <x v="26"/>
    <x v="26"/>
    <x v="34"/>
    <x v="12"/>
    <x v="0"/>
    <x v="46"/>
    <x v="3"/>
    <x v="2"/>
  </r>
  <r>
    <x v="0"/>
    <x v="1"/>
    <x v="8"/>
    <x v="9"/>
    <x v="15"/>
    <x v="2"/>
    <x v="5"/>
    <x v="9"/>
    <x v="33"/>
    <x v="9"/>
    <x v="38"/>
    <x v="0"/>
    <x v="9"/>
    <x v="15"/>
    <x v="15"/>
    <x v="34"/>
    <x v="2"/>
    <x v="1"/>
    <x v="38"/>
    <x v="3"/>
    <x v="2"/>
  </r>
  <r>
    <x v="0"/>
    <x v="1"/>
    <x v="8"/>
    <x v="11"/>
    <x v="10"/>
    <x v="42"/>
    <x v="39"/>
    <x v="10"/>
    <x v="24"/>
    <x v="18"/>
    <x v="16"/>
    <x v="0"/>
    <x v="11"/>
    <x v="10"/>
    <x v="11"/>
    <x v="42"/>
    <x v="76"/>
    <x v="0"/>
    <x v="38"/>
    <x v="3"/>
    <x v="0"/>
  </r>
  <r>
    <x v="0"/>
    <x v="1"/>
    <x v="8"/>
    <x v="12"/>
    <x v="32"/>
    <x v="19"/>
    <x v="21"/>
    <x v="31"/>
    <x v="33"/>
    <x v="11"/>
    <x v="35"/>
    <x v="0"/>
    <x v="12"/>
    <x v="30"/>
    <x v="30"/>
    <x v="37"/>
    <x v="35"/>
    <x v="0"/>
    <x v="43"/>
    <x v="3"/>
    <x v="0"/>
  </r>
  <r>
    <x v="0"/>
    <x v="1"/>
    <x v="8"/>
    <x v="14"/>
    <x v="13"/>
    <x v="16"/>
    <x v="11"/>
    <x v="14"/>
    <x v="31"/>
    <x v="8"/>
    <x v="8"/>
    <x v="0"/>
    <x v="14"/>
    <x v="13"/>
    <x v="14"/>
    <x v="44"/>
    <x v="22"/>
    <x v="1"/>
    <x v="48"/>
    <x v="0"/>
    <x v="2"/>
  </r>
  <r>
    <x v="0"/>
    <x v="1"/>
    <x v="8"/>
    <x v="18"/>
    <x v="23"/>
    <x v="16"/>
    <x v="15"/>
    <x v="18"/>
    <x v="33"/>
    <x v="12"/>
    <x v="40"/>
    <x v="0"/>
    <x v="18"/>
    <x v="23"/>
    <x v="18"/>
    <x v="40"/>
    <x v="26"/>
    <x v="1"/>
    <x v="44"/>
    <x v="2"/>
    <x v="2"/>
  </r>
  <r>
    <x v="0"/>
    <x v="1"/>
    <x v="8"/>
    <x v="19"/>
    <x v="5"/>
    <x v="10"/>
    <x v="15"/>
    <x v="19"/>
    <x v="32"/>
    <x v="18"/>
    <x v="24"/>
    <x v="0"/>
    <x v="19"/>
    <x v="5"/>
    <x v="5"/>
    <x v="34"/>
    <x v="20"/>
    <x v="1"/>
    <x v="38"/>
    <x v="3"/>
    <x v="2"/>
  </r>
  <r>
    <x v="0"/>
    <x v="1"/>
    <x v="8"/>
    <x v="20"/>
    <x v="3"/>
    <x v="46"/>
    <x v="19"/>
    <x v="20"/>
    <x v="17"/>
    <x v="34"/>
    <x v="13"/>
    <x v="0"/>
    <x v="20"/>
    <x v="3"/>
    <x v="20"/>
    <x v="66"/>
    <x v="60"/>
    <x v="1"/>
    <x v="70"/>
    <x v="0"/>
    <x v="0"/>
  </r>
  <r>
    <x v="0"/>
    <x v="1"/>
    <x v="8"/>
    <x v="21"/>
    <x v="4"/>
    <x v="42"/>
    <x v="15"/>
    <x v="21"/>
    <x v="23"/>
    <x v="44"/>
    <x v="20"/>
    <x v="0"/>
    <x v="21"/>
    <x v="4"/>
    <x v="21"/>
    <x v="66"/>
    <x v="52"/>
    <x v="1"/>
    <x v="70"/>
    <x v="0"/>
    <x v="0"/>
  </r>
  <r>
    <x v="0"/>
    <x v="1"/>
    <x v="8"/>
    <x v="22"/>
    <x v="8"/>
    <x v="28"/>
    <x v="12"/>
    <x v="22"/>
    <x v="31"/>
    <x v="29"/>
    <x v="26"/>
    <x v="0"/>
    <x v="22"/>
    <x v="8"/>
    <x v="22"/>
    <x v="55"/>
    <x v="35"/>
    <x v="1"/>
    <x v="59"/>
    <x v="0"/>
    <x v="2"/>
  </r>
  <r>
    <x v="0"/>
    <x v="1"/>
    <x v="8"/>
    <x v="24"/>
    <x v="27"/>
    <x v="23"/>
    <x v="36"/>
    <x v="24"/>
    <x v="31"/>
    <x v="31"/>
    <x v="30"/>
    <x v="0"/>
    <x v="24"/>
    <x v="16"/>
    <x v="16"/>
    <x v="26"/>
    <x v="54"/>
    <x v="1"/>
    <x v="30"/>
    <x v="3"/>
    <x v="0"/>
  </r>
  <r>
    <x v="0"/>
    <x v="1"/>
    <x v="8"/>
    <x v="25"/>
    <x v="33"/>
    <x v="31"/>
    <x v="8"/>
    <x v="25"/>
    <x v="23"/>
    <x v="23"/>
    <x v="18"/>
    <x v="0"/>
    <x v="25"/>
    <x v="31"/>
    <x v="25"/>
    <x v="62"/>
    <x v="34"/>
    <x v="1"/>
    <x v="66"/>
    <x v="0"/>
    <x v="2"/>
  </r>
  <r>
    <x v="0"/>
    <x v="1"/>
    <x v="8"/>
    <x v="30"/>
    <x v="28"/>
    <x v="24"/>
    <x v="32"/>
    <x v="29"/>
    <x v="12"/>
    <x v="3"/>
    <x v="6"/>
    <x v="0"/>
    <x v="17"/>
    <x v="28"/>
    <x v="28"/>
    <x v="31"/>
    <x v="51"/>
    <x v="0"/>
    <x v="49"/>
    <x v="3"/>
    <x v="0"/>
  </r>
  <r>
    <x v="11"/>
    <x v="1"/>
    <x v="20"/>
    <x v="12"/>
    <x v="6"/>
    <x v="28"/>
    <x v="8"/>
    <x v="12"/>
    <x v="29"/>
    <x v="10"/>
    <x v="46"/>
    <x v="1"/>
    <x v="12"/>
    <x v="6"/>
    <x v="12"/>
    <x v="59"/>
    <x v="31"/>
    <x v="1"/>
    <x v="63"/>
    <x v="0"/>
    <x v="0"/>
  </r>
  <r>
    <x v="11"/>
    <x v="1"/>
    <x v="20"/>
    <x v="21"/>
    <x v="10"/>
    <x v="42"/>
    <x v="26"/>
    <x v="21"/>
    <x v="16"/>
    <x v="54"/>
    <x v="46"/>
    <x v="1"/>
    <x v="21"/>
    <x v="10"/>
    <x v="21"/>
    <x v="55"/>
    <x v="63"/>
    <x v="1"/>
    <x v="59"/>
    <x v="0"/>
    <x v="0"/>
  </r>
  <r>
    <x v="15"/>
    <x v="1"/>
    <x v="20"/>
    <x v="9"/>
    <x v="26"/>
    <x v="26"/>
    <x v="21"/>
    <x v="27"/>
    <x v="22"/>
    <x v="2"/>
    <x v="46"/>
    <x v="1"/>
    <x v="9"/>
    <x v="26"/>
    <x v="9"/>
    <x v="44"/>
    <x v="42"/>
    <x v="0"/>
    <x v="36"/>
    <x v="3"/>
    <x v="0"/>
  </r>
  <r>
    <x v="15"/>
    <x v="1"/>
    <x v="20"/>
    <x v="22"/>
    <x v="1"/>
    <x v="21"/>
    <x v="1"/>
    <x v="22"/>
    <x v="31"/>
    <x v="30"/>
    <x v="46"/>
    <x v="1"/>
    <x v="22"/>
    <x v="1"/>
    <x v="22"/>
    <x v="60"/>
    <x v="16"/>
    <x v="1"/>
    <x v="64"/>
    <x v="0"/>
    <x v="2"/>
  </r>
  <r>
    <x v="27"/>
    <x v="1"/>
    <x v="18"/>
    <x v="20"/>
    <x v="9"/>
    <x v="42"/>
    <x v="8"/>
    <x v="20"/>
    <x v="10"/>
    <x v="34"/>
    <x v="46"/>
    <x v="1"/>
    <x v="20"/>
    <x v="9"/>
    <x v="20"/>
    <x v="73"/>
    <x v="45"/>
    <x v="1"/>
    <x v="77"/>
    <x v="0"/>
    <x v="0"/>
  </r>
  <r>
    <x v="27"/>
    <x v="1"/>
    <x v="18"/>
    <x v="28"/>
    <x v="21"/>
    <x v="33"/>
    <x v="30"/>
    <x v="21"/>
    <x v="30"/>
    <x v="28"/>
    <x v="46"/>
    <x v="1"/>
    <x v="28"/>
    <x v="21"/>
    <x v="28"/>
    <x v="42"/>
    <x v="58"/>
    <x v="0"/>
    <x v="38"/>
    <x v="3"/>
    <x v="0"/>
  </r>
  <r>
    <x v="31"/>
    <x v="1"/>
    <x v="18"/>
    <x v="2"/>
    <x v="12"/>
    <x v="17"/>
    <x v="11"/>
    <x v="2"/>
    <x v="21"/>
    <x v="9"/>
    <x v="23"/>
    <x v="1"/>
    <x v="2"/>
    <x v="12"/>
    <x v="2"/>
    <x v="45"/>
    <x v="23"/>
    <x v="1"/>
    <x v="49"/>
    <x v="3"/>
    <x v="2"/>
  </r>
  <r>
    <x v="31"/>
    <x v="1"/>
    <x v="18"/>
    <x v="11"/>
    <x v="22"/>
    <x v="17"/>
    <x v="35"/>
    <x v="11"/>
    <x v="21"/>
    <x v="43"/>
    <x v="46"/>
    <x v="1"/>
    <x v="11"/>
    <x v="22"/>
    <x v="22"/>
    <x v="21"/>
    <x v="47"/>
    <x v="1"/>
    <x v="25"/>
    <x v="3"/>
    <x v="0"/>
  </r>
  <r>
    <x v="40"/>
    <x v="1"/>
    <x v="17"/>
    <x v="20"/>
    <x v="2"/>
    <x v="20"/>
    <x v="18"/>
    <x v="20"/>
    <x v="23"/>
    <x v="34"/>
    <x v="46"/>
    <x v="1"/>
    <x v="20"/>
    <x v="2"/>
    <x v="20"/>
    <x v="41"/>
    <x v="33"/>
    <x v="1"/>
    <x v="45"/>
    <x v="3"/>
    <x v="2"/>
  </r>
  <r>
    <x v="40"/>
    <x v="1"/>
    <x v="17"/>
    <x v="28"/>
    <x v="22"/>
    <x v="14"/>
    <x v="18"/>
    <x v="29"/>
    <x v="33"/>
    <x v="17"/>
    <x v="46"/>
    <x v="1"/>
    <x v="28"/>
    <x v="22"/>
    <x v="22"/>
    <x v="35"/>
    <x v="27"/>
    <x v="1"/>
    <x v="39"/>
    <x v="3"/>
    <x v="2"/>
  </r>
  <r>
    <x v="48"/>
    <x v="1"/>
    <x v="19"/>
    <x v="20"/>
    <x v="22"/>
    <x v="14"/>
    <x v="19"/>
    <x v="20"/>
    <x v="32"/>
    <x v="40"/>
    <x v="22"/>
    <x v="1"/>
    <x v="20"/>
    <x v="22"/>
    <x v="22"/>
    <x v="34"/>
    <x v="28"/>
    <x v="1"/>
    <x v="38"/>
    <x v="3"/>
    <x v="2"/>
  </r>
  <r>
    <x v="52"/>
    <x v="2"/>
    <x v="0"/>
    <x v="22"/>
    <x v="8"/>
    <x v="14"/>
    <x v="22"/>
    <x v="22"/>
    <x v="29"/>
    <x v="26"/>
    <x v="26"/>
    <x v="0"/>
    <x v="22"/>
    <x v="8"/>
    <x v="8"/>
    <x v="31"/>
    <x v="31"/>
    <x v="1"/>
    <x v="35"/>
    <x v="3"/>
    <x v="2"/>
  </r>
  <r>
    <x v="61"/>
    <x v="2"/>
    <x v="0"/>
    <x v="0"/>
    <x v="29"/>
    <x v="17"/>
    <x v="14"/>
    <x v="28"/>
    <x v="31"/>
    <x v="16"/>
    <x v="44"/>
    <x v="0"/>
    <x v="0"/>
    <x v="27"/>
    <x v="0"/>
    <x v="42"/>
    <x v="26"/>
    <x v="0"/>
    <x v="38"/>
    <x v="3"/>
    <x v="2"/>
  </r>
  <r>
    <x v="61"/>
    <x v="2"/>
    <x v="0"/>
    <x v="5"/>
    <x v="13"/>
    <x v="38"/>
    <x v="19"/>
    <x v="5"/>
    <x v="17"/>
    <x v="19"/>
    <x v="37"/>
    <x v="0"/>
    <x v="5"/>
    <x v="13"/>
    <x v="5"/>
    <x v="58"/>
    <x v="52"/>
    <x v="1"/>
    <x v="62"/>
    <x v="0"/>
    <x v="0"/>
  </r>
  <r>
    <x v="61"/>
    <x v="2"/>
    <x v="0"/>
    <x v="7"/>
    <x v="25"/>
    <x v="13"/>
    <x v="15"/>
    <x v="25"/>
    <x v="18"/>
    <x v="18"/>
    <x v="10"/>
    <x v="0"/>
    <x v="7"/>
    <x v="25"/>
    <x v="25"/>
    <x v="37"/>
    <x v="23"/>
    <x v="0"/>
    <x v="43"/>
    <x v="3"/>
    <x v="2"/>
  </r>
  <r>
    <x v="61"/>
    <x v="2"/>
    <x v="0"/>
    <x v="9"/>
    <x v="26"/>
    <x v="28"/>
    <x v="17"/>
    <x v="9"/>
    <x v="33"/>
    <x v="25"/>
    <x v="38"/>
    <x v="0"/>
    <x v="9"/>
    <x v="26"/>
    <x v="9"/>
    <x v="50"/>
    <x v="40"/>
    <x v="1"/>
    <x v="54"/>
    <x v="0"/>
    <x v="0"/>
  </r>
  <r>
    <x v="61"/>
    <x v="2"/>
    <x v="0"/>
    <x v="10"/>
    <x v="30"/>
    <x v="24"/>
    <x v="21"/>
    <x v="10"/>
    <x v="19"/>
    <x v="27"/>
    <x v="11"/>
    <x v="0"/>
    <x v="10"/>
    <x v="17"/>
    <x v="10"/>
    <x v="42"/>
    <x v="40"/>
    <x v="1"/>
    <x v="46"/>
    <x v="3"/>
    <x v="0"/>
  </r>
  <r>
    <x v="61"/>
    <x v="2"/>
    <x v="0"/>
    <x v="11"/>
    <x v="28"/>
    <x v="19"/>
    <x v="28"/>
    <x v="11"/>
    <x v="26"/>
    <x v="27"/>
    <x v="16"/>
    <x v="0"/>
    <x v="11"/>
    <x v="28"/>
    <x v="28"/>
    <x v="30"/>
    <x v="42"/>
    <x v="1"/>
    <x v="34"/>
    <x v="3"/>
    <x v="0"/>
  </r>
  <r>
    <x v="61"/>
    <x v="2"/>
    <x v="0"/>
    <x v="12"/>
    <x v="18"/>
    <x v="27"/>
    <x v="8"/>
    <x v="12"/>
    <x v="10"/>
    <x v="17"/>
    <x v="35"/>
    <x v="0"/>
    <x v="12"/>
    <x v="18"/>
    <x v="12"/>
    <x v="58"/>
    <x v="30"/>
    <x v="1"/>
    <x v="62"/>
    <x v="0"/>
    <x v="2"/>
  </r>
  <r>
    <x v="61"/>
    <x v="2"/>
    <x v="0"/>
    <x v="15"/>
    <x v="1"/>
    <x v="21"/>
    <x v="38"/>
    <x v="1"/>
    <x v="32"/>
    <x v="20"/>
    <x v="0"/>
    <x v="0"/>
    <x v="15"/>
    <x v="1"/>
    <x v="1"/>
    <x v="22"/>
    <x v="54"/>
    <x v="0"/>
    <x v="58"/>
    <x v="0"/>
    <x v="0"/>
  </r>
  <r>
    <x v="61"/>
    <x v="2"/>
    <x v="0"/>
    <x v="19"/>
    <x v="14"/>
    <x v="23"/>
    <x v="21"/>
    <x v="19"/>
    <x v="30"/>
    <x v="10"/>
    <x v="24"/>
    <x v="0"/>
    <x v="19"/>
    <x v="14"/>
    <x v="19"/>
    <x v="41"/>
    <x v="39"/>
    <x v="1"/>
    <x v="45"/>
    <x v="3"/>
    <x v="0"/>
  </r>
  <r>
    <x v="61"/>
    <x v="2"/>
    <x v="0"/>
    <x v="21"/>
    <x v="33"/>
    <x v="29"/>
    <x v="38"/>
    <x v="21"/>
    <x v="19"/>
    <x v="35"/>
    <x v="20"/>
    <x v="0"/>
    <x v="21"/>
    <x v="31"/>
    <x v="32"/>
    <x v="30"/>
    <x v="62"/>
    <x v="1"/>
    <x v="34"/>
    <x v="3"/>
    <x v="0"/>
  </r>
  <r>
    <x v="61"/>
    <x v="2"/>
    <x v="0"/>
    <x v="23"/>
    <x v="3"/>
    <x v="45"/>
    <x v="26"/>
    <x v="23"/>
    <x v="31"/>
    <x v="12"/>
    <x v="26"/>
    <x v="0"/>
    <x v="23"/>
    <x v="3"/>
    <x v="23"/>
    <x v="58"/>
    <x v="66"/>
    <x v="1"/>
    <x v="62"/>
    <x v="0"/>
    <x v="0"/>
  </r>
  <r>
    <x v="61"/>
    <x v="2"/>
    <x v="0"/>
    <x v="31"/>
    <x v="4"/>
    <x v="13"/>
    <x v="8"/>
    <x v="4"/>
    <x v="31"/>
    <x v="25"/>
    <x v="34"/>
    <x v="0"/>
    <x v="29"/>
    <x v="4"/>
    <x v="29"/>
    <x v="44"/>
    <x v="16"/>
    <x v="0"/>
    <x v="36"/>
    <x v="3"/>
    <x v="2"/>
  </r>
  <r>
    <x v="61"/>
    <x v="2"/>
    <x v="0"/>
    <x v="32"/>
    <x v="20"/>
    <x v="10"/>
    <x v="32"/>
    <x v="20"/>
    <x v="24"/>
    <x v="30"/>
    <x v="28"/>
    <x v="0"/>
    <x v="30"/>
    <x v="20"/>
    <x v="20"/>
    <x v="17"/>
    <x v="37"/>
    <x v="0"/>
    <x v="63"/>
    <x v="0"/>
    <x v="2"/>
  </r>
  <r>
    <x v="63"/>
    <x v="2"/>
    <x v="0"/>
    <x v="2"/>
    <x v="6"/>
    <x v="41"/>
    <x v="11"/>
    <x v="2"/>
    <x v="23"/>
    <x v="20"/>
    <x v="23"/>
    <x v="0"/>
    <x v="2"/>
    <x v="6"/>
    <x v="2"/>
    <x v="69"/>
    <x v="47"/>
    <x v="1"/>
    <x v="73"/>
    <x v="0"/>
    <x v="0"/>
  </r>
  <r>
    <x v="63"/>
    <x v="2"/>
    <x v="0"/>
    <x v="24"/>
    <x v="27"/>
    <x v="11"/>
    <x v="20"/>
    <x v="24"/>
    <x v="35"/>
    <x v="29"/>
    <x v="30"/>
    <x v="0"/>
    <x v="24"/>
    <x v="16"/>
    <x v="16"/>
    <x v="30"/>
    <x v="26"/>
    <x v="1"/>
    <x v="34"/>
    <x v="3"/>
    <x v="2"/>
  </r>
  <r>
    <x v="75"/>
    <x v="2"/>
    <x v="9"/>
    <x v="11"/>
    <x v="5"/>
    <x v="20"/>
    <x v="8"/>
    <x v="11"/>
    <x v="26"/>
    <x v="36"/>
    <x v="16"/>
    <x v="0"/>
    <x v="11"/>
    <x v="5"/>
    <x v="11"/>
    <x v="51"/>
    <x v="23"/>
    <x v="1"/>
    <x v="55"/>
    <x v="0"/>
    <x v="2"/>
  </r>
  <r>
    <x v="83"/>
    <x v="2"/>
    <x v="9"/>
    <x v="3"/>
    <x v="15"/>
    <x v="32"/>
    <x v="15"/>
    <x v="3"/>
    <x v="31"/>
    <x v="24"/>
    <x v="33"/>
    <x v="0"/>
    <x v="3"/>
    <x v="15"/>
    <x v="3"/>
    <x v="56"/>
    <x v="42"/>
    <x v="1"/>
    <x v="60"/>
    <x v="0"/>
    <x v="0"/>
  </r>
  <r>
    <x v="83"/>
    <x v="2"/>
    <x v="9"/>
    <x v="4"/>
    <x v="21"/>
    <x v="32"/>
    <x v="25"/>
    <x v="21"/>
    <x v="31"/>
    <x v="42"/>
    <x v="2"/>
    <x v="0"/>
    <x v="4"/>
    <x v="21"/>
    <x v="4"/>
    <x v="46"/>
    <x v="52"/>
    <x v="0"/>
    <x v="34"/>
    <x v="3"/>
    <x v="0"/>
  </r>
  <r>
    <x v="83"/>
    <x v="2"/>
    <x v="9"/>
    <x v="6"/>
    <x v="7"/>
    <x v="31"/>
    <x v="25"/>
    <x v="6"/>
    <x v="23"/>
    <x v="13"/>
    <x v="31"/>
    <x v="0"/>
    <x v="6"/>
    <x v="7"/>
    <x v="6"/>
    <x v="45"/>
    <x v="51"/>
    <x v="1"/>
    <x v="49"/>
    <x v="2"/>
    <x v="0"/>
  </r>
  <r>
    <x v="83"/>
    <x v="2"/>
    <x v="9"/>
    <x v="13"/>
    <x v="19"/>
    <x v="20"/>
    <x v="18"/>
    <x v="19"/>
    <x v="31"/>
    <x v="25"/>
    <x v="22"/>
    <x v="0"/>
    <x v="13"/>
    <x v="19"/>
    <x v="13"/>
    <x v="41"/>
    <x v="33"/>
    <x v="0"/>
    <x v="39"/>
    <x v="3"/>
    <x v="2"/>
  </r>
  <r>
    <x v="83"/>
    <x v="2"/>
    <x v="9"/>
    <x v="14"/>
    <x v="12"/>
    <x v="4"/>
    <x v="25"/>
    <x v="12"/>
    <x v="23"/>
    <x v="14"/>
    <x v="8"/>
    <x v="0"/>
    <x v="14"/>
    <x v="12"/>
    <x v="12"/>
    <x v="18"/>
    <x v="24"/>
    <x v="0"/>
    <x v="62"/>
    <x v="0"/>
    <x v="2"/>
  </r>
  <r>
    <x v="83"/>
    <x v="2"/>
    <x v="9"/>
    <x v="18"/>
    <x v="24"/>
    <x v="32"/>
    <x v="11"/>
    <x v="24"/>
    <x v="33"/>
    <x v="16"/>
    <x v="40"/>
    <x v="0"/>
    <x v="18"/>
    <x v="24"/>
    <x v="18"/>
    <x v="60"/>
    <x v="38"/>
    <x v="0"/>
    <x v="20"/>
    <x v="3"/>
    <x v="0"/>
  </r>
  <r>
    <x v="83"/>
    <x v="2"/>
    <x v="9"/>
    <x v="20"/>
    <x v="0"/>
    <x v="15"/>
    <x v="18"/>
    <x v="20"/>
    <x v="10"/>
    <x v="28"/>
    <x v="13"/>
    <x v="0"/>
    <x v="20"/>
    <x v="0"/>
    <x v="0"/>
    <x v="36"/>
    <x v="28"/>
    <x v="1"/>
    <x v="40"/>
    <x v="3"/>
    <x v="2"/>
  </r>
  <r>
    <x v="83"/>
    <x v="2"/>
    <x v="9"/>
    <x v="22"/>
    <x v="31"/>
    <x v="38"/>
    <x v="32"/>
    <x v="22"/>
    <x v="21"/>
    <x v="21"/>
    <x v="26"/>
    <x v="0"/>
    <x v="22"/>
    <x v="29"/>
    <x v="22"/>
    <x v="45"/>
    <x v="65"/>
    <x v="1"/>
    <x v="49"/>
    <x v="3"/>
    <x v="0"/>
  </r>
  <r>
    <x v="83"/>
    <x v="2"/>
    <x v="9"/>
    <x v="25"/>
    <x v="2"/>
    <x v="21"/>
    <x v="21"/>
    <x v="25"/>
    <x v="31"/>
    <x v="28"/>
    <x v="18"/>
    <x v="0"/>
    <x v="25"/>
    <x v="2"/>
    <x v="25"/>
    <x v="39"/>
    <x v="37"/>
    <x v="1"/>
    <x v="43"/>
    <x v="3"/>
    <x v="1"/>
  </r>
  <r>
    <x v="83"/>
    <x v="2"/>
    <x v="9"/>
    <x v="26"/>
    <x v="23"/>
    <x v="24"/>
    <x v="8"/>
    <x v="27"/>
    <x v="28"/>
    <x v="20"/>
    <x v="15"/>
    <x v="0"/>
    <x v="26"/>
    <x v="23"/>
    <x v="26"/>
    <x v="55"/>
    <x v="27"/>
    <x v="1"/>
    <x v="59"/>
    <x v="0"/>
    <x v="2"/>
  </r>
  <r>
    <x v="83"/>
    <x v="2"/>
    <x v="9"/>
    <x v="27"/>
    <x v="32"/>
    <x v="35"/>
    <x v="8"/>
    <x v="16"/>
    <x v="25"/>
    <x v="21"/>
    <x v="32"/>
    <x v="0"/>
    <x v="16"/>
    <x v="30"/>
    <x v="16"/>
    <x v="66"/>
    <x v="38"/>
    <x v="1"/>
    <x v="70"/>
    <x v="0"/>
    <x v="0"/>
  </r>
  <r>
    <x v="83"/>
    <x v="2"/>
    <x v="9"/>
    <x v="28"/>
    <x v="10"/>
    <x v="24"/>
    <x v="17"/>
    <x v="29"/>
    <x v="23"/>
    <x v="26"/>
    <x v="3"/>
    <x v="0"/>
    <x v="28"/>
    <x v="10"/>
    <x v="28"/>
    <x v="46"/>
    <x v="36"/>
    <x v="1"/>
    <x v="50"/>
    <x v="0"/>
    <x v="1"/>
  </r>
  <r>
    <x v="83"/>
    <x v="2"/>
    <x v="9"/>
    <x v="29"/>
    <x v="8"/>
    <x v="24"/>
    <x v="5"/>
    <x v="8"/>
    <x v="31"/>
    <x v="20"/>
    <x v="4"/>
    <x v="0"/>
    <x v="27"/>
    <x v="8"/>
    <x v="27"/>
    <x v="58"/>
    <x v="24"/>
    <x v="0"/>
    <x v="22"/>
    <x v="3"/>
    <x v="2"/>
  </r>
  <r>
    <x v="83"/>
    <x v="2"/>
    <x v="9"/>
    <x v="30"/>
    <x v="33"/>
    <x v="28"/>
    <x v="26"/>
    <x v="32"/>
    <x v="30"/>
    <x v="19"/>
    <x v="6"/>
    <x v="0"/>
    <x v="17"/>
    <x v="31"/>
    <x v="17"/>
    <x v="41"/>
    <x v="49"/>
    <x v="0"/>
    <x v="39"/>
    <x v="3"/>
    <x v="0"/>
  </r>
  <r>
    <x v="85"/>
    <x v="2"/>
    <x v="9"/>
    <x v="1"/>
    <x v="9"/>
    <x v="24"/>
    <x v="19"/>
    <x v="1"/>
    <x v="31"/>
    <x v="35"/>
    <x v="12"/>
    <x v="0"/>
    <x v="1"/>
    <x v="9"/>
    <x v="1"/>
    <x v="44"/>
    <x v="38"/>
    <x v="1"/>
    <x v="48"/>
    <x v="0"/>
    <x v="2"/>
  </r>
  <r>
    <x v="97"/>
    <x v="2"/>
    <x v="10"/>
    <x v="4"/>
    <x v="22"/>
    <x v="4"/>
    <x v="34"/>
    <x v="4"/>
    <x v="31"/>
    <x v="32"/>
    <x v="2"/>
    <x v="0"/>
    <x v="4"/>
    <x v="22"/>
    <x v="22"/>
    <x v="9"/>
    <x v="33"/>
    <x v="1"/>
    <x v="13"/>
    <x v="3"/>
    <x v="2"/>
  </r>
  <r>
    <x v="105"/>
    <x v="2"/>
    <x v="10"/>
    <x v="0"/>
    <x v="25"/>
    <x v="24"/>
    <x v="4"/>
    <x v="25"/>
    <x v="31"/>
    <x v="18"/>
    <x v="44"/>
    <x v="0"/>
    <x v="0"/>
    <x v="25"/>
    <x v="0"/>
    <x v="59"/>
    <x v="23"/>
    <x v="0"/>
    <x v="21"/>
    <x v="3"/>
    <x v="2"/>
  </r>
  <r>
    <x v="105"/>
    <x v="2"/>
    <x v="10"/>
    <x v="2"/>
    <x v="20"/>
    <x v="28"/>
    <x v="28"/>
    <x v="2"/>
    <x v="31"/>
    <x v="30"/>
    <x v="23"/>
    <x v="0"/>
    <x v="2"/>
    <x v="20"/>
    <x v="2"/>
    <x v="39"/>
    <x v="51"/>
    <x v="1"/>
    <x v="43"/>
    <x v="3"/>
    <x v="0"/>
  </r>
  <r>
    <x v="105"/>
    <x v="2"/>
    <x v="10"/>
    <x v="5"/>
    <x v="30"/>
    <x v="20"/>
    <x v="4"/>
    <x v="5"/>
    <x v="23"/>
    <x v="18"/>
    <x v="37"/>
    <x v="0"/>
    <x v="5"/>
    <x v="17"/>
    <x v="5"/>
    <x v="55"/>
    <x v="19"/>
    <x v="1"/>
    <x v="59"/>
    <x v="0"/>
    <x v="2"/>
  </r>
  <r>
    <x v="105"/>
    <x v="2"/>
    <x v="10"/>
    <x v="7"/>
    <x v="3"/>
    <x v="11"/>
    <x v="22"/>
    <x v="3"/>
    <x v="31"/>
    <x v="24"/>
    <x v="10"/>
    <x v="0"/>
    <x v="7"/>
    <x v="3"/>
    <x v="3"/>
    <x v="28"/>
    <x v="28"/>
    <x v="0"/>
    <x v="52"/>
    <x v="0"/>
    <x v="2"/>
  </r>
  <r>
    <x v="105"/>
    <x v="2"/>
    <x v="10"/>
    <x v="8"/>
    <x v="31"/>
    <x v="13"/>
    <x v="8"/>
    <x v="8"/>
    <x v="23"/>
    <x v="25"/>
    <x v="5"/>
    <x v="0"/>
    <x v="8"/>
    <x v="29"/>
    <x v="8"/>
    <x v="44"/>
    <x v="16"/>
    <x v="1"/>
    <x v="48"/>
    <x v="3"/>
    <x v="2"/>
  </r>
  <r>
    <x v="105"/>
    <x v="2"/>
    <x v="10"/>
    <x v="9"/>
    <x v="12"/>
    <x v="22"/>
    <x v="29"/>
    <x v="12"/>
    <x v="34"/>
    <x v="21"/>
    <x v="38"/>
    <x v="0"/>
    <x v="9"/>
    <x v="12"/>
    <x v="12"/>
    <x v="32"/>
    <x v="46"/>
    <x v="0"/>
    <x v="48"/>
    <x v="0"/>
    <x v="0"/>
  </r>
  <r>
    <x v="105"/>
    <x v="2"/>
    <x v="10"/>
    <x v="13"/>
    <x v="14"/>
    <x v="14"/>
    <x v="20"/>
    <x v="13"/>
    <x v="31"/>
    <x v="18"/>
    <x v="22"/>
    <x v="0"/>
    <x v="13"/>
    <x v="14"/>
    <x v="14"/>
    <x v="33"/>
    <x v="29"/>
    <x v="1"/>
    <x v="37"/>
    <x v="3"/>
    <x v="2"/>
  </r>
  <r>
    <x v="105"/>
    <x v="2"/>
    <x v="10"/>
    <x v="18"/>
    <x v="23"/>
    <x v="17"/>
    <x v="21"/>
    <x v="23"/>
    <x v="31"/>
    <x v="15"/>
    <x v="40"/>
    <x v="0"/>
    <x v="18"/>
    <x v="23"/>
    <x v="23"/>
    <x v="35"/>
    <x v="33"/>
    <x v="0"/>
    <x v="45"/>
    <x v="2"/>
    <x v="0"/>
  </r>
  <r>
    <x v="105"/>
    <x v="2"/>
    <x v="10"/>
    <x v="19"/>
    <x v="28"/>
    <x v="21"/>
    <x v="11"/>
    <x v="29"/>
    <x v="23"/>
    <x v="19"/>
    <x v="24"/>
    <x v="0"/>
    <x v="19"/>
    <x v="28"/>
    <x v="19"/>
    <x v="49"/>
    <x v="27"/>
    <x v="0"/>
    <x v="31"/>
    <x v="3"/>
    <x v="2"/>
  </r>
  <r>
    <x v="105"/>
    <x v="2"/>
    <x v="10"/>
    <x v="21"/>
    <x v="15"/>
    <x v="21"/>
    <x v="25"/>
    <x v="21"/>
    <x v="20"/>
    <x v="37"/>
    <x v="20"/>
    <x v="0"/>
    <x v="21"/>
    <x v="15"/>
    <x v="15"/>
    <x v="35"/>
    <x v="41"/>
    <x v="1"/>
    <x v="39"/>
    <x v="3"/>
    <x v="2"/>
  </r>
  <r>
    <x v="105"/>
    <x v="2"/>
    <x v="10"/>
    <x v="24"/>
    <x v="26"/>
    <x v="31"/>
    <x v="29"/>
    <x v="27"/>
    <x v="29"/>
    <x v="24"/>
    <x v="30"/>
    <x v="0"/>
    <x v="24"/>
    <x v="26"/>
    <x v="24"/>
    <x v="41"/>
    <x v="55"/>
    <x v="0"/>
    <x v="39"/>
    <x v="3"/>
    <x v="0"/>
  </r>
  <r>
    <x v="105"/>
    <x v="2"/>
    <x v="10"/>
    <x v="27"/>
    <x v="1"/>
    <x v="2"/>
    <x v="25"/>
    <x v="16"/>
    <x v="31"/>
    <x v="29"/>
    <x v="32"/>
    <x v="0"/>
    <x v="16"/>
    <x v="1"/>
    <x v="1"/>
    <x v="14"/>
    <x v="20"/>
    <x v="1"/>
    <x v="18"/>
    <x v="3"/>
    <x v="2"/>
  </r>
  <r>
    <x v="105"/>
    <x v="2"/>
    <x v="10"/>
    <x v="32"/>
    <x v="10"/>
    <x v="41"/>
    <x v="39"/>
    <x v="10"/>
    <x v="29"/>
    <x v="28"/>
    <x v="28"/>
    <x v="0"/>
    <x v="30"/>
    <x v="10"/>
    <x v="30"/>
    <x v="41"/>
    <x v="75"/>
    <x v="0"/>
    <x v="39"/>
    <x v="3"/>
    <x v="0"/>
  </r>
  <r>
    <x v="105"/>
    <x v="2"/>
    <x v="10"/>
    <x v="33"/>
    <x v="6"/>
    <x v="28"/>
    <x v="36"/>
    <x v="32"/>
    <x v="31"/>
    <x v="33"/>
    <x v="9"/>
    <x v="0"/>
    <x v="31"/>
    <x v="6"/>
    <x v="6"/>
    <x v="31"/>
    <x v="59"/>
    <x v="1"/>
    <x v="35"/>
    <x v="3"/>
    <x v="0"/>
  </r>
  <r>
    <x v="107"/>
    <x v="2"/>
    <x v="10"/>
    <x v="29"/>
    <x v="11"/>
    <x v="11"/>
    <x v="10"/>
    <x v="11"/>
    <x v="30"/>
    <x v="25"/>
    <x v="4"/>
    <x v="0"/>
    <x v="27"/>
    <x v="11"/>
    <x v="27"/>
    <x v="40"/>
    <x v="16"/>
    <x v="0"/>
    <x v="40"/>
    <x v="3"/>
    <x v="2"/>
  </r>
  <r>
    <x v="119"/>
    <x v="2"/>
    <x v="11"/>
    <x v="2"/>
    <x v="7"/>
    <x v="20"/>
    <x v="14"/>
    <x v="2"/>
    <x v="14"/>
    <x v="21"/>
    <x v="23"/>
    <x v="0"/>
    <x v="2"/>
    <x v="7"/>
    <x v="2"/>
    <x v="45"/>
    <x v="29"/>
    <x v="1"/>
    <x v="49"/>
    <x v="3"/>
    <x v="2"/>
  </r>
  <r>
    <x v="127"/>
    <x v="2"/>
    <x v="11"/>
    <x v="0"/>
    <x v="18"/>
    <x v="21"/>
    <x v="19"/>
    <x v="0"/>
    <x v="29"/>
    <x v="13"/>
    <x v="44"/>
    <x v="0"/>
    <x v="0"/>
    <x v="18"/>
    <x v="0"/>
    <x v="41"/>
    <x v="35"/>
    <x v="1"/>
    <x v="45"/>
    <x v="3"/>
    <x v="0"/>
  </r>
  <r>
    <x v="127"/>
    <x v="2"/>
    <x v="11"/>
    <x v="1"/>
    <x v="4"/>
    <x v="27"/>
    <x v="26"/>
    <x v="1"/>
    <x v="23"/>
    <x v="30"/>
    <x v="12"/>
    <x v="0"/>
    <x v="1"/>
    <x v="4"/>
    <x v="1"/>
    <x v="40"/>
    <x v="48"/>
    <x v="1"/>
    <x v="44"/>
    <x v="3"/>
    <x v="0"/>
  </r>
  <r>
    <x v="127"/>
    <x v="2"/>
    <x v="11"/>
    <x v="3"/>
    <x v="20"/>
    <x v="25"/>
    <x v="49"/>
    <x v="20"/>
    <x v="28"/>
    <x v="31"/>
    <x v="33"/>
    <x v="0"/>
    <x v="3"/>
    <x v="20"/>
    <x v="20"/>
    <x v="14"/>
    <x v="70"/>
    <x v="0"/>
    <x v="66"/>
    <x v="0"/>
    <x v="0"/>
  </r>
  <r>
    <x v="127"/>
    <x v="2"/>
    <x v="11"/>
    <x v="9"/>
    <x v="24"/>
    <x v="34"/>
    <x v="4"/>
    <x v="9"/>
    <x v="24"/>
    <x v="28"/>
    <x v="38"/>
    <x v="0"/>
    <x v="9"/>
    <x v="24"/>
    <x v="9"/>
    <x v="69"/>
    <x v="33"/>
    <x v="1"/>
    <x v="73"/>
    <x v="0"/>
    <x v="2"/>
  </r>
  <r>
    <x v="127"/>
    <x v="2"/>
    <x v="11"/>
    <x v="10"/>
    <x v="19"/>
    <x v="10"/>
    <x v="18"/>
    <x v="10"/>
    <x v="29"/>
    <x v="31"/>
    <x v="11"/>
    <x v="0"/>
    <x v="10"/>
    <x v="19"/>
    <x v="19"/>
    <x v="31"/>
    <x v="23"/>
    <x v="1"/>
    <x v="35"/>
    <x v="3"/>
    <x v="2"/>
  </r>
  <r>
    <x v="127"/>
    <x v="2"/>
    <x v="11"/>
    <x v="11"/>
    <x v="21"/>
    <x v="25"/>
    <x v="25"/>
    <x v="11"/>
    <x v="22"/>
    <x v="42"/>
    <x v="16"/>
    <x v="0"/>
    <x v="11"/>
    <x v="21"/>
    <x v="11"/>
    <x v="39"/>
    <x v="45"/>
    <x v="1"/>
    <x v="43"/>
    <x v="3"/>
    <x v="0"/>
  </r>
  <r>
    <x v="127"/>
    <x v="2"/>
    <x v="11"/>
    <x v="12"/>
    <x v="32"/>
    <x v="35"/>
    <x v="12"/>
    <x v="12"/>
    <x v="10"/>
    <x v="24"/>
    <x v="35"/>
    <x v="0"/>
    <x v="12"/>
    <x v="30"/>
    <x v="12"/>
    <x v="62"/>
    <x v="42"/>
    <x v="1"/>
    <x v="66"/>
    <x v="0"/>
    <x v="0"/>
  </r>
  <r>
    <x v="127"/>
    <x v="2"/>
    <x v="11"/>
    <x v="14"/>
    <x v="6"/>
    <x v="7"/>
    <x v="25"/>
    <x v="14"/>
    <x v="34"/>
    <x v="25"/>
    <x v="8"/>
    <x v="0"/>
    <x v="14"/>
    <x v="6"/>
    <x v="6"/>
    <x v="21"/>
    <x v="27"/>
    <x v="1"/>
    <x v="25"/>
    <x v="3"/>
    <x v="2"/>
  </r>
  <r>
    <x v="127"/>
    <x v="2"/>
    <x v="11"/>
    <x v="15"/>
    <x v="27"/>
    <x v="17"/>
    <x v="35"/>
    <x v="16"/>
    <x v="32"/>
    <x v="21"/>
    <x v="0"/>
    <x v="0"/>
    <x v="15"/>
    <x v="16"/>
    <x v="16"/>
    <x v="21"/>
    <x v="47"/>
    <x v="0"/>
    <x v="59"/>
    <x v="0"/>
    <x v="0"/>
  </r>
  <r>
    <x v="127"/>
    <x v="2"/>
    <x v="11"/>
    <x v="23"/>
    <x v="28"/>
    <x v="0"/>
    <x v="32"/>
    <x v="29"/>
    <x v="29"/>
    <x v="16"/>
    <x v="26"/>
    <x v="0"/>
    <x v="23"/>
    <x v="28"/>
    <x v="28"/>
    <x v="4"/>
    <x v="24"/>
    <x v="0"/>
    <x v="76"/>
    <x v="0"/>
    <x v="2"/>
  </r>
  <r>
    <x v="127"/>
    <x v="2"/>
    <x v="11"/>
    <x v="25"/>
    <x v="22"/>
    <x v="16"/>
    <x v="15"/>
    <x v="25"/>
    <x v="34"/>
    <x v="27"/>
    <x v="18"/>
    <x v="0"/>
    <x v="25"/>
    <x v="22"/>
    <x v="25"/>
    <x v="40"/>
    <x v="26"/>
    <x v="1"/>
    <x v="44"/>
    <x v="0"/>
    <x v="2"/>
  </r>
  <r>
    <x v="127"/>
    <x v="2"/>
    <x v="11"/>
    <x v="30"/>
    <x v="29"/>
    <x v="16"/>
    <x v="11"/>
    <x v="28"/>
    <x v="32"/>
    <x v="12"/>
    <x v="6"/>
    <x v="0"/>
    <x v="17"/>
    <x v="27"/>
    <x v="17"/>
    <x v="44"/>
    <x v="22"/>
    <x v="0"/>
    <x v="36"/>
    <x v="3"/>
    <x v="2"/>
  </r>
  <r>
    <x v="127"/>
    <x v="2"/>
    <x v="11"/>
    <x v="31"/>
    <x v="33"/>
    <x v="19"/>
    <x v="22"/>
    <x v="30"/>
    <x v="33"/>
    <x v="24"/>
    <x v="34"/>
    <x v="0"/>
    <x v="29"/>
    <x v="31"/>
    <x v="32"/>
    <x v="36"/>
    <x v="36"/>
    <x v="1"/>
    <x v="40"/>
    <x v="3"/>
    <x v="0"/>
  </r>
  <r>
    <x v="129"/>
    <x v="2"/>
    <x v="11"/>
    <x v="8"/>
    <x v="5"/>
    <x v="15"/>
    <x v="32"/>
    <x v="8"/>
    <x v="31"/>
    <x v="17"/>
    <x v="5"/>
    <x v="0"/>
    <x v="8"/>
    <x v="5"/>
    <x v="5"/>
    <x v="22"/>
    <x v="42"/>
    <x v="1"/>
    <x v="26"/>
    <x v="3"/>
    <x v="0"/>
  </r>
  <r>
    <x v="141"/>
    <x v="2"/>
    <x v="12"/>
    <x v="30"/>
    <x v="0"/>
    <x v="14"/>
    <x v="2"/>
    <x v="0"/>
    <x v="34"/>
    <x v="10"/>
    <x v="6"/>
    <x v="0"/>
    <x v="17"/>
    <x v="0"/>
    <x v="17"/>
    <x v="52"/>
    <x v="10"/>
    <x v="0"/>
    <x v="28"/>
    <x v="3"/>
    <x v="2"/>
  </r>
  <r>
    <x v="149"/>
    <x v="2"/>
    <x v="12"/>
    <x v="4"/>
    <x v="29"/>
    <x v="9"/>
    <x v="14"/>
    <x v="4"/>
    <x v="33"/>
    <x v="18"/>
    <x v="2"/>
    <x v="0"/>
    <x v="4"/>
    <x v="27"/>
    <x v="27"/>
    <x v="34"/>
    <x v="18"/>
    <x v="1"/>
    <x v="38"/>
    <x v="3"/>
    <x v="2"/>
  </r>
  <r>
    <x v="149"/>
    <x v="2"/>
    <x v="12"/>
    <x v="6"/>
    <x v="18"/>
    <x v="10"/>
    <x v="15"/>
    <x v="6"/>
    <x v="31"/>
    <x v="24"/>
    <x v="31"/>
    <x v="0"/>
    <x v="6"/>
    <x v="18"/>
    <x v="18"/>
    <x v="34"/>
    <x v="20"/>
    <x v="1"/>
    <x v="38"/>
    <x v="3"/>
    <x v="2"/>
  </r>
  <r>
    <x v="149"/>
    <x v="2"/>
    <x v="12"/>
    <x v="13"/>
    <x v="11"/>
    <x v="27"/>
    <x v="25"/>
    <x v="11"/>
    <x v="24"/>
    <x v="32"/>
    <x v="22"/>
    <x v="0"/>
    <x v="13"/>
    <x v="11"/>
    <x v="13"/>
    <x v="41"/>
    <x v="47"/>
    <x v="0"/>
    <x v="39"/>
    <x v="3"/>
    <x v="0"/>
  </r>
  <r>
    <x v="149"/>
    <x v="2"/>
    <x v="12"/>
    <x v="14"/>
    <x v="5"/>
    <x v="2"/>
    <x v="39"/>
    <x v="5"/>
    <x v="24"/>
    <x v="14"/>
    <x v="8"/>
    <x v="0"/>
    <x v="14"/>
    <x v="5"/>
    <x v="5"/>
    <x v="1"/>
    <x v="34"/>
    <x v="0"/>
    <x v="79"/>
    <x v="0"/>
    <x v="0"/>
  </r>
  <r>
    <x v="149"/>
    <x v="2"/>
    <x v="12"/>
    <x v="15"/>
    <x v="2"/>
    <x v="3"/>
    <x v="7"/>
    <x v="2"/>
    <x v="24"/>
    <x v="28"/>
    <x v="0"/>
    <x v="0"/>
    <x v="15"/>
    <x v="2"/>
    <x v="2"/>
    <x v="35"/>
    <x v="5"/>
    <x v="0"/>
    <x v="45"/>
    <x v="3"/>
    <x v="2"/>
  </r>
  <r>
    <x v="149"/>
    <x v="2"/>
    <x v="12"/>
    <x v="19"/>
    <x v="32"/>
    <x v="27"/>
    <x v="5"/>
    <x v="19"/>
    <x v="25"/>
    <x v="22"/>
    <x v="24"/>
    <x v="0"/>
    <x v="19"/>
    <x v="30"/>
    <x v="19"/>
    <x v="61"/>
    <x v="27"/>
    <x v="1"/>
    <x v="65"/>
    <x v="0"/>
    <x v="2"/>
  </r>
  <r>
    <x v="149"/>
    <x v="2"/>
    <x v="12"/>
    <x v="20"/>
    <x v="9"/>
    <x v="28"/>
    <x v="19"/>
    <x v="20"/>
    <x v="25"/>
    <x v="37"/>
    <x v="13"/>
    <x v="0"/>
    <x v="20"/>
    <x v="9"/>
    <x v="20"/>
    <x v="48"/>
    <x v="42"/>
    <x v="1"/>
    <x v="52"/>
    <x v="0"/>
    <x v="0"/>
  </r>
  <r>
    <x v="149"/>
    <x v="2"/>
    <x v="12"/>
    <x v="21"/>
    <x v="27"/>
    <x v="28"/>
    <x v="22"/>
    <x v="21"/>
    <x v="30"/>
    <x v="39"/>
    <x v="20"/>
    <x v="0"/>
    <x v="21"/>
    <x v="16"/>
    <x v="21"/>
    <x v="45"/>
    <x v="45"/>
    <x v="1"/>
    <x v="49"/>
    <x v="0"/>
    <x v="0"/>
  </r>
  <r>
    <x v="149"/>
    <x v="2"/>
    <x v="12"/>
    <x v="22"/>
    <x v="7"/>
    <x v="38"/>
    <x v="25"/>
    <x v="22"/>
    <x v="21"/>
    <x v="22"/>
    <x v="26"/>
    <x v="0"/>
    <x v="22"/>
    <x v="7"/>
    <x v="22"/>
    <x v="52"/>
    <x v="58"/>
    <x v="1"/>
    <x v="56"/>
    <x v="0"/>
    <x v="0"/>
  </r>
  <r>
    <x v="149"/>
    <x v="2"/>
    <x v="12"/>
    <x v="26"/>
    <x v="25"/>
    <x v="13"/>
    <x v="12"/>
    <x v="27"/>
    <x v="29"/>
    <x v="22"/>
    <x v="15"/>
    <x v="0"/>
    <x v="26"/>
    <x v="25"/>
    <x v="26"/>
    <x v="40"/>
    <x v="20"/>
    <x v="1"/>
    <x v="44"/>
    <x v="3"/>
    <x v="2"/>
  </r>
  <r>
    <x v="149"/>
    <x v="2"/>
    <x v="12"/>
    <x v="28"/>
    <x v="3"/>
    <x v="42"/>
    <x v="2"/>
    <x v="29"/>
    <x v="17"/>
    <x v="24"/>
    <x v="3"/>
    <x v="0"/>
    <x v="28"/>
    <x v="3"/>
    <x v="28"/>
    <x v="78"/>
    <x v="38"/>
    <x v="1"/>
    <x v="82"/>
    <x v="0"/>
    <x v="0"/>
  </r>
  <r>
    <x v="149"/>
    <x v="2"/>
    <x v="12"/>
    <x v="33"/>
    <x v="1"/>
    <x v="14"/>
    <x v="22"/>
    <x v="1"/>
    <x v="31"/>
    <x v="36"/>
    <x v="9"/>
    <x v="0"/>
    <x v="31"/>
    <x v="1"/>
    <x v="1"/>
    <x v="31"/>
    <x v="31"/>
    <x v="0"/>
    <x v="49"/>
    <x v="0"/>
    <x v="2"/>
  </r>
  <r>
    <x v="151"/>
    <x v="2"/>
    <x v="12"/>
    <x v="23"/>
    <x v="12"/>
    <x v="14"/>
    <x v="21"/>
    <x v="12"/>
    <x v="17"/>
    <x v="16"/>
    <x v="26"/>
    <x v="0"/>
    <x v="23"/>
    <x v="12"/>
    <x v="12"/>
    <x v="32"/>
    <x v="30"/>
    <x v="0"/>
    <x v="48"/>
    <x v="3"/>
    <x v="2"/>
  </r>
  <r>
    <x v="163"/>
    <x v="2"/>
    <x v="13"/>
    <x v="32"/>
    <x v="26"/>
    <x v="23"/>
    <x v="21"/>
    <x v="27"/>
    <x v="24"/>
    <x v="20"/>
    <x v="28"/>
    <x v="0"/>
    <x v="30"/>
    <x v="26"/>
    <x v="30"/>
    <x v="41"/>
    <x v="39"/>
    <x v="0"/>
    <x v="39"/>
    <x v="3"/>
    <x v="0"/>
  </r>
  <r>
    <x v="171"/>
    <x v="2"/>
    <x v="13"/>
    <x v="0"/>
    <x v="3"/>
    <x v="13"/>
    <x v="17"/>
    <x v="0"/>
    <x v="27"/>
    <x v="22"/>
    <x v="44"/>
    <x v="0"/>
    <x v="0"/>
    <x v="3"/>
    <x v="3"/>
    <x v="35"/>
    <x v="25"/>
    <x v="1"/>
    <x v="39"/>
    <x v="3"/>
    <x v="2"/>
  </r>
  <r>
    <x v="171"/>
    <x v="2"/>
    <x v="13"/>
    <x v="1"/>
    <x v="24"/>
    <x v="20"/>
    <x v="18"/>
    <x v="1"/>
    <x v="17"/>
    <x v="32"/>
    <x v="12"/>
    <x v="0"/>
    <x v="1"/>
    <x v="24"/>
    <x v="1"/>
    <x v="41"/>
    <x v="33"/>
    <x v="1"/>
    <x v="45"/>
    <x v="3"/>
    <x v="2"/>
  </r>
  <r>
    <x v="171"/>
    <x v="2"/>
    <x v="13"/>
    <x v="2"/>
    <x v="8"/>
    <x v="28"/>
    <x v="27"/>
    <x v="2"/>
    <x v="31"/>
    <x v="24"/>
    <x v="23"/>
    <x v="0"/>
    <x v="2"/>
    <x v="8"/>
    <x v="2"/>
    <x v="40"/>
    <x v="50"/>
    <x v="1"/>
    <x v="44"/>
    <x v="3"/>
    <x v="0"/>
  </r>
  <r>
    <x v="171"/>
    <x v="2"/>
    <x v="13"/>
    <x v="7"/>
    <x v="6"/>
    <x v="31"/>
    <x v="22"/>
    <x v="6"/>
    <x v="33"/>
    <x v="18"/>
    <x v="10"/>
    <x v="0"/>
    <x v="7"/>
    <x v="6"/>
    <x v="7"/>
    <x v="48"/>
    <x v="48"/>
    <x v="0"/>
    <x v="32"/>
    <x v="3"/>
    <x v="0"/>
  </r>
  <r>
    <x v="171"/>
    <x v="2"/>
    <x v="13"/>
    <x v="12"/>
    <x v="11"/>
    <x v="21"/>
    <x v="40"/>
    <x v="12"/>
    <x v="29"/>
    <x v="27"/>
    <x v="35"/>
    <x v="0"/>
    <x v="12"/>
    <x v="11"/>
    <x v="11"/>
    <x v="20"/>
    <x v="56"/>
    <x v="1"/>
    <x v="24"/>
    <x v="3"/>
    <x v="0"/>
  </r>
  <r>
    <x v="171"/>
    <x v="2"/>
    <x v="13"/>
    <x v="18"/>
    <x v="30"/>
    <x v="14"/>
    <x v="12"/>
    <x v="18"/>
    <x v="27"/>
    <x v="10"/>
    <x v="40"/>
    <x v="0"/>
    <x v="18"/>
    <x v="17"/>
    <x v="18"/>
    <x v="41"/>
    <x v="21"/>
    <x v="1"/>
    <x v="45"/>
    <x v="3"/>
    <x v="2"/>
  </r>
  <r>
    <x v="171"/>
    <x v="2"/>
    <x v="13"/>
    <x v="23"/>
    <x v="13"/>
    <x v="32"/>
    <x v="7"/>
    <x v="23"/>
    <x v="31"/>
    <x v="22"/>
    <x v="26"/>
    <x v="0"/>
    <x v="23"/>
    <x v="13"/>
    <x v="23"/>
    <x v="64"/>
    <x v="34"/>
    <x v="1"/>
    <x v="68"/>
    <x v="0"/>
    <x v="1"/>
  </r>
  <r>
    <x v="171"/>
    <x v="2"/>
    <x v="13"/>
    <x v="25"/>
    <x v="10"/>
    <x v="20"/>
    <x v="24"/>
    <x v="25"/>
    <x v="30"/>
    <x v="29"/>
    <x v="18"/>
    <x v="0"/>
    <x v="25"/>
    <x v="10"/>
    <x v="10"/>
    <x v="35"/>
    <x v="39"/>
    <x v="1"/>
    <x v="39"/>
    <x v="3"/>
    <x v="0"/>
  </r>
  <r>
    <x v="171"/>
    <x v="2"/>
    <x v="13"/>
    <x v="28"/>
    <x v="22"/>
    <x v="2"/>
    <x v="24"/>
    <x v="29"/>
    <x v="23"/>
    <x v="27"/>
    <x v="3"/>
    <x v="0"/>
    <x v="28"/>
    <x v="22"/>
    <x v="22"/>
    <x v="15"/>
    <x v="19"/>
    <x v="1"/>
    <x v="19"/>
    <x v="3"/>
    <x v="2"/>
  </r>
  <r>
    <x v="171"/>
    <x v="2"/>
    <x v="13"/>
    <x v="29"/>
    <x v="20"/>
    <x v="21"/>
    <x v="21"/>
    <x v="20"/>
    <x v="29"/>
    <x v="19"/>
    <x v="4"/>
    <x v="0"/>
    <x v="27"/>
    <x v="20"/>
    <x v="27"/>
    <x v="39"/>
    <x v="37"/>
    <x v="0"/>
    <x v="41"/>
    <x v="3"/>
    <x v="0"/>
  </r>
  <r>
    <x v="171"/>
    <x v="2"/>
    <x v="13"/>
    <x v="31"/>
    <x v="15"/>
    <x v="35"/>
    <x v="8"/>
    <x v="30"/>
    <x v="27"/>
    <x v="13"/>
    <x v="34"/>
    <x v="0"/>
    <x v="29"/>
    <x v="15"/>
    <x v="29"/>
    <x v="66"/>
    <x v="38"/>
    <x v="1"/>
    <x v="70"/>
    <x v="0"/>
    <x v="0"/>
  </r>
  <r>
    <x v="171"/>
    <x v="2"/>
    <x v="13"/>
    <x v="33"/>
    <x v="19"/>
    <x v="35"/>
    <x v="24"/>
    <x v="19"/>
    <x v="33"/>
    <x v="22"/>
    <x v="9"/>
    <x v="0"/>
    <x v="31"/>
    <x v="19"/>
    <x v="32"/>
    <x v="50"/>
    <x v="54"/>
    <x v="0"/>
    <x v="30"/>
    <x v="3"/>
    <x v="0"/>
  </r>
  <r>
    <x v="173"/>
    <x v="2"/>
    <x v="13"/>
    <x v="27"/>
    <x v="9"/>
    <x v="21"/>
    <x v="33"/>
    <x v="26"/>
    <x v="36"/>
    <x v="29"/>
    <x v="32"/>
    <x v="0"/>
    <x v="16"/>
    <x v="9"/>
    <x v="9"/>
    <x v="27"/>
    <x v="49"/>
    <x v="2"/>
    <x v="88"/>
    <x v="1"/>
    <x v="0"/>
  </r>
  <r>
    <x v="185"/>
    <x v="2"/>
    <x v="14"/>
    <x v="28"/>
    <x v="29"/>
    <x v="10"/>
    <x v="4"/>
    <x v="29"/>
    <x v="22"/>
    <x v="9"/>
    <x v="3"/>
    <x v="0"/>
    <x v="28"/>
    <x v="27"/>
    <x v="28"/>
    <x v="45"/>
    <x v="9"/>
    <x v="1"/>
    <x v="49"/>
    <x v="3"/>
    <x v="2"/>
  </r>
  <r>
    <x v="193"/>
    <x v="2"/>
    <x v="14"/>
    <x v="3"/>
    <x v="32"/>
    <x v="31"/>
    <x v="33"/>
    <x v="3"/>
    <x v="28"/>
    <x v="27"/>
    <x v="33"/>
    <x v="0"/>
    <x v="3"/>
    <x v="30"/>
    <x v="30"/>
    <x v="37"/>
    <x v="59"/>
    <x v="1"/>
    <x v="41"/>
    <x v="3"/>
    <x v="0"/>
  </r>
  <r>
    <x v="193"/>
    <x v="2"/>
    <x v="14"/>
    <x v="4"/>
    <x v="8"/>
    <x v="11"/>
    <x v="17"/>
    <x v="8"/>
    <x v="32"/>
    <x v="24"/>
    <x v="2"/>
    <x v="0"/>
    <x v="4"/>
    <x v="8"/>
    <x v="8"/>
    <x v="33"/>
    <x v="23"/>
    <x v="0"/>
    <x v="47"/>
    <x v="0"/>
    <x v="2"/>
  </r>
  <r>
    <x v="193"/>
    <x v="2"/>
    <x v="14"/>
    <x v="6"/>
    <x v="26"/>
    <x v="14"/>
    <x v="22"/>
    <x v="6"/>
    <x v="35"/>
    <x v="25"/>
    <x v="31"/>
    <x v="0"/>
    <x v="6"/>
    <x v="26"/>
    <x v="26"/>
    <x v="31"/>
    <x v="31"/>
    <x v="1"/>
    <x v="35"/>
    <x v="3"/>
    <x v="2"/>
  </r>
  <r>
    <x v="193"/>
    <x v="2"/>
    <x v="14"/>
    <x v="12"/>
    <x v="2"/>
    <x v="40"/>
    <x v="11"/>
    <x v="12"/>
    <x v="24"/>
    <x v="29"/>
    <x v="35"/>
    <x v="0"/>
    <x v="12"/>
    <x v="2"/>
    <x v="12"/>
    <x v="68"/>
    <x v="46"/>
    <x v="1"/>
    <x v="72"/>
    <x v="0"/>
    <x v="0"/>
  </r>
  <r>
    <x v="193"/>
    <x v="2"/>
    <x v="14"/>
    <x v="13"/>
    <x v="7"/>
    <x v="14"/>
    <x v="11"/>
    <x v="13"/>
    <x v="35"/>
    <x v="27"/>
    <x v="22"/>
    <x v="0"/>
    <x v="13"/>
    <x v="7"/>
    <x v="13"/>
    <x v="42"/>
    <x v="20"/>
    <x v="1"/>
    <x v="46"/>
    <x v="0"/>
    <x v="2"/>
  </r>
  <r>
    <x v="193"/>
    <x v="2"/>
    <x v="14"/>
    <x v="19"/>
    <x v="0"/>
    <x v="18"/>
    <x v="12"/>
    <x v="19"/>
    <x v="24"/>
    <x v="13"/>
    <x v="24"/>
    <x v="0"/>
    <x v="19"/>
    <x v="0"/>
    <x v="19"/>
    <x v="45"/>
    <x v="25"/>
    <x v="1"/>
    <x v="49"/>
    <x v="0"/>
    <x v="2"/>
  </r>
  <r>
    <x v="193"/>
    <x v="2"/>
    <x v="14"/>
    <x v="20"/>
    <x v="23"/>
    <x v="26"/>
    <x v="24"/>
    <x v="20"/>
    <x v="16"/>
    <x v="28"/>
    <x v="13"/>
    <x v="0"/>
    <x v="20"/>
    <x v="23"/>
    <x v="20"/>
    <x v="41"/>
    <x v="45"/>
    <x v="1"/>
    <x v="45"/>
    <x v="3"/>
    <x v="0"/>
  </r>
  <r>
    <x v="193"/>
    <x v="2"/>
    <x v="14"/>
    <x v="22"/>
    <x v="33"/>
    <x v="24"/>
    <x v="21"/>
    <x v="22"/>
    <x v="24"/>
    <x v="37"/>
    <x v="26"/>
    <x v="0"/>
    <x v="22"/>
    <x v="31"/>
    <x v="22"/>
    <x v="42"/>
    <x v="40"/>
    <x v="1"/>
    <x v="46"/>
    <x v="3"/>
    <x v="2"/>
  </r>
  <r>
    <x v="193"/>
    <x v="2"/>
    <x v="14"/>
    <x v="24"/>
    <x v="14"/>
    <x v="23"/>
    <x v="21"/>
    <x v="24"/>
    <x v="25"/>
    <x v="22"/>
    <x v="30"/>
    <x v="0"/>
    <x v="24"/>
    <x v="14"/>
    <x v="24"/>
    <x v="41"/>
    <x v="39"/>
    <x v="1"/>
    <x v="45"/>
    <x v="3"/>
    <x v="0"/>
  </r>
  <r>
    <x v="193"/>
    <x v="2"/>
    <x v="14"/>
    <x v="30"/>
    <x v="11"/>
    <x v="17"/>
    <x v="28"/>
    <x v="11"/>
    <x v="27"/>
    <x v="24"/>
    <x v="6"/>
    <x v="0"/>
    <x v="17"/>
    <x v="11"/>
    <x v="11"/>
    <x v="28"/>
    <x v="40"/>
    <x v="0"/>
    <x v="52"/>
    <x v="0"/>
    <x v="0"/>
  </r>
  <r>
    <x v="193"/>
    <x v="2"/>
    <x v="14"/>
    <x v="31"/>
    <x v="21"/>
    <x v="25"/>
    <x v="33"/>
    <x v="21"/>
    <x v="34"/>
    <x v="33"/>
    <x v="34"/>
    <x v="0"/>
    <x v="29"/>
    <x v="21"/>
    <x v="21"/>
    <x v="31"/>
    <x v="53"/>
    <x v="0"/>
    <x v="49"/>
    <x v="0"/>
    <x v="0"/>
  </r>
  <r>
    <x v="195"/>
    <x v="2"/>
    <x v="14"/>
    <x v="5"/>
    <x v="10"/>
    <x v="10"/>
    <x v="5"/>
    <x v="5"/>
    <x v="24"/>
    <x v="28"/>
    <x v="37"/>
    <x v="0"/>
    <x v="5"/>
    <x v="10"/>
    <x v="5"/>
    <x v="44"/>
    <x v="10"/>
    <x v="1"/>
    <x v="48"/>
    <x v="3"/>
    <x v="2"/>
  </r>
  <r>
    <x v="207"/>
    <x v="2"/>
    <x v="15"/>
    <x v="19"/>
    <x v="31"/>
    <x v="14"/>
    <x v="34"/>
    <x v="19"/>
    <x v="26"/>
    <x v="20"/>
    <x v="24"/>
    <x v="0"/>
    <x v="19"/>
    <x v="29"/>
    <x v="29"/>
    <x v="19"/>
    <x v="43"/>
    <x v="1"/>
    <x v="23"/>
    <x v="3"/>
    <x v="0"/>
  </r>
  <r>
    <x v="215"/>
    <x v="2"/>
    <x v="15"/>
    <x v="5"/>
    <x v="4"/>
    <x v="20"/>
    <x v="20"/>
    <x v="5"/>
    <x v="22"/>
    <x v="17"/>
    <x v="37"/>
    <x v="0"/>
    <x v="5"/>
    <x v="4"/>
    <x v="5"/>
    <x v="39"/>
    <x v="35"/>
    <x v="1"/>
    <x v="43"/>
    <x v="3"/>
    <x v="0"/>
  </r>
  <r>
    <x v="215"/>
    <x v="2"/>
    <x v="15"/>
    <x v="7"/>
    <x v="27"/>
    <x v="4"/>
    <x v="4"/>
    <x v="16"/>
    <x v="31"/>
    <x v="16"/>
    <x v="10"/>
    <x v="0"/>
    <x v="7"/>
    <x v="16"/>
    <x v="7"/>
    <x v="39"/>
    <x v="4"/>
    <x v="0"/>
    <x v="41"/>
    <x v="3"/>
    <x v="2"/>
  </r>
  <r>
    <x v="215"/>
    <x v="2"/>
    <x v="15"/>
    <x v="8"/>
    <x v="22"/>
    <x v="21"/>
    <x v="27"/>
    <x v="22"/>
    <x v="32"/>
    <x v="30"/>
    <x v="5"/>
    <x v="0"/>
    <x v="8"/>
    <x v="22"/>
    <x v="22"/>
    <x v="33"/>
    <x v="43"/>
    <x v="0"/>
    <x v="47"/>
    <x v="0"/>
    <x v="0"/>
  </r>
  <r>
    <x v="215"/>
    <x v="2"/>
    <x v="15"/>
    <x v="9"/>
    <x v="21"/>
    <x v="31"/>
    <x v="12"/>
    <x v="9"/>
    <x v="24"/>
    <x v="44"/>
    <x v="38"/>
    <x v="0"/>
    <x v="9"/>
    <x v="21"/>
    <x v="9"/>
    <x v="58"/>
    <x v="38"/>
    <x v="1"/>
    <x v="62"/>
    <x v="0"/>
    <x v="2"/>
  </r>
  <r>
    <x v="215"/>
    <x v="2"/>
    <x v="15"/>
    <x v="10"/>
    <x v="29"/>
    <x v="25"/>
    <x v="22"/>
    <x v="10"/>
    <x v="31"/>
    <x v="19"/>
    <x v="11"/>
    <x v="0"/>
    <x v="10"/>
    <x v="27"/>
    <x v="10"/>
    <x v="42"/>
    <x v="42"/>
    <x v="1"/>
    <x v="46"/>
    <x v="0"/>
    <x v="0"/>
  </r>
  <r>
    <x v="215"/>
    <x v="2"/>
    <x v="15"/>
    <x v="11"/>
    <x v="14"/>
    <x v="21"/>
    <x v="13"/>
    <x v="11"/>
    <x v="5"/>
    <x v="25"/>
    <x v="16"/>
    <x v="0"/>
    <x v="11"/>
    <x v="14"/>
    <x v="11"/>
    <x v="47"/>
    <x v="29"/>
    <x v="1"/>
    <x v="51"/>
    <x v="3"/>
    <x v="2"/>
  </r>
  <r>
    <x v="215"/>
    <x v="2"/>
    <x v="15"/>
    <x v="15"/>
    <x v="24"/>
    <x v="13"/>
    <x v="24"/>
    <x v="15"/>
    <x v="35"/>
    <x v="19"/>
    <x v="0"/>
    <x v="0"/>
    <x v="15"/>
    <x v="24"/>
    <x v="24"/>
    <x v="28"/>
    <x v="32"/>
    <x v="1"/>
    <x v="32"/>
    <x v="3"/>
    <x v="2"/>
  </r>
  <r>
    <x v="215"/>
    <x v="2"/>
    <x v="15"/>
    <x v="23"/>
    <x v="18"/>
    <x v="6"/>
    <x v="28"/>
    <x v="23"/>
    <x v="35"/>
    <x v="12"/>
    <x v="26"/>
    <x v="0"/>
    <x v="23"/>
    <x v="18"/>
    <x v="18"/>
    <x v="17"/>
    <x v="29"/>
    <x v="1"/>
    <x v="21"/>
    <x v="3"/>
    <x v="1"/>
  </r>
  <r>
    <x v="215"/>
    <x v="2"/>
    <x v="15"/>
    <x v="25"/>
    <x v="1"/>
    <x v="14"/>
    <x v="28"/>
    <x v="25"/>
    <x v="31"/>
    <x v="20"/>
    <x v="18"/>
    <x v="0"/>
    <x v="25"/>
    <x v="1"/>
    <x v="1"/>
    <x v="25"/>
    <x v="37"/>
    <x v="1"/>
    <x v="29"/>
    <x v="3"/>
    <x v="0"/>
  </r>
  <r>
    <x v="215"/>
    <x v="2"/>
    <x v="15"/>
    <x v="26"/>
    <x v="33"/>
    <x v="24"/>
    <x v="10"/>
    <x v="27"/>
    <x v="28"/>
    <x v="22"/>
    <x v="15"/>
    <x v="0"/>
    <x v="26"/>
    <x v="31"/>
    <x v="26"/>
    <x v="53"/>
    <x v="29"/>
    <x v="1"/>
    <x v="57"/>
    <x v="0"/>
    <x v="2"/>
  </r>
  <r>
    <x v="215"/>
    <x v="2"/>
    <x v="15"/>
    <x v="30"/>
    <x v="20"/>
    <x v="4"/>
    <x v="43"/>
    <x v="20"/>
    <x v="23"/>
    <x v="26"/>
    <x v="45"/>
    <x v="0"/>
    <x v="17"/>
    <x v="20"/>
    <x v="20"/>
    <x v="1"/>
    <x v="42"/>
    <x v="0"/>
    <x v="79"/>
    <x v="0"/>
    <x v="0"/>
  </r>
  <r>
    <x v="215"/>
    <x v="2"/>
    <x v="15"/>
    <x v="32"/>
    <x v="13"/>
    <x v="10"/>
    <x v="17"/>
    <x v="31"/>
    <x v="31"/>
    <x v="28"/>
    <x v="28"/>
    <x v="0"/>
    <x v="30"/>
    <x v="13"/>
    <x v="13"/>
    <x v="32"/>
    <x v="22"/>
    <x v="1"/>
    <x v="36"/>
    <x v="3"/>
    <x v="2"/>
  </r>
  <r>
    <x v="217"/>
    <x v="2"/>
    <x v="15"/>
    <x v="0"/>
    <x v="28"/>
    <x v="2"/>
    <x v="22"/>
    <x v="29"/>
    <x v="23"/>
    <x v="11"/>
    <x v="44"/>
    <x v="0"/>
    <x v="0"/>
    <x v="28"/>
    <x v="28"/>
    <x v="17"/>
    <x v="17"/>
    <x v="0"/>
    <x v="63"/>
    <x v="0"/>
    <x v="2"/>
  </r>
  <r>
    <x v="229"/>
    <x v="2"/>
    <x v="16"/>
    <x v="27"/>
    <x v="15"/>
    <x v="28"/>
    <x v="11"/>
    <x v="16"/>
    <x v="23"/>
    <x v="16"/>
    <x v="32"/>
    <x v="0"/>
    <x v="16"/>
    <x v="15"/>
    <x v="16"/>
    <x v="56"/>
    <x v="34"/>
    <x v="1"/>
    <x v="60"/>
    <x v="0"/>
    <x v="0"/>
  </r>
  <r>
    <x v="237"/>
    <x v="2"/>
    <x v="16"/>
    <x v="1"/>
    <x v="8"/>
    <x v="16"/>
    <x v="11"/>
    <x v="1"/>
    <x v="28"/>
    <x v="29"/>
    <x v="12"/>
    <x v="0"/>
    <x v="1"/>
    <x v="8"/>
    <x v="1"/>
    <x v="44"/>
    <x v="22"/>
    <x v="1"/>
    <x v="48"/>
    <x v="0"/>
    <x v="2"/>
  </r>
  <r>
    <x v="237"/>
    <x v="2"/>
    <x v="16"/>
    <x v="6"/>
    <x v="9"/>
    <x v="20"/>
    <x v="29"/>
    <x v="9"/>
    <x v="26"/>
    <x v="29"/>
    <x v="31"/>
    <x v="0"/>
    <x v="6"/>
    <x v="9"/>
    <x v="9"/>
    <x v="30"/>
    <x v="44"/>
    <x v="0"/>
    <x v="50"/>
    <x v="0"/>
    <x v="0"/>
  </r>
  <r>
    <x v="237"/>
    <x v="2"/>
    <x v="16"/>
    <x v="7"/>
    <x v="2"/>
    <x v="12"/>
    <x v="23"/>
    <x v="2"/>
    <x v="30"/>
    <x v="22"/>
    <x v="10"/>
    <x v="0"/>
    <x v="7"/>
    <x v="2"/>
    <x v="2"/>
    <x v="28"/>
    <x v="30"/>
    <x v="0"/>
    <x v="52"/>
    <x v="0"/>
    <x v="2"/>
  </r>
  <r>
    <x v="237"/>
    <x v="2"/>
    <x v="16"/>
    <x v="11"/>
    <x v="0"/>
    <x v="28"/>
    <x v="15"/>
    <x v="11"/>
    <x v="16"/>
    <x v="21"/>
    <x v="16"/>
    <x v="0"/>
    <x v="11"/>
    <x v="0"/>
    <x v="11"/>
    <x v="52"/>
    <x v="38"/>
    <x v="1"/>
    <x v="56"/>
    <x v="0"/>
    <x v="0"/>
  </r>
  <r>
    <x v="237"/>
    <x v="2"/>
    <x v="16"/>
    <x v="12"/>
    <x v="3"/>
    <x v="18"/>
    <x v="7"/>
    <x v="12"/>
    <x v="14"/>
    <x v="30"/>
    <x v="35"/>
    <x v="0"/>
    <x v="12"/>
    <x v="3"/>
    <x v="12"/>
    <x v="50"/>
    <x v="20"/>
    <x v="1"/>
    <x v="54"/>
    <x v="0"/>
    <x v="2"/>
  </r>
  <r>
    <x v="237"/>
    <x v="2"/>
    <x v="16"/>
    <x v="13"/>
    <x v="18"/>
    <x v="20"/>
    <x v="18"/>
    <x v="18"/>
    <x v="33"/>
    <x v="21"/>
    <x v="22"/>
    <x v="0"/>
    <x v="13"/>
    <x v="18"/>
    <x v="13"/>
    <x v="41"/>
    <x v="33"/>
    <x v="0"/>
    <x v="39"/>
    <x v="3"/>
    <x v="2"/>
  </r>
  <r>
    <x v="237"/>
    <x v="2"/>
    <x v="16"/>
    <x v="14"/>
    <x v="10"/>
    <x v="11"/>
    <x v="29"/>
    <x v="10"/>
    <x v="25"/>
    <x v="22"/>
    <x v="8"/>
    <x v="0"/>
    <x v="14"/>
    <x v="10"/>
    <x v="10"/>
    <x v="21"/>
    <x v="35"/>
    <x v="0"/>
    <x v="59"/>
    <x v="0"/>
    <x v="0"/>
  </r>
  <r>
    <x v="237"/>
    <x v="2"/>
    <x v="16"/>
    <x v="22"/>
    <x v="26"/>
    <x v="17"/>
    <x v="22"/>
    <x v="22"/>
    <x v="30"/>
    <x v="29"/>
    <x v="26"/>
    <x v="0"/>
    <x v="22"/>
    <x v="26"/>
    <x v="26"/>
    <x v="34"/>
    <x v="34"/>
    <x v="1"/>
    <x v="38"/>
    <x v="3"/>
    <x v="2"/>
  </r>
  <r>
    <x v="237"/>
    <x v="2"/>
    <x v="16"/>
    <x v="24"/>
    <x v="31"/>
    <x v="29"/>
    <x v="40"/>
    <x v="24"/>
    <x v="35"/>
    <x v="29"/>
    <x v="30"/>
    <x v="0"/>
    <x v="24"/>
    <x v="29"/>
    <x v="29"/>
    <x v="28"/>
    <x v="64"/>
    <x v="1"/>
    <x v="32"/>
    <x v="3"/>
    <x v="0"/>
  </r>
  <r>
    <x v="237"/>
    <x v="2"/>
    <x v="16"/>
    <x v="29"/>
    <x v="19"/>
    <x v="27"/>
    <x v="18"/>
    <x v="28"/>
    <x v="29"/>
    <x v="11"/>
    <x v="4"/>
    <x v="0"/>
    <x v="27"/>
    <x v="19"/>
    <x v="27"/>
    <x v="48"/>
    <x v="40"/>
    <x v="1"/>
    <x v="52"/>
    <x v="0"/>
    <x v="0"/>
  </r>
  <r>
    <x v="237"/>
    <x v="2"/>
    <x v="16"/>
    <x v="32"/>
    <x v="5"/>
    <x v="17"/>
    <x v="48"/>
    <x v="5"/>
    <x v="27"/>
    <x v="21"/>
    <x v="28"/>
    <x v="0"/>
    <x v="30"/>
    <x v="5"/>
    <x v="5"/>
    <x v="7"/>
    <x v="61"/>
    <x v="0"/>
    <x v="73"/>
    <x v="0"/>
    <x v="0"/>
  </r>
  <r>
    <x v="237"/>
    <x v="2"/>
    <x v="16"/>
    <x v="33"/>
    <x v="4"/>
    <x v="10"/>
    <x v="19"/>
    <x v="32"/>
    <x v="31"/>
    <x v="31"/>
    <x v="9"/>
    <x v="0"/>
    <x v="31"/>
    <x v="4"/>
    <x v="4"/>
    <x v="30"/>
    <x v="24"/>
    <x v="1"/>
    <x v="34"/>
    <x v="3"/>
    <x v="2"/>
  </r>
  <r>
    <x v="239"/>
    <x v="2"/>
    <x v="16"/>
    <x v="21"/>
    <x v="25"/>
    <x v="25"/>
    <x v="11"/>
    <x v="21"/>
    <x v="31"/>
    <x v="38"/>
    <x v="20"/>
    <x v="0"/>
    <x v="21"/>
    <x v="25"/>
    <x v="21"/>
    <x v="53"/>
    <x v="31"/>
    <x v="1"/>
    <x v="57"/>
    <x v="0"/>
    <x v="2"/>
  </r>
  <r>
    <x v="251"/>
    <x v="2"/>
    <x v="1"/>
    <x v="14"/>
    <x v="13"/>
    <x v="7"/>
    <x v="25"/>
    <x v="13"/>
    <x v="30"/>
    <x v="21"/>
    <x v="8"/>
    <x v="0"/>
    <x v="14"/>
    <x v="13"/>
    <x v="13"/>
    <x v="21"/>
    <x v="27"/>
    <x v="0"/>
    <x v="59"/>
    <x v="0"/>
    <x v="2"/>
  </r>
  <r>
    <x v="261"/>
    <x v="2"/>
    <x v="1"/>
    <x v="2"/>
    <x v="24"/>
    <x v="51"/>
    <x v="18"/>
    <x v="2"/>
    <x v="22"/>
    <x v="29"/>
    <x v="23"/>
    <x v="0"/>
    <x v="2"/>
    <x v="24"/>
    <x v="2"/>
    <x v="73"/>
    <x v="65"/>
    <x v="1"/>
    <x v="77"/>
    <x v="0"/>
    <x v="0"/>
  </r>
  <r>
    <x v="261"/>
    <x v="2"/>
    <x v="1"/>
    <x v="4"/>
    <x v="9"/>
    <x v="11"/>
    <x v="34"/>
    <x v="9"/>
    <x v="29"/>
    <x v="28"/>
    <x v="2"/>
    <x v="0"/>
    <x v="4"/>
    <x v="9"/>
    <x v="9"/>
    <x v="16"/>
    <x v="40"/>
    <x v="0"/>
    <x v="64"/>
    <x v="0"/>
    <x v="0"/>
  </r>
  <r>
    <x v="261"/>
    <x v="2"/>
    <x v="1"/>
    <x v="5"/>
    <x v="12"/>
    <x v="3"/>
    <x v="11"/>
    <x v="5"/>
    <x v="35"/>
    <x v="14"/>
    <x v="37"/>
    <x v="0"/>
    <x v="5"/>
    <x v="12"/>
    <x v="12"/>
    <x v="31"/>
    <x v="9"/>
    <x v="1"/>
    <x v="35"/>
    <x v="3"/>
    <x v="2"/>
  </r>
  <r>
    <x v="261"/>
    <x v="2"/>
    <x v="1"/>
    <x v="6"/>
    <x v="22"/>
    <x v="28"/>
    <x v="11"/>
    <x v="22"/>
    <x v="28"/>
    <x v="29"/>
    <x v="31"/>
    <x v="0"/>
    <x v="6"/>
    <x v="22"/>
    <x v="6"/>
    <x v="56"/>
    <x v="34"/>
    <x v="0"/>
    <x v="24"/>
    <x v="3"/>
    <x v="2"/>
  </r>
  <r>
    <x v="261"/>
    <x v="2"/>
    <x v="1"/>
    <x v="18"/>
    <x v="32"/>
    <x v="2"/>
    <x v="35"/>
    <x v="18"/>
    <x v="23"/>
    <x v="22"/>
    <x v="40"/>
    <x v="0"/>
    <x v="18"/>
    <x v="30"/>
    <x v="30"/>
    <x v="4"/>
    <x v="30"/>
    <x v="1"/>
    <x v="8"/>
    <x v="3"/>
    <x v="2"/>
  </r>
  <r>
    <x v="261"/>
    <x v="2"/>
    <x v="1"/>
    <x v="19"/>
    <x v="10"/>
    <x v="31"/>
    <x v="22"/>
    <x v="10"/>
    <x v="31"/>
    <x v="25"/>
    <x v="24"/>
    <x v="0"/>
    <x v="19"/>
    <x v="10"/>
    <x v="19"/>
    <x v="48"/>
    <x v="48"/>
    <x v="0"/>
    <x v="32"/>
    <x v="3"/>
    <x v="0"/>
  </r>
  <r>
    <x v="261"/>
    <x v="2"/>
    <x v="1"/>
    <x v="20"/>
    <x v="3"/>
    <x v="34"/>
    <x v="29"/>
    <x v="20"/>
    <x v="10"/>
    <x v="42"/>
    <x v="13"/>
    <x v="0"/>
    <x v="20"/>
    <x v="3"/>
    <x v="20"/>
    <x v="44"/>
    <x v="58"/>
    <x v="1"/>
    <x v="48"/>
    <x v="3"/>
    <x v="0"/>
  </r>
  <r>
    <x v="261"/>
    <x v="2"/>
    <x v="1"/>
    <x v="21"/>
    <x v="1"/>
    <x v="28"/>
    <x v="25"/>
    <x v="1"/>
    <x v="34"/>
    <x v="42"/>
    <x v="20"/>
    <x v="0"/>
    <x v="21"/>
    <x v="1"/>
    <x v="21"/>
    <x v="42"/>
    <x v="48"/>
    <x v="0"/>
    <x v="38"/>
    <x v="3"/>
    <x v="0"/>
  </r>
  <r>
    <x v="261"/>
    <x v="2"/>
    <x v="1"/>
    <x v="25"/>
    <x v="8"/>
    <x v="20"/>
    <x v="36"/>
    <x v="8"/>
    <x v="32"/>
    <x v="23"/>
    <x v="18"/>
    <x v="0"/>
    <x v="25"/>
    <x v="8"/>
    <x v="8"/>
    <x v="23"/>
    <x v="51"/>
    <x v="0"/>
    <x v="57"/>
    <x v="0"/>
    <x v="0"/>
  </r>
  <r>
    <x v="261"/>
    <x v="2"/>
    <x v="1"/>
    <x v="28"/>
    <x v="30"/>
    <x v="21"/>
    <x v="22"/>
    <x v="29"/>
    <x v="11"/>
    <x v="10"/>
    <x v="3"/>
    <x v="0"/>
    <x v="28"/>
    <x v="17"/>
    <x v="31"/>
    <x v="38"/>
    <x v="38"/>
    <x v="1"/>
    <x v="42"/>
    <x v="3"/>
    <x v="0"/>
  </r>
  <r>
    <x v="261"/>
    <x v="2"/>
    <x v="1"/>
    <x v="29"/>
    <x v="23"/>
    <x v="25"/>
    <x v="5"/>
    <x v="28"/>
    <x v="26"/>
    <x v="11"/>
    <x v="4"/>
    <x v="0"/>
    <x v="27"/>
    <x v="23"/>
    <x v="27"/>
    <x v="59"/>
    <x v="25"/>
    <x v="1"/>
    <x v="63"/>
    <x v="0"/>
    <x v="2"/>
  </r>
  <r>
    <x v="261"/>
    <x v="2"/>
    <x v="1"/>
    <x v="31"/>
    <x v="27"/>
    <x v="31"/>
    <x v="22"/>
    <x v="30"/>
    <x v="31"/>
    <x v="28"/>
    <x v="34"/>
    <x v="0"/>
    <x v="29"/>
    <x v="16"/>
    <x v="29"/>
    <x v="48"/>
    <x v="48"/>
    <x v="1"/>
    <x v="52"/>
    <x v="0"/>
    <x v="0"/>
  </r>
  <r>
    <x v="263"/>
    <x v="2"/>
    <x v="1"/>
    <x v="26"/>
    <x v="15"/>
    <x v="13"/>
    <x v="11"/>
    <x v="27"/>
    <x v="11"/>
    <x v="14"/>
    <x v="15"/>
    <x v="0"/>
    <x v="26"/>
    <x v="15"/>
    <x v="26"/>
    <x v="41"/>
    <x v="19"/>
    <x v="1"/>
    <x v="45"/>
    <x v="3"/>
    <x v="2"/>
  </r>
  <r>
    <x v="275"/>
    <x v="2"/>
    <x v="2"/>
    <x v="3"/>
    <x v="18"/>
    <x v="16"/>
    <x v="12"/>
    <x v="3"/>
    <x v="32"/>
    <x v="26"/>
    <x v="33"/>
    <x v="0"/>
    <x v="3"/>
    <x v="18"/>
    <x v="3"/>
    <x v="43"/>
    <x v="23"/>
    <x v="1"/>
    <x v="47"/>
    <x v="0"/>
    <x v="2"/>
  </r>
  <r>
    <x v="285"/>
    <x v="2"/>
    <x v="2"/>
    <x v="1"/>
    <x v="0"/>
    <x v="20"/>
    <x v="17"/>
    <x v="1"/>
    <x v="18"/>
    <x v="22"/>
    <x v="12"/>
    <x v="0"/>
    <x v="1"/>
    <x v="0"/>
    <x v="1"/>
    <x v="42"/>
    <x v="32"/>
    <x v="1"/>
    <x v="46"/>
    <x v="3"/>
    <x v="2"/>
  </r>
  <r>
    <x v="285"/>
    <x v="2"/>
    <x v="2"/>
    <x v="4"/>
    <x v="31"/>
    <x v="18"/>
    <x v="25"/>
    <x v="30"/>
    <x v="34"/>
    <x v="28"/>
    <x v="2"/>
    <x v="0"/>
    <x v="4"/>
    <x v="29"/>
    <x v="29"/>
    <x v="32"/>
    <x v="38"/>
    <x v="0"/>
    <x v="48"/>
    <x v="0"/>
    <x v="0"/>
  </r>
  <r>
    <x v="285"/>
    <x v="2"/>
    <x v="2"/>
    <x v="8"/>
    <x v="7"/>
    <x v="20"/>
    <x v="18"/>
    <x v="8"/>
    <x v="23"/>
    <x v="21"/>
    <x v="5"/>
    <x v="0"/>
    <x v="8"/>
    <x v="7"/>
    <x v="8"/>
    <x v="41"/>
    <x v="33"/>
    <x v="1"/>
    <x v="45"/>
    <x v="3"/>
    <x v="2"/>
  </r>
  <r>
    <x v="285"/>
    <x v="2"/>
    <x v="2"/>
    <x v="9"/>
    <x v="27"/>
    <x v="27"/>
    <x v="21"/>
    <x v="9"/>
    <x v="22"/>
    <x v="30"/>
    <x v="38"/>
    <x v="0"/>
    <x v="9"/>
    <x v="16"/>
    <x v="9"/>
    <x v="45"/>
    <x v="43"/>
    <x v="1"/>
    <x v="49"/>
    <x v="3"/>
    <x v="0"/>
  </r>
  <r>
    <x v="285"/>
    <x v="2"/>
    <x v="2"/>
    <x v="10"/>
    <x v="11"/>
    <x v="17"/>
    <x v="22"/>
    <x v="11"/>
    <x v="31"/>
    <x v="41"/>
    <x v="11"/>
    <x v="0"/>
    <x v="10"/>
    <x v="11"/>
    <x v="11"/>
    <x v="34"/>
    <x v="34"/>
    <x v="0"/>
    <x v="46"/>
    <x v="0"/>
    <x v="2"/>
  </r>
  <r>
    <x v="285"/>
    <x v="2"/>
    <x v="2"/>
    <x v="12"/>
    <x v="14"/>
    <x v="40"/>
    <x v="35"/>
    <x v="12"/>
    <x v="6"/>
    <x v="15"/>
    <x v="35"/>
    <x v="0"/>
    <x v="12"/>
    <x v="14"/>
    <x v="12"/>
    <x v="44"/>
    <x v="70"/>
    <x v="1"/>
    <x v="48"/>
    <x v="3"/>
    <x v="0"/>
  </r>
  <r>
    <x v="285"/>
    <x v="2"/>
    <x v="2"/>
    <x v="15"/>
    <x v="6"/>
    <x v="3"/>
    <x v="26"/>
    <x v="6"/>
    <x v="31"/>
    <x v="19"/>
    <x v="0"/>
    <x v="0"/>
    <x v="15"/>
    <x v="6"/>
    <x v="6"/>
    <x v="16"/>
    <x v="24"/>
    <x v="0"/>
    <x v="64"/>
    <x v="0"/>
    <x v="2"/>
  </r>
  <r>
    <x v="285"/>
    <x v="2"/>
    <x v="2"/>
    <x v="20"/>
    <x v="13"/>
    <x v="55"/>
    <x v="22"/>
    <x v="20"/>
    <x v="17"/>
    <x v="44"/>
    <x v="13"/>
    <x v="0"/>
    <x v="20"/>
    <x v="13"/>
    <x v="20"/>
    <x v="73"/>
    <x v="73"/>
    <x v="1"/>
    <x v="77"/>
    <x v="0"/>
    <x v="0"/>
  </r>
  <r>
    <x v="285"/>
    <x v="2"/>
    <x v="2"/>
    <x v="24"/>
    <x v="21"/>
    <x v="14"/>
    <x v="36"/>
    <x v="21"/>
    <x v="24"/>
    <x v="46"/>
    <x v="30"/>
    <x v="0"/>
    <x v="24"/>
    <x v="21"/>
    <x v="21"/>
    <x v="17"/>
    <x v="45"/>
    <x v="0"/>
    <x v="63"/>
    <x v="0"/>
    <x v="2"/>
  </r>
  <r>
    <x v="285"/>
    <x v="2"/>
    <x v="2"/>
    <x v="26"/>
    <x v="2"/>
    <x v="7"/>
    <x v="11"/>
    <x v="2"/>
    <x v="31"/>
    <x v="15"/>
    <x v="15"/>
    <x v="0"/>
    <x v="26"/>
    <x v="2"/>
    <x v="2"/>
    <x v="35"/>
    <x v="13"/>
    <x v="0"/>
    <x v="45"/>
    <x v="2"/>
    <x v="2"/>
  </r>
  <r>
    <x v="285"/>
    <x v="2"/>
    <x v="2"/>
    <x v="30"/>
    <x v="23"/>
    <x v="10"/>
    <x v="25"/>
    <x v="17"/>
    <x v="30"/>
    <x v="11"/>
    <x v="6"/>
    <x v="0"/>
    <x v="17"/>
    <x v="23"/>
    <x v="23"/>
    <x v="24"/>
    <x v="30"/>
    <x v="1"/>
    <x v="28"/>
    <x v="3"/>
    <x v="0"/>
  </r>
  <r>
    <x v="285"/>
    <x v="2"/>
    <x v="2"/>
    <x v="33"/>
    <x v="25"/>
    <x v="28"/>
    <x v="4"/>
    <x v="32"/>
    <x v="30"/>
    <x v="26"/>
    <x v="9"/>
    <x v="0"/>
    <x v="31"/>
    <x v="25"/>
    <x v="32"/>
    <x v="63"/>
    <x v="27"/>
    <x v="1"/>
    <x v="67"/>
    <x v="0"/>
    <x v="2"/>
  </r>
  <r>
    <x v="287"/>
    <x v="2"/>
    <x v="2"/>
    <x v="28"/>
    <x v="5"/>
    <x v="29"/>
    <x v="5"/>
    <x v="29"/>
    <x v="27"/>
    <x v="4"/>
    <x v="3"/>
    <x v="0"/>
    <x v="28"/>
    <x v="5"/>
    <x v="28"/>
    <x v="63"/>
    <x v="29"/>
    <x v="1"/>
    <x v="67"/>
    <x v="0"/>
    <x v="0"/>
  </r>
  <r>
    <x v="299"/>
    <x v="2"/>
    <x v="3"/>
    <x v="8"/>
    <x v="33"/>
    <x v="28"/>
    <x v="36"/>
    <x v="8"/>
    <x v="30"/>
    <x v="29"/>
    <x v="5"/>
    <x v="0"/>
    <x v="8"/>
    <x v="31"/>
    <x v="32"/>
    <x v="31"/>
    <x v="59"/>
    <x v="1"/>
    <x v="35"/>
    <x v="3"/>
    <x v="0"/>
  </r>
  <r>
    <x v="299"/>
    <x v="2"/>
    <x v="3"/>
    <x v="10"/>
    <x v="12"/>
    <x v="28"/>
    <x v="32"/>
    <x v="12"/>
    <x v="29"/>
    <x v="32"/>
    <x v="11"/>
    <x v="0"/>
    <x v="10"/>
    <x v="12"/>
    <x v="12"/>
    <x v="35"/>
    <x v="55"/>
    <x v="0"/>
    <x v="45"/>
    <x v="3"/>
    <x v="0"/>
  </r>
  <r>
    <x v="299"/>
    <x v="2"/>
    <x v="3"/>
    <x v="23"/>
    <x v="20"/>
    <x v="16"/>
    <x v="46"/>
    <x v="20"/>
    <x v="23"/>
    <x v="31"/>
    <x v="26"/>
    <x v="0"/>
    <x v="23"/>
    <x v="20"/>
    <x v="20"/>
    <x v="8"/>
    <x v="58"/>
    <x v="0"/>
    <x v="72"/>
    <x v="0"/>
    <x v="0"/>
  </r>
  <r>
    <x v="309"/>
    <x v="2"/>
    <x v="3"/>
    <x v="0"/>
    <x v="30"/>
    <x v="14"/>
    <x v="29"/>
    <x v="0"/>
    <x v="35"/>
    <x v="7"/>
    <x v="44"/>
    <x v="0"/>
    <x v="0"/>
    <x v="17"/>
    <x v="17"/>
    <x v="24"/>
    <x v="38"/>
    <x v="1"/>
    <x v="28"/>
    <x v="3"/>
    <x v="0"/>
  </r>
  <r>
    <x v="309"/>
    <x v="2"/>
    <x v="3"/>
    <x v="5"/>
    <x v="19"/>
    <x v="25"/>
    <x v="8"/>
    <x v="5"/>
    <x v="24"/>
    <x v="12"/>
    <x v="37"/>
    <x v="0"/>
    <x v="5"/>
    <x v="19"/>
    <x v="5"/>
    <x v="56"/>
    <x v="28"/>
    <x v="1"/>
    <x v="60"/>
    <x v="0"/>
    <x v="2"/>
  </r>
  <r>
    <x v="309"/>
    <x v="2"/>
    <x v="3"/>
    <x v="6"/>
    <x v="24"/>
    <x v="31"/>
    <x v="8"/>
    <x v="6"/>
    <x v="21"/>
    <x v="36"/>
    <x v="31"/>
    <x v="0"/>
    <x v="6"/>
    <x v="24"/>
    <x v="6"/>
    <x v="62"/>
    <x v="34"/>
    <x v="1"/>
    <x v="66"/>
    <x v="0"/>
    <x v="2"/>
  </r>
  <r>
    <x v="309"/>
    <x v="2"/>
    <x v="3"/>
    <x v="7"/>
    <x v="26"/>
    <x v="17"/>
    <x v="12"/>
    <x v="27"/>
    <x v="33"/>
    <x v="1"/>
    <x v="10"/>
    <x v="0"/>
    <x v="7"/>
    <x v="26"/>
    <x v="7"/>
    <x v="44"/>
    <x v="24"/>
    <x v="0"/>
    <x v="36"/>
    <x v="3"/>
    <x v="0"/>
  </r>
  <r>
    <x v="309"/>
    <x v="2"/>
    <x v="3"/>
    <x v="13"/>
    <x v="3"/>
    <x v="17"/>
    <x v="11"/>
    <x v="13"/>
    <x v="31"/>
    <x v="37"/>
    <x v="22"/>
    <x v="0"/>
    <x v="13"/>
    <x v="3"/>
    <x v="13"/>
    <x v="45"/>
    <x v="23"/>
    <x v="1"/>
    <x v="49"/>
    <x v="0"/>
    <x v="2"/>
  </r>
  <r>
    <x v="309"/>
    <x v="2"/>
    <x v="3"/>
    <x v="14"/>
    <x v="32"/>
    <x v="21"/>
    <x v="17"/>
    <x v="31"/>
    <x v="30"/>
    <x v="24"/>
    <x v="8"/>
    <x v="0"/>
    <x v="14"/>
    <x v="30"/>
    <x v="14"/>
    <x v="43"/>
    <x v="33"/>
    <x v="0"/>
    <x v="37"/>
    <x v="3"/>
    <x v="2"/>
  </r>
  <r>
    <x v="309"/>
    <x v="2"/>
    <x v="3"/>
    <x v="15"/>
    <x v="9"/>
    <x v="6"/>
    <x v="15"/>
    <x v="9"/>
    <x v="16"/>
    <x v="19"/>
    <x v="0"/>
    <x v="0"/>
    <x v="15"/>
    <x v="9"/>
    <x v="9"/>
    <x v="30"/>
    <x v="16"/>
    <x v="0"/>
    <x v="50"/>
    <x v="3"/>
    <x v="2"/>
  </r>
  <r>
    <x v="309"/>
    <x v="2"/>
    <x v="3"/>
    <x v="18"/>
    <x v="29"/>
    <x v="21"/>
    <x v="19"/>
    <x v="28"/>
    <x v="31"/>
    <x v="10"/>
    <x v="40"/>
    <x v="0"/>
    <x v="18"/>
    <x v="27"/>
    <x v="18"/>
    <x v="41"/>
    <x v="35"/>
    <x v="0"/>
    <x v="39"/>
    <x v="3"/>
    <x v="0"/>
  </r>
  <r>
    <x v="309"/>
    <x v="2"/>
    <x v="3"/>
    <x v="21"/>
    <x v="28"/>
    <x v="18"/>
    <x v="29"/>
    <x v="29"/>
    <x v="34"/>
    <x v="34"/>
    <x v="20"/>
    <x v="0"/>
    <x v="21"/>
    <x v="28"/>
    <x v="28"/>
    <x v="28"/>
    <x v="42"/>
    <x v="0"/>
    <x v="52"/>
    <x v="0"/>
    <x v="0"/>
  </r>
  <r>
    <x v="309"/>
    <x v="2"/>
    <x v="3"/>
    <x v="22"/>
    <x v="11"/>
    <x v="35"/>
    <x v="8"/>
    <x v="22"/>
    <x v="32"/>
    <x v="37"/>
    <x v="26"/>
    <x v="0"/>
    <x v="22"/>
    <x v="11"/>
    <x v="22"/>
    <x v="66"/>
    <x v="38"/>
    <x v="1"/>
    <x v="70"/>
    <x v="0"/>
    <x v="2"/>
  </r>
  <r>
    <x v="309"/>
    <x v="2"/>
    <x v="3"/>
    <x v="27"/>
    <x v="2"/>
    <x v="10"/>
    <x v="14"/>
    <x v="2"/>
    <x v="35"/>
    <x v="28"/>
    <x v="32"/>
    <x v="0"/>
    <x v="16"/>
    <x v="2"/>
    <x v="2"/>
    <x v="35"/>
    <x v="19"/>
    <x v="0"/>
    <x v="45"/>
    <x v="0"/>
    <x v="2"/>
  </r>
  <r>
    <x v="309"/>
    <x v="2"/>
    <x v="3"/>
    <x v="31"/>
    <x v="1"/>
    <x v="20"/>
    <x v="22"/>
    <x v="1"/>
    <x v="34"/>
    <x v="37"/>
    <x v="34"/>
    <x v="0"/>
    <x v="29"/>
    <x v="1"/>
    <x v="1"/>
    <x v="37"/>
    <x v="37"/>
    <x v="0"/>
    <x v="43"/>
    <x v="3"/>
    <x v="2"/>
  </r>
  <r>
    <x v="311"/>
    <x v="2"/>
    <x v="3"/>
    <x v="25"/>
    <x v="4"/>
    <x v="19"/>
    <x v="28"/>
    <x v="4"/>
    <x v="31"/>
    <x v="18"/>
    <x v="18"/>
    <x v="0"/>
    <x v="25"/>
    <x v="4"/>
    <x v="4"/>
    <x v="30"/>
    <x v="42"/>
    <x v="0"/>
    <x v="50"/>
    <x v="0"/>
    <x v="0"/>
  </r>
  <r>
    <x v="323"/>
    <x v="2"/>
    <x v="4"/>
    <x v="1"/>
    <x v="21"/>
    <x v="20"/>
    <x v="11"/>
    <x v="1"/>
    <x v="30"/>
    <x v="44"/>
    <x v="12"/>
    <x v="0"/>
    <x v="1"/>
    <x v="21"/>
    <x v="1"/>
    <x v="48"/>
    <x v="26"/>
    <x v="1"/>
    <x v="52"/>
    <x v="0"/>
    <x v="2"/>
  </r>
  <r>
    <x v="333"/>
    <x v="2"/>
    <x v="4"/>
    <x v="2"/>
    <x v="26"/>
    <x v="17"/>
    <x v="21"/>
    <x v="2"/>
    <x v="22"/>
    <x v="7"/>
    <x v="23"/>
    <x v="0"/>
    <x v="2"/>
    <x v="26"/>
    <x v="26"/>
    <x v="35"/>
    <x v="33"/>
    <x v="1"/>
    <x v="39"/>
    <x v="3"/>
    <x v="0"/>
  </r>
  <r>
    <x v="333"/>
    <x v="2"/>
    <x v="4"/>
    <x v="3"/>
    <x v="14"/>
    <x v="31"/>
    <x v="16"/>
    <x v="3"/>
    <x v="25"/>
    <x v="18"/>
    <x v="33"/>
    <x v="0"/>
    <x v="3"/>
    <x v="14"/>
    <x v="3"/>
    <x v="54"/>
    <x v="42"/>
    <x v="1"/>
    <x v="58"/>
    <x v="0"/>
    <x v="0"/>
  </r>
  <r>
    <x v="333"/>
    <x v="2"/>
    <x v="4"/>
    <x v="5"/>
    <x v="29"/>
    <x v="14"/>
    <x v="21"/>
    <x v="5"/>
    <x v="30"/>
    <x v="8"/>
    <x v="37"/>
    <x v="0"/>
    <x v="5"/>
    <x v="27"/>
    <x v="27"/>
    <x v="32"/>
    <x v="30"/>
    <x v="1"/>
    <x v="36"/>
    <x v="3"/>
    <x v="0"/>
  </r>
  <r>
    <x v="333"/>
    <x v="2"/>
    <x v="4"/>
    <x v="8"/>
    <x v="25"/>
    <x v="35"/>
    <x v="31"/>
    <x v="8"/>
    <x v="16"/>
    <x v="22"/>
    <x v="5"/>
    <x v="0"/>
    <x v="8"/>
    <x v="25"/>
    <x v="8"/>
    <x v="43"/>
    <x v="61"/>
    <x v="1"/>
    <x v="47"/>
    <x v="3"/>
    <x v="0"/>
  </r>
  <r>
    <x v="333"/>
    <x v="2"/>
    <x v="4"/>
    <x v="9"/>
    <x v="31"/>
    <x v="28"/>
    <x v="21"/>
    <x v="9"/>
    <x v="22"/>
    <x v="34"/>
    <x v="38"/>
    <x v="0"/>
    <x v="9"/>
    <x v="29"/>
    <x v="9"/>
    <x v="46"/>
    <x v="44"/>
    <x v="1"/>
    <x v="50"/>
    <x v="0"/>
    <x v="0"/>
  </r>
  <r>
    <x v="333"/>
    <x v="2"/>
    <x v="4"/>
    <x v="10"/>
    <x v="13"/>
    <x v="30"/>
    <x v="33"/>
    <x v="10"/>
    <x v="23"/>
    <x v="36"/>
    <x v="11"/>
    <x v="0"/>
    <x v="10"/>
    <x v="13"/>
    <x v="13"/>
    <x v="36"/>
    <x v="58"/>
    <x v="1"/>
    <x v="40"/>
    <x v="3"/>
    <x v="0"/>
  </r>
  <r>
    <x v="333"/>
    <x v="2"/>
    <x v="4"/>
    <x v="11"/>
    <x v="19"/>
    <x v="20"/>
    <x v="12"/>
    <x v="11"/>
    <x v="22"/>
    <x v="28"/>
    <x v="16"/>
    <x v="0"/>
    <x v="11"/>
    <x v="19"/>
    <x v="11"/>
    <x v="47"/>
    <x v="27"/>
    <x v="1"/>
    <x v="51"/>
    <x v="0"/>
    <x v="2"/>
  </r>
  <r>
    <x v="333"/>
    <x v="2"/>
    <x v="4"/>
    <x v="15"/>
    <x v="4"/>
    <x v="24"/>
    <x v="19"/>
    <x v="4"/>
    <x v="25"/>
    <x v="16"/>
    <x v="0"/>
    <x v="0"/>
    <x v="15"/>
    <x v="4"/>
    <x v="15"/>
    <x v="44"/>
    <x v="38"/>
    <x v="0"/>
    <x v="36"/>
    <x v="3"/>
    <x v="0"/>
  </r>
  <r>
    <x v="333"/>
    <x v="2"/>
    <x v="4"/>
    <x v="18"/>
    <x v="20"/>
    <x v="13"/>
    <x v="21"/>
    <x v="20"/>
    <x v="19"/>
    <x v="37"/>
    <x v="40"/>
    <x v="0"/>
    <x v="18"/>
    <x v="20"/>
    <x v="20"/>
    <x v="31"/>
    <x v="29"/>
    <x v="0"/>
    <x v="49"/>
    <x v="3"/>
    <x v="2"/>
  </r>
  <r>
    <x v="333"/>
    <x v="2"/>
    <x v="4"/>
    <x v="23"/>
    <x v="0"/>
    <x v="4"/>
    <x v="4"/>
    <x v="23"/>
    <x v="25"/>
    <x v="7"/>
    <x v="26"/>
    <x v="0"/>
    <x v="23"/>
    <x v="0"/>
    <x v="23"/>
    <x v="39"/>
    <x v="4"/>
    <x v="1"/>
    <x v="43"/>
    <x v="3"/>
    <x v="2"/>
  </r>
  <r>
    <x v="333"/>
    <x v="2"/>
    <x v="4"/>
    <x v="24"/>
    <x v="7"/>
    <x v="14"/>
    <x v="18"/>
    <x v="7"/>
    <x v="32"/>
    <x v="13"/>
    <x v="30"/>
    <x v="0"/>
    <x v="24"/>
    <x v="7"/>
    <x v="7"/>
    <x v="35"/>
    <x v="27"/>
    <x v="0"/>
    <x v="45"/>
    <x v="0"/>
    <x v="2"/>
  </r>
  <r>
    <x v="333"/>
    <x v="2"/>
    <x v="4"/>
    <x v="27"/>
    <x v="6"/>
    <x v="10"/>
    <x v="18"/>
    <x v="6"/>
    <x v="32"/>
    <x v="26"/>
    <x v="32"/>
    <x v="0"/>
    <x v="16"/>
    <x v="6"/>
    <x v="6"/>
    <x v="31"/>
    <x v="23"/>
    <x v="0"/>
    <x v="49"/>
    <x v="0"/>
    <x v="2"/>
  </r>
  <r>
    <x v="333"/>
    <x v="2"/>
    <x v="4"/>
    <x v="30"/>
    <x v="28"/>
    <x v="13"/>
    <x v="11"/>
    <x v="29"/>
    <x v="21"/>
    <x v="16"/>
    <x v="6"/>
    <x v="0"/>
    <x v="17"/>
    <x v="28"/>
    <x v="17"/>
    <x v="41"/>
    <x v="19"/>
    <x v="0"/>
    <x v="39"/>
    <x v="3"/>
    <x v="2"/>
  </r>
  <r>
    <x v="333"/>
    <x v="2"/>
    <x v="4"/>
    <x v="32"/>
    <x v="12"/>
    <x v="7"/>
    <x v="22"/>
    <x v="12"/>
    <x v="23"/>
    <x v="28"/>
    <x v="28"/>
    <x v="0"/>
    <x v="30"/>
    <x v="12"/>
    <x v="12"/>
    <x v="24"/>
    <x v="24"/>
    <x v="0"/>
    <x v="56"/>
    <x v="0"/>
    <x v="2"/>
  </r>
  <r>
    <x v="335"/>
    <x v="2"/>
    <x v="4"/>
    <x v="33"/>
    <x v="22"/>
    <x v="14"/>
    <x v="14"/>
    <x v="22"/>
    <x v="31"/>
    <x v="34"/>
    <x v="9"/>
    <x v="0"/>
    <x v="31"/>
    <x v="22"/>
    <x v="32"/>
    <x v="39"/>
    <x v="23"/>
    <x v="0"/>
    <x v="41"/>
    <x v="3"/>
    <x v="2"/>
  </r>
  <r>
    <x v="347"/>
    <x v="2"/>
    <x v="5"/>
    <x v="24"/>
    <x v="9"/>
    <x v="10"/>
    <x v="24"/>
    <x v="9"/>
    <x v="16"/>
    <x v="28"/>
    <x v="30"/>
    <x v="0"/>
    <x v="24"/>
    <x v="9"/>
    <x v="9"/>
    <x v="25"/>
    <x v="29"/>
    <x v="0"/>
    <x v="55"/>
    <x v="0"/>
    <x v="2"/>
  </r>
  <r>
    <x v="357"/>
    <x v="2"/>
    <x v="5"/>
    <x v="3"/>
    <x v="30"/>
    <x v="9"/>
    <x v="13"/>
    <x v="3"/>
    <x v="31"/>
    <x v="19"/>
    <x v="33"/>
    <x v="0"/>
    <x v="3"/>
    <x v="17"/>
    <x v="17"/>
    <x v="35"/>
    <x v="17"/>
    <x v="1"/>
    <x v="39"/>
    <x v="3"/>
    <x v="2"/>
  </r>
  <r>
    <x v="357"/>
    <x v="2"/>
    <x v="5"/>
    <x v="4"/>
    <x v="1"/>
    <x v="27"/>
    <x v="18"/>
    <x v="1"/>
    <x v="30"/>
    <x v="28"/>
    <x v="2"/>
    <x v="0"/>
    <x v="4"/>
    <x v="1"/>
    <x v="4"/>
    <x v="48"/>
    <x v="40"/>
    <x v="0"/>
    <x v="32"/>
    <x v="3"/>
    <x v="0"/>
  </r>
  <r>
    <x v="357"/>
    <x v="2"/>
    <x v="5"/>
    <x v="6"/>
    <x v="8"/>
    <x v="16"/>
    <x v="18"/>
    <x v="6"/>
    <x v="30"/>
    <x v="26"/>
    <x v="31"/>
    <x v="0"/>
    <x v="6"/>
    <x v="8"/>
    <x v="8"/>
    <x v="37"/>
    <x v="29"/>
    <x v="1"/>
    <x v="41"/>
    <x v="3"/>
    <x v="2"/>
  </r>
  <r>
    <x v="357"/>
    <x v="2"/>
    <x v="5"/>
    <x v="7"/>
    <x v="15"/>
    <x v="27"/>
    <x v="5"/>
    <x v="7"/>
    <x v="23"/>
    <x v="10"/>
    <x v="10"/>
    <x v="0"/>
    <x v="7"/>
    <x v="15"/>
    <x v="7"/>
    <x v="61"/>
    <x v="27"/>
    <x v="1"/>
    <x v="65"/>
    <x v="0"/>
    <x v="2"/>
  </r>
  <r>
    <x v="357"/>
    <x v="2"/>
    <x v="5"/>
    <x v="11"/>
    <x v="10"/>
    <x v="24"/>
    <x v="18"/>
    <x v="11"/>
    <x v="24"/>
    <x v="32"/>
    <x v="16"/>
    <x v="0"/>
    <x v="11"/>
    <x v="10"/>
    <x v="11"/>
    <x v="45"/>
    <x v="37"/>
    <x v="1"/>
    <x v="49"/>
    <x v="0"/>
    <x v="2"/>
  </r>
  <r>
    <x v="357"/>
    <x v="2"/>
    <x v="5"/>
    <x v="13"/>
    <x v="32"/>
    <x v="24"/>
    <x v="21"/>
    <x v="13"/>
    <x v="29"/>
    <x v="28"/>
    <x v="22"/>
    <x v="0"/>
    <x v="13"/>
    <x v="30"/>
    <x v="13"/>
    <x v="42"/>
    <x v="40"/>
    <x v="1"/>
    <x v="46"/>
    <x v="2"/>
    <x v="0"/>
  </r>
  <r>
    <x v="357"/>
    <x v="2"/>
    <x v="5"/>
    <x v="14"/>
    <x v="23"/>
    <x v="7"/>
    <x v="15"/>
    <x v="23"/>
    <x v="31"/>
    <x v="12"/>
    <x v="8"/>
    <x v="0"/>
    <x v="14"/>
    <x v="23"/>
    <x v="23"/>
    <x v="31"/>
    <x v="17"/>
    <x v="0"/>
    <x v="49"/>
    <x v="0"/>
    <x v="2"/>
  </r>
  <r>
    <x v="357"/>
    <x v="2"/>
    <x v="5"/>
    <x v="19"/>
    <x v="5"/>
    <x v="18"/>
    <x v="12"/>
    <x v="5"/>
    <x v="34"/>
    <x v="15"/>
    <x v="24"/>
    <x v="0"/>
    <x v="19"/>
    <x v="5"/>
    <x v="19"/>
    <x v="45"/>
    <x v="25"/>
    <x v="0"/>
    <x v="35"/>
    <x v="3"/>
    <x v="2"/>
  </r>
  <r>
    <x v="357"/>
    <x v="2"/>
    <x v="5"/>
    <x v="22"/>
    <x v="21"/>
    <x v="48"/>
    <x v="25"/>
    <x v="22"/>
    <x v="28"/>
    <x v="37"/>
    <x v="26"/>
    <x v="0"/>
    <x v="22"/>
    <x v="21"/>
    <x v="22"/>
    <x v="63"/>
    <x v="69"/>
    <x v="1"/>
    <x v="67"/>
    <x v="0"/>
    <x v="0"/>
  </r>
  <r>
    <x v="357"/>
    <x v="2"/>
    <x v="5"/>
    <x v="26"/>
    <x v="27"/>
    <x v="21"/>
    <x v="32"/>
    <x v="27"/>
    <x v="22"/>
    <x v="10"/>
    <x v="15"/>
    <x v="0"/>
    <x v="26"/>
    <x v="16"/>
    <x v="16"/>
    <x v="28"/>
    <x v="48"/>
    <x v="1"/>
    <x v="32"/>
    <x v="3"/>
    <x v="0"/>
  </r>
  <r>
    <x v="357"/>
    <x v="2"/>
    <x v="5"/>
    <x v="28"/>
    <x v="18"/>
    <x v="24"/>
    <x v="11"/>
    <x v="29"/>
    <x v="16"/>
    <x v="11"/>
    <x v="3"/>
    <x v="0"/>
    <x v="28"/>
    <x v="18"/>
    <x v="28"/>
    <x v="52"/>
    <x v="30"/>
    <x v="1"/>
    <x v="56"/>
    <x v="0"/>
    <x v="0"/>
  </r>
  <r>
    <x v="357"/>
    <x v="2"/>
    <x v="5"/>
    <x v="29"/>
    <x v="0"/>
    <x v="54"/>
    <x v="0"/>
    <x v="28"/>
    <x v="17"/>
    <x v="6"/>
    <x v="4"/>
    <x v="0"/>
    <x v="27"/>
    <x v="0"/>
    <x v="27"/>
    <x v="84"/>
    <x v="48"/>
    <x v="1"/>
    <x v="87"/>
    <x v="0"/>
    <x v="0"/>
  </r>
  <r>
    <x v="357"/>
    <x v="2"/>
    <x v="5"/>
    <x v="31"/>
    <x v="25"/>
    <x v="18"/>
    <x v="21"/>
    <x v="30"/>
    <x v="23"/>
    <x v="30"/>
    <x v="34"/>
    <x v="0"/>
    <x v="29"/>
    <x v="25"/>
    <x v="25"/>
    <x v="36"/>
    <x v="34"/>
    <x v="1"/>
    <x v="40"/>
    <x v="3"/>
    <x v="2"/>
  </r>
  <r>
    <x v="357"/>
    <x v="2"/>
    <x v="5"/>
    <x v="33"/>
    <x v="2"/>
    <x v="28"/>
    <x v="26"/>
    <x v="32"/>
    <x v="34"/>
    <x v="30"/>
    <x v="9"/>
    <x v="0"/>
    <x v="31"/>
    <x v="2"/>
    <x v="32"/>
    <x v="41"/>
    <x v="49"/>
    <x v="1"/>
    <x v="45"/>
    <x v="0"/>
    <x v="0"/>
  </r>
  <r>
    <x v="359"/>
    <x v="2"/>
    <x v="5"/>
    <x v="20"/>
    <x v="12"/>
    <x v="39"/>
    <x v="12"/>
    <x v="20"/>
    <x v="26"/>
    <x v="36"/>
    <x v="13"/>
    <x v="0"/>
    <x v="20"/>
    <x v="12"/>
    <x v="20"/>
    <x v="66"/>
    <x v="46"/>
    <x v="1"/>
    <x v="70"/>
    <x v="0"/>
    <x v="0"/>
  </r>
  <r>
    <x v="371"/>
    <x v="2"/>
    <x v="6"/>
    <x v="25"/>
    <x v="6"/>
    <x v="10"/>
    <x v="32"/>
    <x v="6"/>
    <x v="27"/>
    <x v="24"/>
    <x v="18"/>
    <x v="0"/>
    <x v="25"/>
    <x v="6"/>
    <x v="6"/>
    <x v="17"/>
    <x v="37"/>
    <x v="0"/>
    <x v="63"/>
    <x v="0"/>
    <x v="0"/>
  </r>
  <r>
    <x v="381"/>
    <x v="2"/>
    <x v="6"/>
    <x v="0"/>
    <x v="10"/>
    <x v="35"/>
    <x v="8"/>
    <x v="10"/>
    <x v="24"/>
    <x v="21"/>
    <x v="44"/>
    <x v="0"/>
    <x v="0"/>
    <x v="10"/>
    <x v="0"/>
    <x v="66"/>
    <x v="38"/>
    <x v="0"/>
    <x v="14"/>
    <x v="3"/>
    <x v="0"/>
  </r>
  <r>
    <x v="381"/>
    <x v="2"/>
    <x v="6"/>
    <x v="1"/>
    <x v="22"/>
    <x v="31"/>
    <x v="0"/>
    <x v="26"/>
    <x v="36"/>
    <x v="34"/>
    <x v="12"/>
    <x v="0"/>
    <x v="1"/>
    <x v="22"/>
    <x v="1"/>
    <x v="72"/>
    <x v="24"/>
    <x v="2"/>
    <x v="88"/>
    <x v="1"/>
    <x v="2"/>
  </r>
  <r>
    <x v="381"/>
    <x v="2"/>
    <x v="6"/>
    <x v="2"/>
    <x v="9"/>
    <x v="14"/>
    <x v="32"/>
    <x v="9"/>
    <x v="31"/>
    <x v="30"/>
    <x v="23"/>
    <x v="0"/>
    <x v="2"/>
    <x v="9"/>
    <x v="9"/>
    <x v="21"/>
    <x v="41"/>
    <x v="0"/>
    <x v="59"/>
    <x v="0"/>
    <x v="0"/>
  </r>
  <r>
    <x v="381"/>
    <x v="2"/>
    <x v="6"/>
    <x v="3"/>
    <x v="29"/>
    <x v="14"/>
    <x v="47"/>
    <x v="28"/>
    <x v="27"/>
    <x v="22"/>
    <x v="36"/>
    <x v="0"/>
    <x v="3"/>
    <x v="27"/>
    <x v="27"/>
    <x v="5"/>
    <x v="57"/>
    <x v="0"/>
    <x v="75"/>
    <x v="0"/>
    <x v="0"/>
  </r>
  <r>
    <x v="381"/>
    <x v="2"/>
    <x v="6"/>
    <x v="5"/>
    <x v="11"/>
    <x v="10"/>
    <x v="19"/>
    <x v="11"/>
    <x v="31"/>
    <x v="21"/>
    <x v="37"/>
    <x v="0"/>
    <x v="5"/>
    <x v="11"/>
    <x v="11"/>
    <x v="30"/>
    <x v="24"/>
    <x v="0"/>
    <x v="50"/>
    <x v="0"/>
    <x v="2"/>
  </r>
  <r>
    <x v="381"/>
    <x v="2"/>
    <x v="6"/>
    <x v="7"/>
    <x v="33"/>
    <x v="18"/>
    <x v="36"/>
    <x v="7"/>
    <x v="29"/>
    <x v="15"/>
    <x v="10"/>
    <x v="0"/>
    <x v="7"/>
    <x v="31"/>
    <x v="32"/>
    <x v="21"/>
    <x v="49"/>
    <x v="1"/>
    <x v="25"/>
    <x v="3"/>
    <x v="0"/>
  </r>
  <r>
    <x v="381"/>
    <x v="2"/>
    <x v="6"/>
    <x v="8"/>
    <x v="26"/>
    <x v="24"/>
    <x v="22"/>
    <x v="27"/>
    <x v="32"/>
    <x v="26"/>
    <x v="5"/>
    <x v="0"/>
    <x v="8"/>
    <x v="26"/>
    <x v="8"/>
    <x v="41"/>
    <x v="41"/>
    <x v="0"/>
    <x v="39"/>
    <x v="3"/>
    <x v="0"/>
  </r>
  <r>
    <x v="381"/>
    <x v="2"/>
    <x v="6"/>
    <x v="12"/>
    <x v="13"/>
    <x v="26"/>
    <x v="15"/>
    <x v="12"/>
    <x v="16"/>
    <x v="30"/>
    <x v="35"/>
    <x v="0"/>
    <x v="12"/>
    <x v="13"/>
    <x v="12"/>
    <x v="50"/>
    <x v="36"/>
    <x v="1"/>
    <x v="54"/>
    <x v="0"/>
    <x v="2"/>
  </r>
  <r>
    <x v="381"/>
    <x v="2"/>
    <x v="6"/>
    <x v="18"/>
    <x v="14"/>
    <x v="21"/>
    <x v="2"/>
    <x v="18"/>
    <x v="22"/>
    <x v="10"/>
    <x v="40"/>
    <x v="0"/>
    <x v="18"/>
    <x v="14"/>
    <x v="18"/>
    <x v="59"/>
    <x v="17"/>
    <x v="1"/>
    <x v="63"/>
    <x v="0"/>
    <x v="2"/>
  </r>
  <r>
    <x v="381"/>
    <x v="2"/>
    <x v="6"/>
    <x v="20"/>
    <x v="28"/>
    <x v="31"/>
    <x v="39"/>
    <x v="20"/>
    <x v="27"/>
    <x v="29"/>
    <x v="13"/>
    <x v="0"/>
    <x v="20"/>
    <x v="28"/>
    <x v="28"/>
    <x v="31"/>
    <x v="65"/>
    <x v="1"/>
    <x v="35"/>
    <x v="3"/>
    <x v="0"/>
  </r>
  <r>
    <x v="381"/>
    <x v="2"/>
    <x v="6"/>
    <x v="21"/>
    <x v="31"/>
    <x v="38"/>
    <x v="0"/>
    <x v="21"/>
    <x v="30"/>
    <x v="44"/>
    <x v="20"/>
    <x v="0"/>
    <x v="21"/>
    <x v="29"/>
    <x v="21"/>
    <x v="77"/>
    <x v="31"/>
    <x v="1"/>
    <x v="81"/>
    <x v="0"/>
    <x v="2"/>
  </r>
  <r>
    <x v="381"/>
    <x v="2"/>
    <x v="6"/>
    <x v="24"/>
    <x v="15"/>
    <x v="12"/>
    <x v="0"/>
    <x v="24"/>
    <x v="28"/>
    <x v="22"/>
    <x v="30"/>
    <x v="0"/>
    <x v="24"/>
    <x v="15"/>
    <x v="24"/>
    <x v="53"/>
    <x v="5"/>
    <x v="1"/>
    <x v="57"/>
    <x v="0"/>
    <x v="2"/>
  </r>
  <r>
    <x v="381"/>
    <x v="2"/>
    <x v="6"/>
    <x v="27"/>
    <x v="4"/>
    <x v="4"/>
    <x v="29"/>
    <x v="16"/>
    <x v="31"/>
    <x v="25"/>
    <x v="32"/>
    <x v="0"/>
    <x v="16"/>
    <x v="4"/>
    <x v="4"/>
    <x v="14"/>
    <x v="28"/>
    <x v="1"/>
    <x v="18"/>
    <x v="3"/>
    <x v="2"/>
  </r>
  <r>
    <x v="381"/>
    <x v="2"/>
    <x v="6"/>
    <x v="30"/>
    <x v="19"/>
    <x v="19"/>
    <x v="34"/>
    <x v="17"/>
    <x v="32"/>
    <x v="13"/>
    <x v="6"/>
    <x v="0"/>
    <x v="17"/>
    <x v="19"/>
    <x v="19"/>
    <x v="24"/>
    <x v="48"/>
    <x v="1"/>
    <x v="28"/>
    <x v="3"/>
    <x v="0"/>
  </r>
  <r>
    <x v="385"/>
    <x v="2"/>
    <x v="6"/>
    <x v="32"/>
    <x v="23"/>
    <x v="11"/>
    <x v="8"/>
    <x v="31"/>
    <x v="35"/>
    <x v="18"/>
    <x v="28"/>
    <x v="0"/>
    <x v="30"/>
    <x v="23"/>
    <x v="30"/>
    <x v="42"/>
    <x v="14"/>
    <x v="1"/>
    <x v="46"/>
    <x v="0"/>
    <x v="2"/>
  </r>
  <r>
    <x v="403"/>
    <x v="2"/>
    <x v="7"/>
    <x v="10"/>
    <x v="1"/>
    <x v="15"/>
    <x v="29"/>
    <x v="1"/>
    <x v="29"/>
    <x v="35"/>
    <x v="11"/>
    <x v="0"/>
    <x v="10"/>
    <x v="1"/>
    <x v="1"/>
    <x v="25"/>
    <x v="39"/>
    <x v="0"/>
    <x v="55"/>
    <x v="0"/>
    <x v="2"/>
  </r>
  <r>
    <x v="408"/>
    <x v="2"/>
    <x v="7"/>
    <x v="0"/>
    <x v="5"/>
    <x v="10"/>
    <x v="26"/>
    <x v="5"/>
    <x v="23"/>
    <x v="7"/>
    <x v="44"/>
    <x v="0"/>
    <x v="0"/>
    <x v="5"/>
    <x v="5"/>
    <x v="23"/>
    <x v="31"/>
    <x v="0"/>
    <x v="57"/>
    <x v="0"/>
    <x v="0"/>
  </r>
  <r>
    <x v="408"/>
    <x v="2"/>
    <x v="7"/>
    <x v="2"/>
    <x v="22"/>
    <x v="30"/>
    <x v="12"/>
    <x v="22"/>
    <x v="32"/>
    <x v="28"/>
    <x v="23"/>
    <x v="0"/>
    <x v="2"/>
    <x v="22"/>
    <x v="2"/>
    <x v="57"/>
    <x v="37"/>
    <x v="0"/>
    <x v="23"/>
    <x v="3"/>
    <x v="1"/>
  </r>
  <r>
    <x v="408"/>
    <x v="2"/>
    <x v="7"/>
    <x v="4"/>
    <x v="24"/>
    <x v="14"/>
    <x v="4"/>
    <x v="4"/>
    <x v="18"/>
    <x v="28"/>
    <x v="2"/>
    <x v="0"/>
    <x v="4"/>
    <x v="24"/>
    <x v="4"/>
    <x v="49"/>
    <x v="13"/>
    <x v="1"/>
    <x v="53"/>
    <x v="0"/>
    <x v="2"/>
  </r>
  <r>
    <x v="408"/>
    <x v="2"/>
    <x v="7"/>
    <x v="8"/>
    <x v="21"/>
    <x v="28"/>
    <x v="32"/>
    <x v="8"/>
    <x v="31"/>
    <x v="43"/>
    <x v="5"/>
    <x v="0"/>
    <x v="8"/>
    <x v="21"/>
    <x v="21"/>
    <x v="35"/>
    <x v="55"/>
    <x v="1"/>
    <x v="39"/>
    <x v="3"/>
    <x v="0"/>
  </r>
  <r>
    <x v="408"/>
    <x v="2"/>
    <x v="7"/>
    <x v="9"/>
    <x v="7"/>
    <x v="31"/>
    <x v="10"/>
    <x v="9"/>
    <x v="15"/>
    <x v="22"/>
    <x v="38"/>
    <x v="0"/>
    <x v="9"/>
    <x v="7"/>
    <x v="9"/>
    <x v="60"/>
    <x v="36"/>
    <x v="1"/>
    <x v="64"/>
    <x v="0"/>
    <x v="0"/>
  </r>
  <r>
    <x v="408"/>
    <x v="2"/>
    <x v="7"/>
    <x v="11"/>
    <x v="32"/>
    <x v="51"/>
    <x v="5"/>
    <x v="11"/>
    <x v="15"/>
    <x v="23"/>
    <x v="16"/>
    <x v="0"/>
    <x v="11"/>
    <x v="30"/>
    <x v="11"/>
    <x v="81"/>
    <x v="52"/>
    <x v="1"/>
    <x v="85"/>
    <x v="0"/>
    <x v="0"/>
  </r>
  <r>
    <x v="408"/>
    <x v="2"/>
    <x v="7"/>
    <x v="12"/>
    <x v="19"/>
    <x v="3"/>
    <x v="21"/>
    <x v="12"/>
    <x v="22"/>
    <x v="21"/>
    <x v="35"/>
    <x v="0"/>
    <x v="12"/>
    <x v="19"/>
    <x v="19"/>
    <x v="21"/>
    <x v="19"/>
    <x v="1"/>
    <x v="25"/>
    <x v="3"/>
    <x v="2"/>
  </r>
  <r>
    <x v="408"/>
    <x v="2"/>
    <x v="7"/>
    <x v="14"/>
    <x v="20"/>
    <x v="13"/>
    <x v="21"/>
    <x v="20"/>
    <x v="8"/>
    <x v="36"/>
    <x v="8"/>
    <x v="0"/>
    <x v="14"/>
    <x v="20"/>
    <x v="20"/>
    <x v="31"/>
    <x v="29"/>
    <x v="0"/>
    <x v="49"/>
    <x v="3"/>
    <x v="2"/>
  </r>
  <r>
    <x v="408"/>
    <x v="2"/>
    <x v="7"/>
    <x v="15"/>
    <x v="13"/>
    <x v="10"/>
    <x v="18"/>
    <x v="13"/>
    <x v="25"/>
    <x v="17"/>
    <x v="0"/>
    <x v="0"/>
    <x v="15"/>
    <x v="13"/>
    <x v="13"/>
    <x v="31"/>
    <x v="23"/>
    <x v="0"/>
    <x v="49"/>
    <x v="0"/>
    <x v="2"/>
  </r>
  <r>
    <x v="408"/>
    <x v="2"/>
    <x v="7"/>
    <x v="18"/>
    <x v="3"/>
    <x v="21"/>
    <x v="8"/>
    <x v="18"/>
    <x v="27"/>
    <x v="20"/>
    <x v="40"/>
    <x v="0"/>
    <x v="18"/>
    <x v="3"/>
    <x v="18"/>
    <x v="52"/>
    <x v="24"/>
    <x v="1"/>
    <x v="56"/>
    <x v="0"/>
    <x v="2"/>
  </r>
  <r>
    <x v="408"/>
    <x v="2"/>
    <x v="7"/>
    <x v="23"/>
    <x v="27"/>
    <x v="14"/>
    <x v="25"/>
    <x v="23"/>
    <x v="31"/>
    <x v="10"/>
    <x v="26"/>
    <x v="0"/>
    <x v="23"/>
    <x v="16"/>
    <x v="16"/>
    <x v="28"/>
    <x v="34"/>
    <x v="1"/>
    <x v="32"/>
    <x v="3"/>
    <x v="0"/>
  </r>
  <r>
    <x v="408"/>
    <x v="2"/>
    <x v="7"/>
    <x v="25"/>
    <x v="33"/>
    <x v="17"/>
    <x v="25"/>
    <x v="32"/>
    <x v="25"/>
    <x v="26"/>
    <x v="18"/>
    <x v="0"/>
    <x v="25"/>
    <x v="31"/>
    <x v="32"/>
    <x v="31"/>
    <x v="37"/>
    <x v="0"/>
    <x v="49"/>
    <x v="0"/>
    <x v="0"/>
  </r>
  <r>
    <x v="408"/>
    <x v="2"/>
    <x v="7"/>
    <x v="26"/>
    <x v="6"/>
    <x v="7"/>
    <x v="11"/>
    <x v="27"/>
    <x v="30"/>
    <x v="14"/>
    <x v="15"/>
    <x v="0"/>
    <x v="26"/>
    <x v="6"/>
    <x v="6"/>
    <x v="35"/>
    <x v="13"/>
    <x v="1"/>
    <x v="39"/>
    <x v="3"/>
    <x v="2"/>
  </r>
  <r>
    <x v="408"/>
    <x v="2"/>
    <x v="7"/>
    <x v="29"/>
    <x v="28"/>
    <x v="39"/>
    <x v="11"/>
    <x v="28"/>
    <x v="33"/>
    <x v="15"/>
    <x v="4"/>
    <x v="0"/>
    <x v="27"/>
    <x v="28"/>
    <x v="27"/>
    <x v="67"/>
    <x v="45"/>
    <x v="1"/>
    <x v="71"/>
    <x v="0"/>
    <x v="0"/>
  </r>
  <r>
    <x v="408"/>
    <x v="2"/>
    <x v="7"/>
    <x v="31"/>
    <x v="30"/>
    <x v="10"/>
    <x v="26"/>
    <x v="30"/>
    <x v="31"/>
    <x v="22"/>
    <x v="34"/>
    <x v="0"/>
    <x v="29"/>
    <x v="17"/>
    <x v="17"/>
    <x v="23"/>
    <x v="31"/>
    <x v="1"/>
    <x v="27"/>
    <x v="3"/>
    <x v="2"/>
  </r>
  <r>
    <x v="429"/>
    <x v="2"/>
    <x v="8"/>
    <x v="1"/>
    <x v="31"/>
    <x v="14"/>
    <x v="20"/>
    <x v="1"/>
    <x v="31"/>
    <x v="26"/>
    <x v="12"/>
    <x v="0"/>
    <x v="1"/>
    <x v="29"/>
    <x v="29"/>
    <x v="33"/>
    <x v="29"/>
    <x v="1"/>
    <x v="37"/>
    <x v="3"/>
    <x v="2"/>
  </r>
  <r>
    <x v="429"/>
    <x v="2"/>
    <x v="8"/>
    <x v="3"/>
    <x v="23"/>
    <x v="25"/>
    <x v="7"/>
    <x v="3"/>
    <x v="30"/>
    <x v="16"/>
    <x v="33"/>
    <x v="0"/>
    <x v="3"/>
    <x v="23"/>
    <x v="3"/>
    <x v="57"/>
    <x v="27"/>
    <x v="1"/>
    <x v="61"/>
    <x v="0"/>
    <x v="2"/>
  </r>
  <r>
    <x v="429"/>
    <x v="2"/>
    <x v="8"/>
    <x v="6"/>
    <x v="2"/>
    <x v="20"/>
    <x v="15"/>
    <x v="6"/>
    <x v="31"/>
    <x v="19"/>
    <x v="31"/>
    <x v="0"/>
    <x v="6"/>
    <x v="2"/>
    <x v="6"/>
    <x v="44"/>
    <x v="30"/>
    <x v="1"/>
    <x v="48"/>
    <x v="0"/>
    <x v="2"/>
  </r>
  <r>
    <x v="429"/>
    <x v="2"/>
    <x v="8"/>
    <x v="9"/>
    <x v="15"/>
    <x v="35"/>
    <x v="2"/>
    <x v="9"/>
    <x v="3"/>
    <x v="17"/>
    <x v="38"/>
    <x v="0"/>
    <x v="9"/>
    <x v="15"/>
    <x v="9"/>
    <x v="73"/>
    <x v="31"/>
    <x v="1"/>
    <x v="77"/>
    <x v="0"/>
    <x v="2"/>
  </r>
  <r>
    <x v="429"/>
    <x v="2"/>
    <x v="8"/>
    <x v="10"/>
    <x v="5"/>
    <x v="21"/>
    <x v="24"/>
    <x v="5"/>
    <x v="31"/>
    <x v="26"/>
    <x v="11"/>
    <x v="0"/>
    <x v="10"/>
    <x v="5"/>
    <x v="5"/>
    <x v="36"/>
    <x v="40"/>
    <x v="0"/>
    <x v="44"/>
    <x v="3"/>
    <x v="0"/>
  </r>
  <r>
    <x v="429"/>
    <x v="2"/>
    <x v="8"/>
    <x v="13"/>
    <x v="12"/>
    <x v="25"/>
    <x v="14"/>
    <x v="12"/>
    <x v="25"/>
    <x v="28"/>
    <x v="22"/>
    <x v="0"/>
    <x v="13"/>
    <x v="12"/>
    <x v="13"/>
    <x v="50"/>
    <x v="34"/>
    <x v="0"/>
    <x v="30"/>
    <x v="3"/>
    <x v="2"/>
  </r>
  <r>
    <x v="429"/>
    <x v="2"/>
    <x v="8"/>
    <x v="19"/>
    <x v="11"/>
    <x v="34"/>
    <x v="32"/>
    <x v="11"/>
    <x v="31"/>
    <x v="26"/>
    <x v="24"/>
    <x v="0"/>
    <x v="19"/>
    <x v="11"/>
    <x v="19"/>
    <x v="41"/>
    <x v="61"/>
    <x v="0"/>
    <x v="39"/>
    <x v="3"/>
    <x v="0"/>
  </r>
  <r>
    <x v="429"/>
    <x v="2"/>
    <x v="8"/>
    <x v="20"/>
    <x v="18"/>
    <x v="25"/>
    <x v="0"/>
    <x v="20"/>
    <x v="17"/>
    <x v="27"/>
    <x v="13"/>
    <x v="0"/>
    <x v="20"/>
    <x v="18"/>
    <x v="20"/>
    <x v="66"/>
    <x v="18"/>
    <x v="1"/>
    <x v="70"/>
    <x v="0"/>
    <x v="2"/>
  </r>
  <r>
    <x v="429"/>
    <x v="2"/>
    <x v="8"/>
    <x v="21"/>
    <x v="4"/>
    <x v="35"/>
    <x v="42"/>
    <x v="21"/>
    <x v="29"/>
    <x v="42"/>
    <x v="20"/>
    <x v="0"/>
    <x v="21"/>
    <x v="4"/>
    <x v="4"/>
    <x v="32"/>
    <x v="72"/>
    <x v="1"/>
    <x v="36"/>
    <x v="3"/>
    <x v="0"/>
  </r>
  <r>
    <x v="429"/>
    <x v="2"/>
    <x v="8"/>
    <x v="22"/>
    <x v="25"/>
    <x v="39"/>
    <x v="5"/>
    <x v="22"/>
    <x v="24"/>
    <x v="23"/>
    <x v="26"/>
    <x v="0"/>
    <x v="22"/>
    <x v="25"/>
    <x v="22"/>
    <x v="73"/>
    <x v="39"/>
    <x v="1"/>
    <x v="77"/>
    <x v="0"/>
    <x v="0"/>
  </r>
  <r>
    <x v="429"/>
    <x v="2"/>
    <x v="8"/>
    <x v="26"/>
    <x v="7"/>
    <x v="21"/>
    <x v="8"/>
    <x v="27"/>
    <x v="18"/>
    <x v="6"/>
    <x v="15"/>
    <x v="0"/>
    <x v="26"/>
    <x v="7"/>
    <x v="26"/>
    <x v="52"/>
    <x v="24"/>
    <x v="1"/>
    <x v="56"/>
    <x v="0"/>
    <x v="2"/>
  </r>
  <r>
    <x v="429"/>
    <x v="2"/>
    <x v="8"/>
    <x v="27"/>
    <x v="24"/>
    <x v="21"/>
    <x v="19"/>
    <x v="16"/>
    <x v="21"/>
    <x v="17"/>
    <x v="32"/>
    <x v="0"/>
    <x v="16"/>
    <x v="24"/>
    <x v="16"/>
    <x v="41"/>
    <x v="35"/>
    <x v="1"/>
    <x v="45"/>
    <x v="3"/>
    <x v="0"/>
  </r>
  <r>
    <x v="429"/>
    <x v="2"/>
    <x v="8"/>
    <x v="28"/>
    <x v="0"/>
    <x v="24"/>
    <x v="11"/>
    <x v="29"/>
    <x v="4"/>
    <x v="13"/>
    <x v="3"/>
    <x v="0"/>
    <x v="28"/>
    <x v="0"/>
    <x v="28"/>
    <x v="52"/>
    <x v="30"/>
    <x v="1"/>
    <x v="56"/>
    <x v="3"/>
    <x v="0"/>
  </r>
  <r>
    <x v="429"/>
    <x v="2"/>
    <x v="8"/>
    <x v="29"/>
    <x v="30"/>
    <x v="17"/>
    <x v="11"/>
    <x v="28"/>
    <x v="13"/>
    <x v="19"/>
    <x v="4"/>
    <x v="0"/>
    <x v="27"/>
    <x v="17"/>
    <x v="27"/>
    <x v="45"/>
    <x v="23"/>
    <x v="1"/>
    <x v="49"/>
    <x v="3"/>
    <x v="2"/>
  </r>
  <r>
    <x v="429"/>
    <x v="2"/>
    <x v="8"/>
    <x v="32"/>
    <x v="14"/>
    <x v="35"/>
    <x v="18"/>
    <x v="31"/>
    <x v="26"/>
    <x v="18"/>
    <x v="28"/>
    <x v="0"/>
    <x v="30"/>
    <x v="14"/>
    <x v="30"/>
    <x v="56"/>
    <x v="48"/>
    <x v="1"/>
    <x v="60"/>
    <x v="0"/>
    <x v="0"/>
  </r>
  <r>
    <x v="429"/>
    <x v="2"/>
    <x v="8"/>
    <x v="33"/>
    <x v="8"/>
    <x v="25"/>
    <x v="16"/>
    <x v="32"/>
    <x v="31"/>
    <x v="32"/>
    <x v="9"/>
    <x v="0"/>
    <x v="31"/>
    <x v="8"/>
    <x v="32"/>
    <x v="48"/>
    <x v="36"/>
    <x v="1"/>
    <x v="52"/>
    <x v="0"/>
    <x v="2"/>
  </r>
  <r>
    <x v="7"/>
    <x v="2"/>
    <x v="20"/>
    <x v="11"/>
    <x v="19"/>
    <x v="21"/>
    <x v="8"/>
    <x v="11"/>
    <x v="15"/>
    <x v="23"/>
    <x v="46"/>
    <x v="1"/>
    <x v="11"/>
    <x v="19"/>
    <x v="11"/>
    <x v="52"/>
    <x v="24"/>
    <x v="1"/>
    <x v="56"/>
    <x v="0"/>
    <x v="2"/>
  </r>
  <r>
    <x v="7"/>
    <x v="2"/>
    <x v="20"/>
    <x v="12"/>
    <x v="6"/>
    <x v="16"/>
    <x v="11"/>
    <x v="12"/>
    <x v="29"/>
    <x v="19"/>
    <x v="46"/>
    <x v="1"/>
    <x v="12"/>
    <x v="6"/>
    <x v="12"/>
    <x v="44"/>
    <x v="22"/>
    <x v="1"/>
    <x v="48"/>
    <x v="0"/>
    <x v="2"/>
  </r>
  <r>
    <x v="9"/>
    <x v="2"/>
    <x v="20"/>
    <x v="2"/>
    <x v="13"/>
    <x v="21"/>
    <x v="7"/>
    <x v="2"/>
    <x v="23"/>
    <x v="28"/>
    <x v="23"/>
    <x v="1"/>
    <x v="2"/>
    <x v="13"/>
    <x v="2"/>
    <x v="53"/>
    <x v="23"/>
    <x v="1"/>
    <x v="57"/>
    <x v="0"/>
    <x v="2"/>
  </r>
  <r>
    <x v="9"/>
    <x v="2"/>
    <x v="20"/>
    <x v="33"/>
    <x v="29"/>
    <x v="11"/>
    <x v="22"/>
    <x v="28"/>
    <x v="31"/>
    <x v="24"/>
    <x v="46"/>
    <x v="1"/>
    <x v="31"/>
    <x v="27"/>
    <x v="27"/>
    <x v="28"/>
    <x v="28"/>
    <x v="0"/>
    <x v="52"/>
    <x v="0"/>
    <x v="2"/>
  </r>
  <r>
    <x v="23"/>
    <x v="2"/>
    <x v="18"/>
    <x v="9"/>
    <x v="2"/>
    <x v="32"/>
    <x v="36"/>
    <x v="9"/>
    <x v="19"/>
    <x v="23"/>
    <x v="46"/>
    <x v="1"/>
    <x v="9"/>
    <x v="2"/>
    <x v="2"/>
    <x v="35"/>
    <x v="63"/>
    <x v="1"/>
    <x v="39"/>
    <x v="3"/>
    <x v="0"/>
  </r>
  <r>
    <x v="23"/>
    <x v="2"/>
    <x v="18"/>
    <x v="28"/>
    <x v="11"/>
    <x v="42"/>
    <x v="29"/>
    <x v="29"/>
    <x v="31"/>
    <x v="25"/>
    <x v="46"/>
    <x v="1"/>
    <x v="28"/>
    <x v="11"/>
    <x v="28"/>
    <x v="52"/>
    <x v="66"/>
    <x v="1"/>
    <x v="56"/>
    <x v="0"/>
    <x v="0"/>
  </r>
  <r>
    <x v="25"/>
    <x v="2"/>
    <x v="18"/>
    <x v="1"/>
    <x v="29"/>
    <x v="27"/>
    <x v="26"/>
    <x v="1"/>
    <x v="31"/>
    <x v="28"/>
    <x v="12"/>
    <x v="1"/>
    <x v="1"/>
    <x v="27"/>
    <x v="1"/>
    <x v="40"/>
    <x v="48"/>
    <x v="1"/>
    <x v="44"/>
    <x v="3"/>
    <x v="0"/>
  </r>
  <r>
    <x v="25"/>
    <x v="2"/>
    <x v="18"/>
    <x v="20"/>
    <x v="12"/>
    <x v="38"/>
    <x v="26"/>
    <x v="20"/>
    <x v="18"/>
    <x v="36"/>
    <x v="46"/>
    <x v="1"/>
    <x v="20"/>
    <x v="12"/>
    <x v="20"/>
    <x v="51"/>
    <x v="59"/>
    <x v="1"/>
    <x v="55"/>
    <x v="0"/>
    <x v="0"/>
  </r>
  <r>
    <x v="38"/>
    <x v="2"/>
    <x v="17"/>
    <x v="1"/>
    <x v="28"/>
    <x v="21"/>
    <x v="26"/>
    <x v="29"/>
    <x v="28"/>
    <x v="32"/>
    <x v="12"/>
    <x v="1"/>
    <x v="1"/>
    <x v="28"/>
    <x v="28"/>
    <x v="34"/>
    <x v="42"/>
    <x v="0"/>
    <x v="46"/>
    <x v="3"/>
    <x v="0"/>
  </r>
  <r>
    <x v="38"/>
    <x v="2"/>
    <x v="17"/>
    <x v="20"/>
    <x v="2"/>
    <x v="10"/>
    <x v="26"/>
    <x v="20"/>
    <x v="22"/>
    <x v="37"/>
    <x v="46"/>
    <x v="1"/>
    <x v="20"/>
    <x v="2"/>
    <x v="2"/>
    <x v="23"/>
    <x v="31"/>
    <x v="1"/>
    <x v="27"/>
    <x v="3"/>
    <x v="2"/>
  </r>
  <r>
    <x v="46"/>
    <x v="2"/>
    <x v="19"/>
    <x v="28"/>
    <x v="2"/>
    <x v="28"/>
    <x v="32"/>
    <x v="29"/>
    <x v="28"/>
    <x v="30"/>
    <x v="25"/>
    <x v="1"/>
    <x v="28"/>
    <x v="2"/>
    <x v="2"/>
    <x v="35"/>
    <x v="55"/>
    <x v="1"/>
    <x v="39"/>
    <x v="3"/>
    <x v="0"/>
  </r>
  <r>
    <x v="53"/>
    <x v="3"/>
    <x v="0"/>
    <x v="9"/>
    <x v="2"/>
    <x v="46"/>
    <x v="25"/>
    <x v="9"/>
    <x v="22"/>
    <x v="33"/>
    <x v="38"/>
    <x v="0"/>
    <x v="9"/>
    <x v="2"/>
    <x v="9"/>
    <x v="60"/>
    <x v="66"/>
    <x v="1"/>
    <x v="64"/>
    <x v="0"/>
    <x v="0"/>
  </r>
  <r>
    <x v="57"/>
    <x v="3"/>
    <x v="0"/>
    <x v="3"/>
    <x v="20"/>
    <x v="18"/>
    <x v="21"/>
    <x v="20"/>
    <x v="16"/>
    <x v="37"/>
    <x v="33"/>
    <x v="0"/>
    <x v="3"/>
    <x v="20"/>
    <x v="20"/>
    <x v="36"/>
    <x v="34"/>
    <x v="0"/>
    <x v="44"/>
    <x v="3"/>
    <x v="2"/>
  </r>
  <r>
    <x v="57"/>
    <x v="3"/>
    <x v="0"/>
    <x v="4"/>
    <x v="29"/>
    <x v="4"/>
    <x v="10"/>
    <x v="28"/>
    <x v="30"/>
    <x v="24"/>
    <x v="2"/>
    <x v="0"/>
    <x v="4"/>
    <x v="27"/>
    <x v="27"/>
    <x v="33"/>
    <x v="9"/>
    <x v="0"/>
    <x v="47"/>
    <x v="0"/>
    <x v="2"/>
  </r>
  <r>
    <x v="57"/>
    <x v="3"/>
    <x v="0"/>
    <x v="5"/>
    <x v="6"/>
    <x v="21"/>
    <x v="19"/>
    <x v="5"/>
    <x v="31"/>
    <x v="18"/>
    <x v="37"/>
    <x v="0"/>
    <x v="5"/>
    <x v="6"/>
    <x v="5"/>
    <x v="41"/>
    <x v="35"/>
    <x v="1"/>
    <x v="45"/>
    <x v="2"/>
    <x v="0"/>
  </r>
  <r>
    <x v="57"/>
    <x v="3"/>
    <x v="0"/>
    <x v="7"/>
    <x v="18"/>
    <x v="7"/>
    <x v="21"/>
    <x v="7"/>
    <x v="32"/>
    <x v="15"/>
    <x v="10"/>
    <x v="0"/>
    <x v="7"/>
    <x v="18"/>
    <x v="18"/>
    <x v="25"/>
    <x v="23"/>
    <x v="1"/>
    <x v="29"/>
    <x v="3"/>
    <x v="2"/>
  </r>
  <r>
    <x v="57"/>
    <x v="3"/>
    <x v="0"/>
    <x v="8"/>
    <x v="22"/>
    <x v="33"/>
    <x v="29"/>
    <x v="8"/>
    <x v="30"/>
    <x v="34"/>
    <x v="5"/>
    <x v="0"/>
    <x v="8"/>
    <x v="22"/>
    <x v="8"/>
    <x v="43"/>
    <x v="57"/>
    <x v="1"/>
    <x v="47"/>
    <x v="0"/>
    <x v="0"/>
  </r>
  <r>
    <x v="57"/>
    <x v="3"/>
    <x v="0"/>
    <x v="10"/>
    <x v="19"/>
    <x v="31"/>
    <x v="22"/>
    <x v="10"/>
    <x v="28"/>
    <x v="29"/>
    <x v="11"/>
    <x v="0"/>
    <x v="10"/>
    <x v="19"/>
    <x v="10"/>
    <x v="48"/>
    <x v="48"/>
    <x v="1"/>
    <x v="52"/>
    <x v="0"/>
    <x v="0"/>
  </r>
  <r>
    <x v="57"/>
    <x v="3"/>
    <x v="0"/>
    <x v="13"/>
    <x v="24"/>
    <x v="18"/>
    <x v="15"/>
    <x v="13"/>
    <x v="14"/>
    <x v="25"/>
    <x v="22"/>
    <x v="0"/>
    <x v="13"/>
    <x v="24"/>
    <x v="13"/>
    <x v="42"/>
    <x v="28"/>
    <x v="1"/>
    <x v="46"/>
    <x v="3"/>
    <x v="2"/>
  </r>
  <r>
    <x v="57"/>
    <x v="3"/>
    <x v="0"/>
    <x v="14"/>
    <x v="15"/>
    <x v="1"/>
    <x v="26"/>
    <x v="15"/>
    <x v="28"/>
    <x v="20"/>
    <x v="8"/>
    <x v="0"/>
    <x v="14"/>
    <x v="15"/>
    <x v="15"/>
    <x v="12"/>
    <x v="20"/>
    <x v="0"/>
    <x v="68"/>
    <x v="0"/>
    <x v="2"/>
  </r>
  <r>
    <x v="57"/>
    <x v="3"/>
    <x v="0"/>
    <x v="21"/>
    <x v="1"/>
    <x v="20"/>
    <x v="15"/>
    <x v="21"/>
    <x v="30"/>
    <x v="46"/>
    <x v="20"/>
    <x v="0"/>
    <x v="21"/>
    <x v="1"/>
    <x v="21"/>
    <x v="44"/>
    <x v="30"/>
    <x v="1"/>
    <x v="48"/>
    <x v="0"/>
    <x v="2"/>
  </r>
  <r>
    <x v="57"/>
    <x v="3"/>
    <x v="0"/>
    <x v="23"/>
    <x v="31"/>
    <x v="15"/>
    <x v="15"/>
    <x v="30"/>
    <x v="25"/>
    <x v="12"/>
    <x v="26"/>
    <x v="0"/>
    <x v="23"/>
    <x v="29"/>
    <x v="23"/>
    <x v="39"/>
    <x v="25"/>
    <x v="0"/>
    <x v="41"/>
    <x v="3"/>
    <x v="2"/>
  </r>
  <r>
    <x v="57"/>
    <x v="3"/>
    <x v="0"/>
    <x v="26"/>
    <x v="32"/>
    <x v="6"/>
    <x v="14"/>
    <x v="27"/>
    <x v="25"/>
    <x v="18"/>
    <x v="15"/>
    <x v="0"/>
    <x v="26"/>
    <x v="30"/>
    <x v="30"/>
    <x v="31"/>
    <x v="15"/>
    <x v="1"/>
    <x v="35"/>
    <x v="3"/>
    <x v="2"/>
  </r>
  <r>
    <x v="57"/>
    <x v="3"/>
    <x v="0"/>
    <x v="28"/>
    <x v="11"/>
    <x v="31"/>
    <x v="26"/>
    <x v="29"/>
    <x v="27"/>
    <x v="31"/>
    <x v="3"/>
    <x v="0"/>
    <x v="28"/>
    <x v="11"/>
    <x v="28"/>
    <x v="44"/>
    <x v="52"/>
    <x v="1"/>
    <x v="48"/>
    <x v="0"/>
    <x v="0"/>
  </r>
  <r>
    <x v="57"/>
    <x v="3"/>
    <x v="0"/>
    <x v="30"/>
    <x v="0"/>
    <x v="24"/>
    <x v="22"/>
    <x v="17"/>
    <x v="30"/>
    <x v="17"/>
    <x v="6"/>
    <x v="0"/>
    <x v="17"/>
    <x v="0"/>
    <x v="17"/>
    <x v="41"/>
    <x v="41"/>
    <x v="1"/>
    <x v="45"/>
    <x v="3"/>
    <x v="0"/>
  </r>
  <r>
    <x v="62"/>
    <x v="3"/>
    <x v="0"/>
    <x v="27"/>
    <x v="12"/>
    <x v="25"/>
    <x v="29"/>
    <x v="12"/>
    <x v="24"/>
    <x v="25"/>
    <x v="32"/>
    <x v="0"/>
    <x v="16"/>
    <x v="12"/>
    <x v="12"/>
    <x v="35"/>
    <x v="49"/>
    <x v="0"/>
    <x v="45"/>
    <x v="3"/>
    <x v="0"/>
  </r>
  <r>
    <x v="62"/>
    <x v="3"/>
    <x v="0"/>
    <x v="33"/>
    <x v="25"/>
    <x v="24"/>
    <x v="31"/>
    <x v="32"/>
    <x v="28"/>
    <x v="41"/>
    <x v="9"/>
    <x v="0"/>
    <x v="31"/>
    <x v="25"/>
    <x v="25"/>
    <x v="32"/>
    <x v="50"/>
    <x v="1"/>
    <x v="36"/>
    <x v="3"/>
    <x v="0"/>
  </r>
  <r>
    <x v="72"/>
    <x v="3"/>
    <x v="9"/>
    <x v="20"/>
    <x v="23"/>
    <x v="10"/>
    <x v="8"/>
    <x v="20"/>
    <x v="14"/>
    <x v="21"/>
    <x v="13"/>
    <x v="0"/>
    <x v="20"/>
    <x v="23"/>
    <x v="20"/>
    <x v="41"/>
    <x v="13"/>
    <x v="1"/>
    <x v="45"/>
    <x v="3"/>
    <x v="2"/>
  </r>
  <r>
    <x v="80"/>
    <x v="3"/>
    <x v="9"/>
    <x v="0"/>
    <x v="10"/>
    <x v="22"/>
    <x v="19"/>
    <x v="10"/>
    <x v="33"/>
    <x v="31"/>
    <x v="44"/>
    <x v="0"/>
    <x v="0"/>
    <x v="10"/>
    <x v="0"/>
    <x v="42"/>
    <x v="36"/>
    <x v="0"/>
    <x v="38"/>
    <x v="3"/>
    <x v="2"/>
  </r>
  <r>
    <x v="80"/>
    <x v="3"/>
    <x v="9"/>
    <x v="1"/>
    <x v="30"/>
    <x v="28"/>
    <x v="22"/>
    <x v="1"/>
    <x v="26"/>
    <x v="29"/>
    <x v="12"/>
    <x v="0"/>
    <x v="1"/>
    <x v="17"/>
    <x v="1"/>
    <x v="45"/>
    <x v="45"/>
    <x v="1"/>
    <x v="49"/>
    <x v="0"/>
    <x v="0"/>
  </r>
  <r>
    <x v="80"/>
    <x v="3"/>
    <x v="9"/>
    <x v="2"/>
    <x v="7"/>
    <x v="11"/>
    <x v="4"/>
    <x v="2"/>
    <x v="23"/>
    <x v="22"/>
    <x v="23"/>
    <x v="0"/>
    <x v="2"/>
    <x v="7"/>
    <x v="2"/>
    <x v="46"/>
    <x v="10"/>
    <x v="1"/>
    <x v="50"/>
    <x v="0"/>
    <x v="2"/>
  </r>
  <r>
    <x v="80"/>
    <x v="3"/>
    <x v="9"/>
    <x v="3"/>
    <x v="4"/>
    <x v="21"/>
    <x v="21"/>
    <x v="4"/>
    <x v="30"/>
    <x v="21"/>
    <x v="33"/>
    <x v="0"/>
    <x v="3"/>
    <x v="4"/>
    <x v="3"/>
    <x v="39"/>
    <x v="37"/>
    <x v="0"/>
    <x v="41"/>
    <x v="3"/>
    <x v="0"/>
  </r>
  <r>
    <x v="80"/>
    <x v="3"/>
    <x v="9"/>
    <x v="5"/>
    <x v="19"/>
    <x v="28"/>
    <x v="28"/>
    <x v="5"/>
    <x v="24"/>
    <x v="18"/>
    <x v="37"/>
    <x v="0"/>
    <x v="5"/>
    <x v="19"/>
    <x v="5"/>
    <x v="39"/>
    <x v="51"/>
    <x v="1"/>
    <x v="43"/>
    <x v="3"/>
    <x v="0"/>
  </r>
  <r>
    <x v="80"/>
    <x v="3"/>
    <x v="9"/>
    <x v="11"/>
    <x v="33"/>
    <x v="35"/>
    <x v="18"/>
    <x v="11"/>
    <x v="21"/>
    <x v="34"/>
    <x v="16"/>
    <x v="0"/>
    <x v="11"/>
    <x v="31"/>
    <x v="11"/>
    <x v="56"/>
    <x v="48"/>
    <x v="1"/>
    <x v="60"/>
    <x v="0"/>
    <x v="0"/>
  </r>
  <r>
    <x v="80"/>
    <x v="3"/>
    <x v="9"/>
    <x v="12"/>
    <x v="32"/>
    <x v="27"/>
    <x v="22"/>
    <x v="12"/>
    <x v="19"/>
    <x v="20"/>
    <x v="35"/>
    <x v="0"/>
    <x v="12"/>
    <x v="30"/>
    <x v="12"/>
    <x v="44"/>
    <x v="44"/>
    <x v="1"/>
    <x v="48"/>
    <x v="3"/>
    <x v="0"/>
  </r>
  <r>
    <x v="80"/>
    <x v="3"/>
    <x v="9"/>
    <x v="13"/>
    <x v="18"/>
    <x v="17"/>
    <x v="22"/>
    <x v="13"/>
    <x v="31"/>
    <x v="22"/>
    <x v="22"/>
    <x v="0"/>
    <x v="13"/>
    <x v="18"/>
    <x v="18"/>
    <x v="34"/>
    <x v="34"/>
    <x v="1"/>
    <x v="38"/>
    <x v="3"/>
    <x v="1"/>
  </r>
  <r>
    <x v="80"/>
    <x v="3"/>
    <x v="9"/>
    <x v="15"/>
    <x v="8"/>
    <x v="14"/>
    <x v="14"/>
    <x v="15"/>
    <x v="31"/>
    <x v="26"/>
    <x v="0"/>
    <x v="0"/>
    <x v="15"/>
    <x v="8"/>
    <x v="15"/>
    <x v="39"/>
    <x v="23"/>
    <x v="1"/>
    <x v="43"/>
    <x v="3"/>
    <x v="2"/>
  </r>
  <r>
    <x v="80"/>
    <x v="3"/>
    <x v="9"/>
    <x v="22"/>
    <x v="9"/>
    <x v="20"/>
    <x v="39"/>
    <x v="9"/>
    <x v="29"/>
    <x v="45"/>
    <x v="26"/>
    <x v="0"/>
    <x v="22"/>
    <x v="9"/>
    <x v="9"/>
    <x v="20"/>
    <x v="54"/>
    <x v="0"/>
    <x v="60"/>
    <x v="0"/>
    <x v="0"/>
  </r>
  <r>
    <x v="80"/>
    <x v="3"/>
    <x v="9"/>
    <x v="24"/>
    <x v="14"/>
    <x v="16"/>
    <x v="7"/>
    <x v="24"/>
    <x v="27"/>
    <x v="14"/>
    <x v="30"/>
    <x v="0"/>
    <x v="24"/>
    <x v="14"/>
    <x v="24"/>
    <x v="48"/>
    <x v="18"/>
    <x v="1"/>
    <x v="52"/>
    <x v="0"/>
    <x v="2"/>
  </r>
  <r>
    <x v="80"/>
    <x v="3"/>
    <x v="9"/>
    <x v="25"/>
    <x v="27"/>
    <x v="27"/>
    <x v="31"/>
    <x v="25"/>
    <x v="22"/>
    <x v="42"/>
    <x v="18"/>
    <x v="0"/>
    <x v="25"/>
    <x v="16"/>
    <x v="16"/>
    <x v="35"/>
    <x v="53"/>
    <x v="1"/>
    <x v="39"/>
    <x v="3"/>
    <x v="0"/>
  </r>
  <r>
    <x v="80"/>
    <x v="3"/>
    <x v="9"/>
    <x v="29"/>
    <x v="28"/>
    <x v="26"/>
    <x v="2"/>
    <x v="28"/>
    <x v="32"/>
    <x v="23"/>
    <x v="4"/>
    <x v="0"/>
    <x v="27"/>
    <x v="28"/>
    <x v="27"/>
    <x v="64"/>
    <x v="22"/>
    <x v="1"/>
    <x v="68"/>
    <x v="0"/>
    <x v="2"/>
  </r>
  <r>
    <x v="80"/>
    <x v="3"/>
    <x v="9"/>
    <x v="31"/>
    <x v="21"/>
    <x v="11"/>
    <x v="14"/>
    <x v="21"/>
    <x v="29"/>
    <x v="31"/>
    <x v="34"/>
    <x v="0"/>
    <x v="29"/>
    <x v="21"/>
    <x v="21"/>
    <x v="36"/>
    <x v="20"/>
    <x v="0"/>
    <x v="44"/>
    <x v="3"/>
    <x v="2"/>
  </r>
  <r>
    <x v="84"/>
    <x v="3"/>
    <x v="9"/>
    <x v="6"/>
    <x v="26"/>
    <x v="17"/>
    <x v="8"/>
    <x v="6"/>
    <x v="24"/>
    <x v="16"/>
    <x v="31"/>
    <x v="0"/>
    <x v="6"/>
    <x v="26"/>
    <x v="6"/>
    <x v="48"/>
    <x v="20"/>
    <x v="1"/>
    <x v="52"/>
    <x v="0"/>
    <x v="2"/>
  </r>
  <r>
    <x v="94"/>
    <x v="3"/>
    <x v="10"/>
    <x v="25"/>
    <x v="15"/>
    <x v="13"/>
    <x v="24"/>
    <x v="25"/>
    <x v="30"/>
    <x v="36"/>
    <x v="18"/>
    <x v="0"/>
    <x v="25"/>
    <x v="15"/>
    <x v="15"/>
    <x v="28"/>
    <x v="32"/>
    <x v="1"/>
    <x v="32"/>
    <x v="3"/>
    <x v="2"/>
  </r>
  <r>
    <x v="102"/>
    <x v="3"/>
    <x v="10"/>
    <x v="2"/>
    <x v="12"/>
    <x v="27"/>
    <x v="7"/>
    <x v="12"/>
    <x v="35"/>
    <x v="23"/>
    <x v="23"/>
    <x v="0"/>
    <x v="2"/>
    <x v="12"/>
    <x v="2"/>
    <x v="59"/>
    <x v="29"/>
    <x v="0"/>
    <x v="21"/>
    <x v="3"/>
    <x v="2"/>
  </r>
  <r>
    <x v="102"/>
    <x v="3"/>
    <x v="10"/>
    <x v="4"/>
    <x v="22"/>
    <x v="35"/>
    <x v="0"/>
    <x v="22"/>
    <x v="31"/>
    <x v="28"/>
    <x v="2"/>
    <x v="0"/>
    <x v="4"/>
    <x v="22"/>
    <x v="4"/>
    <x v="75"/>
    <x v="28"/>
    <x v="0"/>
    <x v="5"/>
    <x v="3"/>
    <x v="2"/>
  </r>
  <r>
    <x v="102"/>
    <x v="3"/>
    <x v="10"/>
    <x v="6"/>
    <x v="11"/>
    <x v="31"/>
    <x v="28"/>
    <x v="11"/>
    <x v="31"/>
    <x v="35"/>
    <x v="31"/>
    <x v="0"/>
    <x v="6"/>
    <x v="11"/>
    <x v="6"/>
    <x v="42"/>
    <x v="54"/>
    <x v="0"/>
    <x v="38"/>
    <x v="3"/>
    <x v="0"/>
  </r>
  <r>
    <x v="102"/>
    <x v="3"/>
    <x v="10"/>
    <x v="8"/>
    <x v="30"/>
    <x v="28"/>
    <x v="5"/>
    <x v="8"/>
    <x v="30"/>
    <x v="28"/>
    <x v="5"/>
    <x v="0"/>
    <x v="8"/>
    <x v="17"/>
    <x v="8"/>
    <x v="62"/>
    <x v="28"/>
    <x v="1"/>
    <x v="66"/>
    <x v="0"/>
    <x v="2"/>
  </r>
  <r>
    <x v="102"/>
    <x v="3"/>
    <x v="10"/>
    <x v="18"/>
    <x v="1"/>
    <x v="24"/>
    <x v="21"/>
    <x v="18"/>
    <x v="32"/>
    <x v="26"/>
    <x v="40"/>
    <x v="0"/>
    <x v="18"/>
    <x v="1"/>
    <x v="18"/>
    <x v="42"/>
    <x v="40"/>
    <x v="1"/>
    <x v="46"/>
    <x v="0"/>
    <x v="0"/>
  </r>
  <r>
    <x v="102"/>
    <x v="3"/>
    <x v="10"/>
    <x v="19"/>
    <x v="7"/>
    <x v="24"/>
    <x v="29"/>
    <x v="19"/>
    <x v="23"/>
    <x v="15"/>
    <x v="24"/>
    <x v="0"/>
    <x v="19"/>
    <x v="7"/>
    <x v="7"/>
    <x v="34"/>
    <x v="48"/>
    <x v="1"/>
    <x v="38"/>
    <x v="3"/>
    <x v="0"/>
  </r>
  <r>
    <x v="102"/>
    <x v="3"/>
    <x v="10"/>
    <x v="20"/>
    <x v="31"/>
    <x v="20"/>
    <x v="2"/>
    <x v="20"/>
    <x v="22"/>
    <x v="24"/>
    <x v="13"/>
    <x v="0"/>
    <x v="20"/>
    <x v="29"/>
    <x v="20"/>
    <x v="58"/>
    <x v="16"/>
    <x v="1"/>
    <x v="62"/>
    <x v="0"/>
    <x v="2"/>
  </r>
  <r>
    <x v="102"/>
    <x v="3"/>
    <x v="10"/>
    <x v="21"/>
    <x v="0"/>
    <x v="28"/>
    <x v="5"/>
    <x v="21"/>
    <x v="22"/>
    <x v="33"/>
    <x v="20"/>
    <x v="0"/>
    <x v="21"/>
    <x v="0"/>
    <x v="21"/>
    <x v="62"/>
    <x v="28"/>
    <x v="1"/>
    <x v="66"/>
    <x v="0"/>
    <x v="2"/>
  </r>
  <r>
    <x v="102"/>
    <x v="3"/>
    <x v="10"/>
    <x v="23"/>
    <x v="3"/>
    <x v="24"/>
    <x v="18"/>
    <x v="23"/>
    <x v="32"/>
    <x v="16"/>
    <x v="26"/>
    <x v="0"/>
    <x v="23"/>
    <x v="3"/>
    <x v="23"/>
    <x v="45"/>
    <x v="37"/>
    <x v="1"/>
    <x v="49"/>
    <x v="0"/>
    <x v="0"/>
  </r>
  <r>
    <x v="102"/>
    <x v="3"/>
    <x v="10"/>
    <x v="26"/>
    <x v="5"/>
    <x v="20"/>
    <x v="38"/>
    <x v="5"/>
    <x v="32"/>
    <x v="16"/>
    <x v="15"/>
    <x v="0"/>
    <x v="26"/>
    <x v="5"/>
    <x v="5"/>
    <x v="21"/>
    <x v="53"/>
    <x v="0"/>
    <x v="59"/>
    <x v="0"/>
    <x v="0"/>
  </r>
  <r>
    <x v="102"/>
    <x v="3"/>
    <x v="10"/>
    <x v="28"/>
    <x v="13"/>
    <x v="4"/>
    <x v="25"/>
    <x v="29"/>
    <x v="17"/>
    <x v="28"/>
    <x v="3"/>
    <x v="0"/>
    <x v="28"/>
    <x v="13"/>
    <x v="13"/>
    <x v="18"/>
    <x v="24"/>
    <x v="1"/>
    <x v="22"/>
    <x v="3"/>
    <x v="2"/>
  </r>
  <r>
    <x v="102"/>
    <x v="3"/>
    <x v="10"/>
    <x v="29"/>
    <x v="14"/>
    <x v="42"/>
    <x v="15"/>
    <x v="28"/>
    <x v="2"/>
    <x v="13"/>
    <x v="4"/>
    <x v="0"/>
    <x v="27"/>
    <x v="14"/>
    <x v="27"/>
    <x v="66"/>
    <x v="52"/>
    <x v="1"/>
    <x v="70"/>
    <x v="0"/>
    <x v="0"/>
  </r>
  <r>
    <x v="102"/>
    <x v="3"/>
    <x v="10"/>
    <x v="32"/>
    <x v="27"/>
    <x v="17"/>
    <x v="15"/>
    <x v="31"/>
    <x v="31"/>
    <x v="21"/>
    <x v="28"/>
    <x v="0"/>
    <x v="30"/>
    <x v="16"/>
    <x v="30"/>
    <x v="41"/>
    <x v="27"/>
    <x v="1"/>
    <x v="45"/>
    <x v="2"/>
    <x v="2"/>
  </r>
  <r>
    <x v="102"/>
    <x v="3"/>
    <x v="10"/>
    <x v="33"/>
    <x v="10"/>
    <x v="17"/>
    <x v="25"/>
    <x v="10"/>
    <x v="35"/>
    <x v="33"/>
    <x v="9"/>
    <x v="0"/>
    <x v="31"/>
    <x v="10"/>
    <x v="10"/>
    <x v="31"/>
    <x v="37"/>
    <x v="0"/>
    <x v="49"/>
    <x v="0"/>
    <x v="2"/>
  </r>
  <r>
    <x v="106"/>
    <x v="3"/>
    <x v="10"/>
    <x v="9"/>
    <x v="24"/>
    <x v="34"/>
    <x v="19"/>
    <x v="9"/>
    <x v="4"/>
    <x v="34"/>
    <x v="38"/>
    <x v="0"/>
    <x v="9"/>
    <x v="24"/>
    <x v="9"/>
    <x v="54"/>
    <x v="48"/>
    <x v="1"/>
    <x v="58"/>
    <x v="3"/>
    <x v="0"/>
  </r>
  <r>
    <x v="116"/>
    <x v="3"/>
    <x v="11"/>
    <x v="30"/>
    <x v="28"/>
    <x v="8"/>
    <x v="33"/>
    <x v="29"/>
    <x v="29"/>
    <x v="21"/>
    <x v="6"/>
    <x v="0"/>
    <x v="17"/>
    <x v="28"/>
    <x v="28"/>
    <x v="14"/>
    <x v="36"/>
    <x v="0"/>
    <x v="66"/>
    <x v="0"/>
    <x v="0"/>
  </r>
  <r>
    <x v="124"/>
    <x v="3"/>
    <x v="11"/>
    <x v="1"/>
    <x v="20"/>
    <x v="20"/>
    <x v="28"/>
    <x v="1"/>
    <x v="31"/>
    <x v="34"/>
    <x v="12"/>
    <x v="0"/>
    <x v="1"/>
    <x v="20"/>
    <x v="20"/>
    <x v="31"/>
    <x v="43"/>
    <x v="1"/>
    <x v="35"/>
    <x v="3"/>
    <x v="0"/>
  </r>
  <r>
    <x v="124"/>
    <x v="3"/>
    <x v="11"/>
    <x v="3"/>
    <x v="2"/>
    <x v="20"/>
    <x v="18"/>
    <x v="2"/>
    <x v="29"/>
    <x v="24"/>
    <x v="33"/>
    <x v="0"/>
    <x v="3"/>
    <x v="2"/>
    <x v="3"/>
    <x v="41"/>
    <x v="33"/>
    <x v="0"/>
    <x v="39"/>
    <x v="3"/>
    <x v="2"/>
  </r>
  <r>
    <x v="124"/>
    <x v="3"/>
    <x v="11"/>
    <x v="7"/>
    <x v="6"/>
    <x v="14"/>
    <x v="4"/>
    <x v="6"/>
    <x v="28"/>
    <x v="19"/>
    <x v="10"/>
    <x v="0"/>
    <x v="7"/>
    <x v="6"/>
    <x v="7"/>
    <x v="49"/>
    <x v="13"/>
    <x v="0"/>
    <x v="31"/>
    <x v="3"/>
    <x v="2"/>
  </r>
  <r>
    <x v="124"/>
    <x v="3"/>
    <x v="11"/>
    <x v="9"/>
    <x v="25"/>
    <x v="48"/>
    <x v="18"/>
    <x v="9"/>
    <x v="14"/>
    <x v="52"/>
    <x v="38"/>
    <x v="0"/>
    <x v="9"/>
    <x v="25"/>
    <x v="9"/>
    <x v="70"/>
    <x v="62"/>
    <x v="1"/>
    <x v="74"/>
    <x v="0"/>
    <x v="0"/>
  </r>
  <r>
    <x v="124"/>
    <x v="3"/>
    <x v="11"/>
    <x v="10"/>
    <x v="5"/>
    <x v="37"/>
    <x v="30"/>
    <x v="10"/>
    <x v="32"/>
    <x v="33"/>
    <x v="11"/>
    <x v="0"/>
    <x v="10"/>
    <x v="5"/>
    <x v="10"/>
    <x v="46"/>
    <x v="62"/>
    <x v="1"/>
    <x v="50"/>
    <x v="0"/>
    <x v="0"/>
  </r>
  <r>
    <x v="124"/>
    <x v="3"/>
    <x v="11"/>
    <x v="12"/>
    <x v="29"/>
    <x v="17"/>
    <x v="21"/>
    <x v="28"/>
    <x v="33"/>
    <x v="16"/>
    <x v="35"/>
    <x v="0"/>
    <x v="12"/>
    <x v="27"/>
    <x v="27"/>
    <x v="35"/>
    <x v="33"/>
    <x v="0"/>
    <x v="45"/>
    <x v="0"/>
    <x v="0"/>
  </r>
  <r>
    <x v="124"/>
    <x v="3"/>
    <x v="11"/>
    <x v="14"/>
    <x v="13"/>
    <x v="2"/>
    <x v="35"/>
    <x v="13"/>
    <x v="18"/>
    <x v="19"/>
    <x v="8"/>
    <x v="0"/>
    <x v="14"/>
    <x v="13"/>
    <x v="13"/>
    <x v="4"/>
    <x v="30"/>
    <x v="0"/>
    <x v="76"/>
    <x v="0"/>
    <x v="2"/>
  </r>
  <r>
    <x v="124"/>
    <x v="3"/>
    <x v="11"/>
    <x v="15"/>
    <x v="22"/>
    <x v="28"/>
    <x v="5"/>
    <x v="15"/>
    <x v="28"/>
    <x v="22"/>
    <x v="0"/>
    <x v="0"/>
    <x v="15"/>
    <x v="22"/>
    <x v="15"/>
    <x v="62"/>
    <x v="28"/>
    <x v="1"/>
    <x v="66"/>
    <x v="0"/>
    <x v="2"/>
  </r>
  <r>
    <x v="124"/>
    <x v="3"/>
    <x v="11"/>
    <x v="19"/>
    <x v="26"/>
    <x v="31"/>
    <x v="25"/>
    <x v="27"/>
    <x v="31"/>
    <x v="19"/>
    <x v="45"/>
    <x v="0"/>
    <x v="19"/>
    <x v="26"/>
    <x v="19"/>
    <x v="45"/>
    <x v="51"/>
    <x v="0"/>
    <x v="35"/>
    <x v="3"/>
    <x v="0"/>
  </r>
  <r>
    <x v="124"/>
    <x v="3"/>
    <x v="11"/>
    <x v="24"/>
    <x v="33"/>
    <x v="11"/>
    <x v="22"/>
    <x v="32"/>
    <x v="29"/>
    <x v="26"/>
    <x v="30"/>
    <x v="0"/>
    <x v="24"/>
    <x v="31"/>
    <x v="32"/>
    <x v="28"/>
    <x v="28"/>
    <x v="0"/>
    <x v="52"/>
    <x v="0"/>
    <x v="2"/>
  </r>
  <r>
    <x v="124"/>
    <x v="3"/>
    <x v="11"/>
    <x v="27"/>
    <x v="8"/>
    <x v="27"/>
    <x v="19"/>
    <x v="8"/>
    <x v="34"/>
    <x v="30"/>
    <x v="32"/>
    <x v="0"/>
    <x v="16"/>
    <x v="8"/>
    <x v="16"/>
    <x v="47"/>
    <x v="41"/>
    <x v="0"/>
    <x v="33"/>
    <x v="3"/>
    <x v="0"/>
  </r>
  <r>
    <x v="124"/>
    <x v="3"/>
    <x v="11"/>
    <x v="31"/>
    <x v="0"/>
    <x v="7"/>
    <x v="11"/>
    <x v="30"/>
    <x v="32"/>
    <x v="14"/>
    <x v="34"/>
    <x v="0"/>
    <x v="29"/>
    <x v="0"/>
    <x v="0"/>
    <x v="35"/>
    <x v="13"/>
    <x v="1"/>
    <x v="39"/>
    <x v="3"/>
    <x v="2"/>
  </r>
  <r>
    <x v="124"/>
    <x v="3"/>
    <x v="11"/>
    <x v="32"/>
    <x v="23"/>
    <x v="35"/>
    <x v="11"/>
    <x v="31"/>
    <x v="30"/>
    <x v="15"/>
    <x v="28"/>
    <x v="0"/>
    <x v="30"/>
    <x v="23"/>
    <x v="30"/>
    <x v="63"/>
    <x v="41"/>
    <x v="1"/>
    <x v="67"/>
    <x v="0"/>
    <x v="0"/>
  </r>
  <r>
    <x v="128"/>
    <x v="3"/>
    <x v="11"/>
    <x v="21"/>
    <x v="18"/>
    <x v="35"/>
    <x v="15"/>
    <x v="21"/>
    <x v="22"/>
    <x v="32"/>
    <x v="20"/>
    <x v="0"/>
    <x v="21"/>
    <x v="18"/>
    <x v="21"/>
    <x v="59"/>
    <x v="45"/>
    <x v="1"/>
    <x v="63"/>
    <x v="0"/>
    <x v="0"/>
  </r>
  <r>
    <x v="138"/>
    <x v="3"/>
    <x v="12"/>
    <x v="7"/>
    <x v="3"/>
    <x v="34"/>
    <x v="22"/>
    <x v="7"/>
    <x v="29"/>
    <x v="16"/>
    <x v="10"/>
    <x v="0"/>
    <x v="7"/>
    <x v="3"/>
    <x v="7"/>
    <x v="51"/>
    <x v="51"/>
    <x v="1"/>
    <x v="55"/>
    <x v="0"/>
    <x v="0"/>
  </r>
  <r>
    <x v="146"/>
    <x v="3"/>
    <x v="12"/>
    <x v="0"/>
    <x v="4"/>
    <x v="19"/>
    <x v="4"/>
    <x v="4"/>
    <x v="31"/>
    <x v="19"/>
    <x v="44"/>
    <x v="0"/>
    <x v="0"/>
    <x v="4"/>
    <x v="0"/>
    <x v="54"/>
    <x v="18"/>
    <x v="0"/>
    <x v="26"/>
    <x v="3"/>
    <x v="2"/>
  </r>
  <r>
    <x v="146"/>
    <x v="3"/>
    <x v="12"/>
    <x v="5"/>
    <x v="21"/>
    <x v="15"/>
    <x v="24"/>
    <x v="21"/>
    <x v="34"/>
    <x v="37"/>
    <x v="37"/>
    <x v="0"/>
    <x v="5"/>
    <x v="21"/>
    <x v="21"/>
    <x v="30"/>
    <x v="34"/>
    <x v="0"/>
    <x v="50"/>
    <x v="0"/>
    <x v="2"/>
  </r>
  <r>
    <x v="146"/>
    <x v="3"/>
    <x v="12"/>
    <x v="6"/>
    <x v="20"/>
    <x v="10"/>
    <x v="4"/>
    <x v="20"/>
    <x v="35"/>
    <x v="25"/>
    <x v="31"/>
    <x v="0"/>
    <x v="6"/>
    <x v="20"/>
    <x v="6"/>
    <x v="45"/>
    <x v="9"/>
    <x v="0"/>
    <x v="35"/>
    <x v="3"/>
    <x v="2"/>
  </r>
  <r>
    <x v="146"/>
    <x v="3"/>
    <x v="12"/>
    <x v="8"/>
    <x v="9"/>
    <x v="45"/>
    <x v="48"/>
    <x v="9"/>
    <x v="19"/>
    <x v="49"/>
    <x v="5"/>
    <x v="0"/>
    <x v="8"/>
    <x v="9"/>
    <x v="9"/>
    <x v="35"/>
    <x v="80"/>
    <x v="0"/>
    <x v="45"/>
    <x v="3"/>
    <x v="0"/>
  </r>
  <r>
    <x v="146"/>
    <x v="3"/>
    <x v="12"/>
    <x v="11"/>
    <x v="10"/>
    <x v="19"/>
    <x v="7"/>
    <x v="11"/>
    <x v="18"/>
    <x v="44"/>
    <x v="16"/>
    <x v="0"/>
    <x v="11"/>
    <x v="10"/>
    <x v="11"/>
    <x v="51"/>
    <x v="21"/>
    <x v="1"/>
    <x v="55"/>
    <x v="0"/>
    <x v="2"/>
  </r>
  <r>
    <x v="146"/>
    <x v="3"/>
    <x v="12"/>
    <x v="13"/>
    <x v="29"/>
    <x v="31"/>
    <x v="26"/>
    <x v="28"/>
    <x v="31"/>
    <x v="22"/>
    <x v="22"/>
    <x v="0"/>
    <x v="13"/>
    <x v="27"/>
    <x v="13"/>
    <x v="44"/>
    <x v="52"/>
    <x v="0"/>
    <x v="36"/>
    <x v="3"/>
    <x v="0"/>
  </r>
  <r>
    <x v="146"/>
    <x v="3"/>
    <x v="12"/>
    <x v="18"/>
    <x v="2"/>
    <x v="20"/>
    <x v="24"/>
    <x v="18"/>
    <x v="32"/>
    <x v="20"/>
    <x v="40"/>
    <x v="0"/>
    <x v="18"/>
    <x v="2"/>
    <x v="2"/>
    <x v="35"/>
    <x v="39"/>
    <x v="1"/>
    <x v="39"/>
    <x v="3"/>
    <x v="0"/>
  </r>
  <r>
    <x v="146"/>
    <x v="3"/>
    <x v="12"/>
    <x v="22"/>
    <x v="25"/>
    <x v="18"/>
    <x v="34"/>
    <x v="22"/>
    <x v="34"/>
    <x v="42"/>
    <x v="26"/>
    <x v="0"/>
    <x v="22"/>
    <x v="25"/>
    <x v="25"/>
    <x v="23"/>
    <x v="47"/>
    <x v="1"/>
    <x v="27"/>
    <x v="3"/>
    <x v="0"/>
  </r>
  <r>
    <x v="146"/>
    <x v="3"/>
    <x v="12"/>
    <x v="24"/>
    <x v="27"/>
    <x v="24"/>
    <x v="15"/>
    <x v="16"/>
    <x v="27"/>
    <x v="28"/>
    <x v="30"/>
    <x v="0"/>
    <x v="24"/>
    <x v="16"/>
    <x v="24"/>
    <x v="48"/>
    <x v="34"/>
    <x v="0"/>
    <x v="32"/>
    <x v="3"/>
    <x v="2"/>
  </r>
  <r>
    <x v="146"/>
    <x v="3"/>
    <x v="12"/>
    <x v="28"/>
    <x v="12"/>
    <x v="31"/>
    <x v="2"/>
    <x v="29"/>
    <x v="28"/>
    <x v="22"/>
    <x v="3"/>
    <x v="0"/>
    <x v="28"/>
    <x v="12"/>
    <x v="28"/>
    <x v="69"/>
    <x v="27"/>
    <x v="1"/>
    <x v="73"/>
    <x v="0"/>
    <x v="2"/>
  </r>
  <r>
    <x v="146"/>
    <x v="3"/>
    <x v="12"/>
    <x v="30"/>
    <x v="14"/>
    <x v="31"/>
    <x v="18"/>
    <x v="17"/>
    <x v="15"/>
    <x v="16"/>
    <x v="6"/>
    <x v="0"/>
    <x v="17"/>
    <x v="14"/>
    <x v="17"/>
    <x v="52"/>
    <x v="44"/>
    <x v="1"/>
    <x v="56"/>
    <x v="0"/>
    <x v="0"/>
  </r>
  <r>
    <x v="146"/>
    <x v="3"/>
    <x v="12"/>
    <x v="32"/>
    <x v="15"/>
    <x v="14"/>
    <x v="24"/>
    <x v="15"/>
    <x v="31"/>
    <x v="11"/>
    <x v="28"/>
    <x v="0"/>
    <x v="30"/>
    <x v="15"/>
    <x v="15"/>
    <x v="29"/>
    <x v="33"/>
    <x v="0"/>
    <x v="51"/>
    <x v="0"/>
    <x v="0"/>
  </r>
  <r>
    <x v="150"/>
    <x v="3"/>
    <x v="12"/>
    <x v="1"/>
    <x v="23"/>
    <x v="25"/>
    <x v="28"/>
    <x v="1"/>
    <x v="16"/>
    <x v="24"/>
    <x v="12"/>
    <x v="0"/>
    <x v="1"/>
    <x v="23"/>
    <x v="23"/>
    <x v="36"/>
    <x v="48"/>
    <x v="1"/>
    <x v="40"/>
    <x v="3"/>
    <x v="0"/>
  </r>
  <r>
    <x v="160"/>
    <x v="3"/>
    <x v="13"/>
    <x v="5"/>
    <x v="22"/>
    <x v="24"/>
    <x v="19"/>
    <x v="5"/>
    <x v="20"/>
    <x v="30"/>
    <x v="37"/>
    <x v="0"/>
    <x v="5"/>
    <x v="22"/>
    <x v="5"/>
    <x v="44"/>
    <x v="38"/>
    <x v="1"/>
    <x v="48"/>
    <x v="3"/>
    <x v="1"/>
  </r>
  <r>
    <x v="168"/>
    <x v="3"/>
    <x v="13"/>
    <x v="2"/>
    <x v="11"/>
    <x v="14"/>
    <x v="17"/>
    <x v="11"/>
    <x v="33"/>
    <x v="30"/>
    <x v="23"/>
    <x v="0"/>
    <x v="2"/>
    <x v="11"/>
    <x v="11"/>
    <x v="36"/>
    <x v="26"/>
    <x v="0"/>
    <x v="44"/>
    <x v="2"/>
    <x v="2"/>
  </r>
  <r>
    <x v="168"/>
    <x v="3"/>
    <x v="13"/>
    <x v="3"/>
    <x v="6"/>
    <x v="21"/>
    <x v="25"/>
    <x v="6"/>
    <x v="25"/>
    <x v="16"/>
    <x v="33"/>
    <x v="0"/>
    <x v="3"/>
    <x v="6"/>
    <x v="6"/>
    <x v="35"/>
    <x v="41"/>
    <x v="0"/>
    <x v="45"/>
    <x v="3"/>
    <x v="0"/>
  </r>
  <r>
    <x v="168"/>
    <x v="3"/>
    <x v="13"/>
    <x v="7"/>
    <x v="10"/>
    <x v="14"/>
    <x v="29"/>
    <x v="10"/>
    <x v="32"/>
    <x v="21"/>
    <x v="10"/>
    <x v="0"/>
    <x v="7"/>
    <x v="10"/>
    <x v="10"/>
    <x v="24"/>
    <x v="38"/>
    <x v="0"/>
    <x v="56"/>
    <x v="0"/>
    <x v="0"/>
  </r>
  <r>
    <x v="168"/>
    <x v="3"/>
    <x v="13"/>
    <x v="8"/>
    <x v="33"/>
    <x v="28"/>
    <x v="14"/>
    <x v="8"/>
    <x v="26"/>
    <x v="37"/>
    <x v="5"/>
    <x v="0"/>
    <x v="8"/>
    <x v="31"/>
    <x v="8"/>
    <x v="53"/>
    <x v="37"/>
    <x v="1"/>
    <x v="57"/>
    <x v="0"/>
    <x v="2"/>
  </r>
  <r>
    <x v="168"/>
    <x v="3"/>
    <x v="13"/>
    <x v="9"/>
    <x v="14"/>
    <x v="32"/>
    <x v="17"/>
    <x v="9"/>
    <x v="0"/>
    <x v="38"/>
    <x v="38"/>
    <x v="0"/>
    <x v="9"/>
    <x v="14"/>
    <x v="9"/>
    <x v="54"/>
    <x v="44"/>
    <x v="1"/>
    <x v="58"/>
    <x v="3"/>
    <x v="0"/>
  </r>
  <r>
    <x v="168"/>
    <x v="3"/>
    <x v="13"/>
    <x v="12"/>
    <x v="30"/>
    <x v="10"/>
    <x v="36"/>
    <x v="12"/>
    <x v="19"/>
    <x v="19"/>
    <x v="35"/>
    <x v="0"/>
    <x v="12"/>
    <x v="17"/>
    <x v="17"/>
    <x v="13"/>
    <x v="41"/>
    <x v="1"/>
    <x v="17"/>
    <x v="3"/>
    <x v="0"/>
  </r>
  <r>
    <x v="168"/>
    <x v="3"/>
    <x v="13"/>
    <x v="15"/>
    <x v="24"/>
    <x v="21"/>
    <x v="5"/>
    <x v="15"/>
    <x v="22"/>
    <x v="17"/>
    <x v="0"/>
    <x v="0"/>
    <x v="15"/>
    <x v="24"/>
    <x v="15"/>
    <x v="55"/>
    <x v="21"/>
    <x v="1"/>
    <x v="59"/>
    <x v="0"/>
    <x v="2"/>
  </r>
  <r>
    <x v="168"/>
    <x v="3"/>
    <x v="13"/>
    <x v="19"/>
    <x v="4"/>
    <x v="7"/>
    <x v="33"/>
    <x v="19"/>
    <x v="32"/>
    <x v="23"/>
    <x v="24"/>
    <x v="0"/>
    <x v="19"/>
    <x v="4"/>
    <x v="4"/>
    <x v="13"/>
    <x v="35"/>
    <x v="1"/>
    <x v="17"/>
    <x v="3"/>
    <x v="0"/>
  </r>
  <r>
    <x v="168"/>
    <x v="3"/>
    <x v="13"/>
    <x v="20"/>
    <x v="21"/>
    <x v="27"/>
    <x v="25"/>
    <x v="20"/>
    <x v="32"/>
    <x v="34"/>
    <x v="13"/>
    <x v="0"/>
    <x v="20"/>
    <x v="21"/>
    <x v="20"/>
    <x v="41"/>
    <x v="47"/>
    <x v="1"/>
    <x v="45"/>
    <x v="0"/>
    <x v="0"/>
  </r>
  <r>
    <x v="168"/>
    <x v="3"/>
    <x v="13"/>
    <x v="23"/>
    <x v="26"/>
    <x v="3"/>
    <x v="17"/>
    <x v="27"/>
    <x v="34"/>
    <x v="16"/>
    <x v="26"/>
    <x v="0"/>
    <x v="23"/>
    <x v="26"/>
    <x v="26"/>
    <x v="25"/>
    <x v="15"/>
    <x v="0"/>
    <x v="55"/>
    <x v="0"/>
    <x v="2"/>
  </r>
  <r>
    <x v="168"/>
    <x v="3"/>
    <x v="13"/>
    <x v="28"/>
    <x v="0"/>
    <x v="29"/>
    <x v="18"/>
    <x v="29"/>
    <x v="16"/>
    <x v="16"/>
    <x v="3"/>
    <x v="0"/>
    <x v="28"/>
    <x v="0"/>
    <x v="28"/>
    <x v="50"/>
    <x v="42"/>
    <x v="1"/>
    <x v="54"/>
    <x v="0"/>
    <x v="0"/>
  </r>
  <r>
    <x v="168"/>
    <x v="3"/>
    <x v="13"/>
    <x v="29"/>
    <x v="32"/>
    <x v="17"/>
    <x v="11"/>
    <x v="28"/>
    <x v="14"/>
    <x v="17"/>
    <x v="4"/>
    <x v="0"/>
    <x v="27"/>
    <x v="30"/>
    <x v="27"/>
    <x v="45"/>
    <x v="23"/>
    <x v="1"/>
    <x v="49"/>
    <x v="3"/>
    <x v="2"/>
  </r>
  <r>
    <x v="168"/>
    <x v="3"/>
    <x v="13"/>
    <x v="31"/>
    <x v="25"/>
    <x v="17"/>
    <x v="29"/>
    <x v="25"/>
    <x v="31"/>
    <x v="22"/>
    <x v="34"/>
    <x v="0"/>
    <x v="29"/>
    <x v="25"/>
    <x v="25"/>
    <x v="27"/>
    <x v="41"/>
    <x v="0"/>
    <x v="53"/>
    <x v="0"/>
    <x v="0"/>
  </r>
  <r>
    <x v="172"/>
    <x v="3"/>
    <x v="13"/>
    <x v="27"/>
    <x v="13"/>
    <x v="16"/>
    <x v="7"/>
    <x v="26"/>
    <x v="36"/>
    <x v="35"/>
    <x v="32"/>
    <x v="0"/>
    <x v="16"/>
    <x v="13"/>
    <x v="16"/>
    <x v="48"/>
    <x v="18"/>
    <x v="2"/>
    <x v="88"/>
    <x v="1"/>
    <x v="2"/>
  </r>
  <r>
    <x v="182"/>
    <x v="3"/>
    <x v="14"/>
    <x v="0"/>
    <x v="29"/>
    <x v="19"/>
    <x v="32"/>
    <x v="28"/>
    <x v="28"/>
    <x v="17"/>
    <x v="44"/>
    <x v="0"/>
    <x v="0"/>
    <x v="27"/>
    <x v="27"/>
    <x v="26"/>
    <x v="46"/>
    <x v="0"/>
    <x v="54"/>
    <x v="0"/>
    <x v="0"/>
  </r>
  <r>
    <x v="190"/>
    <x v="3"/>
    <x v="14"/>
    <x v="1"/>
    <x v="31"/>
    <x v="28"/>
    <x v="21"/>
    <x v="1"/>
    <x v="24"/>
    <x v="20"/>
    <x v="12"/>
    <x v="0"/>
    <x v="1"/>
    <x v="29"/>
    <x v="1"/>
    <x v="46"/>
    <x v="44"/>
    <x v="1"/>
    <x v="50"/>
    <x v="0"/>
    <x v="0"/>
  </r>
  <r>
    <x v="190"/>
    <x v="3"/>
    <x v="14"/>
    <x v="4"/>
    <x v="30"/>
    <x v="27"/>
    <x v="13"/>
    <x v="4"/>
    <x v="23"/>
    <x v="18"/>
    <x v="2"/>
    <x v="0"/>
    <x v="4"/>
    <x v="17"/>
    <x v="4"/>
    <x v="53"/>
    <x v="35"/>
    <x v="1"/>
    <x v="57"/>
    <x v="0"/>
    <x v="0"/>
  </r>
  <r>
    <x v="190"/>
    <x v="3"/>
    <x v="14"/>
    <x v="10"/>
    <x v="6"/>
    <x v="21"/>
    <x v="25"/>
    <x v="10"/>
    <x v="34"/>
    <x v="26"/>
    <x v="11"/>
    <x v="0"/>
    <x v="10"/>
    <x v="6"/>
    <x v="6"/>
    <x v="35"/>
    <x v="41"/>
    <x v="1"/>
    <x v="39"/>
    <x v="3"/>
    <x v="0"/>
  </r>
  <r>
    <x v="190"/>
    <x v="3"/>
    <x v="14"/>
    <x v="11"/>
    <x v="7"/>
    <x v="28"/>
    <x v="11"/>
    <x v="11"/>
    <x v="18"/>
    <x v="24"/>
    <x v="16"/>
    <x v="0"/>
    <x v="11"/>
    <x v="7"/>
    <x v="11"/>
    <x v="56"/>
    <x v="34"/>
    <x v="1"/>
    <x v="60"/>
    <x v="0"/>
    <x v="2"/>
  </r>
  <r>
    <x v="190"/>
    <x v="3"/>
    <x v="14"/>
    <x v="13"/>
    <x v="9"/>
    <x v="36"/>
    <x v="31"/>
    <x v="9"/>
    <x v="25"/>
    <x v="45"/>
    <x v="22"/>
    <x v="0"/>
    <x v="13"/>
    <x v="9"/>
    <x v="13"/>
    <x v="44"/>
    <x v="62"/>
    <x v="0"/>
    <x v="36"/>
    <x v="3"/>
    <x v="0"/>
  </r>
  <r>
    <x v="190"/>
    <x v="3"/>
    <x v="14"/>
    <x v="14"/>
    <x v="27"/>
    <x v="3"/>
    <x v="22"/>
    <x v="16"/>
    <x v="23"/>
    <x v="23"/>
    <x v="8"/>
    <x v="0"/>
    <x v="14"/>
    <x v="16"/>
    <x v="16"/>
    <x v="20"/>
    <x v="20"/>
    <x v="0"/>
    <x v="60"/>
    <x v="0"/>
    <x v="2"/>
  </r>
  <r>
    <x v="190"/>
    <x v="3"/>
    <x v="14"/>
    <x v="15"/>
    <x v="12"/>
    <x v="14"/>
    <x v="14"/>
    <x v="15"/>
    <x v="25"/>
    <x v="12"/>
    <x v="0"/>
    <x v="0"/>
    <x v="15"/>
    <x v="12"/>
    <x v="15"/>
    <x v="39"/>
    <x v="23"/>
    <x v="1"/>
    <x v="43"/>
    <x v="3"/>
    <x v="2"/>
  </r>
  <r>
    <x v="190"/>
    <x v="3"/>
    <x v="14"/>
    <x v="18"/>
    <x v="3"/>
    <x v="18"/>
    <x v="21"/>
    <x v="18"/>
    <x v="24"/>
    <x v="23"/>
    <x v="40"/>
    <x v="0"/>
    <x v="18"/>
    <x v="3"/>
    <x v="3"/>
    <x v="36"/>
    <x v="34"/>
    <x v="1"/>
    <x v="40"/>
    <x v="3"/>
    <x v="2"/>
  </r>
  <r>
    <x v="190"/>
    <x v="3"/>
    <x v="14"/>
    <x v="23"/>
    <x v="20"/>
    <x v="27"/>
    <x v="25"/>
    <x v="20"/>
    <x v="31"/>
    <x v="20"/>
    <x v="26"/>
    <x v="0"/>
    <x v="23"/>
    <x v="20"/>
    <x v="23"/>
    <x v="41"/>
    <x v="47"/>
    <x v="0"/>
    <x v="39"/>
    <x v="3"/>
    <x v="0"/>
  </r>
  <r>
    <x v="190"/>
    <x v="3"/>
    <x v="14"/>
    <x v="25"/>
    <x v="8"/>
    <x v="2"/>
    <x v="15"/>
    <x v="25"/>
    <x v="32"/>
    <x v="44"/>
    <x v="18"/>
    <x v="0"/>
    <x v="25"/>
    <x v="8"/>
    <x v="8"/>
    <x v="24"/>
    <x v="10"/>
    <x v="1"/>
    <x v="28"/>
    <x v="3"/>
    <x v="2"/>
  </r>
  <r>
    <x v="190"/>
    <x v="3"/>
    <x v="14"/>
    <x v="26"/>
    <x v="2"/>
    <x v="16"/>
    <x v="14"/>
    <x v="27"/>
    <x v="32"/>
    <x v="16"/>
    <x v="15"/>
    <x v="0"/>
    <x v="26"/>
    <x v="2"/>
    <x v="26"/>
    <x v="41"/>
    <x v="25"/>
    <x v="1"/>
    <x v="45"/>
    <x v="0"/>
    <x v="2"/>
  </r>
  <r>
    <x v="190"/>
    <x v="3"/>
    <x v="14"/>
    <x v="32"/>
    <x v="28"/>
    <x v="14"/>
    <x v="29"/>
    <x v="29"/>
    <x v="31"/>
    <x v="15"/>
    <x v="28"/>
    <x v="0"/>
    <x v="30"/>
    <x v="28"/>
    <x v="28"/>
    <x v="24"/>
    <x v="38"/>
    <x v="0"/>
    <x v="56"/>
    <x v="0"/>
    <x v="0"/>
  </r>
  <r>
    <x v="190"/>
    <x v="3"/>
    <x v="14"/>
    <x v="33"/>
    <x v="5"/>
    <x v="42"/>
    <x v="39"/>
    <x v="5"/>
    <x v="35"/>
    <x v="30"/>
    <x v="9"/>
    <x v="0"/>
    <x v="31"/>
    <x v="5"/>
    <x v="32"/>
    <x v="42"/>
    <x v="76"/>
    <x v="0"/>
    <x v="38"/>
    <x v="3"/>
    <x v="0"/>
  </r>
  <r>
    <x v="194"/>
    <x v="3"/>
    <x v="14"/>
    <x v="22"/>
    <x v="19"/>
    <x v="20"/>
    <x v="5"/>
    <x v="22"/>
    <x v="30"/>
    <x v="28"/>
    <x v="26"/>
    <x v="0"/>
    <x v="22"/>
    <x v="19"/>
    <x v="22"/>
    <x v="54"/>
    <x v="20"/>
    <x v="1"/>
    <x v="58"/>
    <x v="0"/>
    <x v="2"/>
  </r>
  <r>
    <x v="204"/>
    <x v="3"/>
    <x v="15"/>
    <x v="31"/>
    <x v="4"/>
    <x v="10"/>
    <x v="29"/>
    <x v="4"/>
    <x v="24"/>
    <x v="11"/>
    <x v="34"/>
    <x v="0"/>
    <x v="29"/>
    <x v="4"/>
    <x v="4"/>
    <x v="20"/>
    <x v="34"/>
    <x v="0"/>
    <x v="60"/>
    <x v="0"/>
    <x v="0"/>
  </r>
  <r>
    <x v="212"/>
    <x v="3"/>
    <x v="15"/>
    <x v="0"/>
    <x v="1"/>
    <x v="24"/>
    <x v="11"/>
    <x v="0"/>
    <x v="31"/>
    <x v="27"/>
    <x v="44"/>
    <x v="0"/>
    <x v="0"/>
    <x v="1"/>
    <x v="0"/>
    <x v="52"/>
    <x v="30"/>
    <x v="1"/>
    <x v="56"/>
    <x v="0"/>
    <x v="2"/>
  </r>
  <r>
    <x v="212"/>
    <x v="3"/>
    <x v="15"/>
    <x v="6"/>
    <x v="23"/>
    <x v="46"/>
    <x v="7"/>
    <x v="6"/>
    <x v="28"/>
    <x v="17"/>
    <x v="31"/>
    <x v="0"/>
    <x v="6"/>
    <x v="23"/>
    <x v="6"/>
    <x v="76"/>
    <x v="48"/>
    <x v="1"/>
    <x v="80"/>
    <x v="0"/>
    <x v="0"/>
  </r>
  <r>
    <x v="212"/>
    <x v="3"/>
    <x v="15"/>
    <x v="9"/>
    <x v="33"/>
    <x v="42"/>
    <x v="19"/>
    <x v="9"/>
    <x v="15"/>
    <x v="50"/>
    <x v="38"/>
    <x v="0"/>
    <x v="9"/>
    <x v="31"/>
    <x v="9"/>
    <x v="62"/>
    <x v="56"/>
    <x v="1"/>
    <x v="66"/>
    <x v="0"/>
    <x v="0"/>
  </r>
  <r>
    <x v="212"/>
    <x v="3"/>
    <x v="15"/>
    <x v="10"/>
    <x v="8"/>
    <x v="28"/>
    <x v="28"/>
    <x v="10"/>
    <x v="31"/>
    <x v="35"/>
    <x v="11"/>
    <x v="0"/>
    <x v="10"/>
    <x v="8"/>
    <x v="10"/>
    <x v="39"/>
    <x v="51"/>
    <x v="1"/>
    <x v="43"/>
    <x v="3"/>
    <x v="0"/>
  </r>
  <r>
    <x v="212"/>
    <x v="3"/>
    <x v="15"/>
    <x v="14"/>
    <x v="28"/>
    <x v="7"/>
    <x v="40"/>
    <x v="29"/>
    <x v="8"/>
    <x v="14"/>
    <x v="45"/>
    <x v="0"/>
    <x v="14"/>
    <x v="28"/>
    <x v="28"/>
    <x v="6"/>
    <x v="42"/>
    <x v="0"/>
    <x v="74"/>
    <x v="0"/>
    <x v="0"/>
  </r>
  <r>
    <x v="212"/>
    <x v="3"/>
    <x v="15"/>
    <x v="15"/>
    <x v="7"/>
    <x v="20"/>
    <x v="15"/>
    <x v="15"/>
    <x v="23"/>
    <x v="12"/>
    <x v="0"/>
    <x v="0"/>
    <x v="15"/>
    <x v="7"/>
    <x v="15"/>
    <x v="44"/>
    <x v="30"/>
    <x v="1"/>
    <x v="48"/>
    <x v="3"/>
    <x v="0"/>
  </r>
  <r>
    <x v="212"/>
    <x v="3"/>
    <x v="15"/>
    <x v="19"/>
    <x v="11"/>
    <x v="28"/>
    <x v="42"/>
    <x v="11"/>
    <x v="22"/>
    <x v="28"/>
    <x v="24"/>
    <x v="0"/>
    <x v="19"/>
    <x v="11"/>
    <x v="11"/>
    <x v="25"/>
    <x v="65"/>
    <x v="0"/>
    <x v="55"/>
    <x v="0"/>
    <x v="0"/>
  </r>
  <r>
    <x v="212"/>
    <x v="3"/>
    <x v="15"/>
    <x v="20"/>
    <x v="18"/>
    <x v="24"/>
    <x v="15"/>
    <x v="20"/>
    <x v="26"/>
    <x v="24"/>
    <x v="13"/>
    <x v="0"/>
    <x v="20"/>
    <x v="18"/>
    <x v="20"/>
    <x v="48"/>
    <x v="34"/>
    <x v="1"/>
    <x v="52"/>
    <x v="0"/>
    <x v="2"/>
  </r>
  <r>
    <x v="212"/>
    <x v="3"/>
    <x v="15"/>
    <x v="21"/>
    <x v="3"/>
    <x v="32"/>
    <x v="15"/>
    <x v="21"/>
    <x v="16"/>
    <x v="30"/>
    <x v="20"/>
    <x v="0"/>
    <x v="21"/>
    <x v="3"/>
    <x v="21"/>
    <x v="56"/>
    <x v="42"/>
    <x v="1"/>
    <x v="60"/>
    <x v="0"/>
    <x v="0"/>
  </r>
  <r>
    <x v="212"/>
    <x v="3"/>
    <x v="15"/>
    <x v="24"/>
    <x v="26"/>
    <x v="18"/>
    <x v="16"/>
    <x v="27"/>
    <x v="32"/>
    <x v="15"/>
    <x v="30"/>
    <x v="0"/>
    <x v="24"/>
    <x v="26"/>
    <x v="24"/>
    <x v="41"/>
    <x v="29"/>
    <x v="0"/>
    <x v="39"/>
    <x v="3"/>
    <x v="2"/>
  </r>
  <r>
    <x v="212"/>
    <x v="3"/>
    <x v="15"/>
    <x v="25"/>
    <x v="22"/>
    <x v="4"/>
    <x v="13"/>
    <x v="25"/>
    <x v="26"/>
    <x v="33"/>
    <x v="18"/>
    <x v="0"/>
    <x v="25"/>
    <x v="22"/>
    <x v="22"/>
    <x v="30"/>
    <x v="12"/>
    <x v="1"/>
    <x v="34"/>
    <x v="3"/>
    <x v="2"/>
  </r>
  <r>
    <x v="216"/>
    <x v="3"/>
    <x v="15"/>
    <x v="30"/>
    <x v="29"/>
    <x v="6"/>
    <x v="12"/>
    <x v="28"/>
    <x v="11"/>
    <x v="21"/>
    <x v="6"/>
    <x v="0"/>
    <x v="17"/>
    <x v="27"/>
    <x v="27"/>
    <x v="33"/>
    <x v="13"/>
    <x v="0"/>
    <x v="47"/>
    <x v="3"/>
    <x v="2"/>
  </r>
  <r>
    <x v="226"/>
    <x v="3"/>
    <x v="16"/>
    <x v="18"/>
    <x v="6"/>
    <x v="19"/>
    <x v="18"/>
    <x v="6"/>
    <x v="31"/>
    <x v="18"/>
    <x v="40"/>
    <x v="0"/>
    <x v="18"/>
    <x v="6"/>
    <x v="18"/>
    <x v="40"/>
    <x v="32"/>
    <x v="0"/>
    <x v="40"/>
    <x v="3"/>
    <x v="1"/>
  </r>
  <r>
    <x v="234"/>
    <x v="3"/>
    <x v="16"/>
    <x v="3"/>
    <x v="15"/>
    <x v="10"/>
    <x v="21"/>
    <x v="15"/>
    <x v="28"/>
    <x v="16"/>
    <x v="33"/>
    <x v="0"/>
    <x v="3"/>
    <x v="15"/>
    <x v="15"/>
    <x v="28"/>
    <x v="26"/>
    <x v="0"/>
    <x v="52"/>
    <x v="0"/>
    <x v="2"/>
  </r>
  <r>
    <x v="234"/>
    <x v="3"/>
    <x v="16"/>
    <x v="4"/>
    <x v="1"/>
    <x v="31"/>
    <x v="8"/>
    <x v="4"/>
    <x v="21"/>
    <x v="28"/>
    <x v="2"/>
    <x v="0"/>
    <x v="4"/>
    <x v="1"/>
    <x v="4"/>
    <x v="62"/>
    <x v="34"/>
    <x v="1"/>
    <x v="66"/>
    <x v="0"/>
    <x v="2"/>
  </r>
  <r>
    <x v="234"/>
    <x v="3"/>
    <x v="16"/>
    <x v="7"/>
    <x v="2"/>
    <x v="21"/>
    <x v="16"/>
    <x v="2"/>
    <x v="35"/>
    <x v="18"/>
    <x v="10"/>
    <x v="0"/>
    <x v="7"/>
    <x v="2"/>
    <x v="7"/>
    <x v="44"/>
    <x v="32"/>
    <x v="0"/>
    <x v="36"/>
    <x v="3"/>
    <x v="1"/>
  </r>
  <r>
    <x v="234"/>
    <x v="3"/>
    <x v="16"/>
    <x v="8"/>
    <x v="19"/>
    <x v="24"/>
    <x v="21"/>
    <x v="8"/>
    <x v="20"/>
    <x v="35"/>
    <x v="5"/>
    <x v="0"/>
    <x v="8"/>
    <x v="19"/>
    <x v="8"/>
    <x v="42"/>
    <x v="40"/>
    <x v="1"/>
    <x v="46"/>
    <x v="3"/>
    <x v="2"/>
  </r>
  <r>
    <x v="234"/>
    <x v="3"/>
    <x v="16"/>
    <x v="12"/>
    <x v="13"/>
    <x v="21"/>
    <x v="25"/>
    <x v="13"/>
    <x v="35"/>
    <x v="22"/>
    <x v="35"/>
    <x v="0"/>
    <x v="12"/>
    <x v="13"/>
    <x v="13"/>
    <x v="35"/>
    <x v="41"/>
    <x v="0"/>
    <x v="45"/>
    <x v="0"/>
    <x v="0"/>
  </r>
  <r>
    <x v="234"/>
    <x v="3"/>
    <x v="16"/>
    <x v="20"/>
    <x v="26"/>
    <x v="51"/>
    <x v="29"/>
    <x v="20"/>
    <x v="26"/>
    <x v="20"/>
    <x v="13"/>
    <x v="0"/>
    <x v="20"/>
    <x v="26"/>
    <x v="20"/>
    <x v="62"/>
    <x v="76"/>
    <x v="1"/>
    <x v="66"/>
    <x v="0"/>
    <x v="0"/>
  </r>
  <r>
    <x v="234"/>
    <x v="3"/>
    <x v="16"/>
    <x v="23"/>
    <x v="21"/>
    <x v="23"/>
    <x v="18"/>
    <x v="21"/>
    <x v="26"/>
    <x v="26"/>
    <x v="26"/>
    <x v="0"/>
    <x v="23"/>
    <x v="21"/>
    <x v="23"/>
    <x v="44"/>
    <x v="36"/>
    <x v="0"/>
    <x v="36"/>
    <x v="3"/>
    <x v="1"/>
  </r>
  <r>
    <x v="234"/>
    <x v="3"/>
    <x v="16"/>
    <x v="24"/>
    <x v="25"/>
    <x v="17"/>
    <x v="46"/>
    <x v="24"/>
    <x v="35"/>
    <x v="25"/>
    <x v="30"/>
    <x v="0"/>
    <x v="24"/>
    <x v="25"/>
    <x v="25"/>
    <x v="9"/>
    <x v="59"/>
    <x v="1"/>
    <x v="13"/>
    <x v="3"/>
    <x v="0"/>
  </r>
  <r>
    <x v="234"/>
    <x v="3"/>
    <x v="16"/>
    <x v="29"/>
    <x v="31"/>
    <x v="24"/>
    <x v="22"/>
    <x v="28"/>
    <x v="8"/>
    <x v="15"/>
    <x v="4"/>
    <x v="0"/>
    <x v="27"/>
    <x v="29"/>
    <x v="27"/>
    <x v="41"/>
    <x v="41"/>
    <x v="1"/>
    <x v="45"/>
    <x v="3"/>
    <x v="0"/>
  </r>
  <r>
    <x v="234"/>
    <x v="3"/>
    <x v="16"/>
    <x v="30"/>
    <x v="32"/>
    <x v="18"/>
    <x v="26"/>
    <x v="31"/>
    <x v="31"/>
    <x v="15"/>
    <x v="6"/>
    <x v="0"/>
    <x v="17"/>
    <x v="30"/>
    <x v="30"/>
    <x v="31"/>
    <x v="39"/>
    <x v="0"/>
    <x v="49"/>
    <x v="0"/>
    <x v="0"/>
  </r>
  <r>
    <x v="234"/>
    <x v="3"/>
    <x v="16"/>
    <x v="33"/>
    <x v="27"/>
    <x v="27"/>
    <x v="22"/>
    <x v="26"/>
    <x v="36"/>
    <x v="31"/>
    <x v="9"/>
    <x v="0"/>
    <x v="31"/>
    <x v="16"/>
    <x v="32"/>
    <x v="44"/>
    <x v="44"/>
    <x v="2"/>
    <x v="88"/>
    <x v="1"/>
    <x v="0"/>
  </r>
  <r>
    <x v="238"/>
    <x v="3"/>
    <x v="16"/>
    <x v="11"/>
    <x v="5"/>
    <x v="17"/>
    <x v="25"/>
    <x v="11"/>
    <x v="18"/>
    <x v="35"/>
    <x v="16"/>
    <x v="0"/>
    <x v="11"/>
    <x v="5"/>
    <x v="5"/>
    <x v="31"/>
    <x v="37"/>
    <x v="1"/>
    <x v="35"/>
    <x v="3"/>
    <x v="2"/>
  </r>
  <r>
    <x v="248"/>
    <x v="3"/>
    <x v="1"/>
    <x v="19"/>
    <x v="33"/>
    <x v="31"/>
    <x v="25"/>
    <x v="32"/>
    <x v="35"/>
    <x v="30"/>
    <x v="24"/>
    <x v="0"/>
    <x v="19"/>
    <x v="31"/>
    <x v="19"/>
    <x v="45"/>
    <x v="51"/>
    <x v="0"/>
    <x v="35"/>
    <x v="3"/>
    <x v="0"/>
  </r>
  <r>
    <x v="257"/>
    <x v="3"/>
    <x v="1"/>
    <x v="0"/>
    <x v="12"/>
    <x v="24"/>
    <x v="22"/>
    <x v="0"/>
    <x v="30"/>
    <x v="18"/>
    <x v="44"/>
    <x v="0"/>
    <x v="0"/>
    <x v="12"/>
    <x v="0"/>
    <x v="41"/>
    <x v="41"/>
    <x v="1"/>
    <x v="45"/>
    <x v="3"/>
    <x v="0"/>
  </r>
  <r>
    <x v="257"/>
    <x v="3"/>
    <x v="1"/>
    <x v="1"/>
    <x v="29"/>
    <x v="7"/>
    <x v="31"/>
    <x v="28"/>
    <x v="31"/>
    <x v="28"/>
    <x v="12"/>
    <x v="0"/>
    <x v="1"/>
    <x v="27"/>
    <x v="27"/>
    <x v="15"/>
    <x v="33"/>
    <x v="0"/>
    <x v="65"/>
    <x v="0"/>
    <x v="2"/>
  </r>
  <r>
    <x v="257"/>
    <x v="3"/>
    <x v="1"/>
    <x v="2"/>
    <x v="6"/>
    <x v="17"/>
    <x v="15"/>
    <x v="2"/>
    <x v="33"/>
    <x v="21"/>
    <x v="23"/>
    <x v="0"/>
    <x v="2"/>
    <x v="6"/>
    <x v="2"/>
    <x v="41"/>
    <x v="27"/>
    <x v="1"/>
    <x v="45"/>
    <x v="0"/>
    <x v="2"/>
  </r>
  <r>
    <x v="257"/>
    <x v="3"/>
    <x v="1"/>
    <x v="5"/>
    <x v="10"/>
    <x v="16"/>
    <x v="19"/>
    <x v="10"/>
    <x v="34"/>
    <x v="38"/>
    <x v="37"/>
    <x v="0"/>
    <x v="5"/>
    <x v="10"/>
    <x v="10"/>
    <x v="36"/>
    <x v="30"/>
    <x v="0"/>
    <x v="44"/>
    <x v="0"/>
    <x v="2"/>
  </r>
  <r>
    <x v="257"/>
    <x v="3"/>
    <x v="1"/>
    <x v="11"/>
    <x v="25"/>
    <x v="10"/>
    <x v="25"/>
    <x v="25"/>
    <x v="35"/>
    <x v="28"/>
    <x v="16"/>
    <x v="0"/>
    <x v="11"/>
    <x v="25"/>
    <x v="25"/>
    <x v="24"/>
    <x v="30"/>
    <x v="0"/>
    <x v="56"/>
    <x v="0"/>
    <x v="2"/>
  </r>
  <r>
    <x v="257"/>
    <x v="3"/>
    <x v="1"/>
    <x v="13"/>
    <x v="30"/>
    <x v="5"/>
    <x v="36"/>
    <x v="13"/>
    <x v="23"/>
    <x v="20"/>
    <x v="22"/>
    <x v="0"/>
    <x v="13"/>
    <x v="17"/>
    <x v="17"/>
    <x v="8"/>
    <x v="36"/>
    <x v="1"/>
    <x v="12"/>
    <x v="3"/>
    <x v="0"/>
  </r>
  <r>
    <x v="257"/>
    <x v="3"/>
    <x v="1"/>
    <x v="21"/>
    <x v="8"/>
    <x v="46"/>
    <x v="15"/>
    <x v="21"/>
    <x v="26"/>
    <x v="41"/>
    <x v="20"/>
    <x v="0"/>
    <x v="21"/>
    <x v="8"/>
    <x v="21"/>
    <x v="70"/>
    <x v="56"/>
    <x v="1"/>
    <x v="74"/>
    <x v="0"/>
    <x v="0"/>
  </r>
  <r>
    <x v="257"/>
    <x v="3"/>
    <x v="1"/>
    <x v="22"/>
    <x v="24"/>
    <x v="21"/>
    <x v="18"/>
    <x v="22"/>
    <x v="23"/>
    <x v="16"/>
    <x v="26"/>
    <x v="0"/>
    <x v="22"/>
    <x v="24"/>
    <x v="22"/>
    <x v="42"/>
    <x v="34"/>
    <x v="1"/>
    <x v="46"/>
    <x v="3"/>
    <x v="0"/>
  </r>
  <r>
    <x v="257"/>
    <x v="3"/>
    <x v="1"/>
    <x v="26"/>
    <x v="3"/>
    <x v="20"/>
    <x v="8"/>
    <x v="27"/>
    <x v="32"/>
    <x v="20"/>
    <x v="15"/>
    <x v="0"/>
    <x v="26"/>
    <x v="3"/>
    <x v="26"/>
    <x v="51"/>
    <x v="23"/>
    <x v="1"/>
    <x v="55"/>
    <x v="0"/>
    <x v="2"/>
  </r>
  <r>
    <x v="257"/>
    <x v="3"/>
    <x v="1"/>
    <x v="27"/>
    <x v="9"/>
    <x v="17"/>
    <x v="26"/>
    <x v="9"/>
    <x v="23"/>
    <x v="48"/>
    <x v="32"/>
    <x v="0"/>
    <x v="16"/>
    <x v="9"/>
    <x v="9"/>
    <x v="30"/>
    <x v="38"/>
    <x v="0"/>
    <x v="50"/>
    <x v="0"/>
    <x v="2"/>
  </r>
  <r>
    <x v="257"/>
    <x v="3"/>
    <x v="1"/>
    <x v="28"/>
    <x v="4"/>
    <x v="6"/>
    <x v="8"/>
    <x v="29"/>
    <x v="26"/>
    <x v="19"/>
    <x v="3"/>
    <x v="0"/>
    <x v="28"/>
    <x v="4"/>
    <x v="4"/>
    <x v="37"/>
    <x v="9"/>
    <x v="1"/>
    <x v="41"/>
    <x v="3"/>
    <x v="2"/>
  </r>
  <r>
    <x v="257"/>
    <x v="3"/>
    <x v="1"/>
    <x v="32"/>
    <x v="14"/>
    <x v="24"/>
    <x v="27"/>
    <x v="31"/>
    <x v="14"/>
    <x v="18"/>
    <x v="28"/>
    <x v="0"/>
    <x v="30"/>
    <x v="14"/>
    <x v="14"/>
    <x v="36"/>
    <x v="46"/>
    <x v="1"/>
    <x v="40"/>
    <x v="3"/>
    <x v="0"/>
  </r>
  <r>
    <x v="262"/>
    <x v="3"/>
    <x v="1"/>
    <x v="31"/>
    <x v="18"/>
    <x v="19"/>
    <x v="17"/>
    <x v="18"/>
    <x v="32"/>
    <x v="13"/>
    <x v="34"/>
    <x v="0"/>
    <x v="29"/>
    <x v="18"/>
    <x v="29"/>
    <x v="41"/>
    <x v="31"/>
    <x v="0"/>
    <x v="39"/>
    <x v="3"/>
    <x v="0"/>
  </r>
  <r>
    <x v="272"/>
    <x v="3"/>
    <x v="2"/>
    <x v="32"/>
    <x v="13"/>
    <x v="24"/>
    <x v="28"/>
    <x v="13"/>
    <x v="31"/>
    <x v="18"/>
    <x v="28"/>
    <x v="0"/>
    <x v="30"/>
    <x v="13"/>
    <x v="13"/>
    <x v="35"/>
    <x v="47"/>
    <x v="0"/>
    <x v="45"/>
    <x v="2"/>
    <x v="0"/>
  </r>
  <r>
    <x v="281"/>
    <x v="3"/>
    <x v="2"/>
    <x v="3"/>
    <x v="23"/>
    <x v="34"/>
    <x v="12"/>
    <x v="23"/>
    <x v="33"/>
    <x v="13"/>
    <x v="33"/>
    <x v="0"/>
    <x v="3"/>
    <x v="23"/>
    <x v="3"/>
    <x v="61"/>
    <x v="41"/>
    <x v="0"/>
    <x v="19"/>
    <x v="3"/>
    <x v="0"/>
  </r>
  <r>
    <x v="281"/>
    <x v="3"/>
    <x v="2"/>
    <x v="5"/>
    <x v="2"/>
    <x v="20"/>
    <x v="18"/>
    <x v="5"/>
    <x v="30"/>
    <x v="16"/>
    <x v="37"/>
    <x v="0"/>
    <x v="5"/>
    <x v="2"/>
    <x v="5"/>
    <x v="41"/>
    <x v="33"/>
    <x v="1"/>
    <x v="45"/>
    <x v="3"/>
    <x v="0"/>
  </r>
  <r>
    <x v="281"/>
    <x v="3"/>
    <x v="2"/>
    <x v="6"/>
    <x v="7"/>
    <x v="38"/>
    <x v="18"/>
    <x v="6"/>
    <x v="28"/>
    <x v="14"/>
    <x v="31"/>
    <x v="0"/>
    <x v="6"/>
    <x v="7"/>
    <x v="6"/>
    <x v="59"/>
    <x v="51"/>
    <x v="1"/>
    <x v="63"/>
    <x v="0"/>
    <x v="0"/>
  </r>
  <r>
    <x v="281"/>
    <x v="3"/>
    <x v="2"/>
    <x v="9"/>
    <x v="15"/>
    <x v="24"/>
    <x v="15"/>
    <x v="9"/>
    <x v="22"/>
    <x v="32"/>
    <x v="38"/>
    <x v="0"/>
    <x v="9"/>
    <x v="15"/>
    <x v="9"/>
    <x v="48"/>
    <x v="34"/>
    <x v="1"/>
    <x v="52"/>
    <x v="0"/>
    <x v="2"/>
  </r>
  <r>
    <x v="281"/>
    <x v="3"/>
    <x v="2"/>
    <x v="12"/>
    <x v="24"/>
    <x v="20"/>
    <x v="26"/>
    <x v="12"/>
    <x v="16"/>
    <x v="15"/>
    <x v="35"/>
    <x v="0"/>
    <x v="12"/>
    <x v="24"/>
    <x v="24"/>
    <x v="33"/>
    <x v="41"/>
    <x v="1"/>
    <x v="37"/>
    <x v="3"/>
    <x v="0"/>
  </r>
  <r>
    <x v="281"/>
    <x v="3"/>
    <x v="2"/>
    <x v="14"/>
    <x v="0"/>
    <x v="11"/>
    <x v="25"/>
    <x v="0"/>
    <x v="19"/>
    <x v="15"/>
    <x v="8"/>
    <x v="0"/>
    <x v="14"/>
    <x v="0"/>
    <x v="0"/>
    <x v="25"/>
    <x v="31"/>
    <x v="0"/>
    <x v="55"/>
    <x v="0"/>
    <x v="0"/>
  </r>
  <r>
    <x v="281"/>
    <x v="3"/>
    <x v="2"/>
    <x v="18"/>
    <x v="27"/>
    <x v="17"/>
    <x v="14"/>
    <x v="16"/>
    <x v="31"/>
    <x v="23"/>
    <x v="40"/>
    <x v="0"/>
    <x v="18"/>
    <x v="16"/>
    <x v="18"/>
    <x v="42"/>
    <x v="26"/>
    <x v="0"/>
    <x v="38"/>
    <x v="3"/>
    <x v="2"/>
  </r>
  <r>
    <x v="281"/>
    <x v="3"/>
    <x v="2"/>
    <x v="21"/>
    <x v="28"/>
    <x v="20"/>
    <x v="18"/>
    <x v="21"/>
    <x v="30"/>
    <x v="33"/>
    <x v="20"/>
    <x v="0"/>
    <x v="21"/>
    <x v="28"/>
    <x v="21"/>
    <x v="41"/>
    <x v="33"/>
    <x v="1"/>
    <x v="45"/>
    <x v="3"/>
    <x v="2"/>
  </r>
  <r>
    <x v="281"/>
    <x v="3"/>
    <x v="2"/>
    <x v="22"/>
    <x v="11"/>
    <x v="24"/>
    <x v="11"/>
    <x v="22"/>
    <x v="31"/>
    <x v="15"/>
    <x v="26"/>
    <x v="0"/>
    <x v="22"/>
    <x v="11"/>
    <x v="22"/>
    <x v="52"/>
    <x v="30"/>
    <x v="1"/>
    <x v="56"/>
    <x v="0"/>
    <x v="2"/>
  </r>
  <r>
    <x v="281"/>
    <x v="3"/>
    <x v="2"/>
    <x v="25"/>
    <x v="33"/>
    <x v="21"/>
    <x v="14"/>
    <x v="25"/>
    <x v="29"/>
    <x v="42"/>
    <x v="18"/>
    <x v="0"/>
    <x v="25"/>
    <x v="31"/>
    <x v="25"/>
    <x v="46"/>
    <x v="30"/>
    <x v="1"/>
    <x v="50"/>
    <x v="0"/>
    <x v="2"/>
  </r>
  <r>
    <x v="281"/>
    <x v="3"/>
    <x v="2"/>
    <x v="26"/>
    <x v="10"/>
    <x v="34"/>
    <x v="25"/>
    <x v="10"/>
    <x v="31"/>
    <x v="24"/>
    <x v="15"/>
    <x v="0"/>
    <x v="26"/>
    <x v="10"/>
    <x v="26"/>
    <x v="48"/>
    <x v="54"/>
    <x v="0"/>
    <x v="32"/>
    <x v="3"/>
    <x v="0"/>
  </r>
  <r>
    <x v="281"/>
    <x v="3"/>
    <x v="2"/>
    <x v="29"/>
    <x v="19"/>
    <x v="38"/>
    <x v="18"/>
    <x v="28"/>
    <x v="11"/>
    <x v="24"/>
    <x v="4"/>
    <x v="0"/>
    <x v="27"/>
    <x v="19"/>
    <x v="27"/>
    <x v="59"/>
    <x v="51"/>
    <x v="1"/>
    <x v="63"/>
    <x v="0"/>
    <x v="0"/>
  </r>
  <r>
    <x v="281"/>
    <x v="3"/>
    <x v="2"/>
    <x v="31"/>
    <x v="1"/>
    <x v="38"/>
    <x v="26"/>
    <x v="30"/>
    <x v="33"/>
    <x v="21"/>
    <x v="34"/>
    <x v="0"/>
    <x v="29"/>
    <x v="1"/>
    <x v="29"/>
    <x v="51"/>
    <x v="59"/>
    <x v="1"/>
    <x v="55"/>
    <x v="0"/>
    <x v="0"/>
  </r>
  <r>
    <x v="286"/>
    <x v="3"/>
    <x v="2"/>
    <x v="4"/>
    <x v="20"/>
    <x v="21"/>
    <x v="18"/>
    <x v="4"/>
    <x v="31"/>
    <x v="25"/>
    <x v="2"/>
    <x v="0"/>
    <x v="4"/>
    <x v="20"/>
    <x v="4"/>
    <x v="42"/>
    <x v="34"/>
    <x v="1"/>
    <x v="46"/>
    <x v="0"/>
    <x v="2"/>
  </r>
  <r>
    <x v="296"/>
    <x v="3"/>
    <x v="3"/>
    <x v="1"/>
    <x v="21"/>
    <x v="10"/>
    <x v="15"/>
    <x v="21"/>
    <x v="23"/>
    <x v="39"/>
    <x v="12"/>
    <x v="0"/>
    <x v="1"/>
    <x v="21"/>
    <x v="21"/>
    <x v="34"/>
    <x v="20"/>
    <x v="0"/>
    <x v="46"/>
    <x v="3"/>
    <x v="2"/>
  </r>
  <r>
    <x v="305"/>
    <x v="3"/>
    <x v="3"/>
    <x v="0"/>
    <x v="13"/>
    <x v="37"/>
    <x v="9"/>
    <x v="0"/>
    <x v="31"/>
    <x v="23"/>
    <x v="44"/>
    <x v="0"/>
    <x v="0"/>
    <x v="13"/>
    <x v="0"/>
    <x v="67"/>
    <x v="41"/>
    <x v="1"/>
    <x v="71"/>
    <x v="0"/>
    <x v="0"/>
  </r>
  <r>
    <x v="305"/>
    <x v="3"/>
    <x v="3"/>
    <x v="2"/>
    <x v="23"/>
    <x v="16"/>
    <x v="2"/>
    <x v="2"/>
    <x v="30"/>
    <x v="11"/>
    <x v="23"/>
    <x v="0"/>
    <x v="2"/>
    <x v="23"/>
    <x v="2"/>
    <x v="54"/>
    <x v="12"/>
    <x v="1"/>
    <x v="58"/>
    <x v="0"/>
    <x v="2"/>
  </r>
  <r>
    <x v="305"/>
    <x v="3"/>
    <x v="3"/>
    <x v="7"/>
    <x v="26"/>
    <x v="8"/>
    <x v="25"/>
    <x v="7"/>
    <x v="33"/>
    <x v="12"/>
    <x v="10"/>
    <x v="0"/>
    <x v="7"/>
    <x v="26"/>
    <x v="26"/>
    <x v="22"/>
    <x v="28"/>
    <x v="1"/>
    <x v="26"/>
    <x v="3"/>
    <x v="2"/>
  </r>
  <r>
    <x v="305"/>
    <x v="3"/>
    <x v="3"/>
    <x v="10"/>
    <x v="31"/>
    <x v="18"/>
    <x v="22"/>
    <x v="10"/>
    <x v="23"/>
    <x v="30"/>
    <x v="11"/>
    <x v="0"/>
    <x v="10"/>
    <x v="29"/>
    <x v="29"/>
    <x v="35"/>
    <x v="35"/>
    <x v="1"/>
    <x v="39"/>
    <x v="3"/>
    <x v="2"/>
  </r>
  <r>
    <x v="305"/>
    <x v="3"/>
    <x v="3"/>
    <x v="11"/>
    <x v="19"/>
    <x v="23"/>
    <x v="24"/>
    <x v="11"/>
    <x v="26"/>
    <x v="23"/>
    <x v="16"/>
    <x v="0"/>
    <x v="11"/>
    <x v="19"/>
    <x v="31"/>
    <x v="38"/>
    <x v="42"/>
    <x v="1"/>
    <x v="42"/>
    <x v="3"/>
    <x v="0"/>
  </r>
  <r>
    <x v="305"/>
    <x v="3"/>
    <x v="3"/>
    <x v="12"/>
    <x v="14"/>
    <x v="3"/>
    <x v="11"/>
    <x v="12"/>
    <x v="17"/>
    <x v="21"/>
    <x v="35"/>
    <x v="0"/>
    <x v="12"/>
    <x v="14"/>
    <x v="14"/>
    <x v="31"/>
    <x v="9"/>
    <x v="1"/>
    <x v="35"/>
    <x v="3"/>
    <x v="2"/>
  </r>
  <r>
    <x v="305"/>
    <x v="3"/>
    <x v="3"/>
    <x v="15"/>
    <x v="27"/>
    <x v="35"/>
    <x v="39"/>
    <x v="15"/>
    <x v="31"/>
    <x v="19"/>
    <x v="0"/>
    <x v="0"/>
    <x v="15"/>
    <x v="16"/>
    <x v="16"/>
    <x v="35"/>
    <x v="69"/>
    <x v="1"/>
    <x v="39"/>
    <x v="3"/>
    <x v="0"/>
  </r>
  <r>
    <x v="305"/>
    <x v="3"/>
    <x v="3"/>
    <x v="18"/>
    <x v="4"/>
    <x v="13"/>
    <x v="18"/>
    <x v="4"/>
    <x v="29"/>
    <x v="15"/>
    <x v="40"/>
    <x v="0"/>
    <x v="18"/>
    <x v="4"/>
    <x v="4"/>
    <x v="34"/>
    <x v="26"/>
    <x v="0"/>
    <x v="46"/>
    <x v="2"/>
    <x v="2"/>
  </r>
  <r>
    <x v="305"/>
    <x v="3"/>
    <x v="3"/>
    <x v="20"/>
    <x v="9"/>
    <x v="31"/>
    <x v="29"/>
    <x v="9"/>
    <x v="32"/>
    <x v="40"/>
    <x v="13"/>
    <x v="0"/>
    <x v="20"/>
    <x v="9"/>
    <x v="20"/>
    <x v="41"/>
    <x v="55"/>
    <x v="0"/>
    <x v="39"/>
    <x v="3"/>
    <x v="0"/>
  </r>
  <r>
    <x v="305"/>
    <x v="3"/>
    <x v="3"/>
    <x v="22"/>
    <x v="8"/>
    <x v="18"/>
    <x v="22"/>
    <x v="22"/>
    <x v="32"/>
    <x v="22"/>
    <x v="26"/>
    <x v="0"/>
    <x v="22"/>
    <x v="8"/>
    <x v="8"/>
    <x v="35"/>
    <x v="35"/>
    <x v="1"/>
    <x v="39"/>
    <x v="3"/>
    <x v="0"/>
  </r>
  <r>
    <x v="305"/>
    <x v="3"/>
    <x v="3"/>
    <x v="24"/>
    <x v="32"/>
    <x v="16"/>
    <x v="21"/>
    <x v="31"/>
    <x v="33"/>
    <x v="18"/>
    <x v="30"/>
    <x v="0"/>
    <x v="24"/>
    <x v="30"/>
    <x v="30"/>
    <x v="34"/>
    <x v="32"/>
    <x v="0"/>
    <x v="46"/>
    <x v="0"/>
    <x v="1"/>
  </r>
  <r>
    <x v="305"/>
    <x v="3"/>
    <x v="3"/>
    <x v="30"/>
    <x v="5"/>
    <x v="39"/>
    <x v="19"/>
    <x v="17"/>
    <x v="34"/>
    <x v="24"/>
    <x v="6"/>
    <x v="0"/>
    <x v="17"/>
    <x v="5"/>
    <x v="17"/>
    <x v="59"/>
    <x v="53"/>
    <x v="1"/>
    <x v="63"/>
    <x v="0"/>
    <x v="0"/>
  </r>
  <r>
    <x v="310"/>
    <x v="3"/>
    <x v="3"/>
    <x v="33"/>
    <x v="28"/>
    <x v="3"/>
    <x v="25"/>
    <x v="29"/>
    <x v="27"/>
    <x v="28"/>
    <x v="9"/>
    <x v="0"/>
    <x v="31"/>
    <x v="28"/>
    <x v="28"/>
    <x v="17"/>
    <x v="23"/>
    <x v="0"/>
    <x v="63"/>
    <x v="0"/>
    <x v="2"/>
  </r>
  <r>
    <x v="320"/>
    <x v="3"/>
    <x v="4"/>
    <x v="2"/>
    <x v="26"/>
    <x v="19"/>
    <x v="18"/>
    <x v="2"/>
    <x v="31"/>
    <x v="15"/>
    <x v="23"/>
    <x v="0"/>
    <x v="2"/>
    <x v="26"/>
    <x v="2"/>
    <x v="40"/>
    <x v="32"/>
    <x v="1"/>
    <x v="44"/>
    <x v="3"/>
    <x v="0"/>
  </r>
  <r>
    <x v="320"/>
    <x v="3"/>
    <x v="4"/>
    <x v="8"/>
    <x v="24"/>
    <x v="28"/>
    <x v="22"/>
    <x v="8"/>
    <x v="21"/>
    <x v="30"/>
    <x v="5"/>
    <x v="0"/>
    <x v="8"/>
    <x v="24"/>
    <x v="8"/>
    <x v="45"/>
    <x v="45"/>
    <x v="1"/>
    <x v="49"/>
    <x v="3"/>
    <x v="0"/>
  </r>
  <r>
    <x v="320"/>
    <x v="3"/>
    <x v="4"/>
    <x v="10"/>
    <x v="11"/>
    <x v="37"/>
    <x v="8"/>
    <x v="10"/>
    <x v="25"/>
    <x v="31"/>
    <x v="11"/>
    <x v="0"/>
    <x v="10"/>
    <x v="11"/>
    <x v="10"/>
    <x v="68"/>
    <x v="40"/>
    <x v="1"/>
    <x v="72"/>
    <x v="0"/>
    <x v="0"/>
  </r>
  <r>
    <x v="329"/>
    <x v="3"/>
    <x v="4"/>
    <x v="3"/>
    <x v="1"/>
    <x v="28"/>
    <x v="32"/>
    <x v="3"/>
    <x v="28"/>
    <x v="31"/>
    <x v="36"/>
    <x v="0"/>
    <x v="3"/>
    <x v="1"/>
    <x v="1"/>
    <x v="35"/>
    <x v="55"/>
    <x v="1"/>
    <x v="39"/>
    <x v="3"/>
    <x v="0"/>
  </r>
  <r>
    <x v="329"/>
    <x v="3"/>
    <x v="4"/>
    <x v="4"/>
    <x v="31"/>
    <x v="24"/>
    <x v="4"/>
    <x v="4"/>
    <x v="24"/>
    <x v="15"/>
    <x v="2"/>
    <x v="0"/>
    <x v="4"/>
    <x v="29"/>
    <x v="4"/>
    <x v="59"/>
    <x v="23"/>
    <x v="1"/>
    <x v="63"/>
    <x v="0"/>
    <x v="2"/>
  </r>
  <r>
    <x v="329"/>
    <x v="3"/>
    <x v="4"/>
    <x v="7"/>
    <x v="14"/>
    <x v="25"/>
    <x v="30"/>
    <x v="7"/>
    <x v="22"/>
    <x v="12"/>
    <x v="10"/>
    <x v="0"/>
    <x v="7"/>
    <x v="14"/>
    <x v="14"/>
    <x v="34"/>
    <x v="50"/>
    <x v="1"/>
    <x v="38"/>
    <x v="3"/>
    <x v="0"/>
  </r>
  <r>
    <x v="329"/>
    <x v="3"/>
    <x v="4"/>
    <x v="12"/>
    <x v="20"/>
    <x v="28"/>
    <x v="32"/>
    <x v="20"/>
    <x v="24"/>
    <x v="29"/>
    <x v="35"/>
    <x v="0"/>
    <x v="12"/>
    <x v="20"/>
    <x v="20"/>
    <x v="35"/>
    <x v="55"/>
    <x v="0"/>
    <x v="45"/>
    <x v="3"/>
    <x v="0"/>
  </r>
  <r>
    <x v="329"/>
    <x v="3"/>
    <x v="4"/>
    <x v="13"/>
    <x v="32"/>
    <x v="19"/>
    <x v="12"/>
    <x v="13"/>
    <x v="30"/>
    <x v="26"/>
    <x v="22"/>
    <x v="0"/>
    <x v="13"/>
    <x v="30"/>
    <x v="13"/>
    <x v="46"/>
    <x v="26"/>
    <x v="1"/>
    <x v="50"/>
    <x v="0"/>
    <x v="2"/>
  </r>
  <r>
    <x v="329"/>
    <x v="3"/>
    <x v="4"/>
    <x v="15"/>
    <x v="9"/>
    <x v="25"/>
    <x v="33"/>
    <x v="9"/>
    <x v="25"/>
    <x v="34"/>
    <x v="0"/>
    <x v="0"/>
    <x v="15"/>
    <x v="9"/>
    <x v="9"/>
    <x v="31"/>
    <x v="53"/>
    <x v="0"/>
    <x v="49"/>
    <x v="0"/>
    <x v="0"/>
  </r>
  <r>
    <x v="329"/>
    <x v="3"/>
    <x v="4"/>
    <x v="19"/>
    <x v="5"/>
    <x v="20"/>
    <x v="18"/>
    <x v="19"/>
    <x v="35"/>
    <x v="35"/>
    <x v="24"/>
    <x v="0"/>
    <x v="19"/>
    <x v="5"/>
    <x v="19"/>
    <x v="41"/>
    <x v="33"/>
    <x v="1"/>
    <x v="45"/>
    <x v="0"/>
    <x v="2"/>
  </r>
  <r>
    <x v="329"/>
    <x v="3"/>
    <x v="4"/>
    <x v="23"/>
    <x v="18"/>
    <x v="2"/>
    <x v="21"/>
    <x v="23"/>
    <x v="33"/>
    <x v="15"/>
    <x v="26"/>
    <x v="0"/>
    <x v="23"/>
    <x v="18"/>
    <x v="18"/>
    <x v="18"/>
    <x v="16"/>
    <x v="1"/>
    <x v="22"/>
    <x v="3"/>
    <x v="2"/>
  </r>
  <r>
    <x v="329"/>
    <x v="3"/>
    <x v="4"/>
    <x v="25"/>
    <x v="0"/>
    <x v="21"/>
    <x v="19"/>
    <x v="25"/>
    <x v="30"/>
    <x v="31"/>
    <x v="18"/>
    <x v="0"/>
    <x v="25"/>
    <x v="0"/>
    <x v="25"/>
    <x v="41"/>
    <x v="35"/>
    <x v="1"/>
    <x v="45"/>
    <x v="3"/>
    <x v="2"/>
  </r>
  <r>
    <x v="329"/>
    <x v="3"/>
    <x v="4"/>
    <x v="27"/>
    <x v="6"/>
    <x v="7"/>
    <x v="15"/>
    <x v="6"/>
    <x v="34"/>
    <x v="31"/>
    <x v="32"/>
    <x v="0"/>
    <x v="16"/>
    <x v="6"/>
    <x v="6"/>
    <x v="31"/>
    <x v="17"/>
    <x v="0"/>
    <x v="49"/>
    <x v="0"/>
    <x v="2"/>
  </r>
  <r>
    <x v="329"/>
    <x v="3"/>
    <x v="4"/>
    <x v="28"/>
    <x v="30"/>
    <x v="20"/>
    <x v="11"/>
    <x v="29"/>
    <x v="22"/>
    <x v="14"/>
    <x v="3"/>
    <x v="0"/>
    <x v="28"/>
    <x v="17"/>
    <x v="28"/>
    <x v="48"/>
    <x v="26"/>
    <x v="1"/>
    <x v="52"/>
    <x v="0"/>
    <x v="2"/>
  </r>
  <r>
    <x v="329"/>
    <x v="3"/>
    <x v="4"/>
    <x v="33"/>
    <x v="22"/>
    <x v="14"/>
    <x v="22"/>
    <x v="32"/>
    <x v="35"/>
    <x v="23"/>
    <x v="9"/>
    <x v="0"/>
    <x v="31"/>
    <x v="22"/>
    <x v="22"/>
    <x v="31"/>
    <x v="31"/>
    <x v="1"/>
    <x v="35"/>
    <x v="3"/>
    <x v="2"/>
  </r>
  <r>
    <x v="334"/>
    <x v="3"/>
    <x v="4"/>
    <x v="29"/>
    <x v="21"/>
    <x v="31"/>
    <x v="5"/>
    <x v="28"/>
    <x v="27"/>
    <x v="29"/>
    <x v="4"/>
    <x v="0"/>
    <x v="27"/>
    <x v="21"/>
    <x v="27"/>
    <x v="65"/>
    <x v="31"/>
    <x v="1"/>
    <x v="69"/>
    <x v="0"/>
    <x v="2"/>
  </r>
  <r>
    <x v="344"/>
    <x v="3"/>
    <x v="5"/>
    <x v="14"/>
    <x v="12"/>
    <x v="24"/>
    <x v="18"/>
    <x v="12"/>
    <x v="30"/>
    <x v="20"/>
    <x v="8"/>
    <x v="0"/>
    <x v="14"/>
    <x v="12"/>
    <x v="14"/>
    <x v="45"/>
    <x v="37"/>
    <x v="0"/>
    <x v="35"/>
    <x v="3"/>
    <x v="0"/>
  </r>
  <r>
    <x v="353"/>
    <x v="3"/>
    <x v="5"/>
    <x v="0"/>
    <x v="30"/>
    <x v="27"/>
    <x v="8"/>
    <x v="0"/>
    <x v="28"/>
    <x v="16"/>
    <x v="44"/>
    <x v="0"/>
    <x v="0"/>
    <x v="17"/>
    <x v="0"/>
    <x v="58"/>
    <x v="30"/>
    <x v="1"/>
    <x v="62"/>
    <x v="0"/>
    <x v="2"/>
  </r>
  <r>
    <x v="353"/>
    <x v="3"/>
    <x v="5"/>
    <x v="2"/>
    <x v="19"/>
    <x v="26"/>
    <x v="24"/>
    <x v="2"/>
    <x v="25"/>
    <x v="17"/>
    <x v="23"/>
    <x v="0"/>
    <x v="2"/>
    <x v="19"/>
    <x v="2"/>
    <x v="41"/>
    <x v="45"/>
    <x v="1"/>
    <x v="45"/>
    <x v="3"/>
    <x v="0"/>
  </r>
  <r>
    <x v="353"/>
    <x v="3"/>
    <x v="5"/>
    <x v="6"/>
    <x v="13"/>
    <x v="39"/>
    <x v="26"/>
    <x v="6"/>
    <x v="23"/>
    <x v="21"/>
    <x v="31"/>
    <x v="0"/>
    <x v="6"/>
    <x v="13"/>
    <x v="6"/>
    <x v="52"/>
    <x v="60"/>
    <x v="1"/>
    <x v="56"/>
    <x v="0"/>
    <x v="0"/>
  </r>
  <r>
    <x v="353"/>
    <x v="3"/>
    <x v="5"/>
    <x v="9"/>
    <x v="32"/>
    <x v="47"/>
    <x v="26"/>
    <x v="9"/>
    <x v="10"/>
    <x v="33"/>
    <x v="38"/>
    <x v="0"/>
    <x v="9"/>
    <x v="30"/>
    <x v="9"/>
    <x v="61"/>
    <x v="69"/>
    <x v="1"/>
    <x v="65"/>
    <x v="0"/>
    <x v="0"/>
  </r>
  <r>
    <x v="353"/>
    <x v="3"/>
    <x v="5"/>
    <x v="11"/>
    <x v="1"/>
    <x v="19"/>
    <x v="19"/>
    <x v="11"/>
    <x v="30"/>
    <x v="24"/>
    <x v="16"/>
    <x v="0"/>
    <x v="11"/>
    <x v="1"/>
    <x v="11"/>
    <x v="39"/>
    <x v="33"/>
    <x v="1"/>
    <x v="43"/>
    <x v="3"/>
    <x v="2"/>
  </r>
  <r>
    <x v="353"/>
    <x v="3"/>
    <x v="5"/>
    <x v="20"/>
    <x v="7"/>
    <x v="24"/>
    <x v="24"/>
    <x v="20"/>
    <x v="18"/>
    <x v="29"/>
    <x v="13"/>
    <x v="0"/>
    <x v="20"/>
    <x v="7"/>
    <x v="20"/>
    <x v="39"/>
    <x v="43"/>
    <x v="1"/>
    <x v="43"/>
    <x v="3"/>
    <x v="0"/>
  </r>
  <r>
    <x v="353"/>
    <x v="3"/>
    <x v="5"/>
    <x v="21"/>
    <x v="4"/>
    <x v="28"/>
    <x v="11"/>
    <x v="21"/>
    <x v="31"/>
    <x v="27"/>
    <x v="20"/>
    <x v="0"/>
    <x v="21"/>
    <x v="4"/>
    <x v="21"/>
    <x v="56"/>
    <x v="34"/>
    <x v="1"/>
    <x v="60"/>
    <x v="0"/>
    <x v="2"/>
  </r>
  <r>
    <x v="353"/>
    <x v="3"/>
    <x v="5"/>
    <x v="23"/>
    <x v="24"/>
    <x v="34"/>
    <x v="25"/>
    <x v="23"/>
    <x v="31"/>
    <x v="13"/>
    <x v="26"/>
    <x v="0"/>
    <x v="23"/>
    <x v="24"/>
    <x v="23"/>
    <x v="48"/>
    <x v="54"/>
    <x v="1"/>
    <x v="52"/>
    <x v="0"/>
    <x v="0"/>
  </r>
  <r>
    <x v="353"/>
    <x v="3"/>
    <x v="5"/>
    <x v="25"/>
    <x v="10"/>
    <x v="31"/>
    <x v="18"/>
    <x v="25"/>
    <x v="33"/>
    <x v="41"/>
    <x v="18"/>
    <x v="0"/>
    <x v="25"/>
    <x v="10"/>
    <x v="25"/>
    <x v="52"/>
    <x v="44"/>
    <x v="1"/>
    <x v="56"/>
    <x v="0"/>
    <x v="0"/>
  </r>
  <r>
    <x v="353"/>
    <x v="3"/>
    <x v="5"/>
    <x v="26"/>
    <x v="18"/>
    <x v="25"/>
    <x v="32"/>
    <x v="27"/>
    <x v="31"/>
    <x v="16"/>
    <x v="15"/>
    <x v="0"/>
    <x v="26"/>
    <x v="18"/>
    <x v="18"/>
    <x v="32"/>
    <x v="52"/>
    <x v="1"/>
    <x v="36"/>
    <x v="3"/>
    <x v="0"/>
  </r>
  <r>
    <x v="353"/>
    <x v="3"/>
    <x v="5"/>
    <x v="27"/>
    <x v="22"/>
    <x v="34"/>
    <x v="12"/>
    <x v="16"/>
    <x v="29"/>
    <x v="27"/>
    <x v="32"/>
    <x v="0"/>
    <x v="16"/>
    <x v="22"/>
    <x v="16"/>
    <x v="61"/>
    <x v="41"/>
    <x v="1"/>
    <x v="65"/>
    <x v="0"/>
    <x v="0"/>
  </r>
  <r>
    <x v="353"/>
    <x v="3"/>
    <x v="5"/>
    <x v="28"/>
    <x v="29"/>
    <x v="16"/>
    <x v="15"/>
    <x v="29"/>
    <x v="33"/>
    <x v="16"/>
    <x v="3"/>
    <x v="0"/>
    <x v="28"/>
    <x v="27"/>
    <x v="28"/>
    <x v="40"/>
    <x v="26"/>
    <x v="1"/>
    <x v="44"/>
    <x v="2"/>
    <x v="2"/>
  </r>
  <r>
    <x v="353"/>
    <x v="3"/>
    <x v="5"/>
    <x v="31"/>
    <x v="3"/>
    <x v="24"/>
    <x v="4"/>
    <x v="30"/>
    <x v="32"/>
    <x v="19"/>
    <x v="34"/>
    <x v="0"/>
    <x v="29"/>
    <x v="3"/>
    <x v="29"/>
    <x v="59"/>
    <x v="23"/>
    <x v="1"/>
    <x v="63"/>
    <x v="0"/>
    <x v="2"/>
  </r>
  <r>
    <x v="353"/>
    <x v="3"/>
    <x v="5"/>
    <x v="33"/>
    <x v="15"/>
    <x v="7"/>
    <x v="43"/>
    <x v="15"/>
    <x v="31"/>
    <x v="23"/>
    <x v="9"/>
    <x v="0"/>
    <x v="31"/>
    <x v="15"/>
    <x v="15"/>
    <x v="3"/>
    <x v="45"/>
    <x v="0"/>
    <x v="77"/>
    <x v="0"/>
    <x v="0"/>
  </r>
  <r>
    <x v="358"/>
    <x v="3"/>
    <x v="5"/>
    <x v="5"/>
    <x v="8"/>
    <x v="42"/>
    <x v="26"/>
    <x v="5"/>
    <x v="34"/>
    <x v="33"/>
    <x v="37"/>
    <x v="0"/>
    <x v="5"/>
    <x v="8"/>
    <x v="5"/>
    <x v="55"/>
    <x v="63"/>
    <x v="1"/>
    <x v="59"/>
    <x v="0"/>
    <x v="0"/>
  </r>
  <r>
    <x v="368"/>
    <x v="3"/>
    <x v="6"/>
    <x v="9"/>
    <x v="27"/>
    <x v="17"/>
    <x v="25"/>
    <x v="9"/>
    <x v="18"/>
    <x v="48"/>
    <x v="38"/>
    <x v="0"/>
    <x v="9"/>
    <x v="16"/>
    <x v="16"/>
    <x v="31"/>
    <x v="37"/>
    <x v="1"/>
    <x v="35"/>
    <x v="3"/>
    <x v="2"/>
  </r>
  <r>
    <x v="377"/>
    <x v="3"/>
    <x v="6"/>
    <x v="1"/>
    <x v="33"/>
    <x v="24"/>
    <x v="24"/>
    <x v="1"/>
    <x v="26"/>
    <x v="32"/>
    <x v="12"/>
    <x v="0"/>
    <x v="1"/>
    <x v="31"/>
    <x v="1"/>
    <x v="39"/>
    <x v="43"/>
    <x v="1"/>
    <x v="43"/>
    <x v="3"/>
    <x v="0"/>
  </r>
  <r>
    <x v="377"/>
    <x v="3"/>
    <x v="6"/>
    <x v="4"/>
    <x v="23"/>
    <x v="27"/>
    <x v="18"/>
    <x v="4"/>
    <x v="17"/>
    <x v="15"/>
    <x v="2"/>
    <x v="0"/>
    <x v="4"/>
    <x v="23"/>
    <x v="4"/>
    <x v="48"/>
    <x v="40"/>
    <x v="1"/>
    <x v="52"/>
    <x v="2"/>
    <x v="0"/>
  </r>
  <r>
    <x v="377"/>
    <x v="3"/>
    <x v="6"/>
    <x v="7"/>
    <x v="5"/>
    <x v="28"/>
    <x v="36"/>
    <x v="7"/>
    <x v="35"/>
    <x v="22"/>
    <x v="10"/>
    <x v="0"/>
    <x v="7"/>
    <x v="5"/>
    <x v="5"/>
    <x v="31"/>
    <x v="59"/>
    <x v="1"/>
    <x v="35"/>
    <x v="3"/>
    <x v="0"/>
  </r>
  <r>
    <x v="377"/>
    <x v="3"/>
    <x v="6"/>
    <x v="8"/>
    <x v="11"/>
    <x v="33"/>
    <x v="35"/>
    <x v="8"/>
    <x v="29"/>
    <x v="33"/>
    <x v="5"/>
    <x v="0"/>
    <x v="8"/>
    <x v="11"/>
    <x v="11"/>
    <x v="37"/>
    <x v="63"/>
    <x v="1"/>
    <x v="41"/>
    <x v="3"/>
    <x v="0"/>
  </r>
  <r>
    <x v="377"/>
    <x v="3"/>
    <x v="6"/>
    <x v="13"/>
    <x v="12"/>
    <x v="22"/>
    <x v="2"/>
    <x v="13"/>
    <x v="25"/>
    <x v="28"/>
    <x v="22"/>
    <x v="0"/>
    <x v="13"/>
    <x v="12"/>
    <x v="13"/>
    <x v="60"/>
    <x v="18"/>
    <x v="1"/>
    <x v="64"/>
    <x v="0"/>
    <x v="2"/>
  </r>
  <r>
    <x v="377"/>
    <x v="3"/>
    <x v="6"/>
    <x v="14"/>
    <x v="3"/>
    <x v="17"/>
    <x v="25"/>
    <x v="3"/>
    <x v="29"/>
    <x v="21"/>
    <x v="8"/>
    <x v="0"/>
    <x v="14"/>
    <x v="3"/>
    <x v="3"/>
    <x v="31"/>
    <x v="37"/>
    <x v="0"/>
    <x v="49"/>
    <x v="0"/>
    <x v="0"/>
  </r>
  <r>
    <x v="377"/>
    <x v="3"/>
    <x v="6"/>
    <x v="18"/>
    <x v="20"/>
    <x v="21"/>
    <x v="18"/>
    <x v="18"/>
    <x v="32"/>
    <x v="27"/>
    <x v="40"/>
    <x v="0"/>
    <x v="18"/>
    <x v="20"/>
    <x v="18"/>
    <x v="42"/>
    <x v="34"/>
    <x v="1"/>
    <x v="46"/>
    <x v="0"/>
    <x v="2"/>
  </r>
  <r>
    <x v="377"/>
    <x v="3"/>
    <x v="6"/>
    <x v="19"/>
    <x v="25"/>
    <x v="45"/>
    <x v="28"/>
    <x v="25"/>
    <x v="23"/>
    <x v="40"/>
    <x v="24"/>
    <x v="0"/>
    <x v="19"/>
    <x v="25"/>
    <x v="19"/>
    <x v="56"/>
    <x v="68"/>
    <x v="0"/>
    <x v="24"/>
    <x v="3"/>
    <x v="0"/>
  </r>
  <r>
    <x v="377"/>
    <x v="3"/>
    <x v="6"/>
    <x v="22"/>
    <x v="29"/>
    <x v="0"/>
    <x v="21"/>
    <x v="28"/>
    <x v="18"/>
    <x v="20"/>
    <x v="26"/>
    <x v="0"/>
    <x v="22"/>
    <x v="27"/>
    <x v="27"/>
    <x v="15"/>
    <x v="13"/>
    <x v="0"/>
    <x v="65"/>
    <x v="0"/>
    <x v="2"/>
  </r>
  <r>
    <x v="377"/>
    <x v="3"/>
    <x v="6"/>
    <x v="24"/>
    <x v="15"/>
    <x v="28"/>
    <x v="50"/>
    <x v="15"/>
    <x v="25"/>
    <x v="23"/>
    <x v="30"/>
    <x v="0"/>
    <x v="24"/>
    <x v="15"/>
    <x v="15"/>
    <x v="13"/>
    <x v="77"/>
    <x v="0"/>
    <x v="67"/>
    <x v="0"/>
    <x v="0"/>
  </r>
  <r>
    <x v="377"/>
    <x v="3"/>
    <x v="6"/>
    <x v="26"/>
    <x v="6"/>
    <x v="27"/>
    <x v="18"/>
    <x v="6"/>
    <x v="34"/>
    <x v="20"/>
    <x v="15"/>
    <x v="0"/>
    <x v="26"/>
    <x v="6"/>
    <x v="26"/>
    <x v="48"/>
    <x v="40"/>
    <x v="0"/>
    <x v="32"/>
    <x v="3"/>
    <x v="0"/>
  </r>
  <r>
    <x v="377"/>
    <x v="3"/>
    <x v="6"/>
    <x v="30"/>
    <x v="21"/>
    <x v="24"/>
    <x v="14"/>
    <x v="21"/>
    <x v="23"/>
    <x v="30"/>
    <x v="6"/>
    <x v="0"/>
    <x v="17"/>
    <x v="21"/>
    <x v="17"/>
    <x v="49"/>
    <x v="33"/>
    <x v="0"/>
    <x v="31"/>
    <x v="3"/>
    <x v="2"/>
  </r>
  <r>
    <x v="377"/>
    <x v="3"/>
    <x v="6"/>
    <x v="31"/>
    <x v="28"/>
    <x v="11"/>
    <x v="31"/>
    <x v="29"/>
    <x v="28"/>
    <x v="16"/>
    <x v="34"/>
    <x v="0"/>
    <x v="29"/>
    <x v="28"/>
    <x v="28"/>
    <x v="19"/>
    <x v="37"/>
    <x v="0"/>
    <x v="61"/>
    <x v="0"/>
    <x v="0"/>
  </r>
  <r>
    <x v="377"/>
    <x v="3"/>
    <x v="6"/>
    <x v="32"/>
    <x v="0"/>
    <x v="31"/>
    <x v="35"/>
    <x v="0"/>
    <x v="31"/>
    <x v="19"/>
    <x v="28"/>
    <x v="0"/>
    <x v="30"/>
    <x v="0"/>
    <x v="0"/>
    <x v="35"/>
    <x v="61"/>
    <x v="0"/>
    <x v="45"/>
    <x v="2"/>
    <x v="0"/>
  </r>
  <r>
    <x v="382"/>
    <x v="3"/>
    <x v="6"/>
    <x v="10"/>
    <x v="2"/>
    <x v="13"/>
    <x v="16"/>
    <x v="10"/>
    <x v="26"/>
    <x v="32"/>
    <x v="11"/>
    <x v="0"/>
    <x v="10"/>
    <x v="2"/>
    <x v="2"/>
    <x v="36"/>
    <x v="24"/>
    <x v="1"/>
    <x v="40"/>
    <x v="3"/>
    <x v="2"/>
  </r>
  <r>
    <x v="404"/>
    <x v="3"/>
    <x v="7"/>
    <x v="2"/>
    <x v="20"/>
    <x v="4"/>
    <x v="39"/>
    <x v="2"/>
    <x v="34"/>
    <x v="23"/>
    <x v="23"/>
    <x v="0"/>
    <x v="2"/>
    <x v="20"/>
    <x v="20"/>
    <x v="4"/>
    <x v="38"/>
    <x v="1"/>
    <x v="8"/>
    <x v="3"/>
    <x v="0"/>
  </r>
  <r>
    <x v="404"/>
    <x v="3"/>
    <x v="7"/>
    <x v="3"/>
    <x v="18"/>
    <x v="16"/>
    <x v="0"/>
    <x v="18"/>
    <x v="34"/>
    <x v="19"/>
    <x v="33"/>
    <x v="0"/>
    <x v="3"/>
    <x v="18"/>
    <x v="3"/>
    <x v="57"/>
    <x v="9"/>
    <x v="0"/>
    <x v="23"/>
    <x v="3"/>
    <x v="2"/>
  </r>
  <r>
    <x v="404"/>
    <x v="3"/>
    <x v="7"/>
    <x v="4"/>
    <x v="21"/>
    <x v="14"/>
    <x v="11"/>
    <x v="4"/>
    <x v="31"/>
    <x v="23"/>
    <x v="2"/>
    <x v="0"/>
    <x v="4"/>
    <x v="21"/>
    <x v="4"/>
    <x v="42"/>
    <x v="20"/>
    <x v="1"/>
    <x v="46"/>
    <x v="0"/>
    <x v="2"/>
  </r>
  <r>
    <x v="404"/>
    <x v="3"/>
    <x v="7"/>
    <x v="6"/>
    <x v="19"/>
    <x v="39"/>
    <x v="12"/>
    <x v="6"/>
    <x v="22"/>
    <x v="29"/>
    <x v="31"/>
    <x v="0"/>
    <x v="6"/>
    <x v="19"/>
    <x v="6"/>
    <x v="66"/>
    <x v="46"/>
    <x v="1"/>
    <x v="70"/>
    <x v="0"/>
    <x v="0"/>
  </r>
  <r>
    <x v="404"/>
    <x v="3"/>
    <x v="7"/>
    <x v="10"/>
    <x v="22"/>
    <x v="17"/>
    <x v="21"/>
    <x v="10"/>
    <x v="19"/>
    <x v="31"/>
    <x v="11"/>
    <x v="0"/>
    <x v="10"/>
    <x v="22"/>
    <x v="22"/>
    <x v="35"/>
    <x v="33"/>
    <x v="1"/>
    <x v="39"/>
    <x v="3"/>
    <x v="2"/>
  </r>
  <r>
    <x v="404"/>
    <x v="3"/>
    <x v="7"/>
    <x v="11"/>
    <x v="26"/>
    <x v="28"/>
    <x v="36"/>
    <x v="11"/>
    <x v="33"/>
    <x v="23"/>
    <x v="16"/>
    <x v="0"/>
    <x v="11"/>
    <x v="26"/>
    <x v="26"/>
    <x v="31"/>
    <x v="59"/>
    <x v="1"/>
    <x v="35"/>
    <x v="3"/>
    <x v="0"/>
  </r>
  <r>
    <x v="404"/>
    <x v="3"/>
    <x v="7"/>
    <x v="12"/>
    <x v="9"/>
    <x v="10"/>
    <x v="35"/>
    <x v="9"/>
    <x v="18"/>
    <x v="41"/>
    <x v="35"/>
    <x v="0"/>
    <x v="12"/>
    <x v="9"/>
    <x v="9"/>
    <x v="14"/>
    <x v="40"/>
    <x v="0"/>
    <x v="66"/>
    <x v="0"/>
    <x v="2"/>
  </r>
  <r>
    <x v="404"/>
    <x v="3"/>
    <x v="7"/>
    <x v="14"/>
    <x v="32"/>
    <x v="13"/>
    <x v="18"/>
    <x v="31"/>
    <x v="29"/>
    <x v="22"/>
    <x v="8"/>
    <x v="0"/>
    <x v="14"/>
    <x v="30"/>
    <x v="30"/>
    <x v="34"/>
    <x v="26"/>
    <x v="0"/>
    <x v="46"/>
    <x v="2"/>
    <x v="2"/>
  </r>
  <r>
    <x v="404"/>
    <x v="3"/>
    <x v="7"/>
    <x v="15"/>
    <x v="13"/>
    <x v="4"/>
    <x v="21"/>
    <x v="15"/>
    <x v="23"/>
    <x v="27"/>
    <x v="0"/>
    <x v="0"/>
    <x v="15"/>
    <x v="13"/>
    <x v="13"/>
    <x v="22"/>
    <x v="20"/>
    <x v="1"/>
    <x v="26"/>
    <x v="3"/>
    <x v="2"/>
  </r>
  <r>
    <x v="404"/>
    <x v="3"/>
    <x v="7"/>
    <x v="23"/>
    <x v="7"/>
    <x v="21"/>
    <x v="11"/>
    <x v="23"/>
    <x v="34"/>
    <x v="18"/>
    <x v="26"/>
    <x v="0"/>
    <x v="23"/>
    <x v="7"/>
    <x v="23"/>
    <x v="49"/>
    <x v="27"/>
    <x v="1"/>
    <x v="53"/>
    <x v="0"/>
    <x v="2"/>
  </r>
  <r>
    <x v="404"/>
    <x v="3"/>
    <x v="7"/>
    <x v="25"/>
    <x v="5"/>
    <x v="50"/>
    <x v="9"/>
    <x v="25"/>
    <x v="31"/>
    <x v="44"/>
    <x v="18"/>
    <x v="0"/>
    <x v="25"/>
    <x v="5"/>
    <x v="25"/>
    <x v="79"/>
    <x v="55"/>
    <x v="1"/>
    <x v="83"/>
    <x v="0"/>
    <x v="0"/>
  </r>
  <r>
    <x v="404"/>
    <x v="3"/>
    <x v="7"/>
    <x v="27"/>
    <x v="24"/>
    <x v="23"/>
    <x v="11"/>
    <x v="16"/>
    <x v="19"/>
    <x v="36"/>
    <x v="32"/>
    <x v="0"/>
    <x v="16"/>
    <x v="24"/>
    <x v="16"/>
    <x v="51"/>
    <x v="29"/>
    <x v="1"/>
    <x v="55"/>
    <x v="0"/>
    <x v="2"/>
  </r>
  <r>
    <x v="404"/>
    <x v="3"/>
    <x v="7"/>
    <x v="29"/>
    <x v="0"/>
    <x v="7"/>
    <x v="15"/>
    <x v="28"/>
    <x v="19"/>
    <x v="20"/>
    <x v="4"/>
    <x v="0"/>
    <x v="27"/>
    <x v="0"/>
    <x v="0"/>
    <x v="31"/>
    <x v="17"/>
    <x v="1"/>
    <x v="35"/>
    <x v="3"/>
    <x v="2"/>
  </r>
  <r>
    <x v="404"/>
    <x v="3"/>
    <x v="7"/>
    <x v="30"/>
    <x v="31"/>
    <x v="20"/>
    <x v="11"/>
    <x v="17"/>
    <x v="30"/>
    <x v="20"/>
    <x v="6"/>
    <x v="0"/>
    <x v="17"/>
    <x v="29"/>
    <x v="17"/>
    <x v="48"/>
    <x v="26"/>
    <x v="1"/>
    <x v="52"/>
    <x v="0"/>
    <x v="2"/>
  </r>
  <r>
    <x v="404"/>
    <x v="3"/>
    <x v="7"/>
    <x v="33"/>
    <x v="8"/>
    <x v="20"/>
    <x v="22"/>
    <x v="8"/>
    <x v="32"/>
    <x v="38"/>
    <x v="9"/>
    <x v="0"/>
    <x v="31"/>
    <x v="8"/>
    <x v="8"/>
    <x v="37"/>
    <x v="37"/>
    <x v="0"/>
    <x v="43"/>
    <x v="3"/>
    <x v="2"/>
  </r>
  <r>
    <x v="409"/>
    <x v="3"/>
    <x v="7"/>
    <x v="28"/>
    <x v="1"/>
    <x v="31"/>
    <x v="22"/>
    <x v="29"/>
    <x v="8"/>
    <x v="26"/>
    <x v="3"/>
    <x v="0"/>
    <x v="28"/>
    <x v="1"/>
    <x v="28"/>
    <x v="48"/>
    <x v="48"/>
    <x v="1"/>
    <x v="52"/>
    <x v="3"/>
    <x v="0"/>
  </r>
  <r>
    <x v="428"/>
    <x v="3"/>
    <x v="8"/>
    <x v="0"/>
    <x v="28"/>
    <x v="17"/>
    <x v="21"/>
    <x v="0"/>
    <x v="31"/>
    <x v="16"/>
    <x v="44"/>
    <x v="0"/>
    <x v="0"/>
    <x v="28"/>
    <x v="28"/>
    <x v="35"/>
    <x v="33"/>
    <x v="1"/>
    <x v="39"/>
    <x v="3"/>
    <x v="0"/>
  </r>
  <r>
    <x v="428"/>
    <x v="3"/>
    <x v="8"/>
    <x v="1"/>
    <x v="4"/>
    <x v="17"/>
    <x v="19"/>
    <x v="4"/>
    <x v="26"/>
    <x v="27"/>
    <x v="12"/>
    <x v="0"/>
    <x v="1"/>
    <x v="4"/>
    <x v="4"/>
    <x v="37"/>
    <x v="31"/>
    <x v="0"/>
    <x v="43"/>
    <x v="3"/>
    <x v="2"/>
  </r>
  <r>
    <x v="428"/>
    <x v="3"/>
    <x v="8"/>
    <x v="5"/>
    <x v="11"/>
    <x v="25"/>
    <x v="31"/>
    <x v="11"/>
    <x v="31"/>
    <x v="37"/>
    <x v="37"/>
    <x v="0"/>
    <x v="5"/>
    <x v="11"/>
    <x v="11"/>
    <x v="33"/>
    <x v="51"/>
    <x v="0"/>
    <x v="47"/>
    <x v="0"/>
    <x v="0"/>
  </r>
  <r>
    <x v="428"/>
    <x v="3"/>
    <x v="8"/>
    <x v="6"/>
    <x v="2"/>
    <x v="31"/>
    <x v="15"/>
    <x v="6"/>
    <x v="23"/>
    <x v="19"/>
    <x v="31"/>
    <x v="0"/>
    <x v="6"/>
    <x v="2"/>
    <x v="6"/>
    <x v="55"/>
    <x v="41"/>
    <x v="1"/>
    <x v="59"/>
    <x v="0"/>
    <x v="0"/>
  </r>
  <r>
    <x v="428"/>
    <x v="3"/>
    <x v="8"/>
    <x v="8"/>
    <x v="25"/>
    <x v="19"/>
    <x v="22"/>
    <x v="25"/>
    <x v="23"/>
    <x v="39"/>
    <x v="5"/>
    <x v="0"/>
    <x v="8"/>
    <x v="25"/>
    <x v="25"/>
    <x v="36"/>
    <x v="36"/>
    <x v="0"/>
    <x v="44"/>
    <x v="3"/>
    <x v="2"/>
  </r>
  <r>
    <x v="428"/>
    <x v="3"/>
    <x v="8"/>
    <x v="13"/>
    <x v="14"/>
    <x v="27"/>
    <x v="8"/>
    <x v="13"/>
    <x v="14"/>
    <x v="24"/>
    <x v="22"/>
    <x v="0"/>
    <x v="13"/>
    <x v="14"/>
    <x v="13"/>
    <x v="58"/>
    <x v="30"/>
    <x v="1"/>
    <x v="62"/>
    <x v="0"/>
    <x v="2"/>
  </r>
  <r>
    <x v="428"/>
    <x v="3"/>
    <x v="8"/>
    <x v="18"/>
    <x v="23"/>
    <x v="4"/>
    <x v="18"/>
    <x v="18"/>
    <x v="23"/>
    <x v="16"/>
    <x v="40"/>
    <x v="0"/>
    <x v="18"/>
    <x v="23"/>
    <x v="23"/>
    <x v="25"/>
    <x v="17"/>
    <x v="1"/>
    <x v="29"/>
    <x v="3"/>
    <x v="2"/>
  </r>
  <r>
    <x v="428"/>
    <x v="3"/>
    <x v="8"/>
    <x v="19"/>
    <x v="10"/>
    <x v="11"/>
    <x v="11"/>
    <x v="10"/>
    <x v="32"/>
    <x v="33"/>
    <x v="24"/>
    <x v="0"/>
    <x v="19"/>
    <x v="10"/>
    <x v="19"/>
    <x v="39"/>
    <x v="17"/>
    <x v="0"/>
    <x v="41"/>
    <x v="3"/>
    <x v="2"/>
  </r>
  <r>
    <x v="428"/>
    <x v="3"/>
    <x v="8"/>
    <x v="20"/>
    <x v="3"/>
    <x v="31"/>
    <x v="18"/>
    <x v="20"/>
    <x v="23"/>
    <x v="26"/>
    <x v="13"/>
    <x v="0"/>
    <x v="20"/>
    <x v="3"/>
    <x v="20"/>
    <x v="52"/>
    <x v="44"/>
    <x v="1"/>
    <x v="56"/>
    <x v="0"/>
    <x v="0"/>
  </r>
  <r>
    <x v="428"/>
    <x v="3"/>
    <x v="8"/>
    <x v="21"/>
    <x v="31"/>
    <x v="39"/>
    <x v="15"/>
    <x v="21"/>
    <x v="16"/>
    <x v="27"/>
    <x v="20"/>
    <x v="0"/>
    <x v="21"/>
    <x v="29"/>
    <x v="21"/>
    <x v="63"/>
    <x v="49"/>
    <x v="1"/>
    <x v="67"/>
    <x v="0"/>
    <x v="0"/>
  </r>
  <r>
    <x v="428"/>
    <x v="3"/>
    <x v="8"/>
    <x v="22"/>
    <x v="33"/>
    <x v="17"/>
    <x v="4"/>
    <x v="22"/>
    <x v="30"/>
    <x v="23"/>
    <x v="26"/>
    <x v="0"/>
    <x v="22"/>
    <x v="31"/>
    <x v="22"/>
    <x v="52"/>
    <x v="16"/>
    <x v="1"/>
    <x v="56"/>
    <x v="0"/>
    <x v="2"/>
  </r>
  <r>
    <x v="428"/>
    <x v="3"/>
    <x v="8"/>
    <x v="24"/>
    <x v="9"/>
    <x v="11"/>
    <x v="32"/>
    <x v="9"/>
    <x v="17"/>
    <x v="41"/>
    <x v="30"/>
    <x v="0"/>
    <x v="24"/>
    <x v="9"/>
    <x v="9"/>
    <x v="18"/>
    <x v="38"/>
    <x v="0"/>
    <x v="62"/>
    <x v="0"/>
    <x v="2"/>
  </r>
  <r>
    <x v="428"/>
    <x v="3"/>
    <x v="8"/>
    <x v="26"/>
    <x v="7"/>
    <x v="17"/>
    <x v="5"/>
    <x v="27"/>
    <x v="18"/>
    <x v="23"/>
    <x v="15"/>
    <x v="0"/>
    <x v="26"/>
    <x v="7"/>
    <x v="26"/>
    <x v="51"/>
    <x v="17"/>
    <x v="1"/>
    <x v="55"/>
    <x v="0"/>
    <x v="2"/>
  </r>
  <r>
    <x v="428"/>
    <x v="3"/>
    <x v="8"/>
    <x v="27"/>
    <x v="15"/>
    <x v="24"/>
    <x v="22"/>
    <x v="16"/>
    <x v="8"/>
    <x v="24"/>
    <x v="32"/>
    <x v="0"/>
    <x v="16"/>
    <x v="15"/>
    <x v="16"/>
    <x v="41"/>
    <x v="41"/>
    <x v="1"/>
    <x v="45"/>
    <x v="3"/>
    <x v="0"/>
  </r>
  <r>
    <x v="428"/>
    <x v="3"/>
    <x v="8"/>
    <x v="29"/>
    <x v="30"/>
    <x v="24"/>
    <x v="7"/>
    <x v="28"/>
    <x v="12"/>
    <x v="16"/>
    <x v="4"/>
    <x v="0"/>
    <x v="27"/>
    <x v="17"/>
    <x v="27"/>
    <x v="56"/>
    <x v="26"/>
    <x v="1"/>
    <x v="60"/>
    <x v="0"/>
    <x v="2"/>
  </r>
  <r>
    <x v="428"/>
    <x v="3"/>
    <x v="8"/>
    <x v="32"/>
    <x v="12"/>
    <x v="13"/>
    <x v="8"/>
    <x v="31"/>
    <x v="24"/>
    <x v="23"/>
    <x v="28"/>
    <x v="0"/>
    <x v="30"/>
    <x v="12"/>
    <x v="30"/>
    <x v="44"/>
    <x v="16"/>
    <x v="1"/>
    <x v="48"/>
    <x v="3"/>
    <x v="2"/>
  </r>
  <r>
    <x v="5"/>
    <x v="3"/>
    <x v="20"/>
    <x v="13"/>
    <x v="15"/>
    <x v="42"/>
    <x v="42"/>
    <x v="15"/>
    <x v="32"/>
    <x v="27"/>
    <x v="46"/>
    <x v="1"/>
    <x v="13"/>
    <x v="15"/>
    <x v="13"/>
    <x v="39"/>
    <x v="78"/>
    <x v="0"/>
    <x v="41"/>
    <x v="3"/>
    <x v="0"/>
  </r>
  <r>
    <x v="5"/>
    <x v="3"/>
    <x v="20"/>
    <x v="25"/>
    <x v="21"/>
    <x v="21"/>
    <x v="24"/>
    <x v="25"/>
    <x v="31"/>
    <x v="40"/>
    <x v="46"/>
    <x v="1"/>
    <x v="25"/>
    <x v="21"/>
    <x v="21"/>
    <x v="36"/>
    <x v="40"/>
    <x v="1"/>
    <x v="40"/>
    <x v="3"/>
    <x v="2"/>
  </r>
  <r>
    <x v="8"/>
    <x v="3"/>
    <x v="20"/>
    <x v="6"/>
    <x v="27"/>
    <x v="7"/>
    <x v="25"/>
    <x v="6"/>
    <x v="25"/>
    <x v="30"/>
    <x v="31"/>
    <x v="1"/>
    <x v="6"/>
    <x v="16"/>
    <x v="16"/>
    <x v="21"/>
    <x v="27"/>
    <x v="1"/>
    <x v="25"/>
    <x v="3"/>
    <x v="2"/>
  </r>
  <r>
    <x v="8"/>
    <x v="3"/>
    <x v="20"/>
    <x v="11"/>
    <x v="28"/>
    <x v="17"/>
    <x v="21"/>
    <x v="29"/>
    <x v="31"/>
    <x v="26"/>
    <x v="46"/>
    <x v="1"/>
    <x v="11"/>
    <x v="28"/>
    <x v="28"/>
    <x v="35"/>
    <x v="33"/>
    <x v="0"/>
    <x v="45"/>
    <x v="2"/>
    <x v="2"/>
  </r>
  <r>
    <x v="21"/>
    <x v="3"/>
    <x v="18"/>
    <x v="20"/>
    <x v="13"/>
    <x v="40"/>
    <x v="20"/>
    <x v="20"/>
    <x v="23"/>
    <x v="36"/>
    <x v="46"/>
    <x v="1"/>
    <x v="20"/>
    <x v="13"/>
    <x v="20"/>
    <x v="59"/>
    <x v="55"/>
    <x v="1"/>
    <x v="63"/>
    <x v="0"/>
    <x v="0"/>
  </r>
  <r>
    <x v="21"/>
    <x v="3"/>
    <x v="18"/>
    <x v="29"/>
    <x v="21"/>
    <x v="20"/>
    <x v="13"/>
    <x v="28"/>
    <x v="19"/>
    <x v="23"/>
    <x v="46"/>
    <x v="1"/>
    <x v="27"/>
    <x v="21"/>
    <x v="27"/>
    <x v="46"/>
    <x v="28"/>
    <x v="1"/>
    <x v="50"/>
    <x v="3"/>
    <x v="2"/>
  </r>
  <r>
    <x v="24"/>
    <x v="3"/>
    <x v="18"/>
    <x v="4"/>
    <x v="28"/>
    <x v="7"/>
    <x v="21"/>
    <x v="29"/>
    <x v="35"/>
    <x v="17"/>
    <x v="2"/>
    <x v="1"/>
    <x v="4"/>
    <x v="28"/>
    <x v="28"/>
    <x v="25"/>
    <x v="23"/>
    <x v="0"/>
    <x v="55"/>
    <x v="0"/>
    <x v="2"/>
  </r>
  <r>
    <x v="24"/>
    <x v="3"/>
    <x v="18"/>
    <x v="9"/>
    <x v="27"/>
    <x v="21"/>
    <x v="15"/>
    <x v="9"/>
    <x v="22"/>
    <x v="43"/>
    <x v="46"/>
    <x v="1"/>
    <x v="9"/>
    <x v="16"/>
    <x v="9"/>
    <x v="45"/>
    <x v="31"/>
    <x v="1"/>
    <x v="49"/>
    <x v="3"/>
    <x v="2"/>
  </r>
  <r>
    <x v="37"/>
    <x v="3"/>
    <x v="17"/>
    <x v="9"/>
    <x v="20"/>
    <x v="23"/>
    <x v="14"/>
    <x v="9"/>
    <x v="27"/>
    <x v="48"/>
    <x v="46"/>
    <x v="1"/>
    <x v="9"/>
    <x v="20"/>
    <x v="9"/>
    <x v="48"/>
    <x v="32"/>
    <x v="1"/>
    <x v="52"/>
    <x v="0"/>
    <x v="2"/>
  </r>
  <r>
    <x v="37"/>
    <x v="3"/>
    <x v="17"/>
    <x v="29"/>
    <x v="28"/>
    <x v="20"/>
    <x v="15"/>
    <x v="28"/>
    <x v="29"/>
    <x v="15"/>
    <x v="46"/>
    <x v="1"/>
    <x v="27"/>
    <x v="28"/>
    <x v="27"/>
    <x v="44"/>
    <x v="30"/>
    <x v="1"/>
    <x v="48"/>
    <x v="0"/>
    <x v="2"/>
  </r>
  <r>
    <x v="45"/>
    <x v="3"/>
    <x v="19"/>
    <x v="9"/>
    <x v="29"/>
    <x v="5"/>
    <x v="41"/>
    <x v="9"/>
    <x v="33"/>
    <x v="29"/>
    <x v="26"/>
    <x v="1"/>
    <x v="9"/>
    <x v="27"/>
    <x v="27"/>
    <x v="3"/>
    <x v="41"/>
    <x v="1"/>
    <x v="7"/>
    <x v="3"/>
    <x v="0"/>
  </r>
  <r>
    <x v="51"/>
    <x v="4"/>
    <x v="0"/>
    <x v="29"/>
    <x v="11"/>
    <x v="33"/>
    <x v="14"/>
    <x v="28"/>
    <x v="26"/>
    <x v="27"/>
    <x v="4"/>
    <x v="0"/>
    <x v="27"/>
    <x v="11"/>
    <x v="27"/>
    <x v="58"/>
    <x v="42"/>
    <x v="1"/>
    <x v="62"/>
    <x v="0"/>
    <x v="0"/>
  </r>
  <r>
    <x v="54"/>
    <x v="4"/>
    <x v="0"/>
    <x v="1"/>
    <x v="21"/>
    <x v="34"/>
    <x v="32"/>
    <x v="21"/>
    <x v="31"/>
    <x v="38"/>
    <x v="12"/>
    <x v="0"/>
    <x v="1"/>
    <x v="21"/>
    <x v="1"/>
    <x v="41"/>
    <x v="61"/>
    <x v="0"/>
    <x v="39"/>
    <x v="3"/>
    <x v="0"/>
  </r>
  <r>
    <x v="54"/>
    <x v="4"/>
    <x v="0"/>
    <x v="2"/>
    <x v="6"/>
    <x v="13"/>
    <x v="21"/>
    <x v="2"/>
    <x v="34"/>
    <x v="19"/>
    <x v="23"/>
    <x v="0"/>
    <x v="2"/>
    <x v="6"/>
    <x v="6"/>
    <x v="31"/>
    <x v="29"/>
    <x v="1"/>
    <x v="35"/>
    <x v="3"/>
    <x v="2"/>
  </r>
  <r>
    <x v="54"/>
    <x v="4"/>
    <x v="0"/>
    <x v="5"/>
    <x v="3"/>
    <x v="17"/>
    <x v="21"/>
    <x v="5"/>
    <x v="24"/>
    <x v="28"/>
    <x v="37"/>
    <x v="0"/>
    <x v="5"/>
    <x v="3"/>
    <x v="3"/>
    <x v="35"/>
    <x v="33"/>
    <x v="1"/>
    <x v="39"/>
    <x v="3"/>
    <x v="2"/>
  </r>
  <r>
    <x v="54"/>
    <x v="4"/>
    <x v="0"/>
    <x v="8"/>
    <x v="28"/>
    <x v="14"/>
    <x v="26"/>
    <x v="29"/>
    <x v="30"/>
    <x v="36"/>
    <x v="5"/>
    <x v="0"/>
    <x v="8"/>
    <x v="28"/>
    <x v="28"/>
    <x v="27"/>
    <x v="35"/>
    <x v="0"/>
    <x v="53"/>
    <x v="0"/>
    <x v="2"/>
  </r>
  <r>
    <x v="54"/>
    <x v="4"/>
    <x v="0"/>
    <x v="9"/>
    <x v="13"/>
    <x v="28"/>
    <x v="22"/>
    <x v="9"/>
    <x v="22"/>
    <x v="44"/>
    <x v="38"/>
    <x v="0"/>
    <x v="9"/>
    <x v="13"/>
    <x v="9"/>
    <x v="45"/>
    <x v="45"/>
    <x v="1"/>
    <x v="49"/>
    <x v="3"/>
    <x v="1"/>
  </r>
  <r>
    <x v="54"/>
    <x v="4"/>
    <x v="0"/>
    <x v="12"/>
    <x v="33"/>
    <x v="14"/>
    <x v="4"/>
    <x v="12"/>
    <x v="31"/>
    <x v="23"/>
    <x v="35"/>
    <x v="0"/>
    <x v="12"/>
    <x v="31"/>
    <x v="12"/>
    <x v="49"/>
    <x v="13"/>
    <x v="1"/>
    <x v="53"/>
    <x v="0"/>
    <x v="2"/>
  </r>
  <r>
    <x v="54"/>
    <x v="4"/>
    <x v="0"/>
    <x v="15"/>
    <x v="32"/>
    <x v="7"/>
    <x v="24"/>
    <x v="15"/>
    <x v="31"/>
    <x v="22"/>
    <x v="0"/>
    <x v="0"/>
    <x v="15"/>
    <x v="30"/>
    <x v="30"/>
    <x v="22"/>
    <x v="26"/>
    <x v="1"/>
    <x v="26"/>
    <x v="3"/>
    <x v="2"/>
  </r>
  <r>
    <x v="54"/>
    <x v="4"/>
    <x v="0"/>
    <x v="18"/>
    <x v="20"/>
    <x v="30"/>
    <x v="18"/>
    <x v="20"/>
    <x v="29"/>
    <x v="27"/>
    <x v="40"/>
    <x v="0"/>
    <x v="18"/>
    <x v="20"/>
    <x v="18"/>
    <x v="51"/>
    <x v="43"/>
    <x v="0"/>
    <x v="29"/>
    <x v="3"/>
    <x v="0"/>
  </r>
  <r>
    <x v="54"/>
    <x v="4"/>
    <x v="0"/>
    <x v="23"/>
    <x v="24"/>
    <x v="16"/>
    <x v="12"/>
    <x v="23"/>
    <x v="27"/>
    <x v="15"/>
    <x v="26"/>
    <x v="0"/>
    <x v="23"/>
    <x v="24"/>
    <x v="23"/>
    <x v="43"/>
    <x v="23"/>
    <x v="1"/>
    <x v="47"/>
    <x v="2"/>
    <x v="2"/>
  </r>
  <r>
    <x v="54"/>
    <x v="4"/>
    <x v="0"/>
    <x v="25"/>
    <x v="14"/>
    <x v="31"/>
    <x v="15"/>
    <x v="25"/>
    <x v="16"/>
    <x v="37"/>
    <x v="18"/>
    <x v="0"/>
    <x v="25"/>
    <x v="14"/>
    <x v="25"/>
    <x v="55"/>
    <x v="41"/>
    <x v="1"/>
    <x v="59"/>
    <x v="0"/>
    <x v="2"/>
  </r>
  <r>
    <x v="54"/>
    <x v="4"/>
    <x v="0"/>
    <x v="26"/>
    <x v="7"/>
    <x v="27"/>
    <x v="25"/>
    <x v="27"/>
    <x v="24"/>
    <x v="16"/>
    <x v="15"/>
    <x v="0"/>
    <x v="26"/>
    <x v="7"/>
    <x v="26"/>
    <x v="41"/>
    <x v="47"/>
    <x v="1"/>
    <x v="45"/>
    <x v="3"/>
    <x v="0"/>
  </r>
  <r>
    <x v="54"/>
    <x v="4"/>
    <x v="0"/>
    <x v="30"/>
    <x v="19"/>
    <x v="3"/>
    <x v="32"/>
    <x v="17"/>
    <x v="31"/>
    <x v="20"/>
    <x v="6"/>
    <x v="0"/>
    <x v="17"/>
    <x v="19"/>
    <x v="19"/>
    <x v="10"/>
    <x v="30"/>
    <x v="1"/>
    <x v="14"/>
    <x v="3"/>
    <x v="2"/>
  </r>
  <r>
    <x v="54"/>
    <x v="4"/>
    <x v="0"/>
    <x v="31"/>
    <x v="4"/>
    <x v="11"/>
    <x v="18"/>
    <x v="30"/>
    <x v="31"/>
    <x v="9"/>
    <x v="34"/>
    <x v="0"/>
    <x v="29"/>
    <x v="4"/>
    <x v="4"/>
    <x v="32"/>
    <x v="24"/>
    <x v="1"/>
    <x v="36"/>
    <x v="3"/>
    <x v="2"/>
  </r>
  <r>
    <x v="58"/>
    <x v="4"/>
    <x v="0"/>
    <x v="0"/>
    <x v="27"/>
    <x v="15"/>
    <x v="15"/>
    <x v="0"/>
    <x v="31"/>
    <x v="28"/>
    <x v="44"/>
    <x v="0"/>
    <x v="0"/>
    <x v="16"/>
    <x v="0"/>
    <x v="39"/>
    <x v="25"/>
    <x v="1"/>
    <x v="43"/>
    <x v="3"/>
    <x v="2"/>
  </r>
  <r>
    <x v="58"/>
    <x v="4"/>
    <x v="0"/>
    <x v="10"/>
    <x v="22"/>
    <x v="32"/>
    <x v="12"/>
    <x v="10"/>
    <x v="24"/>
    <x v="28"/>
    <x v="11"/>
    <x v="0"/>
    <x v="10"/>
    <x v="22"/>
    <x v="10"/>
    <x v="59"/>
    <x v="39"/>
    <x v="1"/>
    <x v="63"/>
    <x v="0"/>
    <x v="0"/>
  </r>
  <r>
    <x v="67"/>
    <x v="4"/>
    <x v="9"/>
    <x v="2"/>
    <x v="26"/>
    <x v="23"/>
    <x v="4"/>
    <x v="27"/>
    <x v="32"/>
    <x v="23"/>
    <x v="23"/>
    <x v="0"/>
    <x v="2"/>
    <x v="26"/>
    <x v="2"/>
    <x v="58"/>
    <x v="22"/>
    <x v="0"/>
    <x v="22"/>
    <x v="3"/>
    <x v="2"/>
  </r>
  <r>
    <x v="77"/>
    <x v="4"/>
    <x v="9"/>
    <x v="3"/>
    <x v="18"/>
    <x v="26"/>
    <x v="8"/>
    <x v="18"/>
    <x v="35"/>
    <x v="20"/>
    <x v="33"/>
    <x v="0"/>
    <x v="3"/>
    <x v="18"/>
    <x v="3"/>
    <x v="57"/>
    <x v="29"/>
    <x v="0"/>
    <x v="23"/>
    <x v="3"/>
    <x v="2"/>
  </r>
  <r>
    <x v="77"/>
    <x v="4"/>
    <x v="9"/>
    <x v="4"/>
    <x v="10"/>
    <x v="21"/>
    <x v="5"/>
    <x v="10"/>
    <x v="34"/>
    <x v="21"/>
    <x v="2"/>
    <x v="0"/>
    <x v="4"/>
    <x v="10"/>
    <x v="4"/>
    <x v="55"/>
    <x v="21"/>
    <x v="0"/>
    <x v="25"/>
    <x v="3"/>
    <x v="2"/>
  </r>
  <r>
    <x v="77"/>
    <x v="4"/>
    <x v="9"/>
    <x v="6"/>
    <x v="1"/>
    <x v="21"/>
    <x v="8"/>
    <x v="1"/>
    <x v="26"/>
    <x v="32"/>
    <x v="31"/>
    <x v="0"/>
    <x v="6"/>
    <x v="1"/>
    <x v="6"/>
    <x v="52"/>
    <x v="24"/>
    <x v="0"/>
    <x v="28"/>
    <x v="3"/>
    <x v="2"/>
  </r>
  <r>
    <x v="77"/>
    <x v="4"/>
    <x v="9"/>
    <x v="7"/>
    <x v="21"/>
    <x v="23"/>
    <x v="22"/>
    <x v="21"/>
    <x v="25"/>
    <x v="33"/>
    <x v="10"/>
    <x v="0"/>
    <x v="7"/>
    <x v="21"/>
    <x v="7"/>
    <x v="40"/>
    <x v="40"/>
    <x v="0"/>
    <x v="40"/>
    <x v="3"/>
    <x v="0"/>
  </r>
  <r>
    <x v="77"/>
    <x v="4"/>
    <x v="9"/>
    <x v="9"/>
    <x v="15"/>
    <x v="21"/>
    <x v="15"/>
    <x v="15"/>
    <x v="11"/>
    <x v="32"/>
    <x v="38"/>
    <x v="0"/>
    <x v="9"/>
    <x v="15"/>
    <x v="9"/>
    <x v="45"/>
    <x v="31"/>
    <x v="0"/>
    <x v="35"/>
    <x v="3"/>
    <x v="2"/>
  </r>
  <r>
    <x v="77"/>
    <x v="4"/>
    <x v="9"/>
    <x v="11"/>
    <x v="23"/>
    <x v="28"/>
    <x v="22"/>
    <x v="23"/>
    <x v="22"/>
    <x v="27"/>
    <x v="16"/>
    <x v="0"/>
    <x v="11"/>
    <x v="23"/>
    <x v="11"/>
    <x v="45"/>
    <x v="45"/>
    <x v="0"/>
    <x v="35"/>
    <x v="3"/>
    <x v="0"/>
  </r>
  <r>
    <x v="77"/>
    <x v="4"/>
    <x v="9"/>
    <x v="19"/>
    <x v="20"/>
    <x v="4"/>
    <x v="28"/>
    <x v="20"/>
    <x v="31"/>
    <x v="32"/>
    <x v="41"/>
    <x v="0"/>
    <x v="19"/>
    <x v="20"/>
    <x v="20"/>
    <x v="15"/>
    <x v="27"/>
    <x v="0"/>
    <x v="65"/>
    <x v="0"/>
    <x v="2"/>
  </r>
  <r>
    <x v="77"/>
    <x v="4"/>
    <x v="9"/>
    <x v="22"/>
    <x v="0"/>
    <x v="11"/>
    <x v="23"/>
    <x v="0"/>
    <x v="33"/>
    <x v="17"/>
    <x v="26"/>
    <x v="0"/>
    <x v="22"/>
    <x v="0"/>
    <x v="0"/>
    <x v="27"/>
    <x v="29"/>
    <x v="0"/>
    <x v="53"/>
    <x v="0"/>
    <x v="2"/>
  </r>
  <r>
    <x v="77"/>
    <x v="4"/>
    <x v="9"/>
    <x v="24"/>
    <x v="12"/>
    <x v="11"/>
    <x v="28"/>
    <x v="12"/>
    <x v="22"/>
    <x v="18"/>
    <x v="30"/>
    <x v="0"/>
    <x v="24"/>
    <x v="12"/>
    <x v="12"/>
    <x v="22"/>
    <x v="34"/>
    <x v="0"/>
    <x v="58"/>
    <x v="0"/>
    <x v="0"/>
  </r>
  <r>
    <x v="77"/>
    <x v="4"/>
    <x v="9"/>
    <x v="27"/>
    <x v="29"/>
    <x v="27"/>
    <x v="19"/>
    <x v="28"/>
    <x v="27"/>
    <x v="24"/>
    <x v="32"/>
    <x v="0"/>
    <x v="16"/>
    <x v="27"/>
    <x v="16"/>
    <x v="47"/>
    <x v="41"/>
    <x v="0"/>
    <x v="33"/>
    <x v="3"/>
    <x v="0"/>
  </r>
  <r>
    <x v="77"/>
    <x v="4"/>
    <x v="9"/>
    <x v="28"/>
    <x v="5"/>
    <x v="17"/>
    <x v="26"/>
    <x v="5"/>
    <x v="23"/>
    <x v="29"/>
    <x v="17"/>
    <x v="0"/>
    <x v="28"/>
    <x v="5"/>
    <x v="5"/>
    <x v="30"/>
    <x v="38"/>
    <x v="0"/>
    <x v="50"/>
    <x v="0"/>
    <x v="0"/>
  </r>
  <r>
    <x v="77"/>
    <x v="4"/>
    <x v="9"/>
    <x v="31"/>
    <x v="30"/>
    <x v="14"/>
    <x v="17"/>
    <x v="17"/>
    <x v="28"/>
    <x v="9"/>
    <x v="34"/>
    <x v="0"/>
    <x v="29"/>
    <x v="17"/>
    <x v="17"/>
    <x v="36"/>
    <x v="26"/>
    <x v="0"/>
    <x v="44"/>
    <x v="3"/>
    <x v="2"/>
  </r>
  <r>
    <x v="77"/>
    <x v="4"/>
    <x v="9"/>
    <x v="32"/>
    <x v="8"/>
    <x v="7"/>
    <x v="24"/>
    <x v="8"/>
    <x v="30"/>
    <x v="33"/>
    <x v="28"/>
    <x v="0"/>
    <x v="30"/>
    <x v="8"/>
    <x v="8"/>
    <x v="22"/>
    <x v="26"/>
    <x v="0"/>
    <x v="58"/>
    <x v="0"/>
    <x v="2"/>
  </r>
  <r>
    <x v="77"/>
    <x v="4"/>
    <x v="9"/>
    <x v="33"/>
    <x v="14"/>
    <x v="38"/>
    <x v="8"/>
    <x v="14"/>
    <x v="27"/>
    <x v="20"/>
    <x v="9"/>
    <x v="0"/>
    <x v="31"/>
    <x v="14"/>
    <x v="32"/>
    <x v="69"/>
    <x v="41"/>
    <x v="0"/>
    <x v="11"/>
    <x v="3"/>
    <x v="0"/>
  </r>
  <r>
    <x v="81"/>
    <x v="4"/>
    <x v="9"/>
    <x v="13"/>
    <x v="25"/>
    <x v="24"/>
    <x v="28"/>
    <x v="25"/>
    <x v="31"/>
    <x v="42"/>
    <x v="22"/>
    <x v="0"/>
    <x v="13"/>
    <x v="25"/>
    <x v="25"/>
    <x v="35"/>
    <x v="47"/>
    <x v="0"/>
    <x v="45"/>
    <x v="2"/>
    <x v="0"/>
  </r>
  <r>
    <x v="89"/>
    <x v="4"/>
    <x v="10"/>
    <x v="1"/>
    <x v="31"/>
    <x v="52"/>
    <x v="12"/>
    <x v="30"/>
    <x v="24"/>
    <x v="28"/>
    <x v="12"/>
    <x v="0"/>
    <x v="1"/>
    <x v="29"/>
    <x v="1"/>
    <x v="78"/>
    <x v="60"/>
    <x v="0"/>
    <x v="3"/>
    <x v="3"/>
    <x v="0"/>
  </r>
  <r>
    <x v="99"/>
    <x v="4"/>
    <x v="10"/>
    <x v="0"/>
    <x v="28"/>
    <x v="20"/>
    <x v="12"/>
    <x v="0"/>
    <x v="31"/>
    <x v="16"/>
    <x v="44"/>
    <x v="0"/>
    <x v="0"/>
    <x v="28"/>
    <x v="0"/>
    <x v="47"/>
    <x v="27"/>
    <x v="1"/>
    <x v="51"/>
    <x v="0"/>
    <x v="2"/>
  </r>
  <r>
    <x v="99"/>
    <x v="4"/>
    <x v="10"/>
    <x v="3"/>
    <x v="27"/>
    <x v="7"/>
    <x v="20"/>
    <x v="16"/>
    <x v="32"/>
    <x v="25"/>
    <x v="33"/>
    <x v="0"/>
    <x v="3"/>
    <x v="16"/>
    <x v="16"/>
    <x v="26"/>
    <x v="22"/>
    <x v="0"/>
    <x v="54"/>
    <x v="0"/>
    <x v="2"/>
  </r>
  <r>
    <x v="99"/>
    <x v="4"/>
    <x v="10"/>
    <x v="4"/>
    <x v="26"/>
    <x v="16"/>
    <x v="35"/>
    <x v="27"/>
    <x v="31"/>
    <x v="19"/>
    <x v="2"/>
    <x v="0"/>
    <x v="4"/>
    <x v="26"/>
    <x v="26"/>
    <x v="20"/>
    <x v="46"/>
    <x v="0"/>
    <x v="60"/>
    <x v="0"/>
    <x v="0"/>
  </r>
  <r>
    <x v="99"/>
    <x v="4"/>
    <x v="10"/>
    <x v="6"/>
    <x v="32"/>
    <x v="30"/>
    <x v="5"/>
    <x v="31"/>
    <x v="24"/>
    <x v="23"/>
    <x v="31"/>
    <x v="0"/>
    <x v="6"/>
    <x v="30"/>
    <x v="6"/>
    <x v="64"/>
    <x v="30"/>
    <x v="0"/>
    <x v="16"/>
    <x v="3"/>
    <x v="2"/>
  </r>
  <r>
    <x v="99"/>
    <x v="4"/>
    <x v="10"/>
    <x v="7"/>
    <x v="2"/>
    <x v="18"/>
    <x v="21"/>
    <x v="7"/>
    <x v="34"/>
    <x v="20"/>
    <x v="10"/>
    <x v="0"/>
    <x v="7"/>
    <x v="2"/>
    <x v="2"/>
    <x v="36"/>
    <x v="34"/>
    <x v="1"/>
    <x v="40"/>
    <x v="3"/>
    <x v="0"/>
  </r>
  <r>
    <x v="99"/>
    <x v="4"/>
    <x v="10"/>
    <x v="10"/>
    <x v="11"/>
    <x v="16"/>
    <x v="5"/>
    <x v="11"/>
    <x v="34"/>
    <x v="38"/>
    <x v="11"/>
    <x v="0"/>
    <x v="10"/>
    <x v="11"/>
    <x v="10"/>
    <x v="50"/>
    <x v="16"/>
    <x v="0"/>
    <x v="30"/>
    <x v="3"/>
    <x v="2"/>
  </r>
  <r>
    <x v="99"/>
    <x v="4"/>
    <x v="10"/>
    <x v="14"/>
    <x v="13"/>
    <x v="14"/>
    <x v="42"/>
    <x v="14"/>
    <x v="24"/>
    <x v="24"/>
    <x v="8"/>
    <x v="0"/>
    <x v="14"/>
    <x v="13"/>
    <x v="13"/>
    <x v="11"/>
    <x v="51"/>
    <x v="1"/>
    <x v="15"/>
    <x v="3"/>
    <x v="0"/>
  </r>
  <r>
    <x v="99"/>
    <x v="4"/>
    <x v="10"/>
    <x v="18"/>
    <x v="15"/>
    <x v="12"/>
    <x v="32"/>
    <x v="15"/>
    <x v="26"/>
    <x v="19"/>
    <x v="40"/>
    <x v="0"/>
    <x v="18"/>
    <x v="15"/>
    <x v="15"/>
    <x v="19"/>
    <x v="39"/>
    <x v="0"/>
    <x v="61"/>
    <x v="0"/>
    <x v="0"/>
  </r>
  <r>
    <x v="99"/>
    <x v="4"/>
    <x v="10"/>
    <x v="20"/>
    <x v="24"/>
    <x v="13"/>
    <x v="7"/>
    <x v="24"/>
    <x v="9"/>
    <x v="28"/>
    <x v="13"/>
    <x v="0"/>
    <x v="20"/>
    <x v="24"/>
    <x v="20"/>
    <x v="45"/>
    <x v="15"/>
    <x v="0"/>
    <x v="35"/>
    <x v="3"/>
    <x v="2"/>
  </r>
  <r>
    <x v="99"/>
    <x v="4"/>
    <x v="10"/>
    <x v="21"/>
    <x v="19"/>
    <x v="17"/>
    <x v="7"/>
    <x v="19"/>
    <x v="17"/>
    <x v="33"/>
    <x v="20"/>
    <x v="0"/>
    <x v="21"/>
    <x v="19"/>
    <x v="21"/>
    <x v="49"/>
    <x v="19"/>
    <x v="0"/>
    <x v="31"/>
    <x v="3"/>
    <x v="2"/>
  </r>
  <r>
    <x v="99"/>
    <x v="4"/>
    <x v="10"/>
    <x v="22"/>
    <x v="12"/>
    <x v="27"/>
    <x v="15"/>
    <x v="12"/>
    <x v="35"/>
    <x v="17"/>
    <x v="26"/>
    <x v="0"/>
    <x v="22"/>
    <x v="12"/>
    <x v="22"/>
    <x v="51"/>
    <x v="37"/>
    <x v="0"/>
    <x v="29"/>
    <x v="3"/>
    <x v="0"/>
  </r>
  <r>
    <x v="99"/>
    <x v="4"/>
    <x v="10"/>
    <x v="25"/>
    <x v="33"/>
    <x v="34"/>
    <x v="32"/>
    <x v="32"/>
    <x v="29"/>
    <x v="34"/>
    <x v="18"/>
    <x v="0"/>
    <x v="25"/>
    <x v="31"/>
    <x v="25"/>
    <x v="41"/>
    <x v="61"/>
    <x v="0"/>
    <x v="39"/>
    <x v="3"/>
    <x v="0"/>
  </r>
  <r>
    <x v="99"/>
    <x v="4"/>
    <x v="10"/>
    <x v="29"/>
    <x v="9"/>
    <x v="23"/>
    <x v="18"/>
    <x v="9"/>
    <x v="28"/>
    <x v="30"/>
    <x v="4"/>
    <x v="0"/>
    <x v="27"/>
    <x v="9"/>
    <x v="27"/>
    <x v="44"/>
    <x v="36"/>
    <x v="0"/>
    <x v="36"/>
    <x v="3"/>
    <x v="2"/>
  </r>
  <r>
    <x v="99"/>
    <x v="4"/>
    <x v="10"/>
    <x v="30"/>
    <x v="8"/>
    <x v="28"/>
    <x v="32"/>
    <x v="17"/>
    <x v="33"/>
    <x v="24"/>
    <x v="6"/>
    <x v="0"/>
    <x v="17"/>
    <x v="8"/>
    <x v="8"/>
    <x v="35"/>
    <x v="55"/>
    <x v="1"/>
    <x v="39"/>
    <x v="3"/>
    <x v="0"/>
  </r>
  <r>
    <x v="103"/>
    <x v="4"/>
    <x v="10"/>
    <x v="23"/>
    <x v="5"/>
    <x v="16"/>
    <x v="25"/>
    <x v="5"/>
    <x v="34"/>
    <x v="24"/>
    <x v="26"/>
    <x v="0"/>
    <x v="23"/>
    <x v="5"/>
    <x v="5"/>
    <x v="30"/>
    <x v="36"/>
    <x v="0"/>
    <x v="50"/>
    <x v="0"/>
    <x v="0"/>
  </r>
  <r>
    <x v="111"/>
    <x v="4"/>
    <x v="11"/>
    <x v="33"/>
    <x v="22"/>
    <x v="11"/>
    <x v="43"/>
    <x v="22"/>
    <x v="31"/>
    <x v="23"/>
    <x v="9"/>
    <x v="0"/>
    <x v="31"/>
    <x v="22"/>
    <x v="22"/>
    <x v="7"/>
    <x v="49"/>
    <x v="0"/>
    <x v="73"/>
    <x v="0"/>
    <x v="0"/>
  </r>
  <r>
    <x v="121"/>
    <x v="4"/>
    <x v="11"/>
    <x v="2"/>
    <x v="4"/>
    <x v="35"/>
    <x v="8"/>
    <x v="4"/>
    <x v="31"/>
    <x v="18"/>
    <x v="23"/>
    <x v="0"/>
    <x v="2"/>
    <x v="4"/>
    <x v="2"/>
    <x v="66"/>
    <x v="38"/>
    <x v="0"/>
    <x v="14"/>
    <x v="3"/>
    <x v="0"/>
  </r>
  <r>
    <x v="121"/>
    <x v="4"/>
    <x v="11"/>
    <x v="5"/>
    <x v="11"/>
    <x v="14"/>
    <x v="36"/>
    <x v="5"/>
    <x v="33"/>
    <x v="36"/>
    <x v="37"/>
    <x v="0"/>
    <x v="5"/>
    <x v="11"/>
    <x v="11"/>
    <x v="17"/>
    <x v="45"/>
    <x v="1"/>
    <x v="21"/>
    <x v="3"/>
    <x v="0"/>
  </r>
  <r>
    <x v="121"/>
    <x v="4"/>
    <x v="11"/>
    <x v="8"/>
    <x v="21"/>
    <x v="35"/>
    <x v="15"/>
    <x v="8"/>
    <x v="31"/>
    <x v="42"/>
    <x v="5"/>
    <x v="0"/>
    <x v="8"/>
    <x v="21"/>
    <x v="8"/>
    <x v="59"/>
    <x v="45"/>
    <x v="1"/>
    <x v="63"/>
    <x v="0"/>
    <x v="0"/>
  </r>
  <r>
    <x v="121"/>
    <x v="4"/>
    <x v="11"/>
    <x v="12"/>
    <x v="3"/>
    <x v="20"/>
    <x v="15"/>
    <x v="3"/>
    <x v="31"/>
    <x v="22"/>
    <x v="35"/>
    <x v="0"/>
    <x v="12"/>
    <x v="3"/>
    <x v="12"/>
    <x v="44"/>
    <x v="30"/>
    <x v="0"/>
    <x v="36"/>
    <x v="3"/>
    <x v="2"/>
  </r>
  <r>
    <x v="121"/>
    <x v="4"/>
    <x v="11"/>
    <x v="13"/>
    <x v="32"/>
    <x v="38"/>
    <x v="15"/>
    <x v="31"/>
    <x v="22"/>
    <x v="26"/>
    <x v="22"/>
    <x v="0"/>
    <x v="13"/>
    <x v="30"/>
    <x v="13"/>
    <x v="62"/>
    <x v="48"/>
    <x v="0"/>
    <x v="18"/>
    <x v="3"/>
    <x v="0"/>
  </r>
  <r>
    <x v="121"/>
    <x v="4"/>
    <x v="11"/>
    <x v="19"/>
    <x v="1"/>
    <x v="38"/>
    <x v="26"/>
    <x v="19"/>
    <x v="25"/>
    <x v="29"/>
    <x v="41"/>
    <x v="0"/>
    <x v="19"/>
    <x v="1"/>
    <x v="19"/>
    <x v="51"/>
    <x v="59"/>
    <x v="1"/>
    <x v="55"/>
    <x v="0"/>
    <x v="0"/>
  </r>
  <r>
    <x v="121"/>
    <x v="4"/>
    <x v="11"/>
    <x v="23"/>
    <x v="10"/>
    <x v="14"/>
    <x v="22"/>
    <x v="10"/>
    <x v="34"/>
    <x v="22"/>
    <x v="26"/>
    <x v="0"/>
    <x v="23"/>
    <x v="10"/>
    <x v="10"/>
    <x v="31"/>
    <x v="31"/>
    <x v="0"/>
    <x v="49"/>
    <x v="0"/>
    <x v="2"/>
  </r>
  <r>
    <x v="121"/>
    <x v="4"/>
    <x v="11"/>
    <x v="24"/>
    <x v="18"/>
    <x v="11"/>
    <x v="36"/>
    <x v="24"/>
    <x v="29"/>
    <x v="16"/>
    <x v="45"/>
    <x v="0"/>
    <x v="24"/>
    <x v="18"/>
    <x v="18"/>
    <x v="14"/>
    <x v="42"/>
    <x v="1"/>
    <x v="18"/>
    <x v="3"/>
    <x v="0"/>
  </r>
  <r>
    <x v="121"/>
    <x v="4"/>
    <x v="11"/>
    <x v="26"/>
    <x v="31"/>
    <x v="21"/>
    <x v="25"/>
    <x v="30"/>
    <x v="22"/>
    <x v="24"/>
    <x v="15"/>
    <x v="0"/>
    <x v="26"/>
    <x v="29"/>
    <x v="29"/>
    <x v="35"/>
    <x v="41"/>
    <x v="0"/>
    <x v="45"/>
    <x v="3"/>
    <x v="0"/>
  </r>
  <r>
    <x v="121"/>
    <x v="4"/>
    <x v="11"/>
    <x v="27"/>
    <x v="14"/>
    <x v="30"/>
    <x v="12"/>
    <x v="14"/>
    <x v="13"/>
    <x v="23"/>
    <x v="32"/>
    <x v="0"/>
    <x v="16"/>
    <x v="14"/>
    <x v="16"/>
    <x v="57"/>
    <x v="37"/>
    <x v="0"/>
    <x v="23"/>
    <x v="3"/>
    <x v="0"/>
  </r>
  <r>
    <x v="121"/>
    <x v="4"/>
    <x v="11"/>
    <x v="28"/>
    <x v="25"/>
    <x v="23"/>
    <x v="19"/>
    <x v="25"/>
    <x v="29"/>
    <x v="33"/>
    <x v="17"/>
    <x v="0"/>
    <x v="28"/>
    <x v="25"/>
    <x v="28"/>
    <x v="43"/>
    <x v="37"/>
    <x v="0"/>
    <x v="37"/>
    <x v="3"/>
    <x v="2"/>
  </r>
  <r>
    <x v="125"/>
    <x v="4"/>
    <x v="11"/>
    <x v="15"/>
    <x v="20"/>
    <x v="38"/>
    <x v="12"/>
    <x v="15"/>
    <x v="31"/>
    <x v="25"/>
    <x v="0"/>
    <x v="0"/>
    <x v="15"/>
    <x v="20"/>
    <x v="15"/>
    <x v="65"/>
    <x v="45"/>
    <x v="1"/>
    <x v="69"/>
    <x v="0"/>
    <x v="0"/>
  </r>
  <r>
    <x v="133"/>
    <x v="4"/>
    <x v="12"/>
    <x v="11"/>
    <x v="19"/>
    <x v="39"/>
    <x v="8"/>
    <x v="19"/>
    <x v="18"/>
    <x v="27"/>
    <x v="16"/>
    <x v="0"/>
    <x v="11"/>
    <x v="19"/>
    <x v="11"/>
    <x v="70"/>
    <x v="42"/>
    <x v="0"/>
    <x v="10"/>
    <x v="3"/>
    <x v="0"/>
  </r>
  <r>
    <x v="143"/>
    <x v="4"/>
    <x v="12"/>
    <x v="4"/>
    <x v="5"/>
    <x v="28"/>
    <x v="22"/>
    <x v="5"/>
    <x v="34"/>
    <x v="28"/>
    <x v="2"/>
    <x v="0"/>
    <x v="4"/>
    <x v="5"/>
    <x v="4"/>
    <x v="45"/>
    <x v="45"/>
    <x v="0"/>
    <x v="35"/>
    <x v="3"/>
    <x v="0"/>
  </r>
  <r>
    <x v="143"/>
    <x v="4"/>
    <x v="12"/>
    <x v="8"/>
    <x v="12"/>
    <x v="17"/>
    <x v="15"/>
    <x v="12"/>
    <x v="26"/>
    <x v="30"/>
    <x v="5"/>
    <x v="0"/>
    <x v="8"/>
    <x v="12"/>
    <x v="8"/>
    <x v="41"/>
    <x v="27"/>
    <x v="0"/>
    <x v="39"/>
    <x v="3"/>
    <x v="2"/>
  </r>
  <r>
    <x v="143"/>
    <x v="4"/>
    <x v="12"/>
    <x v="9"/>
    <x v="0"/>
    <x v="38"/>
    <x v="18"/>
    <x v="0"/>
    <x v="20"/>
    <x v="29"/>
    <x v="38"/>
    <x v="0"/>
    <x v="9"/>
    <x v="0"/>
    <x v="9"/>
    <x v="59"/>
    <x v="51"/>
    <x v="0"/>
    <x v="21"/>
    <x v="3"/>
    <x v="0"/>
  </r>
  <r>
    <x v="143"/>
    <x v="4"/>
    <x v="12"/>
    <x v="10"/>
    <x v="3"/>
    <x v="11"/>
    <x v="15"/>
    <x v="3"/>
    <x v="27"/>
    <x v="21"/>
    <x v="11"/>
    <x v="0"/>
    <x v="10"/>
    <x v="3"/>
    <x v="3"/>
    <x v="35"/>
    <x v="21"/>
    <x v="0"/>
    <x v="45"/>
    <x v="3"/>
    <x v="2"/>
  </r>
  <r>
    <x v="143"/>
    <x v="4"/>
    <x v="12"/>
    <x v="13"/>
    <x v="2"/>
    <x v="17"/>
    <x v="11"/>
    <x v="2"/>
    <x v="31"/>
    <x v="33"/>
    <x v="22"/>
    <x v="0"/>
    <x v="13"/>
    <x v="2"/>
    <x v="13"/>
    <x v="45"/>
    <x v="23"/>
    <x v="0"/>
    <x v="35"/>
    <x v="3"/>
    <x v="2"/>
  </r>
  <r>
    <x v="143"/>
    <x v="4"/>
    <x v="12"/>
    <x v="14"/>
    <x v="26"/>
    <x v="6"/>
    <x v="15"/>
    <x v="14"/>
    <x v="25"/>
    <x v="29"/>
    <x v="8"/>
    <x v="0"/>
    <x v="14"/>
    <x v="26"/>
    <x v="26"/>
    <x v="30"/>
    <x v="16"/>
    <x v="1"/>
    <x v="34"/>
    <x v="3"/>
    <x v="2"/>
  </r>
  <r>
    <x v="143"/>
    <x v="4"/>
    <x v="12"/>
    <x v="20"/>
    <x v="6"/>
    <x v="40"/>
    <x v="15"/>
    <x v="20"/>
    <x v="32"/>
    <x v="27"/>
    <x v="13"/>
    <x v="0"/>
    <x v="20"/>
    <x v="6"/>
    <x v="20"/>
    <x v="64"/>
    <x v="50"/>
    <x v="1"/>
    <x v="68"/>
    <x v="0"/>
    <x v="0"/>
  </r>
  <r>
    <x v="143"/>
    <x v="4"/>
    <x v="12"/>
    <x v="21"/>
    <x v="31"/>
    <x v="34"/>
    <x v="29"/>
    <x v="30"/>
    <x v="15"/>
    <x v="30"/>
    <x v="20"/>
    <x v="0"/>
    <x v="21"/>
    <x v="29"/>
    <x v="21"/>
    <x v="44"/>
    <x v="58"/>
    <x v="0"/>
    <x v="36"/>
    <x v="3"/>
    <x v="0"/>
  </r>
  <r>
    <x v="143"/>
    <x v="4"/>
    <x v="12"/>
    <x v="22"/>
    <x v="1"/>
    <x v="27"/>
    <x v="18"/>
    <x v="1"/>
    <x v="29"/>
    <x v="35"/>
    <x v="26"/>
    <x v="0"/>
    <x v="22"/>
    <x v="1"/>
    <x v="22"/>
    <x v="48"/>
    <x v="40"/>
    <x v="0"/>
    <x v="32"/>
    <x v="3"/>
    <x v="2"/>
  </r>
  <r>
    <x v="143"/>
    <x v="4"/>
    <x v="12"/>
    <x v="25"/>
    <x v="30"/>
    <x v="31"/>
    <x v="26"/>
    <x v="17"/>
    <x v="29"/>
    <x v="30"/>
    <x v="18"/>
    <x v="0"/>
    <x v="25"/>
    <x v="17"/>
    <x v="25"/>
    <x v="44"/>
    <x v="52"/>
    <x v="0"/>
    <x v="36"/>
    <x v="3"/>
    <x v="0"/>
  </r>
  <r>
    <x v="143"/>
    <x v="4"/>
    <x v="12"/>
    <x v="27"/>
    <x v="23"/>
    <x v="28"/>
    <x v="0"/>
    <x v="23"/>
    <x v="23"/>
    <x v="23"/>
    <x v="32"/>
    <x v="0"/>
    <x v="16"/>
    <x v="23"/>
    <x v="16"/>
    <x v="69"/>
    <x v="21"/>
    <x v="0"/>
    <x v="11"/>
    <x v="3"/>
    <x v="2"/>
  </r>
  <r>
    <x v="143"/>
    <x v="4"/>
    <x v="12"/>
    <x v="28"/>
    <x v="15"/>
    <x v="19"/>
    <x v="15"/>
    <x v="15"/>
    <x v="27"/>
    <x v="21"/>
    <x v="17"/>
    <x v="0"/>
    <x v="28"/>
    <x v="15"/>
    <x v="28"/>
    <x v="43"/>
    <x v="29"/>
    <x v="0"/>
    <x v="37"/>
    <x v="3"/>
    <x v="2"/>
  </r>
  <r>
    <x v="143"/>
    <x v="4"/>
    <x v="12"/>
    <x v="32"/>
    <x v="7"/>
    <x v="25"/>
    <x v="27"/>
    <x v="31"/>
    <x v="35"/>
    <x v="22"/>
    <x v="28"/>
    <x v="0"/>
    <x v="30"/>
    <x v="7"/>
    <x v="7"/>
    <x v="37"/>
    <x v="47"/>
    <x v="1"/>
    <x v="41"/>
    <x v="3"/>
    <x v="0"/>
  </r>
  <r>
    <x v="147"/>
    <x v="4"/>
    <x v="12"/>
    <x v="33"/>
    <x v="29"/>
    <x v="14"/>
    <x v="25"/>
    <x v="32"/>
    <x v="23"/>
    <x v="26"/>
    <x v="9"/>
    <x v="0"/>
    <x v="31"/>
    <x v="27"/>
    <x v="27"/>
    <x v="28"/>
    <x v="34"/>
    <x v="1"/>
    <x v="32"/>
    <x v="3"/>
    <x v="2"/>
  </r>
  <r>
    <x v="155"/>
    <x v="4"/>
    <x v="13"/>
    <x v="12"/>
    <x v="13"/>
    <x v="25"/>
    <x v="31"/>
    <x v="12"/>
    <x v="32"/>
    <x v="26"/>
    <x v="35"/>
    <x v="0"/>
    <x v="12"/>
    <x v="13"/>
    <x v="13"/>
    <x v="33"/>
    <x v="51"/>
    <x v="1"/>
    <x v="37"/>
    <x v="3"/>
    <x v="0"/>
  </r>
  <r>
    <x v="165"/>
    <x v="4"/>
    <x v="13"/>
    <x v="0"/>
    <x v="33"/>
    <x v="27"/>
    <x v="18"/>
    <x v="32"/>
    <x v="26"/>
    <x v="27"/>
    <x v="44"/>
    <x v="0"/>
    <x v="0"/>
    <x v="31"/>
    <x v="0"/>
    <x v="48"/>
    <x v="40"/>
    <x v="0"/>
    <x v="32"/>
    <x v="3"/>
    <x v="0"/>
  </r>
  <r>
    <x v="165"/>
    <x v="4"/>
    <x v="13"/>
    <x v="1"/>
    <x v="5"/>
    <x v="10"/>
    <x v="25"/>
    <x v="5"/>
    <x v="30"/>
    <x v="46"/>
    <x v="12"/>
    <x v="0"/>
    <x v="1"/>
    <x v="5"/>
    <x v="5"/>
    <x v="24"/>
    <x v="30"/>
    <x v="0"/>
    <x v="56"/>
    <x v="0"/>
    <x v="2"/>
  </r>
  <r>
    <x v="165"/>
    <x v="4"/>
    <x v="13"/>
    <x v="3"/>
    <x v="20"/>
    <x v="19"/>
    <x v="35"/>
    <x v="26"/>
    <x v="36"/>
    <x v="23"/>
    <x v="33"/>
    <x v="0"/>
    <x v="3"/>
    <x v="20"/>
    <x v="20"/>
    <x v="23"/>
    <x v="49"/>
    <x v="2"/>
    <x v="88"/>
    <x v="1"/>
    <x v="0"/>
  </r>
  <r>
    <x v="165"/>
    <x v="4"/>
    <x v="13"/>
    <x v="6"/>
    <x v="4"/>
    <x v="34"/>
    <x v="35"/>
    <x v="4"/>
    <x v="23"/>
    <x v="22"/>
    <x v="31"/>
    <x v="0"/>
    <x v="6"/>
    <x v="4"/>
    <x v="31"/>
    <x v="38"/>
    <x v="64"/>
    <x v="0"/>
    <x v="42"/>
    <x v="3"/>
    <x v="0"/>
  </r>
  <r>
    <x v="165"/>
    <x v="4"/>
    <x v="13"/>
    <x v="7"/>
    <x v="26"/>
    <x v="28"/>
    <x v="8"/>
    <x v="27"/>
    <x v="33"/>
    <x v="27"/>
    <x v="10"/>
    <x v="0"/>
    <x v="7"/>
    <x v="26"/>
    <x v="7"/>
    <x v="59"/>
    <x v="31"/>
    <x v="0"/>
    <x v="21"/>
    <x v="3"/>
    <x v="2"/>
  </r>
  <r>
    <x v="165"/>
    <x v="4"/>
    <x v="13"/>
    <x v="18"/>
    <x v="11"/>
    <x v="21"/>
    <x v="25"/>
    <x v="18"/>
    <x v="33"/>
    <x v="28"/>
    <x v="40"/>
    <x v="0"/>
    <x v="18"/>
    <x v="11"/>
    <x v="11"/>
    <x v="35"/>
    <x v="41"/>
    <x v="1"/>
    <x v="39"/>
    <x v="3"/>
    <x v="0"/>
  </r>
  <r>
    <x v="165"/>
    <x v="4"/>
    <x v="13"/>
    <x v="19"/>
    <x v="10"/>
    <x v="2"/>
    <x v="15"/>
    <x v="10"/>
    <x v="34"/>
    <x v="20"/>
    <x v="41"/>
    <x v="0"/>
    <x v="19"/>
    <x v="10"/>
    <x v="10"/>
    <x v="24"/>
    <x v="10"/>
    <x v="0"/>
    <x v="56"/>
    <x v="0"/>
    <x v="2"/>
  </r>
  <r>
    <x v="165"/>
    <x v="4"/>
    <x v="13"/>
    <x v="23"/>
    <x v="9"/>
    <x v="14"/>
    <x v="29"/>
    <x v="23"/>
    <x v="17"/>
    <x v="29"/>
    <x v="26"/>
    <x v="0"/>
    <x v="23"/>
    <x v="9"/>
    <x v="9"/>
    <x v="24"/>
    <x v="38"/>
    <x v="1"/>
    <x v="28"/>
    <x v="3"/>
    <x v="0"/>
  </r>
  <r>
    <x v="165"/>
    <x v="4"/>
    <x v="13"/>
    <x v="24"/>
    <x v="27"/>
    <x v="25"/>
    <x v="29"/>
    <x v="24"/>
    <x v="22"/>
    <x v="22"/>
    <x v="30"/>
    <x v="0"/>
    <x v="24"/>
    <x v="16"/>
    <x v="16"/>
    <x v="35"/>
    <x v="49"/>
    <x v="1"/>
    <x v="39"/>
    <x v="3"/>
    <x v="0"/>
  </r>
  <r>
    <x v="165"/>
    <x v="4"/>
    <x v="13"/>
    <x v="25"/>
    <x v="22"/>
    <x v="24"/>
    <x v="0"/>
    <x v="22"/>
    <x v="34"/>
    <x v="36"/>
    <x v="18"/>
    <x v="0"/>
    <x v="25"/>
    <x v="22"/>
    <x v="25"/>
    <x v="65"/>
    <x v="17"/>
    <x v="0"/>
    <x v="15"/>
    <x v="3"/>
    <x v="2"/>
  </r>
  <r>
    <x v="165"/>
    <x v="4"/>
    <x v="13"/>
    <x v="29"/>
    <x v="8"/>
    <x v="20"/>
    <x v="28"/>
    <x v="8"/>
    <x v="18"/>
    <x v="28"/>
    <x v="4"/>
    <x v="0"/>
    <x v="27"/>
    <x v="8"/>
    <x v="8"/>
    <x v="31"/>
    <x v="43"/>
    <x v="0"/>
    <x v="49"/>
    <x v="3"/>
    <x v="0"/>
  </r>
  <r>
    <x v="165"/>
    <x v="4"/>
    <x v="13"/>
    <x v="31"/>
    <x v="2"/>
    <x v="14"/>
    <x v="45"/>
    <x v="30"/>
    <x v="30"/>
    <x v="23"/>
    <x v="34"/>
    <x v="0"/>
    <x v="29"/>
    <x v="2"/>
    <x v="2"/>
    <x v="7"/>
    <x v="55"/>
    <x v="1"/>
    <x v="11"/>
    <x v="3"/>
    <x v="0"/>
  </r>
  <r>
    <x v="165"/>
    <x v="4"/>
    <x v="13"/>
    <x v="32"/>
    <x v="14"/>
    <x v="13"/>
    <x v="12"/>
    <x v="14"/>
    <x v="29"/>
    <x v="19"/>
    <x v="28"/>
    <x v="0"/>
    <x v="30"/>
    <x v="14"/>
    <x v="30"/>
    <x v="40"/>
    <x v="20"/>
    <x v="0"/>
    <x v="40"/>
    <x v="3"/>
    <x v="2"/>
  </r>
  <r>
    <x v="169"/>
    <x v="4"/>
    <x v="13"/>
    <x v="30"/>
    <x v="28"/>
    <x v="14"/>
    <x v="29"/>
    <x v="17"/>
    <x v="30"/>
    <x v="23"/>
    <x v="6"/>
    <x v="0"/>
    <x v="17"/>
    <x v="28"/>
    <x v="28"/>
    <x v="24"/>
    <x v="38"/>
    <x v="1"/>
    <x v="28"/>
    <x v="3"/>
    <x v="0"/>
  </r>
  <r>
    <x v="177"/>
    <x v="4"/>
    <x v="14"/>
    <x v="20"/>
    <x v="23"/>
    <x v="24"/>
    <x v="23"/>
    <x v="23"/>
    <x v="18"/>
    <x v="23"/>
    <x v="13"/>
    <x v="0"/>
    <x v="20"/>
    <x v="23"/>
    <x v="20"/>
    <x v="40"/>
    <x v="42"/>
    <x v="0"/>
    <x v="40"/>
    <x v="3"/>
    <x v="0"/>
  </r>
  <r>
    <x v="187"/>
    <x v="4"/>
    <x v="14"/>
    <x v="2"/>
    <x v="1"/>
    <x v="26"/>
    <x v="5"/>
    <x v="1"/>
    <x v="23"/>
    <x v="34"/>
    <x v="23"/>
    <x v="0"/>
    <x v="2"/>
    <x v="1"/>
    <x v="2"/>
    <x v="60"/>
    <x v="26"/>
    <x v="0"/>
    <x v="20"/>
    <x v="3"/>
    <x v="2"/>
  </r>
  <r>
    <x v="187"/>
    <x v="4"/>
    <x v="14"/>
    <x v="3"/>
    <x v="19"/>
    <x v="14"/>
    <x v="14"/>
    <x v="19"/>
    <x v="24"/>
    <x v="20"/>
    <x v="33"/>
    <x v="0"/>
    <x v="3"/>
    <x v="19"/>
    <x v="3"/>
    <x v="39"/>
    <x v="23"/>
    <x v="0"/>
    <x v="41"/>
    <x v="3"/>
    <x v="2"/>
  </r>
  <r>
    <x v="187"/>
    <x v="4"/>
    <x v="14"/>
    <x v="5"/>
    <x v="18"/>
    <x v="11"/>
    <x v="25"/>
    <x v="18"/>
    <x v="31"/>
    <x v="30"/>
    <x v="37"/>
    <x v="0"/>
    <x v="5"/>
    <x v="18"/>
    <x v="18"/>
    <x v="25"/>
    <x v="31"/>
    <x v="0"/>
    <x v="55"/>
    <x v="0"/>
    <x v="2"/>
  </r>
  <r>
    <x v="187"/>
    <x v="4"/>
    <x v="14"/>
    <x v="8"/>
    <x v="22"/>
    <x v="28"/>
    <x v="19"/>
    <x v="22"/>
    <x v="26"/>
    <x v="28"/>
    <x v="5"/>
    <x v="0"/>
    <x v="8"/>
    <x v="22"/>
    <x v="8"/>
    <x v="48"/>
    <x v="42"/>
    <x v="0"/>
    <x v="32"/>
    <x v="3"/>
    <x v="0"/>
  </r>
  <r>
    <x v="187"/>
    <x v="4"/>
    <x v="14"/>
    <x v="9"/>
    <x v="28"/>
    <x v="39"/>
    <x v="15"/>
    <x v="29"/>
    <x v="24"/>
    <x v="31"/>
    <x v="38"/>
    <x v="0"/>
    <x v="9"/>
    <x v="28"/>
    <x v="9"/>
    <x v="63"/>
    <x v="49"/>
    <x v="0"/>
    <x v="17"/>
    <x v="3"/>
    <x v="0"/>
  </r>
  <r>
    <x v="187"/>
    <x v="4"/>
    <x v="14"/>
    <x v="10"/>
    <x v="21"/>
    <x v="21"/>
    <x v="21"/>
    <x v="21"/>
    <x v="34"/>
    <x v="27"/>
    <x v="11"/>
    <x v="0"/>
    <x v="10"/>
    <x v="21"/>
    <x v="10"/>
    <x v="39"/>
    <x v="37"/>
    <x v="0"/>
    <x v="41"/>
    <x v="3"/>
    <x v="0"/>
  </r>
  <r>
    <x v="187"/>
    <x v="4"/>
    <x v="14"/>
    <x v="11"/>
    <x v="4"/>
    <x v="35"/>
    <x v="15"/>
    <x v="4"/>
    <x v="24"/>
    <x v="33"/>
    <x v="16"/>
    <x v="0"/>
    <x v="11"/>
    <x v="4"/>
    <x v="11"/>
    <x v="59"/>
    <x v="45"/>
    <x v="0"/>
    <x v="21"/>
    <x v="3"/>
    <x v="0"/>
  </r>
  <r>
    <x v="187"/>
    <x v="4"/>
    <x v="14"/>
    <x v="13"/>
    <x v="6"/>
    <x v="24"/>
    <x v="0"/>
    <x v="6"/>
    <x v="30"/>
    <x v="35"/>
    <x v="22"/>
    <x v="0"/>
    <x v="13"/>
    <x v="6"/>
    <x v="13"/>
    <x v="65"/>
    <x v="17"/>
    <x v="0"/>
    <x v="15"/>
    <x v="3"/>
    <x v="2"/>
  </r>
  <r>
    <x v="187"/>
    <x v="4"/>
    <x v="14"/>
    <x v="14"/>
    <x v="7"/>
    <x v="21"/>
    <x v="4"/>
    <x v="14"/>
    <x v="28"/>
    <x v="24"/>
    <x v="8"/>
    <x v="0"/>
    <x v="14"/>
    <x v="7"/>
    <x v="14"/>
    <x v="56"/>
    <x v="20"/>
    <x v="1"/>
    <x v="60"/>
    <x v="0"/>
    <x v="2"/>
  </r>
  <r>
    <x v="187"/>
    <x v="4"/>
    <x v="14"/>
    <x v="24"/>
    <x v="0"/>
    <x v="10"/>
    <x v="22"/>
    <x v="24"/>
    <x v="30"/>
    <x v="27"/>
    <x v="30"/>
    <x v="0"/>
    <x v="24"/>
    <x v="0"/>
    <x v="0"/>
    <x v="27"/>
    <x v="27"/>
    <x v="1"/>
    <x v="31"/>
    <x v="3"/>
    <x v="2"/>
  </r>
  <r>
    <x v="187"/>
    <x v="4"/>
    <x v="14"/>
    <x v="27"/>
    <x v="15"/>
    <x v="17"/>
    <x v="21"/>
    <x v="15"/>
    <x v="31"/>
    <x v="26"/>
    <x v="32"/>
    <x v="0"/>
    <x v="16"/>
    <x v="15"/>
    <x v="15"/>
    <x v="35"/>
    <x v="33"/>
    <x v="0"/>
    <x v="45"/>
    <x v="2"/>
    <x v="2"/>
  </r>
  <r>
    <x v="187"/>
    <x v="4"/>
    <x v="14"/>
    <x v="30"/>
    <x v="29"/>
    <x v="25"/>
    <x v="24"/>
    <x v="17"/>
    <x v="24"/>
    <x v="21"/>
    <x v="6"/>
    <x v="0"/>
    <x v="17"/>
    <x v="27"/>
    <x v="17"/>
    <x v="40"/>
    <x v="44"/>
    <x v="1"/>
    <x v="44"/>
    <x v="3"/>
    <x v="0"/>
  </r>
  <r>
    <x v="187"/>
    <x v="4"/>
    <x v="14"/>
    <x v="33"/>
    <x v="32"/>
    <x v="16"/>
    <x v="15"/>
    <x v="31"/>
    <x v="25"/>
    <x v="27"/>
    <x v="9"/>
    <x v="0"/>
    <x v="31"/>
    <x v="30"/>
    <x v="32"/>
    <x v="40"/>
    <x v="26"/>
    <x v="0"/>
    <x v="40"/>
    <x v="3"/>
    <x v="2"/>
  </r>
  <r>
    <x v="191"/>
    <x v="4"/>
    <x v="14"/>
    <x v="26"/>
    <x v="12"/>
    <x v="27"/>
    <x v="21"/>
    <x v="12"/>
    <x v="31"/>
    <x v="23"/>
    <x v="15"/>
    <x v="0"/>
    <x v="26"/>
    <x v="12"/>
    <x v="26"/>
    <x v="45"/>
    <x v="43"/>
    <x v="0"/>
    <x v="35"/>
    <x v="3"/>
    <x v="0"/>
  </r>
  <r>
    <x v="199"/>
    <x v="4"/>
    <x v="15"/>
    <x v="9"/>
    <x v="27"/>
    <x v="32"/>
    <x v="19"/>
    <x v="16"/>
    <x v="19"/>
    <x v="36"/>
    <x v="38"/>
    <x v="0"/>
    <x v="9"/>
    <x v="16"/>
    <x v="9"/>
    <x v="52"/>
    <x v="46"/>
    <x v="0"/>
    <x v="28"/>
    <x v="3"/>
    <x v="0"/>
  </r>
  <r>
    <x v="209"/>
    <x v="4"/>
    <x v="15"/>
    <x v="0"/>
    <x v="25"/>
    <x v="21"/>
    <x v="18"/>
    <x v="0"/>
    <x v="35"/>
    <x v="31"/>
    <x v="44"/>
    <x v="0"/>
    <x v="0"/>
    <x v="25"/>
    <x v="0"/>
    <x v="42"/>
    <x v="34"/>
    <x v="1"/>
    <x v="46"/>
    <x v="0"/>
    <x v="2"/>
  </r>
  <r>
    <x v="209"/>
    <x v="4"/>
    <x v="15"/>
    <x v="1"/>
    <x v="10"/>
    <x v="18"/>
    <x v="20"/>
    <x v="1"/>
    <x v="30"/>
    <x v="25"/>
    <x v="45"/>
    <x v="0"/>
    <x v="1"/>
    <x v="10"/>
    <x v="10"/>
    <x v="37"/>
    <x v="33"/>
    <x v="1"/>
    <x v="41"/>
    <x v="3"/>
    <x v="2"/>
  </r>
  <r>
    <x v="209"/>
    <x v="4"/>
    <x v="15"/>
    <x v="4"/>
    <x v="29"/>
    <x v="6"/>
    <x v="11"/>
    <x v="4"/>
    <x v="25"/>
    <x v="24"/>
    <x v="2"/>
    <x v="0"/>
    <x v="4"/>
    <x v="27"/>
    <x v="27"/>
    <x v="34"/>
    <x v="12"/>
    <x v="1"/>
    <x v="38"/>
    <x v="3"/>
    <x v="2"/>
  </r>
  <r>
    <x v="209"/>
    <x v="4"/>
    <x v="15"/>
    <x v="6"/>
    <x v="2"/>
    <x v="24"/>
    <x v="22"/>
    <x v="6"/>
    <x v="31"/>
    <x v="23"/>
    <x v="31"/>
    <x v="0"/>
    <x v="6"/>
    <x v="2"/>
    <x v="6"/>
    <x v="41"/>
    <x v="41"/>
    <x v="1"/>
    <x v="45"/>
    <x v="2"/>
    <x v="0"/>
  </r>
  <r>
    <x v="209"/>
    <x v="4"/>
    <x v="15"/>
    <x v="7"/>
    <x v="24"/>
    <x v="20"/>
    <x v="11"/>
    <x v="24"/>
    <x v="24"/>
    <x v="23"/>
    <x v="10"/>
    <x v="0"/>
    <x v="7"/>
    <x v="24"/>
    <x v="7"/>
    <x v="48"/>
    <x v="26"/>
    <x v="0"/>
    <x v="32"/>
    <x v="3"/>
    <x v="2"/>
  </r>
  <r>
    <x v="209"/>
    <x v="4"/>
    <x v="15"/>
    <x v="14"/>
    <x v="18"/>
    <x v="10"/>
    <x v="25"/>
    <x v="14"/>
    <x v="24"/>
    <x v="18"/>
    <x v="8"/>
    <x v="0"/>
    <x v="14"/>
    <x v="18"/>
    <x v="18"/>
    <x v="24"/>
    <x v="30"/>
    <x v="1"/>
    <x v="28"/>
    <x v="3"/>
    <x v="2"/>
  </r>
  <r>
    <x v="209"/>
    <x v="4"/>
    <x v="15"/>
    <x v="15"/>
    <x v="30"/>
    <x v="31"/>
    <x v="5"/>
    <x v="17"/>
    <x v="23"/>
    <x v="22"/>
    <x v="0"/>
    <x v="0"/>
    <x v="15"/>
    <x v="17"/>
    <x v="15"/>
    <x v="65"/>
    <x v="31"/>
    <x v="0"/>
    <x v="15"/>
    <x v="3"/>
    <x v="2"/>
  </r>
  <r>
    <x v="209"/>
    <x v="4"/>
    <x v="15"/>
    <x v="20"/>
    <x v="5"/>
    <x v="47"/>
    <x v="21"/>
    <x v="5"/>
    <x v="25"/>
    <x v="38"/>
    <x v="13"/>
    <x v="0"/>
    <x v="20"/>
    <x v="5"/>
    <x v="20"/>
    <x v="66"/>
    <x v="64"/>
    <x v="0"/>
    <x v="14"/>
    <x v="3"/>
    <x v="0"/>
  </r>
  <r>
    <x v="209"/>
    <x v="4"/>
    <x v="15"/>
    <x v="21"/>
    <x v="11"/>
    <x v="41"/>
    <x v="21"/>
    <x v="11"/>
    <x v="33"/>
    <x v="45"/>
    <x v="20"/>
    <x v="0"/>
    <x v="21"/>
    <x v="11"/>
    <x v="21"/>
    <x v="59"/>
    <x v="57"/>
    <x v="0"/>
    <x v="21"/>
    <x v="3"/>
    <x v="0"/>
  </r>
  <r>
    <x v="209"/>
    <x v="4"/>
    <x v="15"/>
    <x v="23"/>
    <x v="3"/>
    <x v="20"/>
    <x v="41"/>
    <x v="3"/>
    <x v="31"/>
    <x v="15"/>
    <x v="26"/>
    <x v="0"/>
    <x v="23"/>
    <x v="3"/>
    <x v="3"/>
    <x v="18"/>
    <x v="56"/>
    <x v="0"/>
    <x v="62"/>
    <x v="0"/>
    <x v="0"/>
  </r>
  <r>
    <x v="209"/>
    <x v="4"/>
    <x v="15"/>
    <x v="26"/>
    <x v="13"/>
    <x v="47"/>
    <x v="32"/>
    <x v="27"/>
    <x v="28"/>
    <x v="31"/>
    <x v="15"/>
    <x v="0"/>
    <x v="26"/>
    <x v="13"/>
    <x v="26"/>
    <x v="55"/>
    <x v="75"/>
    <x v="1"/>
    <x v="59"/>
    <x v="0"/>
    <x v="0"/>
  </r>
  <r>
    <x v="209"/>
    <x v="4"/>
    <x v="15"/>
    <x v="31"/>
    <x v="19"/>
    <x v="10"/>
    <x v="17"/>
    <x v="19"/>
    <x v="34"/>
    <x v="20"/>
    <x v="34"/>
    <x v="0"/>
    <x v="29"/>
    <x v="19"/>
    <x v="19"/>
    <x v="32"/>
    <x v="22"/>
    <x v="0"/>
    <x v="48"/>
    <x v="0"/>
    <x v="2"/>
  </r>
  <r>
    <x v="209"/>
    <x v="4"/>
    <x v="15"/>
    <x v="32"/>
    <x v="12"/>
    <x v="13"/>
    <x v="28"/>
    <x v="31"/>
    <x v="30"/>
    <x v="20"/>
    <x v="28"/>
    <x v="0"/>
    <x v="30"/>
    <x v="12"/>
    <x v="12"/>
    <x v="24"/>
    <x v="36"/>
    <x v="1"/>
    <x v="28"/>
    <x v="3"/>
    <x v="0"/>
  </r>
  <r>
    <x v="213"/>
    <x v="4"/>
    <x v="15"/>
    <x v="8"/>
    <x v="33"/>
    <x v="14"/>
    <x v="18"/>
    <x v="32"/>
    <x v="18"/>
    <x v="32"/>
    <x v="5"/>
    <x v="0"/>
    <x v="8"/>
    <x v="31"/>
    <x v="32"/>
    <x v="35"/>
    <x v="27"/>
    <x v="0"/>
    <x v="45"/>
    <x v="3"/>
    <x v="2"/>
  </r>
  <r>
    <x v="221"/>
    <x v="4"/>
    <x v="16"/>
    <x v="4"/>
    <x v="21"/>
    <x v="7"/>
    <x v="26"/>
    <x v="4"/>
    <x v="31"/>
    <x v="32"/>
    <x v="2"/>
    <x v="0"/>
    <x v="4"/>
    <x v="21"/>
    <x v="21"/>
    <x v="20"/>
    <x v="28"/>
    <x v="1"/>
    <x v="24"/>
    <x v="3"/>
    <x v="2"/>
  </r>
  <r>
    <x v="231"/>
    <x v="4"/>
    <x v="16"/>
    <x v="6"/>
    <x v="14"/>
    <x v="30"/>
    <x v="21"/>
    <x v="14"/>
    <x v="17"/>
    <x v="21"/>
    <x v="31"/>
    <x v="0"/>
    <x v="6"/>
    <x v="14"/>
    <x v="6"/>
    <x v="48"/>
    <x v="46"/>
    <x v="0"/>
    <x v="32"/>
    <x v="3"/>
    <x v="0"/>
  </r>
  <r>
    <x v="231"/>
    <x v="4"/>
    <x v="16"/>
    <x v="7"/>
    <x v="31"/>
    <x v="19"/>
    <x v="15"/>
    <x v="30"/>
    <x v="23"/>
    <x v="22"/>
    <x v="10"/>
    <x v="0"/>
    <x v="7"/>
    <x v="29"/>
    <x v="7"/>
    <x v="43"/>
    <x v="29"/>
    <x v="0"/>
    <x v="37"/>
    <x v="3"/>
    <x v="2"/>
  </r>
  <r>
    <x v="231"/>
    <x v="4"/>
    <x v="16"/>
    <x v="8"/>
    <x v="0"/>
    <x v="14"/>
    <x v="26"/>
    <x v="0"/>
    <x v="34"/>
    <x v="24"/>
    <x v="5"/>
    <x v="0"/>
    <x v="8"/>
    <x v="0"/>
    <x v="0"/>
    <x v="27"/>
    <x v="35"/>
    <x v="0"/>
    <x v="53"/>
    <x v="0"/>
    <x v="1"/>
  </r>
  <r>
    <x v="231"/>
    <x v="4"/>
    <x v="16"/>
    <x v="12"/>
    <x v="25"/>
    <x v="18"/>
    <x v="29"/>
    <x v="12"/>
    <x v="33"/>
    <x v="31"/>
    <x v="35"/>
    <x v="0"/>
    <x v="12"/>
    <x v="25"/>
    <x v="25"/>
    <x v="28"/>
    <x v="42"/>
    <x v="1"/>
    <x v="32"/>
    <x v="3"/>
    <x v="0"/>
  </r>
  <r>
    <x v="231"/>
    <x v="4"/>
    <x v="16"/>
    <x v="15"/>
    <x v="23"/>
    <x v="21"/>
    <x v="8"/>
    <x v="23"/>
    <x v="20"/>
    <x v="17"/>
    <x v="0"/>
    <x v="0"/>
    <x v="15"/>
    <x v="23"/>
    <x v="15"/>
    <x v="52"/>
    <x v="24"/>
    <x v="0"/>
    <x v="28"/>
    <x v="3"/>
    <x v="2"/>
  </r>
  <r>
    <x v="231"/>
    <x v="4"/>
    <x v="16"/>
    <x v="18"/>
    <x v="27"/>
    <x v="34"/>
    <x v="0"/>
    <x v="16"/>
    <x v="32"/>
    <x v="24"/>
    <x v="40"/>
    <x v="0"/>
    <x v="18"/>
    <x v="16"/>
    <x v="18"/>
    <x v="74"/>
    <x v="27"/>
    <x v="0"/>
    <x v="6"/>
    <x v="3"/>
    <x v="2"/>
  </r>
  <r>
    <x v="231"/>
    <x v="4"/>
    <x v="16"/>
    <x v="19"/>
    <x v="33"/>
    <x v="26"/>
    <x v="24"/>
    <x v="26"/>
    <x v="36"/>
    <x v="22"/>
    <x v="41"/>
    <x v="0"/>
    <x v="19"/>
    <x v="31"/>
    <x v="19"/>
    <x v="41"/>
    <x v="45"/>
    <x v="2"/>
    <x v="88"/>
    <x v="1"/>
    <x v="0"/>
  </r>
  <r>
    <x v="231"/>
    <x v="4"/>
    <x v="16"/>
    <x v="20"/>
    <x v="9"/>
    <x v="40"/>
    <x v="19"/>
    <x v="20"/>
    <x v="31"/>
    <x v="40"/>
    <x v="13"/>
    <x v="0"/>
    <x v="20"/>
    <x v="9"/>
    <x v="20"/>
    <x v="60"/>
    <x v="54"/>
    <x v="1"/>
    <x v="64"/>
    <x v="0"/>
    <x v="0"/>
  </r>
  <r>
    <x v="231"/>
    <x v="4"/>
    <x v="16"/>
    <x v="26"/>
    <x v="2"/>
    <x v="40"/>
    <x v="21"/>
    <x v="2"/>
    <x v="33"/>
    <x v="30"/>
    <x v="15"/>
    <x v="0"/>
    <x v="26"/>
    <x v="2"/>
    <x v="26"/>
    <x v="58"/>
    <x v="56"/>
    <x v="0"/>
    <x v="22"/>
    <x v="3"/>
    <x v="0"/>
  </r>
  <r>
    <x v="231"/>
    <x v="4"/>
    <x v="16"/>
    <x v="28"/>
    <x v="30"/>
    <x v="7"/>
    <x v="11"/>
    <x v="17"/>
    <x v="16"/>
    <x v="22"/>
    <x v="17"/>
    <x v="0"/>
    <x v="28"/>
    <x v="17"/>
    <x v="17"/>
    <x v="35"/>
    <x v="13"/>
    <x v="0"/>
    <x v="45"/>
    <x v="3"/>
    <x v="2"/>
  </r>
  <r>
    <x v="231"/>
    <x v="4"/>
    <x v="16"/>
    <x v="29"/>
    <x v="24"/>
    <x v="27"/>
    <x v="22"/>
    <x v="24"/>
    <x v="10"/>
    <x v="22"/>
    <x v="4"/>
    <x v="0"/>
    <x v="27"/>
    <x v="24"/>
    <x v="27"/>
    <x v="44"/>
    <x v="44"/>
    <x v="0"/>
    <x v="36"/>
    <x v="3"/>
    <x v="0"/>
  </r>
  <r>
    <x v="235"/>
    <x v="4"/>
    <x v="16"/>
    <x v="22"/>
    <x v="13"/>
    <x v="21"/>
    <x v="38"/>
    <x v="22"/>
    <x v="31"/>
    <x v="37"/>
    <x v="26"/>
    <x v="0"/>
    <x v="22"/>
    <x v="13"/>
    <x v="13"/>
    <x v="22"/>
    <x v="54"/>
    <x v="1"/>
    <x v="26"/>
    <x v="3"/>
    <x v="0"/>
  </r>
  <r>
    <x v="243"/>
    <x v="4"/>
    <x v="1"/>
    <x v="6"/>
    <x v="7"/>
    <x v="2"/>
    <x v="22"/>
    <x v="7"/>
    <x v="24"/>
    <x v="26"/>
    <x v="31"/>
    <x v="0"/>
    <x v="6"/>
    <x v="7"/>
    <x v="7"/>
    <x v="17"/>
    <x v="17"/>
    <x v="0"/>
    <x v="63"/>
    <x v="0"/>
    <x v="2"/>
  </r>
  <r>
    <x v="253"/>
    <x v="4"/>
    <x v="1"/>
    <x v="0"/>
    <x v="30"/>
    <x v="28"/>
    <x v="12"/>
    <x v="17"/>
    <x v="23"/>
    <x v="21"/>
    <x v="44"/>
    <x v="0"/>
    <x v="0"/>
    <x v="17"/>
    <x v="0"/>
    <x v="55"/>
    <x v="35"/>
    <x v="0"/>
    <x v="25"/>
    <x v="3"/>
    <x v="0"/>
  </r>
  <r>
    <x v="253"/>
    <x v="4"/>
    <x v="1"/>
    <x v="2"/>
    <x v="32"/>
    <x v="18"/>
    <x v="5"/>
    <x v="31"/>
    <x v="16"/>
    <x v="22"/>
    <x v="23"/>
    <x v="0"/>
    <x v="2"/>
    <x v="30"/>
    <x v="2"/>
    <x v="52"/>
    <x v="18"/>
    <x v="0"/>
    <x v="28"/>
    <x v="3"/>
    <x v="2"/>
  </r>
  <r>
    <x v="253"/>
    <x v="4"/>
    <x v="1"/>
    <x v="3"/>
    <x v="15"/>
    <x v="10"/>
    <x v="15"/>
    <x v="15"/>
    <x v="34"/>
    <x v="18"/>
    <x v="33"/>
    <x v="0"/>
    <x v="3"/>
    <x v="15"/>
    <x v="15"/>
    <x v="34"/>
    <x v="20"/>
    <x v="0"/>
    <x v="46"/>
    <x v="0"/>
    <x v="2"/>
  </r>
  <r>
    <x v="253"/>
    <x v="4"/>
    <x v="1"/>
    <x v="10"/>
    <x v="18"/>
    <x v="17"/>
    <x v="14"/>
    <x v="18"/>
    <x v="31"/>
    <x v="20"/>
    <x v="11"/>
    <x v="0"/>
    <x v="10"/>
    <x v="18"/>
    <x v="10"/>
    <x v="42"/>
    <x v="26"/>
    <x v="0"/>
    <x v="38"/>
    <x v="3"/>
    <x v="2"/>
  </r>
  <r>
    <x v="253"/>
    <x v="4"/>
    <x v="1"/>
    <x v="11"/>
    <x v="5"/>
    <x v="51"/>
    <x v="12"/>
    <x v="5"/>
    <x v="18"/>
    <x v="42"/>
    <x v="16"/>
    <x v="0"/>
    <x v="11"/>
    <x v="5"/>
    <x v="11"/>
    <x v="77"/>
    <x v="59"/>
    <x v="0"/>
    <x v="4"/>
    <x v="3"/>
    <x v="0"/>
  </r>
  <r>
    <x v="253"/>
    <x v="4"/>
    <x v="1"/>
    <x v="14"/>
    <x v="8"/>
    <x v="14"/>
    <x v="29"/>
    <x v="14"/>
    <x v="22"/>
    <x v="24"/>
    <x v="45"/>
    <x v="0"/>
    <x v="14"/>
    <x v="8"/>
    <x v="8"/>
    <x v="24"/>
    <x v="38"/>
    <x v="1"/>
    <x v="28"/>
    <x v="3"/>
    <x v="0"/>
  </r>
  <r>
    <x v="253"/>
    <x v="4"/>
    <x v="1"/>
    <x v="21"/>
    <x v="28"/>
    <x v="21"/>
    <x v="25"/>
    <x v="29"/>
    <x v="26"/>
    <x v="33"/>
    <x v="20"/>
    <x v="0"/>
    <x v="21"/>
    <x v="28"/>
    <x v="28"/>
    <x v="35"/>
    <x v="41"/>
    <x v="0"/>
    <x v="45"/>
    <x v="3"/>
    <x v="0"/>
  </r>
  <r>
    <x v="253"/>
    <x v="4"/>
    <x v="1"/>
    <x v="23"/>
    <x v="26"/>
    <x v="17"/>
    <x v="11"/>
    <x v="23"/>
    <x v="28"/>
    <x v="28"/>
    <x v="26"/>
    <x v="0"/>
    <x v="23"/>
    <x v="26"/>
    <x v="23"/>
    <x v="45"/>
    <x v="23"/>
    <x v="1"/>
    <x v="49"/>
    <x v="0"/>
    <x v="2"/>
  </r>
  <r>
    <x v="253"/>
    <x v="4"/>
    <x v="1"/>
    <x v="24"/>
    <x v="9"/>
    <x v="14"/>
    <x v="39"/>
    <x v="24"/>
    <x v="12"/>
    <x v="36"/>
    <x v="30"/>
    <x v="0"/>
    <x v="24"/>
    <x v="9"/>
    <x v="9"/>
    <x v="14"/>
    <x v="48"/>
    <x v="1"/>
    <x v="18"/>
    <x v="3"/>
    <x v="0"/>
  </r>
  <r>
    <x v="253"/>
    <x v="4"/>
    <x v="1"/>
    <x v="29"/>
    <x v="22"/>
    <x v="35"/>
    <x v="15"/>
    <x v="22"/>
    <x v="18"/>
    <x v="24"/>
    <x v="4"/>
    <x v="0"/>
    <x v="27"/>
    <x v="22"/>
    <x v="27"/>
    <x v="59"/>
    <x v="45"/>
    <x v="0"/>
    <x v="21"/>
    <x v="3"/>
    <x v="0"/>
  </r>
  <r>
    <x v="253"/>
    <x v="4"/>
    <x v="1"/>
    <x v="31"/>
    <x v="1"/>
    <x v="14"/>
    <x v="25"/>
    <x v="30"/>
    <x v="31"/>
    <x v="28"/>
    <x v="34"/>
    <x v="0"/>
    <x v="29"/>
    <x v="1"/>
    <x v="1"/>
    <x v="28"/>
    <x v="34"/>
    <x v="1"/>
    <x v="32"/>
    <x v="3"/>
    <x v="2"/>
  </r>
  <r>
    <x v="258"/>
    <x v="4"/>
    <x v="1"/>
    <x v="25"/>
    <x v="4"/>
    <x v="42"/>
    <x v="19"/>
    <x v="4"/>
    <x v="23"/>
    <x v="31"/>
    <x v="18"/>
    <x v="0"/>
    <x v="25"/>
    <x v="4"/>
    <x v="25"/>
    <x v="62"/>
    <x v="56"/>
    <x v="0"/>
    <x v="18"/>
    <x v="3"/>
    <x v="0"/>
  </r>
  <r>
    <x v="267"/>
    <x v="4"/>
    <x v="2"/>
    <x v="18"/>
    <x v="3"/>
    <x v="19"/>
    <x v="7"/>
    <x v="3"/>
    <x v="29"/>
    <x v="16"/>
    <x v="40"/>
    <x v="0"/>
    <x v="18"/>
    <x v="3"/>
    <x v="18"/>
    <x v="51"/>
    <x v="21"/>
    <x v="0"/>
    <x v="29"/>
    <x v="3"/>
    <x v="2"/>
  </r>
  <r>
    <x v="277"/>
    <x v="4"/>
    <x v="2"/>
    <x v="0"/>
    <x v="10"/>
    <x v="11"/>
    <x v="4"/>
    <x v="0"/>
    <x v="34"/>
    <x v="17"/>
    <x v="44"/>
    <x v="0"/>
    <x v="0"/>
    <x v="10"/>
    <x v="0"/>
    <x v="46"/>
    <x v="10"/>
    <x v="1"/>
    <x v="50"/>
    <x v="0"/>
    <x v="2"/>
  </r>
  <r>
    <x v="277"/>
    <x v="4"/>
    <x v="2"/>
    <x v="4"/>
    <x v="1"/>
    <x v="14"/>
    <x v="17"/>
    <x v="4"/>
    <x v="32"/>
    <x v="28"/>
    <x v="2"/>
    <x v="0"/>
    <x v="4"/>
    <x v="1"/>
    <x v="1"/>
    <x v="36"/>
    <x v="26"/>
    <x v="1"/>
    <x v="40"/>
    <x v="3"/>
    <x v="2"/>
  </r>
  <r>
    <x v="277"/>
    <x v="4"/>
    <x v="2"/>
    <x v="5"/>
    <x v="19"/>
    <x v="18"/>
    <x v="11"/>
    <x v="19"/>
    <x v="32"/>
    <x v="27"/>
    <x v="37"/>
    <x v="0"/>
    <x v="5"/>
    <x v="19"/>
    <x v="5"/>
    <x v="46"/>
    <x v="24"/>
    <x v="0"/>
    <x v="34"/>
    <x v="3"/>
    <x v="2"/>
  </r>
  <r>
    <x v="277"/>
    <x v="4"/>
    <x v="2"/>
    <x v="7"/>
    <x v="12"/>
    <x v="4"/>
    <x v="21"/>
    <x v="12"/>
    <x v="29"/>
    <x v="18"/>
    <x v="10"/>
    <x v="0"/>
    <x v="7"/>
    <x v="12"/>
    <x v="12"/>
    <x v="22"/>
    <x v="20"/>
    <x v="0"/>
    <x v="58"/>
    <x v="0"/>
    <x v="2"/>
  </r>
  <r>
    <x v="277"/>
    <x v="4"/>
    <x v="2"/>
    <x v="11"/>
    <x v="25"/>
    <x v="49"/>
    <x v="18"/>
    <x v="25"/>
    <x v="26"/>
    <x v="45"/>
    <x v="16"/>
    <x v="0"/>
    <x v="11"/>
    <x v="25"/>
    <x v="11"/>
    <x v="71"/>
    <x v="63"/>
    <x v="0"/>
    <x v="9"/>
    <x v="3"/>
    <x v="0"/>
  </r>
  <r>
    <x v="277"/>
    <x v="4"/>
    <x v="2"/>
    <x v="13"/>
    <x v="20"/>
    <x v="17"/>
    <x v="40"/>
    <x v="20"/>
    <x v="31"/>
    <x v="52"/>
    <x v="22"/>
    <x v="0"/>
    <x v="13"/>
    <x v="20"/>
    <x v="20"/>
    <x v="16"/>
    <x v="52"/>
    <x v="0"/>
    <x v="64"/>
    <x v="0"/>
    <x v="0"/>
  </r>
  <r>
    <x v="277"/>
    <x v="4"/>
    <x v="2"/>
    <x v="15"/>
    <x v="29"/>
    <x v="21"/>
    <x v="18"/>
    <x v="15"/>
    <x v="35"/>
    <x v="21"/>
    <x v="0"/>
    <x v="0"/>
    <x v="15"/>
    <x v="27"/>
    <x v="15"/>
    <x v="42"/>
    <x v="34"/>
    <x v="1"/>
    <x v="46"/>
    <x v="0"/>
    <x v="0"/>
  </r>
  <r>
    <x v="277"/>
    <x v="4"/>
    <x v="2"/>
    <x v="21"/>
    <x v="6"/>
    <x v="7"/>
    <x v="25"/>
    <x v="6"/>
    <x v="21"/>
    <x v="37"/>
    <x v="20"/>
    <x v="0"/>
    <x v="21"/>
    <x v="6"/>
    <x v="6"/>
    <x v="21"/>
    <x v="27"/>
    <x v="0"/>
    <x v="59"/>
    <x v="0"/>
    <x v="2"/>
  </r>
  <r>
    <x v="277"/>
    <x v="4"/>
    <x v="2"/>
    <x v="22"/>
    <x v="28"/>
    <x v="7"/>
    <x v="14"/>
    <x v="22"/>
    <x v="29"/>
    <x v="24"/>
    <x v="26"/>
    <x v="0"/>
    <x v="22"/>
    <x v="28"/>
    <x v="28"/>
    <x v="32"/>
    <x v="16"/>
    <x v="1"/>
    <x v="36"/>
    <x v="3"/>
    <x v="2"/>
  </r>
  <r>
    <x v="277"/>
    <x v="4"/>
    <x v="2"/>
    <x v="27"/>
    <x v="24"/>
    <x v="10"/>
    <x v="4"/>
    <x v="24"/>
    <x v="17"/>
    <x v="25"/>
    <x v="32"/>
    <x v="0"/>
    <x v="16"/>
    <x v="24"/>
    <x v="16"/>
    <x v="45"/>
    <x v="9"/>
    <x v="0"/>
    <x v="35"/>
    <x v="3"/>
    <x v="2"/>
  </r>
  <r>
    <x v="277"/>
    <x v="4"/>
    <x v="2"/>
    <x v="30"/>
    <x v="9"/>
    <x v="19"/>
    <x v="5"/>
    <x v="17"/>
    <x v="19"/>
    <x v="34"/>
    <x v="6"/>
    <x v="0"/>
    <x v="17"/>
    <x v="9"/>
    <x v="17"/>
    <x v="53"/>
    <x v="19"/>
    <x v="1"/>
    <x v="57"/>
    <x v="0"/>
    <x v="2"/>
  </r>
  <r>
    <x v="277"/>
    <x v="4"/>
    <x v="2"/>
    <x v="33"/>
    <x v="31"/>
    <x v="4"/>
    <x v="25"/>
    <x v="30"/>
    <x v="23"/>
    <x v="26"/>
    <x v="9"/>
    <x v="0"/>
    <x v="31"/>
    <x v="29"/>
    <x v="29"/>
    <x v="18"/>
    <x v="24"/>
    <x v="0"/>
    <x v="62"/>
    <x v="0"/>
    <x v="2"/>
  </r>
  <r>
    <x v="282"/>
    <x v="4"/>
    <x v="2"/>
    <x v="32"/>
    <x v="26"/>
    <x v="21"/>
    <x v="25"/>
    <x v="31"/>
    <x v="23"/>
    <x v="26"/>
    <x v="28"/>
    <x v="0"/>
    <x v="30"/>
    <x v="26"/>
    <x v="26"/>
    <x v="35"/>
    <x v="41"/>
    <x v="1"/>
    <x v="39"/>
    <x v="3"/>
    <x v="0"/>
  </r>
  <r>
    <x v="291"/>
    <x v="4"/>
    <x v="3"/>
    <x v="24"/>
    <x v="15"/>
    <x v="21"/>
    <x v="18"/>
    <x v="24"/>
    <x v="22"/>
    <x v="18"/>
    <x v="30"/>
    <x v="0"/>
    <x v="24"/>
    <x v="15"/>
    <x v="24"/>
    <x v="42"/>
    <x v="34"/>
    <x v="1"/>
    <x v="46"/>
    <x v="3"/>
    <x v="0"/>
  </r>
  <r>
    <x v="301"/>
    <x v="4"/>
    <x v="3"/>
    <x v="1"/>
    <x v="7"/>
    <x v="21"/>
    <x v="24"/>
    <x v="7"/>
    <x v="32"/>
    <x v="31"/>
    <x v="12"/>
    <x v="0"/>
    <x v="1"/>
    <x v="7"/>
    <x v="7"/>
    <x v="36"/>
    <x v="40"/>
    <x v="0"/>
    <x v="44"/>
    <x v="3"/>
    <x v="0"/>
  </r>
  <r>
    <x v="301"/>
    <x v="4"/>
    <x v="3"/>
    <x v="5"/>
    <x v="31"/>
    <x v="18"/>
    <x v="11"/>
    <x v="30"/>
    <x v="28"/>
    <x v="27"/>
    <x v="37"/>
    <x v="0"/>
    <x v="5"/>
    <x v="29"/>
    <x v="5"/>
    <x v="46"/>
    <x v="24"/>
    <x v="0"/>
    <x v="34"/>
    <x v="3"/>
    <x v="2"/>
  </r>
  <r>
    <x v="301"/>
    <x v="4"/>
    <x v="3"/>
    <x v="9"/>
    <x v="18"/>
    <x v="36"/>
    <x v="34"/>
    <x v="18"/>
    <x v="24"/>
    <x v="29"/>
    <x v="38"/>
    <x v="0"/>
    <x v="9"/>
    <x v="18"/>
    <x v="9"/>
    <x v="41"/>
    <x v="65"/>
    <x v="0"/>
    <x v="39"/>
    <x v="3"/>
    <x v="0"/>
  </r>
  <r>
    <x v="301"/>
    <x v="4"/>
    <x v="3"/>
    <x v="12"/>
    <x v="6"/>
    <x v="10"/>
    <x v="20"/>
    <x v="6"/>
    <x v="32"/>
    <x v="23"/>
    <x v="35"/>
    <x v="0"/>
    <x v="12"/>
    <x v="6"/>
    <x v="6"/>
    <x v="29"/>
    <x v="25"/>
    <x v="0"/>
    <x v="51"/>
    <x v="0"/>
    <x v="2"/>
  </r>
  <r>
    <x v="301"/>
    <x v="4"/>
    <x v="3"/>
    <x v="13"/>
    <x v="14"/>
    <x v="20"/>
    <x v="2"/>
    <x v="14"/>
    <x v="10"/>
    <x v="33"/>
    <x v="22"/>
    <x v="0"/>
    <x v="13"/>
    <x v="14"/>
    <x v="13"/>
    <x v="58"/>
    <x v="16"/>
    <x v="0"/>
    <x v="22"/>
    <x v="3"/>
    <x v="2"/>
  </r>
  <r>
    <x v="301"/>
    <x v="4"/>
    <x v="3"/>
    <x v="19"/>
    <x v="11"/>
    <x v="18"/>
    <x v="22"/>
    <x v="19"/>
    <x v="21"/>
    <x v="33"/>
    <x v="41"/>
    <x v="0"/>
    <x v="19"/>
    <x v="11"/>
    <x v="11"/>
    <x v="35"/>
    <x v="35"/>
    <x v="1"/>
    <x v="39"/>
    <x v="3"/>
    <x v="2"/>
  </r>
  <r>
    <x v="301"/>
    <x v="4"/>
    <x v="3"/>
    <x v="20"/>
    <x v="10"/>
    <x v="31"/>
    <x v="7"/>
    <x v="10"/>
    <x v="23"/>
    <x v="29"/>
    <x v="13"/>
    <x v="0"/>
    <x v="20"/>
    <x v="10"/>
    <x v="20"/>
    <x v="63"/>
    <x v="33"/>
    <x v="0"/>
    <x v="17"/>
    <x v="3"/>
    <x v="2"/>
  </r>
  <r>
    <x v="301"/>
    <x v="4"/>
    <x v="3"/>
    <x v="22"/>
    <x v="8"/>
    <x v="25"/>
    <x v="29"/>
    <x v="22"/>
    <x v="28"/>
    <x v="32"/>
    <x v="26"/>
    <x v="0"/>
    <x v="22"/>
    <x v="8"/>
    <x v="8"/>
    <x v="35"/>
    <x v="49"/>
    <x v="1"/>
    <x v="39"/>
    <x v="3"/>
    <x v="0"/>
  </r>
  <r>
    <x v="301"/>
    <x v="4"/>
    <x v="3"/>
    <x v="25"/>
    <x v="32"/>
    <x v="40"/>
    <x v="22"/>
    <x v="31"/>
    <x v="14"/>
    <x v="32"/>
    <x v="18"/>
    <x v="0"/>
    <x v="25"/>
    <x v="30"/>
    <x v="25"/>
    <x v="57"/>
    <x v="57"/>
    <x v="0"/>
    <x v="23"/>
    <x v="3"/>
    <x v="0"/>
  </r>
  <r>
    <x v="301"/>
    <x v="4"/>
    <x v="3"/>
    <x v="27"/>
    <x v="30"/>
    <x v="24"/>
    <x v="22"/>
    <x v="17"/>
    <x v="27"/>
    <x v="21"/>
    <x v="32"/>
    <x v="0"/>
    <x v="16"/>
    <x v="17"/>
    <x v="16"/>
    <x v="41"/>
    <x v="41"/>
    <x v="0"/>
    <x v="39"/>
    <x v="3"/>
    <x v="0"/>
  </r>
  <r>
    <x v="301"/>
    <x v="4"/>
    <x v="3"/>
    <x v="28"/>
    <x v="33"/>
    <x v="14"/>
    <x v="11"/>
    <x v="32"/>
    <x v="18"/>
    <x v="22"/>
    <x v="17"/>
    <x v="0"/>
    <x v="28"/>
    <x v="31"/>
    <x v="28"/>
    <x v="42"/>
    <x v="20"/>
    <x v="0"/>
    <x v="38"/>
    <x v="3"/>
    <x v="2"/>
  </r>
  <r>
    <x v="301"/>
    <x v="4"/>
    <x v="3"/>
    <x v="29"/>
    <x v="0"/>
    <x v="16"/>
    <x v="2"/>
    <x v="0"/>
    <x v="22"/>
    <x v="17"/>
    <x v="4"/>
    <x v="0"/>
    <x v="27"/>
    <x v="0"/>
    <x v="27"/>
    <x v="54"/>
    <x v="12"/>
    <x v="0"/>
    <x v="26"/>
    <x v="3"/>
    <x v="2"/>
  </r>
  <r>
    <x v="306"/>
    <x v="4"/>
    <x v="3"/>
    <x v="3"/>
    <x v="23"/>
    <x v="35"/>
    <x v="2"/>
    <x v="23"/>
    <x v="32"/>
    <x v="19"/>
    <x v="11"/>
    <x v="0"/>
    <x v="3"/>
    <x v="23"/>
    <x v="3"/>
    <x v="73"/>
    <x v="31"/>
    <x v="0"/>
    <x v="7"/>
    <x v="3"/>
    <x v="2"/>
  </r>
  <r>
    <x v="306"/>
    <x v="4"/>
    <x v="3"/>
    <x v="21"/>
    <x v="2"/>
    <x v="24"/>
    <x v="32"/>
    <x v="2"/>
    <x v="31"/>
    <x v="35"/>
    <x v="20"/>
    <x v="0"/>
    <x v="21"/>
    <x v="2"/>
    <x v="2"/>
    <x v="31"/>
    <x v="51"/>
    <x v="0"/>
    <x v="49"/>
    <x v="0"/>
    <x v="0"/>
  </r>
  <r>
    <x v="315"/>
    <x v="4"/>
    <x v="4"/>
    <x v="8"/>
    <x v="25"/>
    <x v="7"/>
    <x v="31"/>
    <x v="25"/>
    <x v="30"/>
    <x v="48"/>
    <x v="5"/>
    <x v="0"/>
    <x v="8"/>
    <x v="25"/>
    <x v="25"/>
    <x v="15"/>
    <x v="33"/>
    <x v="0"/>
    <x v="65"/>
    <x v="0"/>
    <x v="2"/>
  </r>
  <r>
    <x v="315"/>
    <x v="4"/>
    <x v="4"/>
    <x v="10"/>
    <x v="5"/>
    <x v="31"/>
    <x v="15"/>
    <x v="5"/>
    <x v="23"/>
    <x v="26"/>
    <x v="11"/>
    <x v="0"/>
    <x v="10"/>
    <x v="5"/>
    <x v="10"/>
    <x v="55"/>
    <x v="41"/>
    <x v="0"/>
    <x v="25"/>
    <x v="3"/>
    <x v="0"/>
  </r>
  <r>
    <x v="315"/>
    <x v="4"/>
    <x v="4"/>
    <x v="28"/>
    <x v="29"/>
    <x v="2"/>
    <x v="17"/>
    <x v="28"/>
    <x v="34"/>
    <x v="15"/>
    <x v="17"/>
    <x v="0"/>
    <x v="28"/>
    <x v="27"/>
    <x v="27"/>
    <x v="22"/>
    <x v="12"/>
    <x v="0"/>
    <x v="58"/>
    <x v="0"/>
    <x v="2"/>
  </r>
  <r>
    <x v="325"/>
    <x v="4"/>
    <x v="4"/>
    <x v="1"/>
    <x v="0"/>
    <x v="26"/>
    <x v="16"/>
    <x v="1"/>
    <x v="34"/>
    <x v="24"/>
    <x v="12"/>
    <x v="0"/>
    <x v="1"/>
    <x v="0"/>
    <x v="1"/>
    <x v="49"/>
    <x v="37"/>
    <x v="1"/>
    <x v="53"/>
    <x v="0"/>
    <x v="0"/>
  </r>
  <r>
    <x v="325"/>
    <x v="4"/>
    <x v="4"/>
    <x v="2"/>
    <x v="27"/>
    <x v="30"/>
    <x v="32"/>
    <x v="16"/>
    <x v="24"/>
    <x v="26"/>
    <x v="23"/>
    <x v="0"/>
    <x v="2"/>
    <x v="16"/>
    <x v="16"/>
    <x v="37"/>
    <x v="57"/>
    <x v="0"/>
    <x v="43"/>
    <x v="3"/>
    <x v="0"/>
  </r>
  <r>
    <x v="325"/>
    <x v="4"/>
    <x v="4"/>
    <x v="3"/>
    <x v="7"/>
    <x v="23"/>
    <x v="8"/>
    <x v="7"/>
    <x v="31"/>
    <x v="18"/>
    <x v="33"/>
    <x v="0"/>
    <x v="3"/>
    <x v="7"/>
    <x v="3"/>
    <x v="54"/>
    <x v="26"/>
    <x v="0"/>
    <x v="26"/>
    <x v="3"/>
    <x v="2"/>
  </r>
  <r>
    <x v="325"/>
    <x v="4"/>
    <x v="4"/>
    <x v="11"/>
    <x v="20"/>
    <x v="23"/>
    <x v="19"/>
    <x v="20"/>
    <x v="31"/>
    <x v="50"/>
    <x v="16"/>
    <x v="0"/>
    <x v="11"/>
    <x v="20"/>
    <x v="11"/>
    <x v="43"/>
    <x v="37"/>
    <x v="0"/>
    <x v="37"/>
    <x v="3"/>
    <x v="2"/>
  </r>
  <r>
    <x v="325"/>
    <x v="4"/>
    <x v="4"/>
    <x v="12"/>
    <x v="32"/>
    <x v="42"/>
    <x v="19"/>
    <x v="31"/>
    <x v="23"/>
    <x v="19"/>
    <x v="35"/>
    <x v="0"/>
    <x v="12"/>
    <x v="30"/>
    <x v="12"/>
    <x v="62"/>
    <x v="56"/>
    <x v="0"/>
    <x v="18"/>
    <x v="3"/>
    <x v="0"/>
  </r>
  <r>
    <x v="325"/>
    <x v="4"/>
    <x v="4"/>
    <x v="13"/>
    <x v="33"/>
    <x v="46"/>
    <x v="25"/>
    <x v="32"/>
    <x v="21"/>
    <x v="32"/>
    <x v="22"/>
    <x v="0"/>
    <x v="13"/>
    <x v="31"/>
    <x v="13"/>
    <x v="60"/>
    <x v="66"/>
    <x v="0"/>
    <x v="20"/>
    <x v="3"/>
    <x v="0"/>
  </r>
  <r>
    <x v="325"/>
    <x v="4"/>
    <x v="4"/>
    <x v="14"/>
    <x v="22"/>
    <x v="22"/>
    <x v="22"/>
    <x v="14"/>
    <x v="31"/>
    <x v="22"/>
    <x v="8"/>
    <x v="0"/>
    <x v="14"/>
    <x v="22"/>
    <x v="14"/>
    <x v="39"/>
    <x v="39"/>
    <x v="1"/>
    <x v="43"/>
    <x v="3"/>
    <x v="0"/>
  </r>
  <r>
    <x v="325"/>
    <x v="4"/>
    <x v="4"/>
    <x v="15"/>
    <x v="9"/>
    <x v="13"/>
    <x v="27"/>
    <x v="26"/>
    <x v="36"/>
    <x v="33"/>
    <x v="0"/>
    <x v="0"/>
    <x v="15"/>
    <x v="9"/>
    <x v="9"/>
    <x v="25"/>
    <x v="35"/>
    <x v="2"/>
    <x v="88"/>
    <x v="1"/>
    <x v="2"/>
  </r>
  <r>
    <x v="325"/>
    <x v="4"/>
    <x v="4"/>
    <x v="19"/>
    <x v="4"/>
    <x v="28"/>
    <x v="11"/>
    <x v="4"/>
    <x v="32"/>
    <x v="17"/>
    <x v="41"/>
    <x v="0"/>
    <x v="19"/>
    <x v="4"/>
    <x v="19"/>
    <x v="56"/>
    <x v="34"/>
    <x v="0"/>
    <x v="24"/>
    <x v="3"/>
    <x v="0"/>
  </r>
  <r>
    <x v="325"/>
    <x v="4"/>
    <x v="4"/>
    <x v="26"/>
    <x v="21"/>
    <x v="29"/>
    <x v="33"/>
    <x v="21"/>
    <x v="30"/>
    <x v="43"/>
    <x v="15"/>
    <x v="0"/>
    <x v="26"/>
    <x v="21"/>
    <x v="21"/>
    <x v="35"/>
    <x v="57"/>
    <x v="0"/>
    <x v="45"/>
    <x v="3"/>
    <x v="0"/>
  </r>
  <r>
    <x v="325"/>
    <x v="4"/>
    <x v="4"/>
    <x v="30"/>
    <x v="24"/>
    <x v="48"/>
    <x v="0"/>
    <x v="24"/>
    <x v="25"/>
    <x v="20"/>
    <x v="6"/>
    <x v="0"/>
    <x v="17"/>
    <x v="24"/>
    <x v="17"/>
    <x v="82"/>
    <x v="42"/>
    <x v="0"/>
    <x v="0"/>
    <x v="3"/>
    <x v="0"/>
  </r>
  <r>
    <x v="325"/>
    <x v="4"/>
    <x v="4"/>
    <x v="31"/>
    <x v="6"/>
    <x v="10"/>
    <x v="12"/>
    <x v="30"/>
    <x v="25"/>
    <x v="21"/>
    <x v="34"/>
    <x v="0"/>
    <x v="29"/>
    <x v="6"/>
    <x v="6"/>
    <x v="37"/>
    <x v="17"/>
    <x v="1"/>
    <x v="41"/>
    <x v="3"/>
    <x v="2"/>
  </r>
  <r>
    <x v="330"/>
    <x v="4"/>
    <x v="4"/>
    <x v="23"/>
    <x v="18"/>
    <x v="10"/>
    <x v="14"/>
    <x v="23"/>
    <x v="23"/>
    <x v="17"/>
    <x v="26"/>
    <x v="0"/>
    <x v="23"/>
    <x v="18"/>
    <x v="18"/>
    <x v="35"/>
    <x v="19"/>
    <x v="1"/>
    <x v="39"/>
    <x v="3"/>
    <x v="2"/>
  </r>
  <r>
    <x v="339"/>
    <x v="4"/>
    <x v="5"/>
    <x v="5"/>
    <x v="8"/>
    <x v="25"/>
    <x v="39"/>
    <x v="5"/>
    <x v="30"/>
    <x v="34"/>
    <x v="37"/>
    <x v="0"/>
    <x v="5"/>
    <x v="8"/>
    <x v="8"/>
    <x v="25"/>
    <x v="59"/>
    <x v="1"/>
    <x v="29"/>
    <x v="3"/>
    <x v="0"/>
  </r>
  <r>
    <x v="349"/>
    <x v="4"/>
    <x v="5"/>
    <x v="0"/>
    <x v="15"/>
    <x v="14"/>
    <x v="12"/>
    <x v="0"/>
    <x v="32"/>
    <x v="16"/>
    <x v="44"/>
    <x v="0"/>
    <x v="0"/>
    <x v="15"/>
    <x v="0"/>
    <x v="41"/>
    <x v="21"/>
    <x v="1"/>
    <x v="45"/>
    <x v="0"/>
    <x v="2"/>
  </r>
  <r>
    <x v="349"/>
    <x v="4"/>
    <x v="5"/>
    <x v="6"/>
    <x v="26"/>
    <x v="18"/>
    <x v="40"/>
    <x v="27"/>
    <x v="31"/>
    <x v="29"/>
    <x v="31"/>
    <x v="0"/>
    <x v="6"/>
    <x v="26"/>
    <x v="26"/>
    <x v="17"/>
    <x v="53"/>
    <x v="0"/>
    <x v="63"/>
    <x v="0"/>
    <x v="0"/>
  </r>
  <r>
    <x v="349"/>
    <x v="4"/>
    <x v="5"/>
    <x v="7"/>
    <x v="13"/>
    <x v="21"/>
    <x v="23"/>
    <x v="7"/>
    <x v="31"/>
    <x v="34"/>
    <x v="10"/>
    <x v="0"/>
    <x v="7"/>
    <x v="13"/>
    <x v="13"/>
    <x v="37"/>
    <x v="39"/>
    <x v="1"/>
    <x v="41"/>
    <x v="3"/>
    <x v="2"/>
  </r>
  <r>
    <x v="349"/>
    <x v="4"/>
    <x v="5"/>
    <x v="9"/>
    <x v="3"/>
    <x v="21"/>
    <x v="15"/>
    <x v="3"/>
    <x v="19"/>
    <x v="28"/>
    <x v="38"/>
    <x v="0"/>
    <x v="9"/>
    <x v="3"/>
    <x v="9"/>
    <x v="45"/>
    <x v="31"/>
    <x v="0"/>
    <x v="35"/>
    <x v="3"/>
    <x v="2"/>
  </r>
  <r>
    <x v="349"/>
    <x v="4"/>
    <x v="5"/>
    <x v="10"/>
    <x v="31"/>
    <x v="31"/>
    <x v="15"/>
    <x v="30"/>
    <x v="16"/>
    <x v="18"/>
    <x v="11"/>
    <x v="0"/>
    <x v="10"/>
    <x v="29"/>
    <x v="10"/>
    <x v="55"/>
    <x v="41"/>
    <x v="0"/>
    <x v="25"/>
    <x v="3"/>
    <x v="0"/>
  </r>
  <r>
    <x v="349"/>
    <x v="4"/>
    <x v="5"/>
    <x v="14"/>
    <x v="12"/>
    <x v="10"/>
    <x v="25"/>
    <x v="14"/>
    <x v="24"/>
    <x v="18"/>
    <x v="8"/>
    <x v="0"/>
    <x v="14"/>
    <x v="12"/>
    <x v="12"/>
    <x v="24"/>
    <x v="30"/>
    <x v="1"/>
    <x v="28"/>
    <x v="3"/>
    <x v="2"/>
  </r>
  <r>
    <x v="349"/>
    <x v="4"/>
    <x v="5"/>
    <x v="18"/>
    <x v="2"/>
    <x v="10"/>
    <x v="26"/>
    <x v="2"/>
    <x v="31"/>
    <x v="24"/>
    <x v="40"/>
    <x v="0"/>
    <x v="18"/>
    <x v="2"/>
    <x v="2"/>
    <x v="23"/>
    <x v="31"/>
    <x v="0"/>
    <x v="57"/>
    <x v="0"/>
    <x v="2"/>
  </r>
  <r>
    <x v="349"/>
    <x v="4"/>
    <x v="5"/>
    <x v="19"/>
    <x v="23"/>
    <x v="27"/>
    <x v="22"/>
    <x v="23"/>
    <x v="29"/>
    <x v="14"/>
    <x v="41"/>
    <x v="0"/>
    <x v="19"/>
    <x v="23"/>
    <x v="19"/>
    <x v="44"/>
    <x v="44"/>
    <x v="0"/>
    <x v="36"/>
    <x v="3"/>
    <x v="0"/>
  </r>
  <r>
    <x v="349"/>
    <x v="4"/>
    <x v="5"/>
    <x v="21"/>
    <x v="4"/>
    <x v="7"/>
    <x v="39"/>
    <x v="4"/>
    <x v="18"/>
    <x v="35"/>
    <x v="20"/>
    <x v="0"/>
    <x v="21"/>
    <x v="4"/>
    <x v="4"/>
    <x v="7"/>
    <x v="41"/>
    <x v="0"/>
    <x v="73"/>
    <x v="0"/>
    <x v="0"/>
  </r>
  <r>
    <x v="349"/>
    <x v="4"/>
    <x v="5"/>
    <x v="24"/>
    <x v="28"/>
    <x v="21"/>
    <x v="11"/>
    <x v="24"/>
    <x v="20"/>
    <x v="15"/>
    <x v="30"/>
    <x v="0"/>
    <x v="24"/>
    <x v="28"/>
    <x v="24"/>
    <x v="49"/>
    <x v="27"/>
    <x v="1"/>
    <x v="53"/>
    <x v="0"/>
    <x v="2"/>
  </r>
  <r>
    <x v="349"/>
    <x v="4"/>
    <x v="5"/>
    <x v="25"/>
    <x v="29"/>
    <x v="11"/>
    <x v="22"/>
    <x v="25"/>
    <x v="34"/>
    <x v="30"/>
    <x v="18"/>
    <x v="0"/>
    <x v="25"/>
    <x v="27"/>
    <x v="27"/>
    <x v="28"/>
    <x v="28"/>
    <x v="1"/>
    <x v="32"/>
    <x v="3"/>
    <x v="2"/>
  </r>
  <r>
    <x v="349"/>
    <x v="4"/>
    <x v="5"/>
    <x v="27"/>
    <x v="20"/>
    <x v="11"/>
    <x v="21"/>
    <x v="16"/>
    <x v="29"/>
    <x v="42"/>
    <x v="32"/>
    <x v="0"/>
    <x v="16"/>
    <x v="20"/>
    <x v="20"/>
    <x v="29"/>
    <x v="27"/>
    <x v="1"/>
    <x v="33"/>
    <x v="3"/>
    <x v="2"/>
  </r>
  <r>
    <x v="349"/>
    <x v="4"/>
    <x v="5"/>
    <x v="32"/>
    <x v="22"/>
    <x v="4"/>
    <x v="34"/>
    <x v="31"/>
    <x v="31"/>
    <x v="27"/>
    <x v="28"/>
    <x v="0"/>
    <x v="30"/>
    <x v="22"/>
    <x v="22"/>
    <x v="9"/>
    <x v="33"/>
    <x v="1"/>
    <x v="13"/>
    <x v="3"/>
    <x v="2"/>
  </r>
  <r>
    <x v="349"/>
    <x v="4"/>
    <x v="5"/>
    <x v="33"/>
    <x v="30"/>
    <x v="0"/>
    <x v="22"/>
    <x v="32"/>
    <x v="31"/>
    <x v="23"/>
    <x v="9"/>
    <x v="0"/>
    <x v="31"/>
    <x v="17"/>
    <x v="17"/>
    <x v="14"/>
    <x v="14"/>
    <x v="1"/>
    <x v="18"/>
    <x v="3"/>
    <x v="2"/>
  </r>
  <r>
    <x v="354"/>
    <x v="4"/>
    <x v="5"/>
    <x v="11"/>
    <x v="1"/>
    <x v="40"/>
    <x v="35"/>
    <x v="1"/>
    <x v="10"/>
    <x v="44"/>
    <x v="16"/>
    <x v="0"/>
    <x v="11"/>
    <x v="1"/>
    <x v="11"/>
    <x v="44"/>
    <x v="70"/>
    <x v="0"/>
    <x v="36"/>
    <x v="3"/>
    <x v="0"/>
  </r>
  <r>
    <x v="363"/>
    <x v="4"/>
    <x v="6"/>
    <x v="30"/>
    <x v="0"/>
    <x v="3"/>
    <x v="10"/>
    <x v="0"/>
    <x v="25"/>
    <x v="15"/>
    <x v="6"/>
    <x v="0"/>
    <x v="17"/>
    <x v="0"/>
    <x v="0"/>
    <x v="32"/>
    <x v="8"/>
    <x v="0"/>
    <x v="48"/>
    <x v="2"/>
    <x v="2"/>
  </r>
  <r>
    <x v="373"/>
    <x v="4"/>
    <x v="6"/>
    <x v="1"/>
    <x v="26"/>
    <x v="17"/>
    <x v="25"/>
    <x v="1"/>
    <x v="31"/>
    <x v="45"/>
    <x v="12"/>
    <x v="0"/>
    <x v="1"/>
    <x v="26"/>
    <x v="26"/>
    <x v="31"/>
    <x v="37"/>
    <x v="1"/>
    <x v="35"/>
    <x v="3"/>
    <x v="2"/>
  </r>
  <r>
    <x v="373"/>
    <x v="4"/>
    <x v="6"/>
    <x v="2"/>
    <x v="14"/>
    <x v="17"/>
    <x v="10"/>
    <x v="14"/>
    <x v="9"/>
    <x v="23"/>
    <x v="23"/>
    <x v="0"/>
    <x v="2"/>
    <x v="14"/>
    <x v="2"/>
    <x v="46"/>
    <x v="22"/>
    <x v="0"/>
    <x v="34"/>
    <x v="3"/>
    <x v="2"/>
  </r>
  <r>
    <x v="373"/>
    <x v="4"/>
    <x v="6"/>
    <x v="3"/>
    <x v="11"/>
    <x v="18"/>
    <x v="11"/>
    <x v="3"/>
    <x v="30"/>
    <x v="34"/>
    <x v="33"/>
    <x v="0"/>
    <x v="3"/>
    <x v="11"/>
    <x v="3"/>
    <x v="46"/>
    <x v="24"/>
    <x v="1"/>
    <x v="50"/>
    <x v="0"/>
    <x v="2"/>
  </r>
  <r>
    <x v="373"/>
    <x v="4"/>
    <x v="6"/>
    <x v="4"/>
    <x v="31"/>
    <x v="16"/>
    <x v="15"/>
    <x v="30"/>
    <x v="30"/>
    <x v="17"/>
    <x v="2"/>
    <x v="0"/>
    <x v="4"/>
    <x v="29"/>
    <x v="4"/>
    <x v="40"/>
    <x v="26"/>
    <x v="0"/>
    <x v="40"/>
    <x v="3"/>
    <x v="2"/>
  </r>
  <r>
    <x v="373"/>
    <x v="4"/>
    <x v="6"/>
    <x v="7"/>
    <x v="6"/>
    <x v="0"/>
    <x v="28"/>
    <x v="6"/>
    <x v="33"/>
    <x v="21"/>
    <x v="10"/>
    <x v="0"/>
    <x v="7"/>
    <x v="6"/>
    <x v="6"/>
    <x v="8"/>
    <x v="20"/>
    <x v="0"/>
    <x v="72"/>
    <x v="0"/>
    <x v="2"/>
  </r>
  <r>
    <x v="373"/>
    <x v="4"/>
    <x v="6"/>
    <x v="10"/>
    <x v="19"/>
    <x v="13"/>
    <x v="12"/>
    <x v="19"/>
    <x v="21"/>
    <x v="18"/>
    <x v="11"/>
    <x v="0"/>
    <x v="10"/>
    <x v="19"/>
    <x v="10"/>
    <x v="40"/>
    <x v="20"/>
    <x v="0"/>
    <x v="40"/>
    <x v="3"/>
    <x v="2"/>
  </r>
  <r>
    <x v="373"/>
    <x v="4"/>
    <x v="6"/>
    <x v="13"/>
    <x v="12"/>
    <x v="14"/>
    <x v="8"/>
    <x v="12"/>
    <x v="23"/>
    <x v="32"/>
    <x v="22"/>
    <x v="0"/>
    <x v="13"/>
    <x v="12"/>
    <x v="13"/>
    <x v="45"/>
    <x v="17"/>
    <x v="0"/>
    <x v="35"/>
    <x v="3"/>
    <x v="2"/>
  </r>
  <r>
    <x v="373"/>
    <x v="4"/>
    <x v="6"/>
    <x v="15"/>
    <x v="24"/>
    <x v="28"/>
    <x v="11"/>
    <x v="24"/>
    <x v="15"/>
    <x v="17"/>
    <x v="0"/>
    <x v="0"/>
    <x v="15"/>
    <x v="24"/>
    <x v="15"/>
    <x v="56"/>
    <x v="34"/>
    <x v="0"/>
    <x v="24"/>
    <x v="3"/>
    <x v="0"/>
  </r>
  <r>
    <x v="373"/>
    <x v="4"/>
    <x v="6"/>
    <x v="20"/>
    <x v="18"/>
    <x v="38"/>
    <x v="11"/>
    <x v="18"/>
    <x v="19"/>
    <x v="30"/>
    <x v="13"/>
    <x v="0"/>
    <x v="20"/>
    <x v="18"/>
    <x v="20"/>
    <x v="66"/>
    <x v="44"/>
    <x v="0"/>
    <x v="14"/>
    <x v="3"/>
    <x v="0"/>
  </r>
  <r>
    <x v="373"/>
    <x v="4"/>
    <x v="6"/>
    <x v="22"/>
    <x v="33"/>
    <x v="21"/>
    <x v="11"/>
    <x v="32"/>
    <x v="23"/>
    <x v="27"/>
    <x v="26"/>
    <x v="0"/>
    <x v="22"/>
    <x v="31"/>
    <x v="22"/>
    <x v="49"/>
    <x v="27"/>
    <x v="0"/>
    <x v="31"/>
    <x v="3"/>
    <x v="2"/>
  </r>
  <r>
    <x v="373"/>
    <x v="4"/>
    <x v="6"/>
    <x v="25"/>
    <x v="8"/>
    <x v="24"/>
    <x v="36"/>
    <x v="8"/>
    <x v="30"/>
    <x v="44"/>
    <x v="18"/>
    <x v="0"/>
    <x v="25"/>
    <x v="8"/>
    <x v="8"/>
    <x v="27"/>
    <x v="55"/>
    <x v="0"/>
    <x v="53"/>
    <x v="0"/>
    <x v="0"/>
  </r>
  <r>
    <x v="373"/>
    <x v="4"/>
    <x v="6"/>
    <x v="27"/>
    <x v="9"/>
    <x v="7"/>
    <x v="20"/>
    <x v="16"/>
    <x v="29"/>
    <x v="33"/>
    <x v="32"/>
    <x v="0"/>
    <x v="16"/>
    <x v="9"/>
    <x v="9"/>
    <x v="26"/>
    <x v="22"/>
    <x v="1"/>
    <x v="30"/>
    <x v="3"/>
    <x v="2"/>
  </r>
  <r>
    <x v="373"/>
    <x v="4"/>
    <x v="6"/>
    <x v="29"/>
    <x v="28"/>
    <x v="14"/>
    <x v="5"/>
    <x v="29"/>
    <x v="18"/>
    <x v="11"/>
    <x v="4"/>
    <x v="0"/>
    <x v="27"/>
    <x v="28"/>
    <x v="27"/>
    <x v="48"/>
    <x v="14"/>
    <x v="0"/>
    <x v="32"/>
    <x v="3"/>
    <x v="2"/>
  </r>
  <r>
    <x v="373"/>
    <x v="4"/>
    <x v="6"/>
    <x v="32"/>
    <x v="23"/>
    <x v="8"/>
    <x v="14"/>
    <x v="31"/>
    <x v="31"/>
    <x v="17"/>
    <x v="28"/>
    <x v="0"/>
    <x v="30"/>
    <x v="23"/>
    <x v="23"/>
    <x v="33"/>
    <x v="17"/>
    <x v="1"/>
    <x v="37"/>
    <x v="3"/>
    <x v="2"/>
  </r>
  <r>
    <x v="378"/>
    <x v="4"/>
    <x v="6"/>
    <x v="5"/>
    <x v="21"/>
    <x v="12"/>
    <x v="29"/>
    <x v="5"/>
    <x v="30"/>
    <x v="41"/>
    <x v="37"/>
    <x v="0"/>
    <x v="5"/>
    <x v="21"/>
    <x v="21"/>
    <x v="22"/>
    <x v="36"/>
    <x v="1"/>
    <x v="26"/>
    <x v="3"/>
    <x v="2"/>
  </r>
  <r>
    <x v="390"/>
    <x v="4"/>
    <x v="7"/>
    <x v="14"/>
    <x v="32"/>
    <x v="18"/>
    <x v="11"/>
    <x v="31"/>
    <x v="28"/>
    <x v="12"/>
    <x v="8"/>
    <x v="0"/>
    <x v="14"/>
    <x v="30"/>
    <x v="14"/>
    <x v="46"/>
    <x v="24"/>
    <x v="0"/>
    <x v="34"/>
    <x v="3"/>
    <x v="2"/>
  </r>
  <r>
    <x v="398"/>
    <x v="4"/>
    <x v="7"/>
    <x v="28"/>
    <x v="27"/>
    <x v="32"/>
    <x v="36"/>
    <x v="16"/>
    <x v="34"/>
    <x v="15"/>
    <x v="17"/>
    <x v="0"/>
    <x v="28"/>
    <x v="16"/>
    <x v="16"/>
    <x v="35"/>
    <x v="63"/>
    <x v="0"/>
    <x v="45"/>
    <x v="0"/>
    <x v="0"/>
  </r>
  <r>
    <x v="398"/>
    <x v="4"/>
    <x v="7"/>
    <x v="33"/>
    <x v="25"/>
    <x v="24"/>
    <x v="22"/>
    <x v="32"/>
    <x v="23"/>
    <x v="36"/>
    <x v="9"/>
    <x v="0"/>
    <x v="31"/>
    <x v="25"/>
    <x v="32"/>
    <x v="41"/>
    <x v="41"/>
    <x v="1"/>
    <x v="45"/>
    <x v="3"/>
    <x v="1"/>
  </r>
  <r>
    <x v="400"/>
    <x v="4"/>
    <x v="7"/>
    <x v="0"/>
    <x v="29"/>
    <x v="3"/>
    <x v="33"/>
    <x v="0"/>
    <x v="18"/>
    <x v="7"/>
    <x v="44"/>
    <x v="0"/>
    <x v="0"/>
    <x v="27"/>
    <x v="27"/>
    <x v="9"/>
    <x v="31"/>
    <x v="1"/>
    <x v="13"/>
    <x v="3"/>
    <x v="0"/>
  </r>
  <r>
    <x v="400"/>
    <x v="4"/>
    <x v="7"/>
    <x v="4"/>
    <x v="7"/>
    <x v="14"/>
    <x v="11"/>
    <x v="7"/>
    <x v="25"/>
    <x v="14"/>
    <x v="2"/>
    <x v="0"/>
    <x v="4"/>
    <x v="7"/>
    <x v="4"/>
    <x v="42"/>
    <x v="20"/>
    <x v="0"/>
    <x v="38"/>
    <x v="3"/>
    <x v="2"/>
  </r>
  <r>
    <x v="400"/>
    <x v="4"/>
    <x v="7"/>
    <x v="5"/>
    <x v="10"/>
    <x v="11"/>
    <x v="18"/>
    <x v="5"/>
    <x v="17"/>
    <x v="23"/>
    <x v="37"/>
    <x v="0"/>
    <x v="5"/>
    <x v="10"/>
    <x v="10"/>
    <x v="32"/>
    <x v="24"/>
    <x v="1"/>
    <x v="36"/>
    <x v="3"/>
    <x v="2"/>
  </r>
  <r>
    <x v="400"/>
    <x v="4"/>
    <x v="7"/>
    <x v="8"/>
    <x v="13"/>
    <x v="39"/>
    <x v="5"/>
    <x v="13"/>
    <x v="30"/>
    <x v="41"/>
    <x v="5"/>
    <x v="0"/>
    <x v="8"/>
    <x v="13"/>
    <x v="8"/>
    <x v="73"/>
    <x v="39"/>
    <x v="0"/>
    <x v="7"/>
    <x v="3"/>
    <x v="2"/>
  </r>
  <r>
    <x v="400"/>
    <x v="4"/>
    <x v="7"/>
    <x v="12"/>
    <x v="2"/>
    <x v="22"/>
    <x v="11"/>
    <x v="12"/>
    <x v="24"/>
    <x v="17"/>
    <x v="35"/>
    <x v="0"/>
    <x v="12"/>
    <x v="2"/>
    <x v="12"/>
    <x v="50"/>
    <x v="28"/>
    <x v="1"/>
    <x v="54"/>
    <x v="0"/>
    <x v="2"/>
  </r>
  <r>
    <x v="400"/>
    <x v="4"/>
    <x v="7"/>
    <x v="18"/>
    <x v="19"/>
    <x v="34"/>
    <x v="33"/>
    <x v="19"/>
    <x v="28"/>
    <x v="19"/>
    <x v="40"/>
    <x v="0"/>
    <x v="18"/>
    <x v="19"/>
    <x v="18"/>
    <x v="40"/>
    <x v="62"/>
    <x v="0"/>
    <x v="40"/>
    <x v="3"/>
    <x v="0"/>
  </r>
  <r>
    <x v="400"/>
    <x v="4"/>
    <x v="7"/>
    <x v="21"/>
    <x v="1"/>
    <x v="11"/>
    <x v="28"/>
    <x v="1"/>
    <x v="25"/>
    <x v="46"/>
    <x v="20"/>
    <x v="0"/>
    <x v="21"/>
    <x v="1"/>
    <x v="1"/>
    <x v="22"/>
    <x v="34"/>
    <x v="0"/>
    <x v="58"/>
    <x v="0"/>
    <x v="2"/>
  </r>
  <r>
    <x v="400"/>
    <x v="4"/>
    <x v="7"/>
    <x v="23"/>
    <x v="20"/>
    <x v="13"/>
    <x v="15"/>
    <x v="23"/>
    <x v="18"/>
    <x v="28"/>
    <x v="26"/>
    <x v="0"/>
    <x v="23"/>
    <x v="20"/>
    <x v="20"/>
    <x v="37"/>
    <x v="23"/>
    <x v="1"/>
    <x v="41"/>
    <x v="3"/>
    <x v="2"/>
  </r>
  <r>
    <x v="400"/>
    <x v="4"/>
    <x v="7"/>
    <x v="24"/>
    <x v="3"/>
    <x v="23"/>
    <x v="22"/>
    <x v="24"/>
    <x v="24"/>
    <x v="17"/>
    <x v="30"/>
    <x v="0"/>
    <x v="24"/>
    <x v="3"/>
    <x v="24"/>
    <x v="40"/>
    <x v="40"/>
    <x v="1"/>
    <x v="44"/>
    <x v="3"/>
    <x v="0"/>
  </r>
  <r>
    <x v="400"/>
    <x v="4"/>
    <x v="7"/>
    <x v="26"/>
    <x v="15"/>
    <x v="17"/>
    <x v="10"/>
    <x v="15"/>
    <x v="32"/>
    <x v="33"/>
    <x v="15"/>
    <x v="0"/>
    <x v="26"/>
    <x v="15"/>
    <x v="26"/>
    <x v="46"/>
    <x v="22"/>
    <x v="0"/>
    <x v="34"/>
    <x v="3"/>
    <x v="2"/>
  </r>
  <r>
    <x v="400"/>
    <x v="4"/>
    <x v="7"/>
    <x v="30"/>
    <x v="22"/>
    <x v="24"/>
    <x v="35"/>
    <x v="22"/>
    <x v="24"/>
    <x v="21"/>
    <x v="6"/>
    <x v="0"/>
    <x v="17"/>
    <x v="22"/>
    <x v="22"/>
    <x v="28"/>
    <x v="54"/>
    <x v="0"/>
    <x v="52"/>
    <x v="0"/>
    <x v="0"/>
  </r>
  <r>
    <x v="400"/>
    <x v="4"/>
    <x v="7"/>
    <x v="31"/>
    <x v="11"/>
    <x v="2"/>
    <x v="18"/>
    <x v="30"/>
    <x v="14"/>
    <x v="32"/>
    <x v="34"/>
    <x v="0"/>
    <x v="29"/>
    <x v="11"/>
    <x v="11"/>
    <x v="21"/>
    <x v="13"/>
    <x v="1"/>
    <x v="25"/>
    <x v="3"/>
    <x v="2"/>
  </r>
  <r>
    <x v="405"/>
    <x v="4"/>
    <x v="7"/>
    <x v="6"/>
    <x v="9"/>
    <x v="34"/>
    <x v="26"/>
    <x v="6"/>
    <x v="30"/>
    <x v="29"/>
    <x v="31"/>
    <x v="0"/>
    <x v="6"/>
    <x v="9"/>
    <x v="6"/>
    <x v="47"/>
    <x v="55"/>
    <x v="1"/>
    <x v="51"/>
    <x v="0"/>
    <x v="0"/>
  </r>
  <r>
    <x v="426"/>
    <x v="4"/>
    <x v="8"/>
    <x v="1"/>
    <x v="4"/>
    <x v="2"/>
    <x v="32"/>
    <x v="4"/>
    <x v="31"/>
    <x v="30"/>
    <x v="12"/>
    <x v="0"/>
    <x v="1"/>
    <x v="4"/>
    <x v="4"/>
    <x v="7"/>
    <x v="27"/>
    <x v="0"/>
    <x v="73"/>
    <x v="0"/>
    <x v="2"/>
  </r>
  <r>
    <x v="426"/>
    <x v="4"/>
    <x v="8"/>
    <x v="2"/>
    <x v="7"/>
    <x v="17"/>
    <x v="8"/>
    <x v="7"/>
    <x v="9"/>
    <x v="14"/>
    <x v="23"/>
    <x v="0"/>
    <x v="2"/>
    <x v="7"/>
    <x v="2"/>
    <x v="48"/>
    <x v="20"/>
    <x v="0"/>
    <x v="32"/>
    <x v="3"/>
    <x v="2"/>
  </r>
  <r>
    <x v="426"/>
    <x v="4"/>
    <x v="8"/>
    <x v="9"/>
    <x v="24"/>
    <x v="44"/>
    <x v="12"/>
    <x v="24"/>
    <x v="6"/>
    <x v="31"/>
    <x v="38"/>
    <x v="0"/>
    <x v="9"/>
    <x v="24"/>
    <x v="9"/>
    <x v="71"/>
    <x v="51"/>
    <x v="0"/>
    <x v="9"/>
    <x v="3"/>
    <x v="0"/>
  </r>
  <r>
    <x v="426"/>
    <x v="4"/>
    <x v="8"/>
    <x v="11"/>
    <x v="10"/>
    <x v="27"/>
    <x v="18"/>
    <x v="10"/>
    <x v="20"/>
    <x v="28"/>
    <x v="16"/>
    <x v="0"/>
    <x v="11"/>
    <x v="10"/>
    <x v="11"/>
    <x v="48"/>
    <x v="40"/>
    <x v="0"/>
    <x v="32"/>
    <x v="3"/>
    <x v="0"/>
  </r>
  <r>
    <x v="426"/>
    <x v="4"/>
    <x v="8"/>
    <x v="12"/>
    <x v="14"/>
    <x v="20"/>
    <x v="15"/>
    <x v="14"/>
    <x v="20"/>
    <x v="11"/>
    <x v="35"/>
    <x v="0"/>
    <x v="12"/>
    <x v="14"/>
    <x v="12"/>
    <x v="44"/>
    <x v="30"/>
    <x v="0"/>
    <x v="36"/>
    <x v="3"/>
    <x v="0"/>
  </r>
  <r>
    <x v="426"/>
    <x v="4"/>
    <x v="8"/>
    <x v="15"/>
    <x v="27"/>
    <x v="16"/>
    <x v="5"/>
    <x v="16"/>
    <x v="31"/>
    <x v="18"/>
    <x v="0"/>
    <x v="0"/>
    <x v="15"/>
    <x v="16"/>
    <x v="15"/>
    <x v="50"/>
    <x v="16"/>
    <x v="0"/>
    <x v="30"/>
    <x v="3"/>
    <x v="2"/>
  </r>
  <r>
    <x v="426"/>
    <x v="4"/>
    <x v="8"/>
    <x v="18"/>
    <x v="23"/>
    <x v="21"/>
    <x v="35"/>
    <x v="23"/>
    <x v="23"/>
    <x v="16"/>
    <x v="40"/>
    <x v="0"/>
    <x v="18"/>
    <x v="23"/>
    <x v="23"/>
    <x v="25"/>
    <x v="51"/>
    <x v="0"/>
    <x v="55"/>
    <x v="0"/>
    <x v="0"/>
  </r>
  <r>
    <x v="426"/>
    <x v="4"/>
    <x v="8"/>
    <x v="19"/>
    <x v="5"/>
    <x v="10"/>
    <x v="7"/>
    <x v="5"/>
    <x v="23"/>
    <x v="29"/>
    <x v="41"/>
    <x v="0"/>
    <x v="19"/>
    <x v="5"/>
    <x v="19"/>
    <x v="42"/>
    <x v="12"/>
    <x v="0"/>
    <x v="38"/>
    <x v="3"/>
    <x v="2"/>
  </r>
  <r>
    <x v="426"/>
    <x v="4"/>
    <x v="8"/>
    <x v="20"/>
    <x v="3"/>
    <x v="6"/>
    <x v="15"/>
    <x v="3"/>
    <x v="28"/>
    <x v="21"/>
    <x v="13"/>
    <x v="0"/>
    <x v="20"/>
    <x v="3"/>
    <x v="3"/>
    <x v="30"/>
    <x v="16"/>
    <x v="0"/>
    <x v="50"/>
    <x v="0"/>
    <x v="2"/>
  </r>
  <r>
    <x v="426"/>
    <x v="4"/>
    <x v="8"/>
    <x v="22"/>
    <x v="25"/>
    <x v="23"/>
    <x v="32"/>
    <x v="25"/>
    <x v="35"/>
    <x v="38"/>
    <x v="26"/>
    <x v="0"/>
    <x v="22"/>
    <x v="25"/>
    <x v="25"/>
    <x v="30"/>
    <x v="50"/>
    <x v="0"/>
    <x v="50"/>
    <x v="0"/>
    <x v="0"/>
  </r>
  <r>
    <x v="426"/>
    <x v="4"/>
    <x v="8"/>
    <x v="26"/>
    <x v="6"/>
    <x v="24"/>
    <x v="15"/>
    <x v="6"/>
    <x v="31"/>
    <x v="31"/>
    <x v="15"/>
    <x v="0"/>
    <x v="26"/>
    <x v="6"/>
    <x v="26"/>
    <x v="48"/>
    <x v="34"/>
    <x v="0"/>
    <x v="32"/>
    <x v="3"/>
    <x v="2"/>
  </r>
  <r>
    <x v="426"/>
    <x v="4"/>
    <x v="8"/>
    <x v="28"/>
    <x v="0"/>
    <x v="17"/>
    <x v="15"/>
    <x v="0"/>
    <x v="24"/>
    <x v="9"/>
    <x v="17"/>
    <x v="0"/>
    <x v="28"/>
    <x v="0"/>
    <x v="28"/>
    <x v="41"/>
    <x v="27"/>
    <x v="0"/>
    <x v="39"/>
    <x v="3"/>
    <x v="2"/>
  </r>
  <r>
    <x v="426"/>
    <x v="4"/>
    <x v="8"/>
    <x v="29"/>
    <x v="30"/>
    <x v="17"/>
    <x v="4"/>
    <x v="17"/>
    <x v="14"/>
    <x v="17"/>
    <x v="4"/>
    <x v="0"/>
    <x v="27"/>
    <x v="17"/>
    <x v="27"/>
    <x v="52"/>
    <x v="16"/>
    <x v="0"/>
    <x v="28"/>
    <x v="3"/>
    <x v="2"/>
  </r>
  <r>
    <x v="426"/>
    <x v="4"/>
    <x v="8"/>
    <x v="31"/>
    <x v="21"/>
    <x v="17"/>
    <x v="21"/>
    <x v="30"/>
    <x v="25"/>
    <x v="27"/>
    <x v="34"/>
    <x v="0"/>
    <x v="29"/>
    <x v="21"/>
    <x v="21"/>
    <x v="35"/>
    <x v="33"/>
    <x v="1"/>
    <x v="39"/>
    <x v="3"/>
    <x v="2"/>
  </r>
  <r>
    <x v="426"/>
    <x v="4"/>
    <x v="8"/>
    <x v="32"/>
    <x v="13"/>
    <x v="7"/>
    <x v="25"/>
    <x v="31"/>
    <x v="22"/>
    <x v="27"/>
    <x v="28"/>
    <x v="0"/>
    <x v="30"/>
    <x v="13"/>
    <x v="13"/>
    <x v="21"/>
    <x v="27"/>
    <x v="1"/>
    <x v="25"/>
    <x v="3"/>
    <x v="2"/>
  </r>
  <r>
    <x v="426"/>
    <x v="4"/>
    <x v="8"/>
    <x v="33"/>
    <x v="8"/>
    <x v="14"/>
    <x v="42"/>
    <x v="32"/>
    <x v="25"/>
    <x v="29"/>
    <x v="9"/>
    <x v="0"/>
    <x v="31"/>
    <x v="8"/>
    <x v="8"/>
    <x v="11"/>
    <x v="51"/>
    <x v="1"/>
    <x v="15"/>
    <x v="3"/>
    <x v="0"/>
  </r>
  <r>
    <x v="3"/>
    <x v="4"/>
    <x v="20"/>
    <x v="4"/>
    <x v="0"/>
    <x v="24"/>
    <x v="14"/>
    <x v="4"/>
    <x v="25"/>
    <x v="9"/>
    <x v="2"/>
    <x v="1"/>
    <x v="4"/>
    <x v="0"/>
    <x v="4"/>
    <x v="49"/>
    <x v="33"/>
    <x v="1"/>
    <x v="53"/>
    <x v="0"/>
    <x v="0"/>
  </r>
  <r>
    <x v="3"/>
    <x v="4"/>
    <x v="20"/>
    <x v="26"/>
    <x v="2"/>
    <x v="14"/>
    <x v="28"/>
    <x v="27"/>
    <x v="31"/>
    <x v="24"/>
    <x v="46"/>
    <x v="1"/>
    <x v="26"/>
    <x v="2"/>
    <x v="2"/>
    <x v="25"/>
    <x v="37"/>
    <x v="1"/>
    <x v="29"/>
    <x v="3"/>
    <x v="0"/>
  </r>
  <r>
    <x v="6"/>
    <x v="4"/>
    <x v="20"/>
    <x v="8"/>
    <x v="10"/>
    <x v="21"/>
    <x v="18"/>
    <x v="8"/>
    <x v="24"/>
    <x v="31"/>
    <x v="5"/>
    <x v="1"/>
    <x v="8"/>
    <x v="10"/>
    <x v="8"/>
    <x v="42"/>
    <x v="34"/>
    <x v="1"/>
    <x v="46"/>
    <x v="3"/>
    <x v="2"/>
  </r>
  <r>
    <x v="6"/>
    <x v="4"/>
    <x v="20"/>
    <x v="13"/>
    <x v="6"/>
    <x v="23"/>
    <x v="8"/>
    <x v="13"/>
    <x v="31"/>
    <x v="30"/>
    <x v="46"/>
    <x v="1"/>
    <x v="13"/>
    <x v="6"/>
    <x v="13"/>
    <x v="54"/>
    <x v="26"/>
    <x v="1"/>
    <x v="58"/>
    <x v="0"/>
    <x v="2"/>
  </r>
  <r>
    <x v="19"/>
    <x v="4"/>
    <x v="18"/>
    <x v="20"/>
    <x v="2"/>
    <x v="32"/>
    <x v="29"/>
    <x v="20"/>
    <x v="23"/>
    <x v="29"/>
    <x v="46"/>
    <x v="1"/>
    <x v="20"/>
    <x v="2"/>
    <x v="20"/>
    <x v="42"/>
    <x v="56"/>
    <x v="1"/>
    <x v="46"/>
    <x v="3"/>
    <x v="0"/>
  </r>
  <r>
    <x v="19"/>
    <x v="4"/>
    <x v="18"/>
    <x v="29"/>
    <x v="4"/>
    <x v="28"/>
    <x v="15"/>
    <x v="28"/>
    <x v="14"/>
    <x v="13"/>
    <x v="46"/>
    <x v="1"/>
    <x v="27"/>
    <x v="4"/>
    <x v="27"/>
    <x v="52"/>
    <x v="38"/>
    <x v="1"/>
    <x v="56"/>
    <x v="0"/>
    <x v="0"/>
  </r>
  <r>
    <x v="22"/>
    <x v="4"/>
    <x v="18"/>
    <x v="9"/>
    <x v="13"/>
    <x v="10"/>
    <x v="22"/>
    <x v="9"/>
    <x v="23"/>
    <x v="41"/>
    <x v="46"/>
    <x v="1"/>
    <x v="9"/>
    <x v="13"/>
    <x v="13"/>
    <x v="27"/>
    <x v="27"/>
    <x v="1"/>
    <x v="31"/>
    <x v="3"/>
    <x v="2"/>
  </r>
  <r>
    <x v="22"/>
    <x v="4"/>
    <x v="18"/>
    <x v="11"/>
    <x v="8"/>
    <x v="23"/>
    <x v="19"/>
    <x v="11"/>
    <x v="25"/>
    <x v="37"/>
    <x v="46"/>
    <x v="1"/>
    <x v="11"/>
    <x v="8"/>
    <x v="11"/>
    <x v="43"/>
    <x v="37"/>
    <x v="1"/>
    <x v="47"/>
    <x v="3"/>
    <x v="2"/>
  </r>
  <r>
    <x v="36"/>
    <x v="4"/>
    <x v="17"/>
    <x v="20"/>
    <x v="13"/>
    <x v="42"/>
    <x v="5"/>
    <x v="20"/>
    <x v="23"/>
    <x v="38"/>
    <x v="46"/>
    <x v="1"/>
    <x v="20"/>
    <x v="13"/>
    <x v="20"/>
    <x v="75"/>
    <x v="42"/>
    <x v="1"/>
    <x v="79"/>
    <x v="0"/>
    <x v="1"/>
  </r>
  <r>
    <x v="36"/>
    <x v="4"/>
    <x v="17"/>
    <x v="29"/>
    <x v="11"/>
    <x v="25"/>
    <x v="20"/>
    <x v="28"/>
    <x v="20"/>
    <x v="24"/>
    <x v="46"/>
    <x v="1"/>
    <x v="27"/>
    <x v="11"/>
    <x v="27"/>
    <x v="44"/>
    <x v="40"/>
    <x v="1"/>
    <x v="48"/>
    <x v="3"/>
    <x v="0"/>
  </r>
  <r>
    <x v="44"/>
    <x v="4"/>
    <x v="19"/>
    <x v="20"/>
    <x v="29"/>
    <x v="25"/>
    <x v="22"/>
    <x v="28"/>
    <x v="35"/>
    <x v="29"/>
    <x v="44"/>
    <x v="1"/>
    <x v="20"/>
    <x v="27"/>
    <x v="20"/>
    <x v="42"/>
    <x v="42"/>
    <x v="0"/>
    <x v="38"/>
    <x v="3"/>
    <x v="0"/>
  </r>
  <r>
    <x v="64"/>
    <x v="5"/>
    <x v="0"/>
    <x v="20"/>
    <x v="26"/>
    <x v="25"/>
    <x v="19"/>
    <x v="20"/>
    <x v="23"/>
    <x v="36"/>
    <x v="13"/>
    <x v="0"/>
    <x v="20"/>
    <x v="26"/>
    <x v="20"/>
    <x v="45"/>
    <x v="39"/>
    <x v="1"/>
    <x v="49"/>
    <x v="2"/>
    <x v="2"/>
  </r>
  <r>
    <x v="76"/>
    <x v="5"/>
    <x v="0"/>
    <x v="0"/>
    <x v="21"/>
    <x v="28"/>
    <x v="17"/>
    <x v="0"/>
    <x v="32"/>
    <x v="31"/>
    <x v="44"/>
    <x v="0"/>
    <x v="0"/>
    <x v="21"/>
    <x v="0"/>
    <x v="50"/>
    <x v="40"/>
    <x v="1"/>
    <x v="54"/>
    <x v="0"/>
    <x v="0"/>
  </r>
  <r>
    <x v="76"/>
    <x v="5"/>
    <x v="0"/>
    <x v="3"/>
    <x v="13"/>
    <x v="24"/>
    <x v="12"/>
    <x v="13"/>
    <x v="35"/>
    <x v="23"/>
    <x v="33"/>
    <x v="0"/>
    <x v="3"/>
    <x v="13"/>
    <x v="3"/>
    <x v="51"/>
    <x v="31"/>
    <x v="0"/>
    <x v="29"/>
    <x v="3"/>
    <x v="2"/>
  </r>
  <r>
    <x v="76"/>
    <x v="5"/>
    <x v="0"/>
    <x v="5"/>
    <x v="11"/>
    <x v="20"/>
    <x v="29"/>
    <x v="11"/>
    <x v="24"/>
    <x v="31"/>
    <x v="37"/>
    <x v="0"/>
    <x v="5"/>
    <x v="11"/>
    <x v="11"/>
    <x v="30"/>
    <x v="44"/>
    <x v="0"/>
    <x v="50"/>
    <x v="0"/>
    <x v="0"/>
  </r>
  <r>
    <x v="76"/>
    <x v="5"/>
    <x v="0"/>
    <x v="8"/>
    <x v="22"/>
    <x v="24"/>
    <x v="24"/>
    <x v="8"/>
    <x v="23"/>
    <x v="39"/>
    <x v="5"/>
    <x v="0"/>
    <x v="8"/>
    <x v="22"/>
    <x v="8"/>
    <x v="39"/>
    <x v="43"/>
    <x v="1"/>
    <x v="43"/>
    <x v="3"/>
    <x v="0"/>
  </r>
  <r>
    <x v="76"/>
    <x v="5"/>
    <x v="0"/>
    <x v="9"/>
    <x v="2"/>
    <x v="16"/>
    <x v="11"/>
    <x v="9"/>
    <x v="28"/>
    <x v="27"/>
    <x v="38"/>
    <x v="0"/>
    <x v="9"/>
    <x v="2"/>
    <x v="9"/>
    <x v="44"/>
    <x v="22"/>
    <x v="1"/>
    <x v="48"/>
    <x v="0"/>
    <x v="2"/>
  </r>
  <r>
    <x v="76"/>
    <x v="5"/>
    <x v="0"/>
    <x v="12"/>
    <x v="15"/>
    <x v="17"/>
    <x v="25"/>
    <x v="15"/>
    <x v="35"/>
    <x v="15"/>
    <x v="35"/>
    <x v="0"/>
    <x v="12"/>
    <x v="15"/>
    <x v="15"/>
    <x v="31"/>
    <x v="37"/>
    <x v="0"/>
    <x v="49"/>
    <x v="0"/>
    <x v="0"/>
  </r>
  <r>
    <x v="76"/>
    <x v="5"/>
    <x v="0"/>
    <x v="14"/>
    <x v="4"/>
    <x v="6"/>
    <x v="18"/>
    <x v="4"/>
    <x v="31"/>
    <x v="16"/>
    <x v="8"/>
    <x v="0"/>
    <x v="14"/>
    <x v="4"/>
    <x v="4"/>
    <x v="27"/>
    <x v="19"/>
    <x v="0"/>
    <x v="53"/>
    <x v="0"/>
    <x v="2"/>
  </r>
  <r>
    <x v="76"/>
    <x v="5"/>
    <x v="0"/>
    <x v="23"/>
    <x v="7"/>
    <x v="28"/>
    <x v="8"/>
    <x v="23"/>
    <x v="30"/>
    <x v="11"/>
    <x v="26"/>
    <x v="0"/>
    <x v="23"/>
    <x v="7"/>
    <x v="23"/>
    <x v="59"/>
    <x v="31"/>
    <x v="1"/>
    <x v="63"/>
    <x v="0"/>
    <x v="0"/>
  </r>
  <r>
    <x v="76"/>
    <x v="5"/>
    <x v="0"/>
    <x v="24"/>
    <x v="6"/>
    <x v="10"/>
    <x v="31"/>
    <x v="24"/>
    <x v="31"/>
    <x v="20"/>
    <x v="30"/>
    <x v="0"/>
    <x v="24"/>
    <x v="6"/>
    <x v="6"/>
    <x v="18"/>
    <x v="36"/>
    <x v="1"/>
    <x v="22"/>
    <x v="3"/>
    <x v="0"/>
  </r>
  <r>
    <x v="76"/>
    <x v="5"/>
    <x v="0"/>
    <x v="27"/>
    <x v="10"/>
    <x v="30"/>
    <x v="26"/>
    <x v="16"/>
    <x v="30"/>
    <x v="25"/>
    <x v="32"/>
    <x v="0"/>
    <x v="16"/>
    <x v="10"/>
    <x v="16"/>
    <x v="43"/>
    <x v="51"/>
    <x v="1"/>
    <x v="47"/>
    <x v="0"/>
    <x v="0"/>
  </r>
  <r>
    <x v="76"/>
    <x v="5"/>
    <x v="0"/>
    <x v="30"/>
    <x v="29"/>
    <x v="31"/>
    <x v="29"/>
    <x v="28"/>
    <x v="30"/>
    <x v="16"/>
    <x v="6"/>
    <x v="0"/>
    <x v="17"/>
    <x v="27"/>
    <x v="17"/>
    <x v="41"/>
    <x v="55"/>
    <x v="0"/>
    <x v="39"/>
    <x v="3"/>
    <x v="0"/>
  </r>
  <r>
    <x v="76"/>
    <x v="5"/>
    <x v="0"/>
    <x v="31"/>
    <x v="32"/>
    <x v="11"/>
    <x v="40"/>
    <x v="30"/>
    <x v="31"/>
    <x v="15"/>
    <x v="34"/>
    <x v="0"/>
    <x v="29"/>
    <x v="30"/>
    <x v="30"/>
    <x v="10"/>
    <x v="46"/>
    <x v="1"/>
    <x v="14"/>
    <x v="3"/>
    <x v="0"/>
  </r>
  <r>
    <x v="76"/>
    <x v="5"/>
    <x v="0"/>
    <x v="33"/>
    <x v="18"/>
    <x v="7"/>
    <x v="15"/>
    <x v="18"/>
    <x v="29"/>
    <x v="25"/>
    <x v="9"/>
    <x v="0"/>
    <x v="31"/>
    <x v="18"/>
    <x v="18"/>
    <x v="31"/>
    <x v="17"/>
    <x v="0"/>
    <x v="49"/>
    <x v="0"/>
    <x v="2"/>
  </r>
  <r>
    <x v="78"/>
    <x v="5"/>
    <x v="0"/>
    <x v="1"/>
    <x v="25"/>
    <x v="23"/>
    <x v="22"/>
    <x v="25"/>
    <x v="31"/>
    <x v="46"/>
    <x v="12"/>
    <x v="0"/>
    <x v="1"/>
    <x v="25"/>
    <x v="1"/>
    <x v="40"/>
    <x v="40"/>
    <x v="0"/>
    <x v="40"/>
    <x v="3"/>
    <x v="2"/>
  </r>
  <r>
    <x v="78"/>
    <x v="5"/>
    <x v="0"/>
    <x v="28"/>
    <x v="19"/>
    <x v="17"/>
    <x v="2"/>
    <x v="19"/>
    <x v="32"/>
    <x v="19"/>
    <x v="17"/>
    <x v="0"/>
    <x v="28"/>
    <x v="19"/>
    <x v="28"/>
    <x v="55"/>
    <x v="13"/>
    <x v="0"/>
    <x v="25"/>
    <x v="3"/>
    <x v="2"/>
  </r>
  <r>
    <x v="86"/>
    <x v="5"/>
    <x v="9"/>
    <x v="15"/>
    <x v="9"/>
    <x v="21"/>
    <x v="29"/>
    <x v="15"/>
    <x v="31"/>
    <x v="18"/>
    <x v="0"/>
    <x v="0"/>
    <x v="15"/>
    <x v="9"/>
    <x v="9"/>
    <x v="31"/>
    <x v="45"/>
    <x v="1"/>
    <x v="35"/>
    <x v="3"/>
    <x v="0"/>
  </r>
  <r>
    <x v="98"/>
    <x v="5"/>
    <x v="9"/>
    <x v="3"/>
    <x v="20"/>
    <x v="29"/>
    <x v="38"/>
    <x v="3"/>
    <x v="35"/>
    <x v="23"/>
    <x v="33"/>
    <x v="0"/>
    <x v="3"/>
    <x v="20"/>
    <x v="20"/>
    <x v="30"/>
    <x v="62"/>
    <x v="1"/>
    <x v="34"/>
    <x v="3"/>
    <x v="0"/>
  </r>
  <r>
    <x v="98"/>
    <x v="5"/>
    <x v="9"/>
    <x v="4"/>
    <x v="12"/>
    <x v="21"/>
    <x v="15"/>
    <x v="4"/>
    <x v="31"/>
    <x v="16"/>
    <x v="2"/>
    <x v="0"/>
    <x v="4"/>
    <x v="12"/>
    <x v="4"/>
    <x v="45"/>
    <x v="31"/>
    <x v="1"/>
    <x v="49"/>
    <x v="0"/>
    <x v="1"/>
  </r>
  <r>
    <x v="98"/>
    <x v="5"/>
    <x v="9"/>
    <x v="5"/>
    <x v="0"/>
    <x v="20"/>
    <x v="45"/>
    <x v="0"/>
    <x v="33"/>
    <x v="26"/>
    <x v="37"/>
    <x v="0"/>
    <x v="5"/>
    <x v="0"/>
    <x v="0"/>
    <x v="13"/>
    <x v="61"/>
    <x v="0"/>
    <x v="67"/>
    <x v="0"/>
    <x v="0"/>
  </r>
  <r>
    <x v="98"/>
    <x v="5"/>
    <x v="9"/>
    <x v="6"/>
    <x v="27"/>
    <x v="21"/>
    <x v="17"/>
    <x v="6"/>
    <x v="30"/>
    <x v="30"/>
    <x v="31"/>
    <x v="0"/>
    <x v="6"/>
    <x v="16"/>
    <x v="6"/>
    <x v="43"/>
    <x v="33"/>
    <x v="1"/>
    <x v="47"/>
    <x v="0"/>
    <x v="2"/>
  </r>
  <r>
    <x v="98"/>
    <x v="5"/>
    <x v="9"/>
    <x v="7"/>
    <x v="32"/>
    <x v="25"/>
    <x v="12"/>
    <x v="31"/>
    <x v="35"/>
    <x v="16"/>
    <x v="10"/>
    <x v="0"/>
    <x v="7"/>
    <x v="30"/>
    <x v="7"/>
    <x v="52"/>
    <x v="32"/>
    <x v="0"/>
    <x v="28"/>
    <x v="3"/>
    <x v="0"/>
  </r>
  <r>
    <x v="98"/>
    <x v="5"/>
    <x v="9"/>
    <x v="11"/>
    <x v="29"/>
    <x v="24"/>
    <x v="15"/>
    <x v="11"/>
    <x v="31"/>
    <x v="33"/>
    <x v="16"/>
    <x v="0"/>
    <x v="11"/>
    <x v="27"/>
    <x v="11"/>
    <x v="48"/>
    <x v="34"/>
    <x v="1"/>
    <x v="52"/>
    <x v="0"/>
    <x v="2"/>
  </r>
  <r>
    <x v="98"/>
    <x v="5"/>
    <x v="9"/>
    <x v="14"/>
    <x v="18"/>
    <x v="20"/>
    <x v="18"/>
    <x v="18"/>
    <x v="25"/>
    <x v="18"/>
    <x v="8"/>
    <x v="0"/>
    <x v="14"/>
    <x v="18"/>
    <x v="14"/>
    <x v="41"/>
    <x v="33"/>
    <x v="0"/>
    <x v="39"/>
    <x v="3"/>
    <x v="0"/>
  </r>
  <r>
    <x v="98"/>
    <x v="5"/>
    <x v="9"/>
    <x v="19"/>
    <x v="10"/>
    <x v="23"/>
    <x v="14"/>
    <x v="19"/>
    <x v="32"/>
    <x v="22"/>
    <x v="41"/>
    <x v="0"/>
    <x v="19"/>
    <x v="10"/>
    <x v="19"/>
    <x v="48"/>
    <x v="32"/>
    <x v="1"/>
    <x v="52"/>
    <x v="0"/>
    <x v="2"/>
  </r>
  <r>
    <x v="98"/>
    <x v="5"/>
    <x v="9"/>
    <x v="21"/>
    <x v="31"/>
    <x v="16"/>
    <x v="24"/>
    <x v="21"/>
    <x v="19"/>
    <x v="28"/>
    <x v="20"/>
    <x v="0"/>
    <x v="21"/>
    <x v="29"/>
    <x v="29"/>
    <x v="31"/>
    <x v="35"/>
    <x v="1"/>
    <x v="35"/>
    <x v="3"/>
    <x v="2"/>
  </r>
  <r>
    <x v="98"/>
    <x v="5"/>
    <x v="9"/>
    <x v="22"/>
    <x v="1"/>
    <x v="17"/>
    <x v="22"/>
    <x v="22"/>
    <x v="33"/>
    <x v="34"/>
    <x v="26"/>
    <x v="0"/>
    <x v="22"/>
    <x v="1"/>
    <x v="1"/>
    <x v="34"/>
    <x v="34"/>
    <x v="1"/>
    <x v="38"/>
    <x v="3"/>
    <x v="2"/>
  </r>
  <r>
    <x v="98"/>
    <x v="5"/>
    <x v="9"/>
    <x v="24"/>
    <x v="2"/>
    <x v="34"/>
    <x v="31"/>
    <x v="2"/>
    <x v="25"/>
    <x v="18"/>
    <x v="30"/>
    <x v="0"/>
    <x v="24"/>
    <x v="2"/>
    <x v="24"/>
    <x v="42"/>
    <x v="60"/>
    <x v="0"/>
    <x v="38"/>
    <x v="3"/>
    <x v="0"/>
  </r>
  <r>
    <x v="98"/>
    <x v="5"/>
    <x v="9"/>
    <x v="25"/>
    <x v="8"/>
    <x v="7"/>
    <x v="18"/>
    <x v="25"/>
    <x v="24"/>
    <x v="42"/>
    <x v="18"/>
    <x v="0"/>
    <x v="25"/>
    <x v="8"/>
    <x v="8"/>
    <x v="28"/>
    <x v="20"/>
    <x v="1"/>
    <x v="32"/>
    <x v="3"/>
    <x v="2"/>
  </r>
  <r>
    <x v="98"/>
    <x v="5"/>
    <x v="9"/>
    <x v="26"/>
    <x v="28"/>
    <x v="40"/>
    <x v="16"/>
    <x v="27"/>
    <x v="25"/>
    <x v="26"/>
    <x v="15"/>
    <x v="0"/>
    <x v="26"/>
    <x v="28"/>
    <x v="26"/>
    <x v="63"/>
    <x v="51"/>
    <x v="1"/>
    <x v="67"/>
    <x v="0"/>
    <x v="0"/>
  </r>
  <r>
    <x v="98"/>
    <x v="5"/>
    <x v="9"/>
    <x v="33"/>
    <x v="30"/>
    <x v="21"/>
    <x v="8"/>
    <x v="17"/>
    <x v="31"/>
    <x v="16"/>
    <x v="9"/>
    <x v="0"/>
    <x v="31"/>
    <x v="17"/>
    <x v="32"/>
    <x v="52"/>
    <x v="24"/>
    <x v="0"/>
    <x v="28"/>
    <x v="3"/>
    <x v="2"/>
  </r>
  <r>
    <x v="100"/>
    <x v="5"/>
    <x v="9"/>
    <x v="13"/>
    <x v="23"/>
    <x v="4"/>
    <x v="18"/>
    <x v="13"/>
    <x v="25"/>
    <x v="26"/>
    <x v="22"/>
    <x v="0"/>
    <x v="13"/>
    <x v="23"/>
    <x v="23"/>
    <x v="25"/>
    <x v="17"/>
    <x v="1"/>
    <x v="29"/>
    <x v="3"/>
    <x v="2"/>
  </r>
  <r>
    <x v="108"/>
    <x v="5"/>
    <x v="10"/>
    <x v="22"/>
    <x v="33"/>
    <x v="29"/>
    <x v="19"/>
    <x v="22"/>
    <x v="31"/>
    <x v="24"/>
    <x v="26"/>
    <x v="0"/>
    <x v="22"/>
    <x v="31"/>
    <x v="22"/>
    <x v="49"/>
    <x v="43"/>
    <x v="1"/>
    <x v="53"/>
    <x v="0"/>
    <x v="0"/>
  </r>
  <r>
    <x v="120"/>
    <x v="5"/>
    <x v="10"/>
    <x v="0"/>
    <x v="28"/>
    <x v="44"/>
    <x v="5"/>
    <x v="0"/>
    <x v="23"/>
    <x v="24"/>
    <x v="44"/>
    <x v="0"/>
    <x v="0"/>
    <x v="28"/>
    <x v="0"/>
    <x v="76"/>
    <x v="44"/>
    <x v="1"/>
    <x v="80"/>
    <x v="0"/>
    <x v="0"/>
  </r>
  <r>
    <x v="120"/>
    <x v="5"/>
    <x v="10"/>
    <x v="2"/>
    <x v="6"/>
    <x v="21"/>
    <x v="26"/>
    <x v="2"/>
    <x v="34"/>
    <x v="25"/>
    <x v="23"/>
    <x v="0"/>
    <x v="2"/>
    <x v="6"/>
    <x v="6"/>
    <x v="34"/>
    <x v="42"/>
    <x v="1"/>
    <x v="38"/>
    <x v="3"/>
    <x v="0"/>
  </r>
  <r>
    <x v="120"/>
    <x v="5"/>
    <x v="10"/>
    <x v="4"/>
    <x v="21"/>
    <x v="24"/>
    <x v="20"/>
    <x v="4"/>
    <x v="18"/>
    <x v="20"/>
    <x v="2"/>
    <x v="0"/>
    <x v="4"/>
    <x v="21"/>
    <x v="4"/>
    <x v="43"/>
    <x v="39"/>
    <x v="1"/>
    <x v="47"/>
    <x v="3"/>
    <x v="0"/>
  </r>
  <r>
    <x v="120"/>
    <x v="5"/>
    <x v="10"/>
    <x v="7"/>
    <x v="24"/>
    <x v="17"/>
    <x v="25"/>
    <x v="7"/>
    <x v="30"/>
    <x v="22"/>
    <x v="10"/>
    <x v="0"/>
    <x v="7"/>
    <x v="24"/>
    <x v="24"/>
    <x v="31"/>
    <x v="37"/>
    <x v="1"/>
    <x v="35"/>
    <x v="3"/>
    <x v="0"/>
  </r>
  <r>
    <x v="120"/>
    <x v="5"/>
    <x v="10"/>
    <x v="8"/>
    <x v="1"/>
    <x v="25"/>
    <x v="37"/>
    <x v="26"/>
    <x v="36"/>
    <x v="21"/>
    <x v="5"/>
    <x v="0"/>
    <x v="8"/>
    <x v="1"/>
    <x v="1"/>
    <x v="27"/>
    <x v="57"/>
    <x v="2"/>
    <x v="88"/>
    <x v="1"/>
    <x v="0"/>
  </r>
  <r>
    <x v="120"/>
    <x v="5"/>
    <x v="10"/>
    <x v="10"/>
    <x v="9"/>
    <x v="9"/>
    <x v="22"/>
    <x v="9"/>
    <x v="31"/>
    <x v="24"/>
    <x v="11"/>
    <x v="0"/>
    <x v="10"/>
    <x v="9"/>
    <x v="9"/>
    <x v="26"/>
    <x v="26"/>
    <x v="0"/>
    <x v="54"/>
    <x v="0"/>
    <x v="2"/>
  </r>
  <r>
    <x v="120"/>
    <x v="5"/>
    <x v="10"/>
    <x v="12"/>
    <x v="31"/>
    <x v="16"/>
    <x v="7"/>
    <x v="12"/>
    <x v="25"/>
    <x v="16"/>
    <x v="35"/>
    <x v="0"/>
    <x v="12"/>
    <x v="29"/>
    <x v="12"/>
    <x v="48"/>
    <x v="18"/>
    <x v="1"/>
    <x v="52"/>
    <x v="0"/>
    <x v="2"/>
  </r>
  <r>
    <x v="120"/>
    <x v="5"/>
    <x v="10"/>
    <x v="18"/>
    <x v="3"/>
    <x v="11"/>
    <x v="39"/>
    <x v="18"/>
    <x v="35"/>
    <x v="21"/>
    <x v="40"/>
    <x v="0"/>
    <x v="18"/>
    <x v="3"/>
    <x v="3"/>
    <x v="11"/>
    <x v="45"/>
    <x v="1"/>
    <x v="15"/>
    <x v="3"/>
    <x v="0"/>
  </r>
  <r>
    <x v="120"/>
    <x v="5"/>
    <x v="10"/>
    <x v="19"/>
    <x v="27"/>
    <x v="28"/>
    <x v="12"/>
    <x v="19"/>
    <x v="33"/>
    <x v="25"/>
    <x v="41"/>
    <x v="0"/>
    <x v="19"/>
    <x v="16"/>
    <x v="19"/>
    <x v="55"/>
    <x v="35"/>
    <x v="1"/>
    <x v="59"/>
    <x v="0"/>
    <x v="2"/>
  </r>
  <r>
    <x v="120"/>
    <x v="5"/>
    <x v="10"/>
    <x v="20"/>
    <x v="14"/>
    <x v="47"/>
    <x v="15"/>
    <x v="20"/>
    <x v="9"/>
    <x v="32"/>
    <x v="13"/>
    <x v="0"/>
    <x v="20"/>
    <x v="14"/>
    <x v="20"/>
    <x v="72"/>
    <x v="58"/>
    <x v="1"/>
    <x v="76"/>
    <x v="0"/>
    <x v="0"/>
  </r>
  <r>
    <x v="120"/>
    <x v="5"/>
    <x v="10"/>
    <x v="23"/>
    <x v="25"/>
    <x v="14"/>
    <x v="22"/>
    <x v="23"/>
    <x v="31"/>
    <x v="28"/>
    <x v="26"/>
    <x v="0"/>
    <x v="23"/>
    <x v="25"/>
    <x v="25"/>
    <x v="31"/>
    <x v="31"/>
    <x v="1"/>
    <x v="35"/>
    <x v="3"/>
    <x v="2"/>
  </r>
  <r>
    <x v="120"/>
    <x v="5"/>
    <x v="10"/>
    <x v="29"/>
    <x v="5"/>
    <x v="23"/>
    <x v="0"/>
    <x v="28"/>
    <x v="4"/>
    <x v="21"/>
    <x v="4"/>
    <x v="0"/>
    <x v="27"/>
    <x v="5"/>
    <x v="27"/>
    <x v="64"/>
    <x v="16"/>
    <x v="1"/>
    <x v="68"/>
    <x v="0"/>
    <x v="2"/>
  </r>
  <r>
    <x v="120"/>
    <x v="5"/>
    <x v="10"/>
    <x v="30"/>
    <x v="26"/>
    <x v="3"/>
    <x v="10"/>
    <x v="17"/>
    <x v="35"/>
    <x v="31"/>
    <x v="6"/>
    <x v="0"/>
    <x v="17"/>
    <x v="26"/>
    <x v="26"/>
    <x v="32"/>
    <x v="8"/>
    <x v="1"/>
    <x v="36"/>
    <x v="3"/>
    <x v="2"/>
  </r>
  <r>
    <x v="120"/>
    <x v="5"/>
    <x v="10"/>
    <x v="32"/>
    <x v="13"/>
    <x v="30"/>
    <x v="33"/>
    <x v="13"/>
    <x v="30"/>
    <x v="27"/>
    <x v="28"/>
    <x v="0"/>
    <x v="30"/>
    <x v="13"/>
    <x v="13"/>
    <x v="36"/>
    <x v="58"/>
    <x v="0"/>
    <x v="44"/>
    <x v="3"/>
    <x v="0"/>
  </r>
  <r>
    <x v="122"/>
    <x v="5"/>
    <x v="10"/>
    <x v="11"/>
    <x v="15"/>
    <x v="35"/>
    <x v="26"/>
    <x v="11"/>
    <x v="26"/>
    <x v="29"/>
    <x v="16"/>
    <x v="0"/>
    <x v="11"/>
    <x v="15"/>
    <x v="11"/>
    <x v="48"/>
    <x v="56"/>
    <x v="1"/>
    <x v="52"/>
    <x v="0"/>
    <x v="0"/>
  </r>
  <r>
    <x v="130"/>
    <x v="5"/>
    <x v="11"/>
    <x v="26"/>
    <x v="2"/>
    <x v="17"/>
    <x v="21"/>
    <x v="2"/>
    <x v="31"/>
    <x v="22"/>
    <x v="15"/>
    <x v="0"/>
    <x v="26"/>
    <x v="2"/>
    <x v="2"/>
    <x v="35"/>
    <x v="33"/>
    <x v="0"/>
    <x v="45"/>
    <x v="2"/>
    <x v="2"/>
  </r>
  <r>
    <x v="142"/>
    <x v="5"/>
    <x v="11"/>
    <x v="0"/>
    <x v="30"/>
    <x v="19"/>
    <x v="22"/>
    <x v="0"/>
    <x v="23"/>
    <x v="21"/>
    <x v="44"/>
    <x v="0"/>
    <x v="0"/>
    <x v="17"/>
    <x v="17"/>
    <x v="36"/>
    <x v="36"/>
    <x v="1"/>
    <x v="40"/>
    <x v="3"/>
    <x v="0"/>
  </r>
  <r>
    <x v="142"/>
    <x v="5"/>
    <x v="11"/>
    <x v="1"/>
    <x v="12"/>
    <x v="45"/>
    <x v="19"/>
    <x v="1"/>
    <x v="28"/>
    <x v="29"/>
    <x v="12"/>
    <x v="0"/>
    <x v="1"/>
    <x v="12"/>
    <x v="1"/>
    <x v="65"/>
    <x v="59"/>
    <x v="1"/>
    <x v="69"/>
    <x v="0"/>
    <x v="0"/>
  </r>
  <r>
    <x v="142"/>
    <x v="5"/>
    <x v="11"/>
    <x v="3"/>
    <x v="22"/>
    <x v="7"/>
    <x v="22"/>
    <x v="3"/>
    <x v="25"/>
    <x v="27"/>
    <x v="33"/>
    <x v="0"/>
    <x v="3"/>
    <x v="22"/>
    <x v="22"/>
    <x v="24"/>
    <x v="24"/>
    <x v="1"/>
    <x v="28"/>
    <x v="3"/>
    <x v="2"/>
  </r>
  <r>
    <x v="142"/>
    <x v="5"/>
    <x v="11"/>
    <x v="5"/>
    <x v="24"/>
    <x v="19"/>
    <x v="18"/>
    <x v="24"/>
    <x v="31"/>
    <x v="23"/>
    <x v="37"/>
    <x v="0"/>
    <x v="5"/>
    <x v="24"/>
    <x v="5"/>
    <x v="40"/>
    <x v="32"/>
    <x v="0"/>
    <x v="40"/>
    <x v="3"/>
    <x v="2"/>
  </r>
  <r>
    <x v="142"/>
    <x v="5"/>
    <x v="11"/>
    <x v="6"/>
    <x v="15"/>
    <x v="33"/>
    <x v="19"/>
    <x v="6"/>
    <x v="30"/>
    <x v="24"/>
    <x v="31"/>
    <x v="0"/>
    <x v="6"/>
    <x v="15"/>
    <x v="6"/>
    <x v="53"/>
    <x v="47"/>
    <x v="1"/>
    <x v="57"/>
    <x v="0"/>
    <x v="0"/>
  </r>
  <r>
    <x v="142"/>
    <x v="5"/>
    <x v="11"/>
    <x v="9"/>
    <x v="19"/>
    <x v="20"/>
    <x v="18"/>
    <x v="9"/>
    <x v="23"/>
    <x v="21"/>
    <x v="38"/>
    <x v="0"/>
    <x v="9"/>
    <x v="19"/>
    <x v="9"/>
    <x v="41"/>
    <x v="33"/>
    <x v="1"/>
    <x v="45"/>
    <x v="3"/>
    <x v="2"/>
  </r>
  <r>
    <x v="142"/>
    <x v="5"/>
    <x v="11"/>
    <x v="13"/>
    <x v="14"/>
    <x v="13"/>
    <x v="11"/>
    <x v="13"/>
    <x v="29"/>
    <x v="21"/>
    <x v="22"/>
    <x v="0"/>
    <x v="13"/>
    <x v="14"/>
    <x v="13"/>
    <x v="41"/>
    <x v="19"/>
    <x v="1"/>
    <x v="45"/>
    <x v="3"/>
    <x v="2"/>
  </r>
  <r>
    <x v="142"/>
    <x v="5"/>
    <x v="11"/>
    <x v="18"/>
    <x v="23"/>
    <x v="11"/>
    <x v="25"/>
    <x v="23"/>
    <x v="32"/>
    <x v="19"/>
    <x v="45"/>
    <x v="0"/>
    <x v="18"/>
    <x v="23"/>
    <x v="23"/>
    <x v="25"/>
    <x v="31"/>
    <x v="0"/>
    <x v="55"/>
    <x v="0"/>
    <x v="2"/>
  </r>
  <r>
    <x v="142"/>
    <x v="5"/>
    <x v="11"/>
    <x v="21"/>
    <x v="8"/>
    <x v="23"/>
    <x v="18"/>
    <x v="21"/>
    <x v="31"/>
    <x v="31"/>
    <x v="20"/>
    <x v="0"/>
    <x v="21"/>
    <x v="8"/>
    <x v="21"/>
    <x v="44"/>
    <x v="36"/>
    <x v="1"/>
    <x v="48"/>
    <x v="0"/>
    <x v="2"/>
  </r>
  <r>
    <x v="142"/>
    <x v="5"/>
    <x v="11"/>
    <x v="27"/>
    <x v="7"/>
    <x v="27"/>
    <x v="25"/>
    <x v="16"/>
    <x v="27"/>
    <x v="23"/>
    <x v="32"/>
    <x v="0"/>
    <x v="16"/>
    <x v="7"/>
    <x v="16"/>
    <x v="41"/>
    <x v="47"/>
    <x v="1"/>
    <x v="45"/>
    <x v="3"/>
    <x v="0"/>
  </r>
  <r>
    <x v="142"/>
    <x v="5"/>
    <x v="11"/>
    <x v="28"/>
    <x v="11"/>
    <x v="2"/>
    <x v="15"/>
    <x v="11"/>
    <x v="22"/>
    <x v="30"/>
    <x v="17"/>
    <x v="0"/>
    <x v="28"/>
    <x v="11"/>
    <x v="11"/>
    <x v="24"/>
    <x v="10"/>
    <x v="0"/>
    <x v="56"/>
    <x v="0"/>
    <x v="2"/>
  </r>
  <r>
    <x v="142"/>
    <x v="5"/>
    <x v="11"/>
    <x v="31"/>
    <x v="4"/>
    <x v="20"/>
    <x v="35"/>
    <x v="4"/>
    <x v="31"/>
    <x v="15"/>
    <x v="34"/>
    <x v="0"/>
    <x v="29"/>
    <x v="4"/>
    <x v="4"/>
    <x v="24"/>
    <x v="50"/>
    <x v="0"/>
    <x v="56"/>
    <x v="0"/>
    <x v="0"/>
  </r>
  <r>
    <x v="142"/>
    <x v="5"/>
    <x v="11"/>
    <x v="33"/>
    <x v="25"/>
    <x v="20"/>
    <x v="18"/>
    <x v="25"/>
    <x v="31"/>
    <x v="25"/>
    <x v="9"/>
    <x v="0"/>
    <x v="31"/>
    <x v="25"/>
    <x v="32"/>
    <x v="41"/>
    <x v="33"/>
    <x v="0"/>
    <x v="39"/>
    <x v="3"/>
    <x v="2"/>
  </r>
  <r>
    <x v="144"/>
    <x v="5"/>
    <x v="11"/>
    <x v="29"/>
    <x v="10"/>
    <x v="10"/>
    <x v="8"/>
    <x v="28"/>
    <x v="17"/>
    <x v="20"/>
    <x v="4"/>
    <x v="0"/>
    <x v="27"/>
    <x v="10"/>
    <x v="27"/>
    <x v="41"/>
    <x v="13"/>
    <x v="1"/>
    <x v="45"/>
    <x v="3"/>
    <x v="2"/>
  </r>
  <r>
    <x v="152"/>
    <x v="5"/>
    <x v="12"/>
    <x v="12"/>
    <x v="13"/>
    <x v="17"/>
    <x v="25"/>
    <x v="12"/>
    <x v="27"/>
    <x v="16"/>
    <x v="35"/>
    <x v="0"/>
    <x v="12"/>
    <x v="13"/>
    <x v="13"/>
    <x v="31"/>
    <x v="37"/>
    <x v="1"/>
    <x v="35"/>
    <x v="3"/>
    <x v="0"/>
  </r>
  <r>
    <x v="164"/>
    <x v="5"/>
    <x v="12"/>
    <x v="1"/>
    <x v="33"/>
    <x v="22"/>
    <x v="17"/>
    <x v="1"/>
    <x v="23"/>
    <x v="31"/>
    <x v="12"/>
    <x v="0"/>
    <x v="1"/>
    <x v="31"/>
    <x v="1"/>
    <x v="44"/>
    <x v="34"/>
    <x v="1"/>
    <x v="48"/>
    <x v="3"/>
    <x v="2"/>
  </r>
  <r>
    <x v="164"/>
    <x v="5"/>
    <x v="12"/>
    <x v="2"/>
    <x v="7"/>
    <x v="27"/>
    <x v="31"/>
    <x v="2"/>
    <x v="24"/>
    <x v="20"/>
    <x v="23"/>
    <x v="0"/>
    <x v="2"/>
    <x v="7"/>
    <x v="7"/>
    <x v="35"/>
    <x v="53"/>
    <x v="1"/>
    <x v="39"/>
    <x v="3"/>
    <x v="0"/>
  </r>
  <r>
    <x v="164"/>
    <x v="5"/>
    <x v="12"/>
    <x v="6"/>
    <x v="29"/>
    <x v="24"/>
    <x v="22"/>
    <x v="6"/>
    <x v="31"/>
    <x v="23"/>
    <x v="31"/>
    <x v="0"/>
    <x v="6"/>
    <x v="27"/>
    <x v="6"/>
    <x v="41"/>
    <x v="41"/>
    <x v="1"/>
    <x v="45"/>
    <x v="2"/>
    <x v="0"/>
  </r>
  <r>
    <x v="164"/>
    <x v="5"/>
    <x v="12"/>
    <x v="8"/>
    <x v="20"/>
    <x v="3"/>
    <x v="28"/>
    <x v="20"/>
    <x v="20"/>
    <x v="35"/>
    <x v="5"/>
    <x v="0"/>
    <x v="8"/>
    <x v="20"/>
    <x v="20"/>
    <x v="14"/>
    <x v="26"/>
    <x v="0"/>
    <x v="66"/>
    <x v="0"/>
    <x v="2"/>
  </r>
  <r>
    <x v="164"/>
    <x v="5"/>
    <x v="12"/>
    <x v="10"/>
    <x v="0"/>
    <x v="14"/>
    <x v="40"/>
    <x v="0"/>
    <x v="28"/>
    <x v="26"/>
    <x v="11"/>
    <x v="0"/>
    <x v="10"/>
    <x v="0"/>
    <x v="0"/>
    <x v="13"/>
    <x v="49"/>
    <x v="0"/>
    <x v="67"/>
    <x v="0"/>
    <x v="0"/>
  </r>
  <r>
    <x v="164"/>
    <x v="5"/>
    <x v="12"/>
    <x v="11"/>
    <x v="30"/>
    <x v="21"/>
    <x v="8"/>
    <x v="11"/>
    <x v="19"/>
    <x v="26"/>
    <x v="16"/>
    <x v="0"/>
    <x v="11"/>
    <x v="17"/>
    <x v="11"/>
    <x v="52"/>
    <x v="24"/>
    <x v="1"/>
    <x v="56"/>
    <x v="0"/>
    <x v="2"/>
  </r>
  <r>
    <x v="164"/>
    <x v="5"/>
    <x v="12"/>
    <x v="15"/>
    <x v="5"/>
    <x v="14"/>
    <x v="16"/>
    <x v="15"/>
    <x v="18"/>
    <x v="23"/>
    <x v="0"/>
    <x v="0"/>
    <x v="15"/>
    <x v="5"/>
    <x v="5"/>
    <x v="37"/>
    <x v="25"/>
    <x v="1"/>
    <x v="41"/>
    <x v="3"/>
    <x v="2"/>
  </r>
  <r>
    <x v="164"/>
    <x v="5"/>
    <x v="12"/>
    <x v="22"/>
    <x v="28"/>
    <x v="27"/>
    <x v="25"/>
    <x v="22"/>
    <x v="22"/>
    <x v="22"/>
    <x v="26"/>
    <x v="0"/>
    <x v="22"/>
    <x v="28"/>
    <x v="22"/>
    <x v="41"/>
    <x v="47"/>
    <x v="1"/>
    <x v="45"/>
    <x v="3"/>
    <x v="0"/>
  </r>
  <r>
    <x v="164"/>
    <x v="5"/>
    <x v="12"/>
    <x v="24"/>
    <x v="9"/>
    <x v="7"/>
    <x v="14"/>
    <x v="9"/>
    <x v="26"/>
    <x v="24"/>
    <x v="30"/>
    <x v="0"/>
    <x v="24"/>
    <x v="9"/>
    <x v="9"/>
    <x v="32"/>
    <x v="16"/>
    <x v="0"/>
    <x v="48"/>
    <x v="0"/>
    <x v="2"/>
  </r>
  <r>
    <x v="164"/>
    <x v="5"/>
    <x v="12"/>
    <x v="25"/>
    <x v="21"/>
    <x v="36"/>
    <x v="15"/>
    <x v="25"/>
    <x v="24"/>
    <x v="33"/>
    <x v="18"/>
    <x v="0"/>
    <x v="25"/>
    <x v="21"/>
    <x v="25"/>
    <x v="60"/>
    <x v="46"/>
    <x v="1"/>
    <x v="64"/>
    <x v="0"/>
    <x v="0"/>
  </r>
  <r>
    <x v="164"/>
    <x v="5"/>
    <x v="12"/>
    <x v="31"/>
    <x v="14"/>
    <x v="35"/>
    <x v="29"/>
    <x v="30"/>
    <x v="35"/>
    <x v="17"/>
    <x v="34"/>
    <x v="0"/>
    <x v="29"/>
    <x v="14"/>
    <x v="29"/>
    <x v="45"/>
    <x v="59"/>
    <x v="1"/>
    <x v="49"/>
    <x v="0"/>
    <x v="0"/>
  </r>
  <r>
    <x v="164"/>
    <x v="5"/>
    <x v="12"/>
    <x v="32"/>
    <x v="3"/>
    <x v="10"/>
    <x v="12"/>
    <x v="3"/>
    <x v="35"/>
    <x v="20"/>
    <x v="28"/>
    <x v="0"/>
    <x v="30"/>
    <x v="3"/>
    <x v="3"/>
    <x v="37"/>
    <x v="17"/>
    <x v="0"/>
    <x v="43"/>
    <x v="2"/>
    <x v="2"/>
  </r>
  <r>
    <x v="166"/>
    <x v="5"/>
    <x v="12"/>
    <x v="27"/>
    <x v="26"/>
    <x v="17"/>
    <x v="22"/>
    <x v="16"/>
    <x v="29"/>
    <x v="25"/>
    <x v="32"/>
    <x v="0"/>
    <x v="16"/>
    <x v="26"/>
    <x v="26"/>
    <x v="34"/>
    <x v="34"/>
    <x v="1"/>
    <x v="38"/>
    <x v="3"/>
    <x v="2"/>
  </r>
  <r>
    <x v="174"/>
    <x v="5"/>
    <x v="13"/>
    <x v="21"/>
    <x v="1"/>
    <x v="28"/>
    <x v="19"/>
    <x v="1"/>
    <x v="31"/>
    <x v="39"/>
    <x v="20"/>
    <x v="0"/>
    <x v="21"/>
    <x v="1"/>
    <x v="21"/>
    <x v="48"/>
    <x v="42"/>
    <x v="0"/>
    <x v="32"/>
    <x v="3"/>
    <x v="2"/>
  </r>
  <r>
    <x v="186"/>
    <x v="5"/>
    <x v="13"/>
    <x v="3"/>
    <x v="6"/>
    <x v="18"/>
    <x v="32"/>
    <x v="6"/>
    <x v="31"/>
    <x v="18"/>
    <x v="33"/>
    <x v="0"/>
    <x v="3"/>
    <x v="6"/>
    <x v="6"/>
    <x v="25"/>
    <x v="45"/>
    <x v="0"/>
    <x v="55"/>
    <x v="0"/>
    <x v="0"/>
  </r>
  <r>
    <x v="186"/>
    <x v="5"/>
    <x v="13"/>
    <x v="7"/>
    <x v="9"/>
    <x v="20"/>
    <x v="24"/>
    <x v="9"/>
    <x v="30"/>
    <x v="18"/>
    <x v="10"/>
    <x v="0"/>
    <x v="7"/>
    <x v="9"/>
    <x v="9"/>
    <x v="35"/>
    <x v="39"/>
    <x v="0"/>
    <x v="45"/>
    <x v="3"/>
    <x v="0"/>
  </r>
  <r>
    <x v="186"/>
    <x v="5"/>
    <x v="13"/>
    <x v="10"/>
    <x v="5"/>
    <x v="34"/>
    <x v="32"/>
    <x v="10"/>
    <x v="30"/>
    <x v="25"/>
    <x v="11"/>
    <x v="0"/>
    <x v="10"/>
    <x v="5"/>
    <x v="10"/>
    <x v="41"/>
    <x v="61"/>
    <x v="1"/>
    <x v="45"/>
    <x v="3"/>
    <x v="0"/>
  </r>
  <r>
    <x v="186"/>
    <x v="5"/>
    <x v="13"/>
    <x v="11"/>
    <x v="27"/>
    <x v="24"/>
    <x v="18"/>
    <x v="11"/>
    <x v="16"/>
    <x v="35"/>
    <x v="16"/>
    <x v="0"/>
    <x v="11"/>
    <x v="16"/>
    <x v="11"/>
    <x v="45"/>
    <x v="37"/>
    <x v="1"/>
    <x v="49"/>
    <x v="3"/>
    <x v="2"/>
  </r>
  <r>
    <x v="186"/>
    <x v="5"/>
    <x v="13"/>
    <x v="13"/>
    <x v="20"/>
    <x v="24"/>
    <x v="32"/>
    <x v="20"/>
    <x v="19"/>
    <x v="42"/>
    <x v="22"/>
    <x v="0"/>
    <x v="13"/>
    <x v="20"/>
    <x v="20"/>
    <x v="31"/>
    <x v="51"/>
    <x v="0"/>
    <x v="49"/>
    <x v="3"/>
    <x v="0"/>
  </r>
  <r>
    <x v="186"/>
    <x v="5"/>
    <x v="13"/>
    <x v="14"/>
    <x v="12"/>
    <x v="17"/>
    <x v="29"/>
    <x v="14"/>
    <x v="31"/>
    <x v="20"/>
    <x v="8"/>
    <x v="0"/>
    <x v="14"/>
    <x v="12"/>
    <x v="12"/>
    <x v="27"/>
    <x v="41"/>
    <x v="1"/>
    <x v="31"/>
    <x v="3"/>
    <x v="0"/>
  </r>
  <r>
    <x v="186"/>
    <x v="5"/>
    <x v="13"/>
    <x v="19"/>
    <x v="15"/>
    <x v="13"/>
    <x v="8"/>
    <x v="19"/>
    <x v="30"/>
    <x v="20"/>
    <x v="41"/>
    <x v="0"/>
    <x v="19"/>
    <x v="15"/>
    <x v="19"/>
    <x v="44"/>
    <x v="16"/>
    <x v="1"/>
    <x v="48"/>
    <x v="0"/>
    <x v="2"/>
  </r>
  <r>
    <x v="186"/>
    <x v="5"/>
    <x v="13"/>
    <x v="23"/>
    <x v="33"/>
    <x v="31"/>
    <x v="18"/>
    <x v="23"/>
    <x v="22"/>
    <x v="14"/>
    <x v="26"/>
    <x v="0"/>
    <x v="23"/>
    <x v="31"/>
    <x v="23"/>
    <x v="52"/>
    <x v="44"/>
    <x v="1"/>
    <x v="56"/>
    <x v="0"/>
    <x v="0"/>
  </r>
  <r>
    <x v="186"/>
    <x v="5"/>
    <x v="13"/>
    <x v="26"/>
    <x v="0"/>
    <x v="22"/>
    <x v="11"/>
    <x v="0"/>
    <x v="26"/>
    <x v="24"/>
    <x v="15"/>
    <x v="0"/>
    <x v="26"/>
    <x v="0"/>
    <x v="26"/>
    <x v="50"/>
    <x v="28"/>
    <x v="0"/>
    <x v="30"/>
    <x v="3"/>
    <x v="2"/>
  </r>
  <r>
    <x v="186"/>
    <x v="5"/>
    <x v="13"/>
    <x v="28"/>
    <x v="2"/>
    <x v="22"/>
    <x v="18"/>
    <x v="2"/>
    <x v="32"/>
    <x v="21"/>
    <x v="17"/>
    <x v="0"/>
    <x v="28"/>
    <x v="2"/>
    <x v="28"/>
    <x v="43"/>
    <x v="35"/>
    <x v="0"/>
    <x v="37"/>
    <x v="3"/>
    <x v="0"/>
  </r>
  <r>
    <x v="186"/>
    <x v="5"/>
    <x v="13"/>
    <x v="29"/>
    <x v="4"/>
    <x v="20"/>
    <x v="25"/>
    <x v="28"/>
    <x v="23"/>
    <x v="16"/>
    <x v="4"/>
    <x v="0"/>
    <x v="27"/>
    <x v="4"/>
    <x v="4"/>
    <x v="34"/>
    <x v="40"/>
    <x v="1"/>
    <x v="38"/>
    <x v="3"/>
    <x v="0"/>
  </r>
  <r>
    <x v="186"/>
    <x v="5"/>
    <x v="13"/>
    <x v="32"/>
    <x v="18"/>
    <x v="7"/>
    <x v="36"/>
    <x v="31"/>
    <x v="32"/>
    <x v="21"/>
    <x v="28"/>
    <x v="0"/>
    <x v="30"/>
    <x v="18"/>
    <x v="18"/>
    <x v="10"/>
    <x v="38"/>
    <x v="1"/>
    <x v="14"/>
    <x v="3"/>
    <x v="0"/>
  </r>
  <r>
    <x v="188"/>
    <x v="5"/>
    <x v="13"/>
    <x v="25"/>
    <x v="22"/>
    <x v="24"/>
    <x v="5"/>
    <x v="25"/>
    <x v="30"/>
    <x v="35"/>
    <x v="18"/>
    <x v="0"/>
    <x v="25"/>
    <x v="22"/>
    <x v="25"/>
    <x v="58"/>
    <x v="24"/>
    <x v="1"/>
    <x v="62"/>
    <x v="0"/>
    <x v="2"/>
  </r>
  <r>
    <x v="196"/>
    <x v="5"/>
    <x v="14"/>
    <x v="28"/>
    <x v="29"/>
    <x v="2"/>
    <x v="18"/>
    <x v="28"/>
    <x v="24"/>
    <x v="18"/>
    <x v="17"/>
    <x v="0"/>
    <x v="28"/>
    <x v="27"/>
    <x v="27"/>
    <x v="21"/>
    <x v="13"/>
    <x v="0"/>
    <x v="59"/>
    <x v="0"/>
    <x v="2"/>
  </r>
  <r>
    <x v="208"/>
    <x v="5"/>
    <x v="14"/>
    <x v="4"/>
    <x v="25"/>
    <x v="24"/>
    <x v="14"/>
    <x v="4"/>
    <x v="32"/>
    <x v="26"/>
    <x v="2"/>
    <x v="0"/>
    <x v="4"/>
    <x v="25"/>
    <x v="4"/>
    <x v="49"/>
    <x v="33"/>
    <x v="1"/>
    <x v="53"/>
    <x v="0"/>
    <x v="2"/>
  </r>
  <r>
    <x v="208"/>
    <x v="5"/>
    <x v="14"/>
    <x v="10"/>
    <x v="19"/>
    <x v="16"/>
    <x v="26"/>
    <x v="10"/>
    <x v="35"/>
    <x v="24"/>
    <x v="11"/>
    <x v="0"/>
    <x v="10"/>
    <x v="19"/>
    <x v="19"/>
    <x v="29"/>
    <x v="37"/>
    <x v="1"/>
    <x v="33"/>
    <x v="3"/>
    <x v="0"/>
  </r>
  <r>
    <x v="208"/>
    <x v="5"/>
    <x v="14"/>
    <x v="13"/>
    <x v="21"/>
    <x v="18"/>
    <x v="25"/>
    <x v="13"/>
    <x v="27"/>
    <x v="40"/>
    <x v="22"/>
    <x v="0"/>
    <x v="13"/>
    <x v="21"/>
    <x v="21"/>
    <x v="32"/>
    <x v="38"/>
    <x v="1"/>
    <x v="36"/>
    <x v="3"/>
    <x v="2"/>
  </r>
  <r>
    <x v="208"/>
    <x v="5"/>
    <x v="14"/>
    <x v="14"/>
    <x v="3"/>
    <x v="31"/>
    <x v="29"/>
    <x v="3"/>
    <x v="30"/>
    <x v="17"/>
    <x v="45"/>
    <x v="0"/>
    <x v="14"/>
    <x v="3"/>
    <x v="14"/>
    <x v="41"/>
    <x v="55"/>
    <x v="0"/>
    <x v="39"/>
    <x v="3"/>
    <x v="0"/>
  </r>
  <r>
    <x v="208"/>
    <x v="5"/>
    <x v="14"/>
    <x v="15"/>
    <x v="26"/>
    <x v="20"/>
    <x v="11"/>
    <x v="15"/>
    <x v="30"/>
    <x v="17"/>
    <x v="0"/>
    <x v="0"/>
    <x v="15"/>
    <x v="26"/>
    <x v="15"/>
    <x v="48"/>
    <x v="26"/>
    <x v="1"/>
    <x v="52"/>
    <x v="0"/>
    <x v="2"/>
  </r>
  <r>
    <x v="208"/>
    <x v="5"/>
    <x v="14"/>
    <x v="18"/>
    <x v="12"/>
    <x v="41"/>
    <x v="24"/>
    <x v="18"/>
    <x v="28"/>
    <x v="25"/>
    <x v="40"/>
    <x v="0"/>
    <x v="18"/>
    <x v="12"/>
    <x v="18"/>
    <x v="56"/>
    <x v="60"/>
    <x v="1"/>
    <x v="60"/>
    <x v="0"/>
    <x v="0"/>
  </r>
  <r>
    <x v="208"/>
    <x v="5"/>
    <x v="14"/>
    <x v="20"/>
    <x v="23"/>
    <x v="27"/>
    <x v="21"/>
    <x v="20"/>
    <x v="23"/>
    <x v="29"/>
    <x v="13"/>
    <x v="0"/>
    <x v="20"/>
    <x v="23"/>
    <x v="20"/>
    <x v="45"/>
    <x v="43"/>
    <x v="1"/>
    <x v="49"/>
    <x v="2"/>
    <x v="0"/>
  </r>
  <r>
    <x v="208"/>
    <x v="5"/>
    <x v="14"/>
    <x v="22"/>
    <x v="8"/>
    <x v="24"/>
    <x v="18"/>
    <x v="22"/>
    <x v="31"/>
    <x v="23"/>
    <x v="26"/>
    <x v="0"/>
    <x v="22"/>
    <x v="8"/>
    <x v="22"/>
    <x v="45"/>
    <x v="37"/>
    <x v="1"/>
    <x v="49"/>
    <x v="0"/>
    <x v="0"/>
  </r>
  <r>
    <x v="208"/>
    <x v="5"/>
    <x v="14"/>
    <x v="27"/>
    <x v="24"/>
    <x v="26"/>
    <x v="35"/>
    <x v="16"/>
    <x v="30"/>
    <x v="31"/>
    <x v="32"/>
    <x v="0"/>
    <x v="16"/>
    <x v="24"/>
    <x v="24"/>
    <x v="30"/>
    <x v="56"/>
    <x v="1"/>
    <x v="34"/>
    <x v="3"/>
    <x v="0"/>
  </r>
  <r>
    <x v="208"/>
    <x v="5"/>
    <x v="14"/>
    <x v="30"/>
    <x v="7"/>
    <x v="21"/>
    <x v="4"/>
    <x v="17"/>
    <x v="25"/>
    <x v="22"/>
    <x v="6"/>
    <x v="0"/>
    <x v="17"/>
    <x v="7"/>
    <x v="17"/>
    <x v="56"/>
    <x v="20"/>
    <x v="1"/>
    <x v="60"/>
    <x v="0"/>
    <x v="2"/>
  </r>
  <r>
    <x v="208"/>
    <x v="5"/>
    <x v="14"/>
    <x v="32"/>
    <x v="1"/>
    <x v="4"/>
    <x v="8"/>
    <x v="1"/>
    <x v="25"/>
    <x v="25"/>
    <x v="28"/>
    <x v="0"/>
    <x v="30"/>
    <x v="1"/>
    <x v="1"/>
    <x v="35"/>
    <x v="7"/>
    <x v="0"/>
    <x v="45"/>
    <x v="3"/>
    <x v="2"/>
  </r>
  <r>
    <x v="208"/>
    <x v="5"/>
    <x v="14"/>
    <x v="33"/>
    <x v="31"/>
    <x v="28"/>
    <x v="28"/>
    <x v="32"/>
    <x v="31"/>
    <x v="17"/>
    <x v="9"/>
    <x v="0"/>
    <x v="31"/>
    <x v="29"/>
    <x v="32"/>
    <x v="39"/>
    <x v="51"/>
    <x v="1"/>
    <x v="43"/>
    <x v="3"/>
    <x v="0"/>
  </r>
  <r>
    <x v="210"/>
    <x v="5"/>
    <x v="14"/>
    <x v="0"/>
    <x v="2"/>
    <x v="23"/>
    <x v="16"/>
    <x v="0"/>
    <x v="17"/>
    <x v="33"/>
    <x v="44"/>
    <x v="0"/>
    <x v="0"/>
    <x v="2"/>
    <x v="0"/>
    <x v="46"/>
    <x v="34"/>
    <x v="1"/>
    <x v="50"/>
    <x v="3"/>
    <x v="2"/>
  </r>
  <r>
    <x v="218"/>
    <x v="5"/>
    <x v="15"/>
    <x v="20"/>
    <x v="18"/>
    <x v="33"/>
    <x v="5"/>
    <x v="20"/>
    <x v="21"/>
    <x v="37"/>
    <x v="13"/>
    <x v="0"/>
    <x v="20"/>
    <x v="18"/>
    <x v="20"/>
    <x v="67"/>
    <x v="33"/>
    <x v="1"/>
    <x v="71"/>
    <x v="0"/>
    <x v="2"/>
  </r>
  <r>
    <x v="230"/>
    <x v="5"/>
    <x v="15"/>
    <x v="1"/>
    <x v="31"/>
    <x v="17"/>
    <x v="21"/>
    <x v="1"/>
    <x v="21"/>
    <x v="29"/>
    <x v="12"/>
    <x v="0"/>
    <x v="1"/>
    <x v="29"/>
    <x v="29"/>
    <x v="35"/>
    <x v="33"/>
    <x v="1"/>
    <x v="39"/>
    <x v="3"/>
    <x v="2"/>
  </r>
  <r>
    <x v="230"/>
    <x v="5"/>
    <x v="15"/>
    <x v="2"/>
    <x v="27"/>
    <x v="26"/>
    <x v="24"/>
    <x v="2"/>
    <x v="28"/>
    <x v="35"/>
    <x v="23"/>
    <x v="0"/>
    <x v="2"/>
    <x v="16"/>
    <x v="2"/>
    <x v="41"/>
    <x v="45"/>
    <x v="1"/>
    <x v="45"/>
    <x v="3"/>
    <x v="0"/>
  </r>
  <r>
    <x v="230"/>
    <x v="5"/>
    <x v="15"/>
    <x v="5"/>
    <x v="19"/>
    <x v="17"/>
    <x v="21"/>
    <x v="19"/>
    <x v="34"/>
    <x v="22"/>
    <x v="37"/>
    <x v="0"/>
    <x v="5"/>
    <x v="19"/>
    <x v="19"/>
    <x v="35"/>
    <x v="33"/>
    <x v="0"/>
    <x v="45"/>
    <x v="0"/>
    <x v="2"/>
  </r>
  <r>
    <x v="230"/>
    <x v="5"/>
    <x v="15"/>
    <x v="7"/>
    <x v="0"/>
    <x v="17"/>
    <x v="32"/>
    <x v="0"/>
    <x v="23"/>
    <x v="26"/>
    <x v="10"/>
    <x v="0"/>
    <x v="7"/>
    <x v="0"/>
    <x v="0"/>
    <x v="24"/>
    <x v="44"/>
    <x v="0"/>
    <x v="56"/>
    <x v="0"/>
    <x v="0"/>
  </r>
  <r>
    <x v="230"/>
    <x v="5"/>
    <x v="15"/>
    <x v="8"/>
    <x v="29"/>
    <x v="9"/>
    <x v="11"/>
    <x v="28"/>
    <x v="27"/>
    <x v="17"/>
    <x v="5"/>
    <x v="0"/>
    <x v="8"/>
    <x v="27"/>
    <x v="27"/>
    <x v="37"/>
    <x v="15"/>
    <x v="0"/>
    <x v="43"/>
    <x v="3"/>
    <x v="2"/>
  </r>
  <r>
    <x v="230"/>
    <x v="5"/>
    <x v="15"/>
    <x v="9"/>
    <x v="11"/>
    <x v="26"/>
    <x v="8"/>
    <x v="11"/>
    <x v="32"/>
    <x v="25"/>
    <x v="38"/>
    <x v="0"/>
    <x v="9"/>
    <x v="11"/>
    <x v="9"/>
    <x v="57"/>
    <x v="29"/>
    <x v="0"/>
    <x v="23"/>
    <x v="3"/>
    <x v="2"/>
  </r>
  <r>
    <x v="230"/>
    <x v="5"/>
    <x v="15"/>
    <x v="12"/>
    <x v="32"/>
    <x v="17"/>
    <x v="4"/>
    <x v="12"/>
    <x v="30"/>
    <x v="20"/>
    <x v="35"/>
    <x v="0"/>
    <x v="12"/>
    <x v="30"/>
    <x v="12"/>
    <x v="52"/>
    <x v="16"/>
    <x v="1"/>
    <x v="56"/>
    <x v="0"/>
    <x v="2"/>
  </r>
  <r>
    <x v="230"/>
    <x v="5"/>
    <x v="15"/>
    <x v="15"/>
    <x v="10"/>
    <x v="42"/>
    <x v="8"/>
    <x v="10"/>
    <x v="31"/>
    <x v="24"/>
    <x v="45"/>
    <x v="0"/>
    <x v="15"/>
    <x v="10"/>
    <x v="15"/>
    <x v="73"/>
    <x v="45"/>
    <x v="0"/>
    <x v="7"/>
    <x v="3"/>
    <x v="0"/>
  </r>
  <r>
    <x v="230"/>
    <x v="5"/>
    <x v="15"/>
    <x v="21"/>
    <x v="22"/>
    <x v="48"/>
    <x v="46"/>
    <x v="21"/>
    <x v="31"/>
    <x v="38"/>
    <x v="20"/>
    <x v="0"/>
    <x v="21"/>
    <x v="22"/>
    <x v="21"/>
    <x v="41"/>
    <x v="81"/>
    <x v="1"/>
    <x v="45"/>
    <x v="2"/>
    <x v="0"/>
  </r>
  <r>
    <x v="230"/>
    <x v="5"/>
    <x v="15"/>
    <x v="24"/>
    <x v="23"/>
    <x v="31"/>
    <x v="18"/>
    <x v="23"/>
    <x v="31"/>
    <x v="22"/>
    <x v="30"/>
    <x v="0"/>
    <x v="24"/>
    <x v="23"/>
    <x v="24"/>
    <x v="52"/>
    <x v="44"/>
    <x v="0"/>
    <x v="28"/>
    <x v="3"/>
    <x v="0"/>
  </r>
  <r>
    <x v="230"/>
    <x v="5"/>
    <x v="15"/>
    <x v="26"/>
    <x v="6"/>
    <x v="7"/>
    <x v="14"/>
    <x v="26"/>
    <x v="36"/>
    <x v="33"/>
    <x v="15"/>
    <x v="0"/>
    <x v="26"/>
    <x v="6"/>
    <x v="6"/>
    <x v="32"/>
    <x v="16"/>
    <x v="2"/>
    <x v="88"/>
    <x v="1"/>
    <x v="2"/>
  </r>
  <r>
    <x v="230"/>
    <x v="5"/>
    <x v="15"/>
    <x v="30"/>
    <x v="28"/>
    <x v="24"/>
    <x v="4"/>
    <x v="17"/>
    <x v="21"/>
    <x v="16"/>
    <x v="6"/>
    <x v="0"/>
    <x v="17"/>
    <x v="28"/>
    <x v="17"/>
    <x v="59"/>
    <x v="23"/>
    <x v="1"/>
    <x v="63"/>
    <x v="0"/>
    <x v="2"/>
  </r>
  <r>
    <x v="232"/>
    <x v="5"/>
    <x v="15"/>
    <x v="4"/>
    <x v="13"/>
    <x v="26"/>
    <x v="24"/>
    <x v="4"/>
    <x v="26"/>
    <x v="25"/>
    <x v="2"/>
    <x v="0"/>
    <x v="4"/>
    <x v="13"/>
    <x v="4"/>
    <x v="41"/>
    <x v="45"/>
    <x v="1"/>
    <x v="45"/>
    <x v="3"/>
    <x v="0"/>
  </r>
  <r>
    <x v="240"/>
    <x v="5"/>
    <x v="16"/>
    <x v="6"/>
    <x v="7"/>
    <x v="28"/>
    <x v="8"/>
    <x v="6"/>
    <x v="11"/>
    <x v="26"/>
    <x v="31"/>
    <x v="0"/>
    <x v="6"/>
    <x v="7"/>
    <x v="6"/>
    <x v="59"/>
    <x v="31"/>
    <x v="1"/>
    <x v="63"/>
    <x v="0"/>
    <x v="2"/>
  </r>
  <r>
    <x v="252"/>
    <x v="5"/>
    <x v="16"/>
    <x v="3"/>
    <x v="18"/>
    <x v="30"/>
    <x v="15"/>
    <x v="3"/>
    <x v="29"/>
    <x v="22"/>
    <x v="33"/>
    <x v="0"/>
    <x v="3"/>
    <x v="18"/>
    <x v="3"/>
    <x v="54"/>
    <x v="40"/>
    <x v="1"/>
    <x v="58"/>
    <x v="0"/>
    <x v="0"/>
  </r>
  <r>
    <x v="252"/>
    <x v="5"/>
    <x v="16"/>
    <x v="4"/>
    <x v="11"/>
    <x v="34"/>
    <x v="27"/>
    <x v="11"/>
    <x v="32"/>
    <x v="26"/>
    <x v="2"/>
    <x v="0"/>
    <x v="4"/>
    <x v="11"/>
    <x v="4"/>
    <x v="46"/>
    <x v="56"/>
    <x v="0"/>
    <x v="34"/>
    <x v="3"/>
    <x v="0"/>
  </r>
  <r>
    <x v="252"/>
    <x v="5"/>
    <x v="16"/>
    <x v="8"/>
    <x v="25"/>
    <x v="24"/>
    <x v="31"/>
    <x v="25"/>
    <x v="31"/>
    <x v="22"/>
    <x v="5"/>
    <x v="0"/>
    <x v="8"/>
    <x v="25"/>
    <x v="25"/>
    <x v="32"/>
    <x v="50"/>
    <x v="0"/>
    <x v="48"/>
    <x v="0"/>
    <x v="0"/>
  </r>
  <r>
    <x v="252"/>
    <x v="5"/>
    <x v="16"/>
    <x v="13"/>
    <x v="9"/>
    <x v="24"/>
    <x v="22"/>
    <x v="9"/>
    <x v="30"/>
    <x v="25"/>
    <x v="22"/>
    <x v="0"/>
    <x v="13"/>
    <x v="9"/>
    <x v="13"/>
    <x v="41"/>
    <x v="41"/>
    <x v="0"/>
    <x v="39"/>
    <x v="3"/>
    <x v="0"/>
  </r>
  <r>
    <x v="252"/>
    <x v="5"/>
    <x v="16"/>
    <x v="19"/>
    <x v="30"/>
    <x v="18"/>
    <x v="16"/>
    <x v="19"/>
    <x v="35"/>
    <x v="14"/>
    <x v="41"/>
    <x v="0"/>
    <x v="19"/>
    <x v="17"/>
    <x v="19"/>
    <x v="41"/>
    <x v="29"/>
    <x v="1"/>
    <x v="45"/>
    <x v="0"/>
    <x v="2"/>
  </r>
  <r>
    <x v="252"/>
    <x v="5"/>
    <x v="16"/>
    <x v="20"/>
    <x v="33"/>
    <x v="24"/>
    <x v="8"/>
    <x v="20"/>
    <x v="10"/>
    <x v="37"/>
    <x v="13"/>
    <x v="0"/>
    <x v="20"/>
    <x v="31"/>
    <x v="20"/>
    <x v="55"/>
    <x v="27"/>
    <x v="1"/>
    <x v="59"/>
    <x v="0"/>
    <x v="2"/>
  </r>
  <r>
    <x v="252"/>
    <x v="5"/>
    <x v="16"/>
    <x v="21"/>
    <x v="32"/>
    <x v="25"/>
    <x v="32"/>
    <x v="21"/>
    <x v="24"/>
    <x v="34"/>
    <x v="20"/>
    <x v="0"/>
    <x v="21"/>
    <x v="30"/>
    <x v="30"/>
    <x v="32"/>
    <x v="52"/>
    <x v="1"/>
    <x v="36"/>
    <x v="3"/>
    <x v="0"/>
  </r>
  <r>
    <x v="252"/>
    <x v="5"/>
    <x v="16"/>
    <x v="23"/>
    <x v="14"/>
    <x v="25"/>
    <x v="21"/>
    <x v="23"/>
    <x v="21"/>
    <x v="19"/>
    <x v="26"/>
    <x v="0"/>
    <x v="23"/>
    <x v="14"/>
    <x v="23"/>
    <x v="43"/>
    <x v="41"/>
    <x v="1"/>
    <x v="47"/>
    <x v="3"/>
    <x v="0"/>
  </r>
  <r>
    <x v="252"/>
    <x v="5"/>
    <x v="16"/>
    <x v="26"/>
    <x v="24"/>
    <x v="35"/>
    <x v="33"/>
    <x v="27"/>
    <x v="25"/>
    <x v="30"/>
    <x v="15"/>
    <x v="0"/>
    <x v="26"/>
    <x v="24"/>
    <x v="26"/>
    <x v="41"/>
    <x v="63"/>
    <x v="1"/>
    <x v="45"/>
    <x v="3"/>
    <x v="0"/>
  </r>
  <r>
    <x v="252"/>
    <x v="5"/>
    <x v="16"/>
    <x v="28"/>
    <x v="1"/>
    <x v="14"/>
    <x v="14"/>
    <x v="1"/>
    <x v="20"/>
    <x v="21"/>
    <x v="17"/>
    <x v="0"/>
    <x v="28"/>
    <x v="1"/>
    <x v="28"/>
    <x v="39"/>
    <x v="23"/>
    <x v="0"/>
    <x v="41"/>
    <x v="3"/>
    <x v="2"/>
  </r>
  <r>
    <x v="252"/>
    <x v="5"/>
    <x v="16"/>
    <x v="31"/>
    <x v="22"/>
    <x v="15"/>
    <x v="30"/>
    <x v="22"/>
    <x v="33"/>
    <x v="32"/>
    <x v="34"/>
    <x v="0"/>
    <x v="29"/>
    <x v="22"/>
    <x v="22"/>
    <x v="24"/>
    <x v="40"/>
    <x v="0"/>
    <x v="56"/>
    <x v="0"/>
    <x v="0"/>
  </r>
  <r>
    <x v="254"/>
    <x v="5"/>
    <x v="16"/>
    <x v="27"/>
    <x v="5"/>
    <x v="16"/>
    <x v="20"/>
    <x v="16"/>
    <x v="30"/>
    <x v="33"/>
    <x v="32"/>
    <x v="0"/>
    <x v="16"/>
    <x v="5"/>
    <x v="5"/>
    <x v="35"/>
    <x v="31"/>
    <x v="1"/>
    <x v="39"/>
    <x v="3"/>
    <x v="2"/>
  </r>
  <r>
    <x v="264"/>
    <x v="5"/>
    <x v="1"/>
    <x v="23"/>
    <x v="3"/>
    <x v="14"/>
    <x v="20"/>
    <x v="23"/>
    <x v="32"/>
    <x v="18"/>
    <x v="26"/>
    <x v="0"/>
    <x v="23"/>
    <x v="3"/>
    <x v="3"/>
    <x v="33"/>
    <x v="29"/>
    <x v="1"/>
    <x v="37"/>
    <x v="3"/>
    <x v="2"/>
  </r>
  <r>
    <x v="276"/>
    <x v="5"/>
    <x v="1"/>
    <x v="2"/>
    <x v="14"/>
    <x v="17"/>
    <x v="20"/>
    <x v="2"/>
    <x v="27"/>
    <x v="28"/>
    <x v="23"/>
    <x v="0"/>
    <x v="2"/>
    <x v="14"/>
    <x v="14"/>
    <x v="36"/>
    <x v="32"/>
    <x v="1"/>
    <x v="40"/>
    <x v="3"/>
    <x v="2"/>
  </r>
  <r>
    <x v="276"/>
    <x v="5"/>
    <x v="1"/>
    <x v="9"/>
    <x v="15"/>
    <x v="10"/>
    <x v="27"/>
    <x v="9"/>
    <x v="30"/>
    <x v="18"/>
    <x v="38"/>
    <x v="0"/>
    <x v="9"/>
    <x v="15"/>
    <x v="15"/>
    <x v="22"/>
    <x v="32"/>
    <x v="1"/>
    <x v="26"/>
    <x v="3"/>
    <x v="1"/>
  </r>
  <r>
    <x v="276"/>
    <x v="5"/>
    <x v="1"/>
    <x v="11"/>
    <x v="10"/>
    <x v="13"/>
    <x v="16"/>
    <x v="11"/>
    <x v="16"/>
    <x v="34"/>
    <x v="16"/>
    <x v="0"/>
    <x v="11"/>
    <x v="10"/>
    <x v="10"/>
    <x v="36"/>
    <x v="24"/>
    <x v="1"/>
    <x v="40"/>
    <x v="3"/>
    <x v="2"/>
  </r>
  <r>
    <x v="276"/>
    <x v="5"/>
    <x v="1"/>
    <x v="22"/>
    <x v="20"/>
    <x v="23"/>
    <x v="25"/>
    <x v="20"/>
    <x v="23"/>
    <x v="39"/>
    <x v="26"/>
    <x v="0"/>
    <x v="22"/>
    <x v="20"/>
    <x v="20"/>
    <x v="37"/>
    <x v="43"/>
    <x v="0"/>
    <x v="43"/>
    <x v="3"/>
    <x v="0"/>
  </r>
  <r>
    <x v="276"/>
    <x v="5"/>
    <x v="1"/>
    <x v="24"/>
    <x v="19"/>
    <x v="11"/>
    <x v="28"/>
    <x v="24"/>
    <x v="31"/>
    <x v="22"/>
    <x v="30"/>
    <x v="0"/>
    <x v="24"/>
    <x v="19"/>
    <x v="19"/>
    <x v="22"/>
    <x v="34"/>
    <x v="1"/>
    <x v="26"/>
    <x v="3"/>
    <x v="1"/>
  </r>
  <r>
    <x v="276"/>
    <x v="5"/>
    <x v="1"/>
    <x v="25"/>
    <x v="18"/>
    <x v="16"/>
    <x v="18"/>
    <x v="25"/>
    <x v="25"/>
    <x v="33"/>
    <x v="18"/>
    <x v="0"/>
    <x v="25"/>
    <x v="18"/>
    <x v="18"/>
    <x v="37"/>
    <x v="29"/>
    <x v="1"/>
    <x v="41"/>
    <x v="3"/>
    <x v="2"/>
  </r>
  <r>
    <x v="276"/>
    <x v="5"/>
    <x v="1"/>
    <x v="26"/>
    <x v="7"/>
    <x v="27"/>
    <x v="7"/>
    <x v="27"/>
    <x v="23"/>
    <x v="20"/>
    <x v="15"/>
    <x v="0"/>
    <x v="26"/>
    <x v="7"/>
    <x v="26"/>
    <x v="59"/>
    <x v="29"/>
    <x v="1"/>
    <x v="63"/>
    <x v="0"/>
    <x v="2"/>
  </r>
  <r>
    <x v="276"/>
    <x v="5"/>
    <x v="1"/>
    <x v="29"/>
    <x v="0"/>
    <x v="29"/>
    <x v="37"/>
    <x v="28"/>
    <x v="31"/>
    <x v="21"/>
    <x v="4"/>
    <x v="0"/>
    <x v="27"/>
    <x v="0"/>
    <x v="0"/>
    <x v="31"/>
    <x v="61"/>
    <x v="1"/>
    <x v="35"/>
    <x v="3"/>
    <x v="0"/>
  </r>
  <r>
    <x v="276"/>
    <x v="5"/>
    <x v="1"/>
    <x v="30"/>
    <x v="5"/>
    <x v="10"/>
    <x v="35"/>
    <x v="17"/>
    <x v="23"/>
    <x v="19"/>
    <x v="6"/>
    <x v="0"/>
    <x v="17"/>
    <x v="5"/>
    <x v="5"/>
    <x v="14"/>
    <x v="40"/>
    <x v="1"/>
    <x v="18"/>
    <x v="3"/>
    <x v="0"/>
  </r>
  <r>
    <x v="276"/>
    <x v="5"/>
    <x v="1"/>
    <x v="31"/>
    <x v="8"/>
    <x v="7"/>
    <x v="4"/>
    <x v="8"/>
    <x v="35"/>
    <x v="21"/>
    <x v="34"/>
    <x v="0"/>
    <x v="29"/>
    <x v="8"/>
    <x v="29"/>
    <x v="42"/>
    <x v="6"/>
    <x v="0"/>
    <x v="38"/>
    <x v="3"/>
    <x v="2"/>
  </r>
  <r>
    <x v="276"/>
    <x v="5"/>
    <x v="1"/>
    <x v="32"/>
    <x v="4"/>
    <x v="7"/>
    <x v="25"/>
    <x v="4"/>
    <x v="30"/>
    <x v="20"/>
    <x v="28"/>
    <x v="0"/>
    <x v="30"/>
    <x v="4"/>
    <x v="4"/>
    <x v="21"/>
    <x v="27"/>
    <x v="0"/>
    <x v="59"/>
    <x v="0"/>
    <x v="2"/>
  </r>
  <r>
    <x v="276"/>
    <x v="5"/>
    <x v="1"/>
    <x v="33"/>
    <x v="21"/>
    <x v="44"/>
    <x v="12"/>
    <x v="21"/>
    <x v="35"/>
    <x v="38"/>
    <x v="9"/>
    <x v="0"/>
    <x v="31"/>
    <x v="21"/>
    <x v="32"/>
    <x v="71"/>
    <x v="51"/>
    <x v="0"/>
    <x v="9"/>
    <x v="3"/>
    <x v="0"/>
  </r>
  <r>
    <x v="278"/>
    <x v="5"/>
    <x v="1"/>
    <x v="6"/>
    <x v="12"/>
    <x v="3"/>
    <x v="8"/>
    <x v="6"/>
    <x v="17"/>
    <x v="27"/>
    <x v="31"/>
    <x v="0"/>
    <x v="6"/>
    <x v="12"/>
    <x v="12"/>
    <x v="34"/>
    <x v="6"/>
    <x v="1"/>
    <x v="38"/>
    <x v="3"/>
    <x v="2"/>
  </r>
  <r>
    <x v="288"/>
    <x v="5"/>
    <x v="2"/>
    <x v="14"/>
    <x v="32"/>
    <x v="16"/>
    <x v="11"/>
    <x v="14"/>
    <x v="31"/>
    <x v="17"/>
    <x v="8"/>
    <x v="0"/>
    <x v="14"/>
    <x v="30"/>
    <x v="14"/>
    <x v="44"/>
    <x v="22"/>
    <x v="1"/>
    <x v="48"/>
    <x v="0"/>
    <x v="2"/>
  </r>
  <r>
    <x v="300"/>
    <x v="5"/>
    <x v="2"/>
    <x v="0"/>
    <x v="6"/>
    <x v="31"/>
    <x v="29"/>
    <x v="0"/>
    <x v="29"/>
    <x v="30"/>
    <x v="44"/>
    <x v="0"/>
    <x v="0"/>
    <x v="6"/>
    <x v="0"/>
    <x v="41"/>
    <x v="55"/>
    <x v="1"/>
    <x v="45"/>
    <x v="3"/>
    <x v="0"/>
  </r>
  <r>
    <x v="300"/>
    <x v="5"/>
    <x v="2"/>
    <x v="1"/>
    <x v="13"/>
    <x v="18"/>
    <x v="22"/>
    <x v="1"/>
    <x v="30"/>
    <x v="29"/>
    <x v="12"/>
    <x v="0"/>
    <x v="1"/>
    <x v="13"/>
    <x v="13"/>
    <x v="35"/>
    <x v="35"/>
    <x v="1"/>
    <x v="39"/>
    <x v="3"/>
    <x v="2"/>
  </r>
  <r>
    <x v="300"/>
    <x v="5"/>
    <x v="2"/>
    <x v="2"/>
    <x v="30"/>
    <x v="13"/>
    <x v="11"/>
    <x v="2"/>
    <x v="31"/>
    <x v="17"/>
    <x v="23"/>
    <x v="0"/>
    <x v="2"/>
    <x v="17"/>
    <x v="2"/>
    <x v="41"/>
    <x v="19"/>
    <x v="1"/>
    <x v="45"/>
    <x v="2"/>
    <x v="2"/>
  </r>
  <r>
    <x v="300"/>
    <x v="5"/>
    <x v="2"/>
    <x v="4"/>
    <x v="33"/>
    <x v="41"/>
    <x v="14"/>
    <x v="4"/>
    <x v="23"/>
    <x v="23"/>
    <x v="2"/>
    <x v="0"/>
    <x v="4"/>
    <x v="31"/>
    <x v="4"/>
    <x v="66"/>
    <x v="50"/>
    <x v="1"/>
    <x v="70"/>
    <x v="0"/>
    <x v="0"/>
  </r>
  <r>
    <x v="300"/>
    <x v="5"/>
    <x v="2"/>
    <x v="5"/>
    <x v="9"/>
    <x v="12"/>
    <x v="15"/>
    <x v="9"/>
    <x v="33"/>
    <x v="17"/>
    <x v="37"/>
    <x v="0"/>
    <x v="5"/>
    <x v="9"/>
    <x v="9"/>
    <x v="36"/>
    <x v="22"/>
    <x v="0"/>
    <x v="44"/>
    <x v="2"/>
    <x v="2"/>
  </r>
  <r>
    <x v="300"/>
    <x v="5"/>
    <x v="2"/>
    <x v="10"/>
    <x v="24"/>
    <x v="15"/>
    <x v="11"/>
    <x v="24"/>
    <x v="34"/>
    <x v="34"/>
    <x v="11"/>
    <x v="0"/>
    <x v="10"/>
    <x v="24"/>
    <x v="10"/>
    <x v="43"/>
    <x v="21"/>
    <x v="0"/>
    <x v="37"/>
    <x v="3"/>
    <x v="2"/>
  </r>
  <r>
    <x v="300"/>
    <x v="5"/>
    <x v="2"/>
    <x v="12"/>
    <x v="23"/>
    <x v="21"/>
    <x v="15"/>
    <x v="23"/>
    <x v="29"/>
    <x v="14"/>
    <x v="35"/>
    <x v="0"/>
    <x v="12"/>
    <x v="23"/>
    <x v="12"/>
    <x v="45"/>
    <x v="31"/>
    <x v="0"/>
    <x v="35"/>
    <x v="3"/>
    <x v="0"/>
  </r>
  <r>
    <x v="300"/>
    <x v="5"/>
    <x v="2"/>
    <x v="18"/>
    <x v="8"/>
    <x v="11"/>
    <x v="22"/>
    <x v="8"/>
    <x v="33"/>
    <x v="24"/>
    <x v="40"/>
    <x v="0"/>
    <x v="18"/>
    <x v="8"/>
    <x v="8"/>
    <x v="28"/>
    <x v="28"/>
    <x v="0"/>
    <x v="52"/>
    <x v="0"/>
    <x v="2"/>
  </r>
  <r>
    <x v="300"/>
    <x v="5"/>
    <x v="2"/>
    <x v="19"/>
    <x v="11"/>
    <x v="10"/>
    <x v="28"/>
    <x v="26"/>
    <x v="36"/>
    <x v="24"/>
    <x v="41"/>
    <x v="0"/>
    <x v="19"/>
    <x v="11"/>
    <x v="11"/>
    <x v="21"/>
    <x v="33"/>
    <x v="2"/>
    <x v="88"/>
    <x v="1"/>
    <x v="2"/>
  </r>
  <r>
    <x v="300"/>
    <x v="5"/>
    <x v="2"/>
    <x v="25"/>
    <x v="31"/>
    <x v="14"/>
    <x v="43"/>
    <x v="25"/>
    <x v="24"/>
    <x v="25"/>
    <x v="18"/>
    <x v="0"/>
    <x v="25"/>
    <x v="29"/>
    <x v="29"/>
    <x v="10"/>
    <x v="52"/>
    <x v="1"/>
    <x v="14"/>
    <x v="3"/>
    <x v="0"/>
  </r>
  <r>
    <x v="300"/>
    <x v="5"/>
    <x v="2"/>
    <x v="27"/>
    <x v="15"/>
    <x v="2"/>
    <x v="31"/>
    <x v="15"/>
    <x v="31"/>
    <x v="25"/>
    <x v="32"/>
    <x v="0"/>
    <x v="16"/>
    <x v="15"/>
    <x v="15"/>
    <x v="8"/>
    <x v="26"/>
    <x v="0"/>
    <x v="72"/>
    <x v="0"/>
    <x v="2"/>
  </r>
  <r>
    <x v="300"/>
    <x v="5"/>
    <x v="2"/>
    <x v="29"/>
    <x v="28"/>
    <x v="26"/>
    <x v="11"/>
    <x v="28"/>
    <x v="9"/>
    <x v="14"/>
    <x v="4"/>
    <x v="0"/>
    <x v="27"/>
    <x v="28"/>
    <x v="27"/>
    <x v="54"/>
    <x v="32"/>
    <x v="1"/>
    <x v="58"/>
    <x v="0"/>
    <x v="0"/>
  </r>
  <r>
    <x v="302"/>
    <x v="5"/>
    <x v="2"/>
    <x v="20"/>
    <x v="3"/>
    <x v="17"/>
    <x v="11"/>
    <x v="20"/>
    <x v="23"/>
    <x v="29"/>
    <x v="13"/>
    <x v="0"/>
    <x v="20"/>
    <x v="3"/>
    <x v="20"/>
    <x v="45"/>
    <x v="23"/>
    <x v="1"/>
    <x v="49"/>
    <x v="2"/>
    <x v="2"/>
  </r>
  <r>
    <x v="312"/>
    <x v="5"/>
    <x v="3"/>
    <x v="8"/>
    <x v="4"/>
    <x v="11"/>
    <x v="31"/>
    <x v="4"/>
    <x v="35"/>
    <x v="23"/>
    <x v="5"/>
    <x v="0"/>
    <x v="8"/>
    <x v="4"/>
    <x v="4"/>
    <x v="19"/>
    <x v="37"/>
    <x v="0"/>
    <x v="61"/>
    <x v="0"/>
    <x v="0"/>
  </r>
  <r>
    <x v="312"/>
    <x v="5"/>
    <x v="3"/>
    <x v="10"/>
    <x v="25"/>
    <x v="42"/>
    <x v="12"/>
    <x v="10"/>
    <x v="31"/>
    <x v="28"/>
    <x v="11"/>
    <x v="0"/>
    <x v="10"/>
    <x v="25"/>
    <x v="10"/>
    <x v="69"/>
    <x v="49"/>
    <x v="1"/>
    <x v="73"/>
    <x v="0"/>
    <x v="0"/>
  </r>
  <r>
    <x v="312"/>
    <x v="5"/>
    <x v="3"/>
    <x v="11"/>
    <x v="5"/>
    <x v="10"/>
    <x v="15"/>
    <x v="11"/>
    <x v="21"/>
    <x v="24"/>
    <x v="16"/>
    <x v="0"/>
    <x v="11"/>
    <x v="5"/>
    <x v="5"/>
    <x v="34"/>
    <x v="20"/>
    <x v="1"/>
    <x v="38"/>
    <x v="3"/>
    <x v="2"/>
  </r>
  <r>
    <x v="324"/>
    <x v="5"/>
    <x v="3"/>
    <x v="1"/>
    <x v="19"/>
    <x v="7"/>
    <x v="18"/>
    <x v="1"/>
    <x v="33"/>
    <x v="24"/>
    <x v="12"/>
    <x v="0"/>
    <x v="1"/>
    <x v="19"/>
    <x v="19"/>
    <x v="28"/>
    <x v="20"/>
    <x v="1"/>
    <x v="32"/>
    <x v="3"/>
    <x v="2"/>
  </r>
  <r>
    <x v="324"/>
    <x v="5"/>
    <x v="3"/>
    <x v="6"/>
    <x v="30"/>
    <x v="28"/>
    <x v="5"/>
    <x v="6"/>
    <x v="18"/>
    <x v="18"/>
    <x v="31"/>
    <x v="0"/>
    <x v="6"/>
    <x v="17"/>
    <x v="6"/>
    <x v="62"/>
    <x v="28"/>
    <x v="1"/>
    <x v="66"/>
    <x v="0"/>
    <x v="2"/>
  </r>
  <r>
    <x v="324"/>
    <x v="5"/>
    <x v="3"/>
    <x v="9"/>
    <x v="20"/>
    <x v="27"/>
    <x v="22"/>
    <x v="20"/>
    <x v="32"/>
    <x v="20"/>
    <x v="38"/>
    <x v="0"/>
    <x v="9"/>
    <x v="20"/>
    <x v="9"/>
    <x v="44"/>
    <x v="44"/>
    <x v="0"/>
    <x v="36"/>
    <x v="3"/>
    <x v="0"/>
  </r>
  <r>
    <x v="324"/>
    <x v="5"/>
    <x v="3"/>
    <x v="12"/>
    <x v="21"/>
    <x v="21"/>
    <x v="4"/>
    <x v="12"/>
    <x v="30"/>
    <x v="36"/>
    <x v="35"/>
    <x v="0"/>
    <x v="12"/>
    <x v="21"/>
    <x v="12"/>
    <x v="56"/>
    <x v="20"/>
    <x v="1"/>
    <x v="60"/>
    <x v="0"/>
    <x v="2"/>
  </r>
  <r>
    <x v="324"/>
    <x v="5"/>
    <x v="3"/>
    <x v="13"/>
    <x v="31"/>
    <x v="22"/>
    <x v="10"/>
    <x v="13"/>
    <x v="31"/>
    <x v="27"/>
    <x v="22"/>
    <x v="0"/>
    <x v="13"/>
    <x v="29"/>
    <x v="13"/>
    <x v="51"/>
    <x v="27"/>
    <x v="1"/>
    <x v="55"/>
    <x v="0"/>
    <x v="2"/>
  </r>
  <r>
    <x v="324"/>
    <x v="5"/>
    <x v="3"/>
    <x v="14"/>
    <x v="27"/>
    <x v="22"/>
    <x v="29"/>
    <x v="14"/>
    <x v="27"/>
    <x v="28"/>
    <x v="8"/>
    <x v="0"/>
    <x v="14"/>
    <x v="16"/>
    <x v="16"/>
    <x v="32"/>
    <x v="46"/>
    <x v="1"/>
    <x v="36"/>
    <x v="3"/>
    <x v="0"/>
  </r>
  <r>
    <x v="324"/>
    <x v="5"/>
    <x v="3"/>
    <x v="15"/>
    <x v="3"/>
    <x v="27"/>
    <x v="20"/>
    <x v="15"/>
    <x v="28"/>
    <x v="16"/>
    <x v="0"/>
    <x v="0"/>
    <x v="15"/>
    <x v="3"/>
    <x v="15"/>
    <x v="46"/>
    <x v="42"/>
    <x v="1"/>
    <x v="50"/>
    <x v="0"/>
    <x v="0"/>
  </r>
  <r>
    <x v="324"/>
    <x v="5"/>
    <x v="3"/>
    <x v="23"/>
    <x v="18"/>
    <x v="35"/>
    <x v="18"/>
    <x v="23"/>
    <x v="28"/>
    <x v="21"/>
    <x v="26"/>
    <x v="0"/>
    <x v="23"/>
    <x v="18"/>
    <x v="23"/>
    <x v="56"/>
    <x v="48"/>
    <x v="1"/>
    <x v="60"/>
    <x v="0"/>
    <x v="0"/>
  </r>
  <r>
    <x v="324"/>
    <x v="5"/>
    <x v="3"/>
    <x v="28"/>
    <x v="0"/>
    <x v="10"/>
    <x v="17"/>
    <x v="0"/>
    <x v="20"/>
    <x v="24"/>
    <x v="17"/>
    <x v="0"/>
    <x v="28"/>
    <x v="0"/>
    <x v="0"/>
    <x v="32"/>
    <x v="22"/>
    <x v="0"/>
    <x v="48"/>
    <x v="3"/>
    <x v="2"/>
  </r>
  <r>
    <x v="324"/>
    <x v="5"/>
    <x v="3"/>
    <x v="29"/>
    <x v="26"/>
    <x v="36"/>
    <x v="28"/>
    <x v="28"/>
    <x v="31"/>
    <x v="27"/>
    <x v="4"/>
    <x v="0"/>
    <x v="27"/>
    <x v="26"/>
    <x v="27"/>
    <x v="47"/>
    <x v="59"/>
    <x v="1"/>
    <x v="51"/>
    <x v="0"/>
    <x v="0"/>
  </r>
  <r>
    <x v="324"/>
    <x v="5"/>
    <x v="3"/>
    <x v="32"/>
    <x v="24"/>
    <x v="18"/>
    <x v="22"/>
    <x v="24"/>
    <x v="35"/>
    <x v="24"/>
    <x v="28"/>
    <x v="0"/>
    <x v="30"/>
    <x v="24"/>
    <x v="24"/>
    <x v="35"/>
    <x v="35"/>
    <x v="0"/>
    <x v="45"/>
    <x v="0"/>
    <x v="1"/>
  </r>
  <r>
    <x v="324"/>
    <x v="5"/>
    <x v="3"/>
    <x v="33"/>
    <x v="22"/>
    <x v="17"/>
    <x v="12"/>
    <x v="22"/>
    <x v="34"/>
    <x v="30"/>
    <x v="9"/>
    <x v="0"/>
    <x v="31"/>
    <x v="22"/>
    <x v="32"/>
    <x v="44"/>
    <x v="24"/>
    <x v="0"/>
    <x v="36"/>
    <x v="3"/>
    <x v="2"/>
  </r>
  <r>
    <x v="326"/>
    <x v="5"/>
    <x v="3"/>
    <x v="7"/>
    <x v="2"/>
    <x v="24"/>
    <x v="31"/>
    <x v="7"/>
    <x v="25"/>
    <x v="16"/>
    <x v="10"/>
    <x v="0"/>
    <x v="7"/>
    <x v="2"/>
    <x v="2"/>
    <x v="32"/>
    <x v="50"/>
    <x v="1"/>
    <x v="36"/>
    <x v="3"/>
    <x v="0"/>
  </r>
  <r>
    <x v="336"/>
    <x v="5"/>
    <x v="4"/>
    <x v="10"/>
    <x v="11"/>
    <x v="20"/>
    <x v="25"/>
    <x v="11"/>
    <x v="32"/>
    <x v="27"/>
    <x v="11"/>
    <x v="0"/>
    <x v="10"/>
    <x v="11"/>
    <x v="11"/>
    <x v="34"/>
    <x v="40"/>
    <x v="0"/>
    <x v="46"/>
    <x v="0"/>
    <x v="0"/>
  </r>
  <r>
    <x v="348"/>
    <x v="5"/>
    <x v="4"/>
    <x v="3"/>
    <x v="12"/>
    <x v="27"/>
    <x v="19"/>
    <x v="3"/>
    <x v="31"/>
    <x v="18"/>
    <x v="33"/>
    <x v="0"/>
    <x v="3"/>
    <x v="12"/>
    <x v="3"/>
    <x v="47"/>
    <x v="41"/>
    <x v="1"/>
    <x v="51"/>
    <x v="0"/>
    <x v="0"/>
  </r>
  <r>
    <x v="348"/>
    <x v="5"/>
    <x v="4"/>
    <x v="5"/>
    <x v="28"/>
    <x v="17"/>
    <x v="24"/>
    <x v="5"/>
    <x v="24"/>
    <x v="20"/>
    <x v="37"/>
    <x v="0"/>
    <x v="5"/>
    <x v="28"/>
    <x v="28"/>
    <x v="32"/>
    <x v="36"/>
    <x v="1"/>
    <x v="36"/>
    <x v="3"/>
    <x v="0"/>
  </r>
  <r>
    <x v="348"/>
    <x v="5"/>
    <x v="4"/>
    <x v="7"/>
    <x v="6"/>
    <x v="2"/>
    <x v="35"/>
    <x v="6"/>
    <x v="22"/>
    <x v="22"/>
    <x v="10"/>
    <x v="0"/>
    <x v="7"/>
    <x v="6"/>
    <x v="6"/>
    <x v="4"/>
    <x v="30"/>
    <x v="0"/>
    <x v="76"/>
    <x v="0"/>
    <x v="2"/>
  </r>
  <r>
    <x v="348"/>
    <x v="5"/>
    <x v="4"/>
    <x v="18"/>
    <x v="2"/>
    <x v="12"/>
    <x v="11"/>
    <x v="18"/>
    <x v="30"/>
    <x v="20"/>
    <x v="40"/>
    <x v="0"/>
    <x v="18"/>
    <x v="2"/>
    <x v="18"/>
    <x v="40"/>
    <x v="18"/>
    <x v="1"/>
    <x v="44"/>
    <x v="3"/>
    <x v="2"/>
  </r>
  <r>
    <x v="348"/>
    <x v="5"/>
    <x v="4"/>
    <x v="19"/>
    <x v="29"/>
    <x v="4"/>
    <x v="36"/>
    <x v="28"/>
    <x v="32"/>
    <x v="20"/>
    <x v="41"/>
    <x v="0"/>
    <x v="19"/>
    <x v="27"/>
    <x v="27"/>
    <x v="7"/>
    <x v="35"/>
    <x v="0"/>
    <x v="73"/>
    <x v="0"/>
    <x v="0"/>
  </r>
  <r>
    <x v="348"/>
    <x v="5"/>
    <x v="4"/>
    <x v="20"/>
    <x v="25"/>
    <x v="25"/>
    <x v="33"/>
    <x v="20"/>
    <x v="18"/>
    <x v="32"/>
    <x v="13"/>
    <x v="0"/>
    <x v="20"/>
    <x v="25"/>
    <x v="25"/>
    <x v="31"/>
    <x v="53"/>
    <x v="1"/>
    <x v="35"/>
    <x v="3"/>
    <x v="0"/>
  </r>
  <r>
    <x v="348"/>
    <x v="5"/>
    <x v="4"/>
    <x v="21"/>
    <x v="4"/>
    <x v="35"/>
    <x v="39"/>
    <x v="4"/>
    <x v="25"/>
    <x v="35"/>
    <x v="20"/>
    <x v="0"/>
    <x v="21"/>
    <x v="4"/>
    <x v="4"/>
    <x v="35"/>
    <x v="69"/>
    <x v="0"/>
    <x v="45"/>
    <x v="3"/>
    <x v="0"/>
  </r>
  <r>
    <x v="348"/>
    <x v="5"/>
    <x v="4"/>
    <x v="22"/>
    <x v="23"/>
    <x v="17"/>
    <x v="21"/>
    <x v="23"/>
    <x v="32"/>
    <x v="26"/>
    <x v="26"/>
    <x v="0"/>
    <x v="22"/>
    <x v="23"/>
    <x v="23"/>
    <x v="35"/>
    <x v="33"/>
    <x v="0"/>
    <x v="45"/>
    <x v="0"/>
    <x v="2"/>
  </r>
  <r>
    <x v="348"/>
    <x v="5"/>
    <x v="4"/>
    <x v="24"/>
    <x v="15"/>
    <x v="17"/>
    <x v="32"/>
    <x v="15"/>
    <x v="31"/>
    <x v="25"/>
    <x v="30"/>
    <x v="0"/>
    <x v="24"/>
    <x v="15"/>
    <x v="15"/>
    <x v="24"/>
    <x v="44"/>
    <x v="0"/>
    <x v="56"/>
    <x v="0"/>
    <x v="0"/>
  </r>
  <r>
    <x v="348"/>
    <x v="5"/>
    <x v="4"/>
    <x v="26"/>
    <x v="13"/>
    <x v="42"/>
    <x v="8"/>
    <x v="27"/>
    <x v="18"/>
    <x v="35"/>
    <x v="15"/>
    <x v="0"/>
    <x v="26"/>
    <x v="13"/>
    <x v="26"/>
    <x v="73"/>
    <x v="45"/>
    <x v="1"/>
    <x v="77"/>
    <x v="0"/>
    <x v="0"/>
  </r>
  <r>
    <x v="348"/>
    <x v="5"/>
    <x v="4"/>
    <x v="27"/>
    <x v="9"/>
    <x v="2"/>
    <x v="15"/>
    <x v="9"/>
    <x v="25"/>
    <x v="24"/>
    <x v="32"/>
    <x v="0"/>
    <x v="16"/>
    <x v="9"/>
    <x v="9"/>
    <x v="24"/>
    <x v="10"/>
    <x v="0"/>
    <x v="56"/>
    <x v="0"/>
    <x v="2"/>
  </r>
  <r>
    <x v="348"/>
    <x v="5"/>
    <x v="4"/>
    <x v="30"/>
    <x v="0"/>
    <x v="2"/>
    <x v="25"/>
    <x v="0"/>
    <x v="30"/>
    <x v="20"/>
    <x v="6"/>
    <x v="0"/>
    <x v="17"/>
    <x v="0"/>
    <x v="0"/>
    <x v="14"/>
    <x v="20"/>
    <x v="0"/>
    <x v="66"/>
    <x v="0"/>
    <x v="2"/>
  </r>
  <r>
    <x v="348"/>
    <x v="5"/>
    <x v="4"/>
    <x v="31"/>
    <x v="1"/>
    <x v="20"/>
    <x v="17"/>
    <x v="26"/>
    <x v="36"/>
    <x v="27"/>
    <x v="34"/>
    <x v="0"/>
    <x v="29"/>
    <x v="1"/>
    <x v="29"/>
    <x v="42"/>
    <x v="32"/>
    <x v="2"/>
    <x v="88"/>
    <x v="1"/>
    <x v="2"/>
  </r>
  <r>
    <x v="348"/>
    <x v="5"/>
    <x v="4"/>
    <x v="32"/>
    <x v="14"/>
    <x v="39"/>
    <x v="37"/>
    <x v="31"/>
    <x v="31"/>
    <x v="21"/>
    <x v="28"/>
    <x v="0"/>
    <x v="30"/>
    <x v="14"/>
    <x v="30"/>
    <x v="41"/>
    <x v="71"/>
    <x v="1"/>
    <x v="45"/>
    <x v="2"/>
    <x v="0"/>
  </r>
  <r>
    <x v="350"/>
    <x v="5"/>
    <x v="4"/>
    <x v="33"/>
    <x v="8"/>
    <x v="13"/>
    <x v="17"/>
    <x v="32"/>
    <x v="33"/>
    <x v="21"/>
    <x v="9"/>
    <x v="0"/>
    <x v="31"/>
    <x v="8"/>
    <x v="8"/>
    <x v="35"/>
    <x v="25"/>
    <x v="1"/>
    <x v="39"/>
    <x v="3"/>
    <x v="2"/>
  </r>
  <r>
    <x v="360"/>
    <x v="5"/>
    <x v="5"/>
    <x v="0"/>
    <x v="19"/>
    <x v="20"/>
    <x v="18"/>
    <x v="0"/>
    <x v="17"/>
    <x v="27"/>
    <x v="44"/>
    <x v="0"/>
    <x v="0"/>
    <x v="19"/>
    <x v="0"/>
    <x v="41"/>
    <x v="33"/>
    <x v="1"/>
    <x v="45"/>
    <x v="3"/>
    <x v="2"/>
  </r>
  <r>
    <x v="372"/>
    <x v="5"/>
    <x v="5"/>
    <x v="2"/>
    <x v="29"/>
    <x v="3"/>
    <x v="33"/>
    <x v="28"/>
    <x v="16"/>
    <x v="18"/>
    <x v="23"/>
    <x v="0"/>
    <x v="2"/>
    <x v="27"/>
    <x v="27"/>
    <x v="9"/>
    <x v="31"/>
    <x v="0"/>
    <x v="71"/>
    <x v="0"/>
    <x v="2"/>
  </r>
  <r>
    <x v="372"/>
    <x v="5"/>
    <x v="5"/>
    <x v="4"/>
    <x v="1"/>
    <x v="35"/>
    <x v="0"/>
    <x v="4"/>
    <x v="20"/>
    <x v="25"/>
    <x v="2"/>
    <x v="0"/>
    <x v="4"/>
    <x v="1"/>
    <x v="4"/>
    <x v="75"/>
    <x v="28"/>
    <x v="1"/>
    <x v="79"/>
    <x v="0"/>
    <x v="2"/>
  </r>
  <r>
    <x v="372"/>
    <x v="5"/>
    <x v="5"/>
    <x v="5"/>
    <x v="33"/>
    <x v="18"/>
    <x v="22"/>
    <x v="5"/>
    <x v="29"/>
    <x v="21"/>
    <x v="37"/>
    <x v="0"/>
    <x v="5"/>
    <x v="31"/>
    <x v="32"/>
    <x v="35"/>
    <x v="35"/>
    <x v="1"/>
    <x v="39"/>
    <x v="3"/>
    <x v="0"/>
  </r>
  <r>
    <x v="372"/>
    <x v="5"/>
    <x v="5"/>
    <x v="6"/>
    <x v="26"/>
    <x v="17"/>
    <x v="31"/>
    <x v="6"/>
    <x v="35"/>
    <x v="31"/>
    <x v="31"/>
    <x v="0"/>
    <x v="6"/>
    <x v="26"/>
    <x v="26"/>
    <x v="25"/>
    <x v="43"/>
    <x v="1"/>
    <x v="29"/>
    <x v="3"/>
    <x v="0"/>
  </r>
  <r>
    <x v="372"/>
    <x v="5"/>
    <x v="5"/>
    <x v="7"/>
    <x v="28"/>
    <x v="21"/>
    <x v="8"/>
    <x v="7"/>
    <x v="32"/>
    <x v="20"/>
    <x v="10"/>
    <x v="0"/>
    <x v="7"/>
    <x v="28"/>
    <x v="7"/>
    <x v="52"/>
    <x v="24"/>
    <x v="1"/>
    <x v="56"/>
    <x v="0"/>
    <x v="2"/>
  </r>
  <r>
    <x v="372"/>
    <x v="5"/>
    <x v="5"/>
    <x v="9"/>
    <x v="24"/>
    <x v="9"/>
    <x v="13"/>
    <x v="9"/>
    <x v="25"/>
    <x v="20"/>
    <x v="38"/>
    <x v="0"/>
    <x v="9"/>
    <x v="24"/>
    <x v="24"/>
    <x v="35"/>
    <x v="17"/>
    <x v="1"/>
    <x v="39"/>
    <x v="3"/>
    <x v="2"/>
  </r>
  <r>
    <x v="372"/>
    <x v="5"/>
    <x v="5"/>
    <x v="11"/>
    <x v="8"/>
    <x v="25"/>
    <x v="5"/>
    <x v="11"/>
    <x v="24"/>
    <x v="19"/>
    <x v="16"/>
    <x v="0"/>
    <x v="11"/>
    <x v="8"/>
    <x v="11"/>
    <x v="59"/>
    <x v="25"/>
    <x v="1"/>
    <x v="63"/>
    <x v="0"/>
    <x v="2"/>
  </r>
  <r>
    <x v="372"/>
    <x v="5"/>
    <x v="5"/>
    <x v="12"/>
    <x v="20"/>
    <x v="3"/>
    <x v="25"/>
    <x v="20"/>
    <x v="27"/>
    <x v="27"/>
    <x v="35"/>
    <x v="0"/>
    <x v="12"/>
    <x v="20"/>
    <x v="20"/>
    <x v="17"/>
    <x v="23"/>
    <x v="0"/>
    <x v="63"/>
    <x v="0"/>
    <x v="2"/>
  </r>
  <r>
    <x v="372"/>
    <x v="5"/>
    <x v="5"/>
    <x v="14"/>
    <x v="13"/>
    <x v="47"/>
    <x v="14"/>
    <x v="14"/>
    <x v="35"/>
    <x v="26"/>
    <x v="8"/>
    <x v="0"/>
    <x v="14"/>
    <x v="13"/>
    <x v="14"/>
    <x v="73"/>
    <x v="57"/>
    <x v="1"/>
    <x v="77"/>
    <x v="0"/>
    <x v="0"/>
  </r>
  <r>
    <x v="372"/>
    <x v="5"/>
    <x v="5"/>
    <x v="15"/>
    <x v="27"/>
    <x v="7"/>
    <x v="2"/>
    <x v="15"/>
    <x v="13"/>
    <x v="17"/>
    <x v="0"/>
    <x v="0"/>
    <x v="15"/>
    <x v="16"/>
    <x v="15"/>
    <x v="45"/>
    <x v="4"/>
    <x v="1"/>
    <x v="49"/>
    <x v="3"/>
    <x v="2"/>
  </r>
  <r>
    <x v="372"/>
    <x v="5"/>
    <x v="5"/>
    <x v="23"/>
    <x v="32"/>
    <x v="27"/>
    <x v="6"/>
    <x v="23"/>
    <x v="21"/>
    <x v="20"/>
    <x v="26"/>
    <x v="0"/>
    <x v="23"/>
    <x v="30"/>
    <x v="23"/>
    <x v="60"/>
    <x v="28"/>
    <x v="1"/>
    <x v="64"/>
    <x v="0"/>
    <x v="2"/>
  </r>
  <r>
    <x v="372"/>
    <x v="5"/>
    <x v="5"/>
    <x v="25"/>
    <x v="3"/>
    <x v="20"/>
    <x v="18"/>
    <x v="25"/>
    <x v="35"/>
    <x v="31"/>
    <x v="18"/>
    <x v="0"/>
    <x v="25"/>
    <x v="3"/>
    <x v="25"/>
    <x v="41"/>
    <x v="33"/>
    <x v="1"/>
    <x v="45"/>
    <x v="0"/>
    <x v="2"/>
  </r>
  <r>
    <x v="372"/>
    <x v="5"/>
    <x v="5"/>
    <x v="30"/>
    <x v="10"/>
    <x v="18"/>
    <x v="12"/>
    <x v="10"/>
    <x v="31"/>
    <x v="17"/>
    <x v="6"/>
    <x v="0"/>
    <x v="17"/>
    <x v="10"/>
    <x v="17"/>
    <x v="45"/>
    <x v="25"/>
    <x v="0"/>
    <x v="35"/>
    <x v="3"/>
    <x v="2"/>
  </r>
  <r>
    <x v="372"/>
    <x v="5"/>
    <x v="5"/>
    <x v="31"/>
    <x v="21"/>
    <x v="14"/>
    <x v="22"/>
    <x v="30"/>
    <x v="25"/>
    <x v="37"/>
    <x v="34"/>
    <x v="0"/>
    <x v="29"/>
    <x v="21"/>
    <x v="21"/>
    <x v="31"/>
    <x v="31"/>
    <x v="1"/>
    <x v="35"/>
    <x v="3"/>
    <x v="2"/>
  </r>
  <r>
    <x v="374"/>
    <x v="5"/>
    <x v="5"/>
    <x v="18"/>
    <x v="22"/>
    <x v="21"/>
    <x v="29"/>
    <x v="22"/>
    <x v="33"/>
    <x v="30"/>
    <x v="40"/>
    <x v="0"/>
    <x v="18"/>
    <x v="22"/>
    <x v="22"/>
    <x v="31"/>
    <x v="45"/>
    <x v="0"/>
    <x v="49"/>
    <x v="0"/>
    <x v="0"/>
  </r>
  <r>
    <x v="386"/>
    <x v="5"/>
    <x v="6"/>
    <x v="30"/>
    <x v="31"/>
    <x v="28"/>
    <x v="21"/>
    <x v="17"/>
    <x v="35"/>
    <x v="16"/>
    <x v="6"/>
    <x v="0"/>
    <x v="17"/>
    <x v="29"/>
    <x v="17"/>
    <x v="46"/>
    <x v="44"/>
    <x v="1"/>
    <x v="50"/>
    <x v="0"/>
    <x v="0"/>
  </r>
  <r>
    <x v="395"/>
    <x v="5"/>
    <x v="6"/>
    <x v="8"/>
    <x v="23"/>
    <x v="13"/>
    <x v="17"/>
    <x v="23"/>
    <x v="30"/>
    <x v="16"/>
    <x v="5"/>
    <x v="0"/>
    <x v="8"/>
    <x v="23"/>
    <x v="23"/>
    <x v="35"/>
    <x v="25"/>
    <x v="0"/>
    <x v="45"/>
    <x v="3"/>
    <x v="2"/>
  </r>
  <r>
    <x v="399"/>
    <x v="5"/>
    <x v="6"/>
    <x v="2"/>
    <x v="15"/>
    <x v="11"/>
    <x v="32"/>
    <x v="15"/>
    <x v="24"/>
    <x v="16"/>
    <x v="23"/>
    <x v="0"/>
    <x v="2"/>
    <x v="15"/>
    <x v="15"/>
    <x v="18"/>
    <x v="38"/>
    <x v="0"/>
    <x v="62"/>
    <x v="0"/>
    <x v="0"/>
  </r>
  <r>
    <x v="399"/>
    <x v="5"/>
    <x v="6"/>
    <x v="13"/>
    <x v="12"/>
    <x v="7"/>
    <x v="14"/>
    <x v="13"/>
    <x v="33"/>
    <x v="17"/>
    <x v="22"/>
    <x v="0"/>
    <x v="13"/>
    <x v="12"/>
    <x v="12"/>
    <x v="32"/>
    <x v="16"/>
    <x v="1"/>
    <x v="36"/>
    <x v="3"/>
    <x v="2"/>
  </r>
  <r>
    <x v="399"/>
    <x v="5"/>
    <x v="6"/>
    <x v="14"/>
    <x v="1"/>
    <x v="14"/>
    <x v="21"/>
    <x v="14"/>
    <x v="33"/>
    <x v="30"/>
    <x v="8"/>
    <x v="0"/>
    <x v="14"/>
    <x v="1"/>
    <x v="1"/>
    <x v="32"/>
    <x v="30"/>
    <x v="1"/>
    <x v="36"/>
    <x v="3"/>
    <x v="2"/>
  </r>
  <r>
    <x v="399"/>
    <x v="5"/>
    <x v="6"/>
    <x v="19"/>
    <x v="5"/>
    <x v="35"/>
    <x v="15"/>
    <x v="19"/>
    <x v="29"/>
    <x v="22"/>
    <x v="41"/>
    <x v="0"/>
    <x v="19"/>
    <x v="5"/>
    <x v="19"/>
    <x v="59"/>
    <x v="45"/>
    <x v="1"/>
    <x v="63"/>
    <x v="0"/>
    <x v="0"/>
  </r>
  <r>
    <x v="399"/>
    <x v="5"/>
    <x v="6"/>
    <x v="20"/>
    <x v="32"/>
    <x v="30"/>
    <x v="14"/>
    <x v="20"/>
    <x v="8"/>
    <x v="30"/>
    <x v="13"/>
    <x v="0"/>
    <x v="20"/>
    <x v="30"/>
    <x v="20"/>
    <x v="55"/>
    <x v="39"/>
    <x v="1"/>
    <x v="59"/>
    <x v="0"/>
    <x v="0"/>
  </r>
  <r>
    <x v="399"/>
    <x v="5"/>
    <x v="6"/>
    <x v="22"/>
    <x v="4"/>
    <x v="32"/>
    <x v="36"/>
    <x v="4"/>
    <x v="27"/>
    <x v="27"/>
    <x v="26"/>
    <x v="0"/>
    <x v="22"/>
    <x v="4"/>
    <x v="4"/>
    <x v="35"/>
    <x v="63"/>
    <x v="0"/>
    <x v="45"/>
    <x v="3"/>
    <x v="0"/>
  </r>
  <r>
    <x v="399"/>
    <x v="5"/>
    <x v="6"/>
    <x v="24"/>
    <x v="11"/>
    <x v="17"/>
    <x v="28"/>
    <x v="11"/>
    <x v="29"/>
    <x v="28"/>
    <x v="30"/>
    <x v="0"/>
    <x v="24"/>
    <x v="11"/>
    <x v="11"/>
    <x v="28"/>
    <x v="40"/>
    <x v="0"/>
    <x v="52"/>
    <x v="0"/>
    <x v="0"/>
  </r>
  <r>
    <x v="399"/>
    <x v="5"/>
    <x v="6"/>
    <x v="25"/>
    <x v="0"/>
    <x v="14"/>
    <x v="38"/>
    <x v="0"/>
    <x v="29"/>
    <x v="37"/>
    <x v="18"/>
    <x v="0"/>
    <x v="25"/>
    <x v="0"/>
    <x v="0"/>
    <x v="15"/>
    <x v="47"/>
    <x v="0"/>
    <x v="65"/>
    <x v="0"/>
    <x v="0"/>
  </r>
  <r>
    <x v="399"/>
    <x v="5"/>
    <x v="6"/>
    <x v="26"/>
    <x v="9"/>
    <x v="31"/>
    <x v="25"/>
    <x v="27"/>
    <x v="22"/>
    <x v="25"/>
    <x v="15"/>
    <x v="0"/>
    <x v="26"/>
    <x v="9"/>
    <x v="26"/>
    <x v="45"/>
    <x v="51"/>
    <x v="1"/>
    <x v="49"/>
    <x v="3"/>
    <x v="0"/>
  </r>
  <r>
    <x v="399"/>
    <x v="5"/>
    <x v="6"/>
    <x v="27"/>
    <x v="18"/>
    <x v="27"/>
    <x v="12"/>
    <x v="16"/>
    <x v="35"/>
    <x v="28"/>
    <x v="32"/>
    <x v="0"/>
    <x v="16"/>
    <x v="18"/>
    <x v="16"/>
    <x v="54"/>
    <x v="34"/>
    <x v="1"/>
    <x v="58"/>
    <x v="0"/>
    <x v="2"/>
  </r>
  <r>
    <x v="399"/>
    <x v="5"/>
    <x v="6"/>
    <x v="28"/>
    <x v="6"/>
    <x v="11"/>
    <x v="22"/>
    <x v="6"/>
    <x v="24"/>
    <x v="16"/>
    <x v="17"/>
    <x v="0"/>
    <x v="28"/>
    <x v="6"/>
    <x v="6"/>
    <x v="28"/>
    <x v="28"/>
    <x v="0"/>
    <x v="52"/>
    <x v="0"/>
    <x v="2"/>
  </r>
  <r>
    <x v="399"/>
    <x v="5"/>
    <x v="6"/>
    <x v="29"/>
    <x v="7"/>
    <x v="27"/>
    <x v="11"/>
    <x v="28"/>
    <x v="8"/>
    <x v="25"/>
    <x v="4"/>
    <x v="0"/>
    <x v="27"/>
    <x v="7"/>
    <x v="27"/>
    <x v="55"/>
    <x v="33"/>
    <x v="1"/>
    <x v="59"/>
    <x v="0"/>
    <x v="2"/>
  </r>
  <r>
    <x v="399"/>
    <x v="5"/>
    <x v="6"/>
    <x v="33"/>
    <x v="3"/>
    <x v="32"/>
    <x v="23"/>
    <x v="3"/>
    <x v="33"/>
    <x v="26"/>
    <x v="9"/>
    <x v="0"/>
    <x v="31"/>
    <x v="3"/>
    <x v="32"/>
    <x v="48"/>
    <x v="50"/>
    <x v="0"/>
    <x v="32"/>
    <x v="3"/>
    <x v="0"/>
  </r>
  <r>
    <x v="401"/>
    <x v="5"/>
    <x v="6"/>
    <x v="21"/>
    <x v="10"/>
    <x v="24"/>
    <x v="33"/>
    <x v="21"/>
    <x v="32"/>
    <x v="38"/>
    <x v="20"/>
    <x v="0"/>
    <x v="21"/>
    <x v="10"/>
    <x v="10"/>
    <x v="30"/>
    <x v="52"/>
    <x v="1"/>
    <x v="34"/>
    <x v="3"/>
    <x v="0"/>
  </r>
  <r>
    <x v="412"/>
    <x v="5"/>
    <x v="7"/>
    <x v="24"/>
    <x v="27"/>
    <x v="20"/>
    <x v="18"/>
    <x v="24"/>
    <x v="29"/>
    <x v="25"/>
    <x v="30"/>
    <x v="0"/>
    <x v="24"/>
    <x v="16"/>
    <x v="24"/>
    <x v="41"/>
    <x v="33"/>
    <x v="1"/>
    <x v="45"/>
    <x v="3"/>
    <x v="2"/>
  </r>
  <r>
    <x v="421"/>
    <x v="5"/>
    <x v="7"/>
    <x v="25"/>
    <x v="33"/>
    <x v="21"/>
    <x v="36"/>
    <x v="25"/>
    <x v="30"/>
    <x v="31"/>
    <x v="18"/>
    <x v="0"/>
    <x v="25"/>
    <x v="31"/>
    <x v="32"/>
    <x v="24"/>
    <x v="52"/>
    <x v="1"/>
    <x v="28"/>
    <x v="3"/>
    <x v="0"/>
  </r>
  <r>
    <x v="424"/>
    <x v="5"/>
    <x v="7"/>
    <x v="0"/>
    <x v="11"/>
    <x v="35"/>
    <x v="6"/>
    <x v="0"/>
    <x v="25"/>
    <x v="35"/>
    <x v="44"/>
    <x v="0"/>
    <x v="0"/>
    <x v="11"/>
    <x v="0"/>
    <x v="68"/>
    <x v="36"/>
    <x v="1"/>
    <x v="72"/>
    <x v="0"/>
    <x v="2"/>
  </r>
  <r>
    <x v="424"/>
    <x v="5"/>
    <x v="7"/>
    <x v="1"/>
    <x v="4"/>
    <x v="17"/>
    <x v="11"/>
    <x v="4"/>
    <x v="23"/>
    <x v="26"/>
    <x v="12"/>
    <x v="0"/>
    <x v="1"/>
    <x v="4"/>
    <x v="1"/>
    <x v="45"/>
    <x v="23"/>
    <x v="0"/>
    <x v="35"/>
    <x v="3"/>
    <x v="2"/>
  </r>
  <r>
    <x v="424"/>
    <x v="5"/>
    <x v="7"/>
    <x v="2"/>
    <x v="26"/>
    <x v="17"/>
    <x v="15"/>
    <x v="27"/>
    <x v="14"/>
    <x v="29"/>
    <x v="23"/>
    <x v="0"/>
    <x v="2"/>
    <x v="26"/>
    <x v="2"/>
    <x v="41"/>
    <x v="27"/>
    <x v="0"/>
    <x v="39"/>
    <x v="3"/>
    <x v="2"/>
  </r>
  <r>
    <x v="424"/>
    <x v="5"/>
    <x v="7"/>
    <x v="3"/>
    <x v="8"/>
    <x v="13"/>
    <x v="4"/>
    <x v="3"/>
    <x v="24"/>
    <x v="18"/>
    <x v="33"/>
    <x v="0"/>
    <x v="3"/>
    <x v="8"/>
    <x v="3"/>
    <x v="48"/>
    <x v="12"/>
    <x v="1"/>
    <x v="52"/>
    <x v="0"/>
    <x v="2"/>
  </r>
  <r>
    <x v="424"/>
    <x v="5"/>
    <x v="7"/>
    <x v="10"/>
    <x v="28"/>
    <x v="29"/>
    <x v="15"/>
    <x v="10"/>
    <x v="19"/>
    <x v="19"/>
    <x v="11"/>
    <x v="0"/>
    <x v="10"/>
    <x v="28"/>
    <x v="10"/>
    <x v="53"/>
    <x v="39"/>
    <x v="1"/>
    <x v="57"/>
    <x v="0"/>
    <x v="0"/>
  </r>
  <r>
    <x v="424"/>
    <x v="5"/>
    <x v="7"/>
    <x v="15"/>
    <x v="7"/>
    <x v="14"/>
    <x v="11"/>
    <x v="15"/>
    <x v="14"/>
    <x v="19"/>
    <x v="0"/>
    <x v="0"/>
    <x v="15"/>
    <x v="7"/>
    <x v="15"/>
    <x v="42"/>
    <x v="20"/>
    <x v="1"/>
    <x v="46"/>
    <x v="3"/>
    <x v="2"/>
  </r>
  <r>
    <x v="424"/>
    <x v="5"/>
    <x v="7"/>
    <x v="18"/>
    <x v="13"/>
    <x v="9"/>
    <x v="16"/>
    <x v="18"/>
    <x v="32"/>
    <x v="22"/>
    <x v="40"/>
    <x v="0"/>
    <x v="18"/>
    <x v="13"/>
    <x v="13"/>
    <x v="32"/>
    <x v="20"/>
    <x v="1"/>
    <x v="36"/>
    <x v="3"/>
    <x v="2"/>
  </r>
  <r>
    <x v="424"/>
    <x v="5"/>
    <x v="7"/>
    <x v="19"/>
    <x v="22"/>
    <x v="46"/>
    <x v="15"/>
    <x v="19"/>
    <x v="23"/>
    <x v="23"/>
    <x v="41"/>
    <x v="0"/>
    <x v="19"/>
    <x v="22"/>
    <x v="19"/>
    <x v="70"/>
    <x v="56"/>
    <x v="1"/>
    <x v="74"/>
    <x v="0"/>
    <x v="0"/>
  </r>
  <r>
    <x v="424"/>
    <x v="5"/>
    <x v="7"/>
    <x v="21"/>
    <x v="14"/>
    <x v="35"/>
    <x v="25"/>
    <x v="21"/>
    <x v="32"/>
    <x v="41"/>
    <x v="20"/>
    <x v="0"/>
    <x v="21"/>
    <x v="14"/>
    <x v="21"/>
    <x v="49"/>
    <x v="55"/>
    <x v="1"/>
    <x v="53"/>
    <x v="0"/>
    <x v="0"/>
  </r>
  <r>
    <x v="424"/>
    <x v="5"/>
    <x v="7"/>
    <x v="23"/>
    <x v="20"/>
    <x v="23"/>
    <x v="18"/>
    <x v="20"/>
    <x v="32"/>
    <x v="25"/>
    <x v="26"/>
    <x v="0"/>
    <x v="23"/>
    <x v="20"/>
    <x v="23"/>
    <x v="44"/>
    <x v="36"/>
    <x v="0"/>
    <x v="36"/>
    <x v="3"/>
    <x v="0"/>
  </r>
  <r>
    <x v="424"/>
    <x v="5"/>
    <x v="7"/>
    <x v="29"/>
    <x v="30"/>
    <x v="14"/>
    <x v="21"/>
    <x v="28"/>
    <x v="15"/>
    <x v="18"/>
    <x v="4"/>
    <x v="0"/>
    <x v="27"/>
    <x v="17"/>
    <x v="17"/>
    <x v="32"/>
    <x v="30"/>
    <x v="1"/>
    <x v="36"/>
    <x v="3"/>
    <x v="2"/>
  </r>
  <r>
    <x v="424"/>
    <x v="5"/>
    <x v="7"/>
    <x v="31"/>
    <x v="5"/>
    <x v="18"/>
    <x v="24"/>
    <x v="30"/>
    <x v="31"/>
    <x v="22"/>
    <x v="34"/>
    <x v="0"/>
    <x v="29"/>
    <x v="5"/>
    <x v="5"/>
    <x v="33"/>
    <x v="37"/>
    <x v="1"/>
    <x v="37"/>
    <x v="3"/>
    <x v="0"/>
  </r>
  <r>
    <x v="424"/>
    <x v="5"/>
    <x v="7"/>
    <x v="32"/>
    <x v="12"/>
    <x v="3"/>
    <x v="32"/>
    <x v="12"/>
    <x v="30"/>
    <x v="12"/>
    <x v="28"/>
    <x v="0"/>
    <x v="30"/>
    <x v="12"/>
    <x v="12"/>
    <x v="10"/>
    <x v="30"/>
    <x v="0"/>
    <x v="70"/>
    <x v="0"/>
    <x v="0"/>
  </r>
  <r>
    <x v="427"/>
    <x v="5"/>
    <x v="7"/>
    <x v="9"/>
    <x v="6"/>
    <x v="17"/>
    <x v="15"/>
    <x v="9"/>
    <x v="29"/>
    <x v="12"/>
    <x v="38"/>
    <x v="0"/>
    <x v="9"/>
    <x v="6"/>
    <x v="9"/>
    <x v="41"/>
    <x v="27"/>
    <x v="1"/>
    <x v="45"/>
    <x v="3"/>
    <x v="2"/>
  </r>
  <r>
    <x v="4"/>
    <x v="5"/>
    <x v="8"/>
    <x v="0"/>
    <x v="29"/>
    <x v="3"/>
    <x v="34"/>
    <x v="0"/>
    <x v="25"/>
    <x v="28"/>
    <x v="44"/>
    <x v="0"/>
    <x v="0"/>
    <x v="27"/>
    <x v="27"/>
    <x v="8"/>
    <x v="32"/>
    <x v="1"/>
    <x v="12"/>
    <x v="3"/>
    <x v="2"/>
  </r>
  <r>
    <x v="4"/>
    <x v="5"/>
    <x v="8"/>
    <x v="1"/>
    <x v="21"/>
    <x v="14"/>
    <x v="18"/>
    <x v="1"/>
    <x v="25"/>
    <x v="41"/>
    <x v="12"/>
    <x v="0"/>
    <x v="1"/>
    <x v="21"/>
    <x v="21"/>
    <x v="35"/>
    <x v="27"/>
    <x v="1"/>
    <x v="39"/>
    <x v="3"/>
    <x v="2"/>
  </r>
  <r>
    <x v="4"/>
    <x v="5"/>
    <x v="8"/>
    <x v="3"/>
    <x v="23"/>
    <x v="19"/>
    <x v="15"/>
    <x v="23"/>
    <x v="31"/>
    <x v="16"/>
    <x v="33"/>
    <x v="0"/>
    <x v="3"/>
    <x v="23"/>
    <x v="3"/>
    <x v="43"/>
    <x v="29"/>
    <x v="0"/>
    <x v="37"/>
    <x v="3"/>
    <x v="2"/>
  </r>
  <r>
    <x v="4"/>
    <x v="5"/>
    <x v="8"/>
    <x v="4"/>
    <x v="31"/>
    <x v="35"/>
    <x v="8"/>
    <x v="4"/>
    <x v="17"/>
    <x v="24"/>
    <x v="2"/>
    <x v="0"/>
    <x v="4"/>
    <x v="29"/>
    <x v="4"/>
    <x v="66"/>
    <x v="38"/>
    <x v="1"/>
    <x v="70"/>
    <x v="0"/>
    <x v="0"/>
  </r>
  <r>
    <x v="4"/>
    <x v="5"/>
    <x v="8"/>
    <x v="5"/>
    <x v="10"/>
    <x v="17"/>
    <x v="22"/>
    <x v="10"/>
    <x v="32"/>
    <x v="24"/>
    <x v="37"/>
    <x v="0"/>
    <x v="5"/>
    <x v="10"/>
    <x v="10"/>
    <x v="34"/>
    <x v="34"/>
    <x v="0"/>
    <x v="46"/>
    <x v="0"/>
    <x v="2"/>
  </r>
  <r>
    <x v="4"/>
    <x v="5"/>
    <x v="8"/>
    <x v="6"/>
    <x v="2"/>
    <x v="21"/>
    <x v="14"/>
    <x v="6"/>
    <x v="18"/>
    <x v="16"/>
    <x v="31"/>
    <x v="0"/>
    <x v="6"/>
    <x v="2"/>
    <x v="6"/>
    <x v="46"/>
    <x v="30"/>
    <x v="1"/>
    <x v="50"/>
    <x v="3"/>
    <x v="2"/>
  </r>
  <r>
    <x v="4"/>
    <x v="5"/>
    <x v="8"/>
    <x v="7"/>
    <x v="26"/>
    <x v="9"/>
    <x v="26"/>
    <x v="27"/>
    <x v="11"/>
    <x v="28"/>
    <x v="10"/>
    <x v="0"/>
    <x v="7"/>
    <x v="26"/>
    <x v="26"/>
    <x v="22"/>
    <x v="30"/>
    <x v="0"/>
    <x v="58"/>
    <x v="0"/>
    <x v="2"/>
  </r>
  <r>
    <x v="4"/>
    <x v="5"/>
    <x v="8"/>
    <x v="8"/>
    <x v="33"/>
    <x v="20"/>
    <x v="32"/>
    <x v="8"/>
    <x v="31"/>
    <x v="16"/>
    <x v="5"/>
    <x v="0"/>
    <x v="8"/>
    <x v="31"/>
    <x v="32"/>
    <x v="27"/>
    <x v="47"/>
    <x v="1"/>
    <x v="31"/>
    <x v="3"/>
    <x v="0"/>
  </r>
  <r>
    <x v="4"/>
    <x v="5"/>
    <x v="8"/>
    <x v="9"/>
    <x v="27"/>
    <x v="24"/>
    <x v="18"/>
    <x v="9"/>
    <x v="17"/>
    <x v="18"/>
    <x v="38"/>
    <x v="0"/>
    <x v="9"/>
    <x v="16"/>
    <x v="9"/>
    <x v="45"/>
    <x v="37"/>
    <x v="1"/>
    <x v="49"/>
    <x v="3"/>
    <x v="0"/>
  </r>
  <r>
    <x v="4"/>
    <x v="5"/>
    <x v="8"/>
    <x v="11"/>
    <x v="19"/>
    <x v="10"/>
    <x v="18"/>
    <x v="11"/>
    <x v="31"/>
    <x v="22"/>
    <x v="16"/>
    <x v="0"/>
    <x v="11"/>
    <x v="19"/>
    <x v="19"/>
    <x v="31"/>
    <x v="23"/>
    <x v="1"/>
    <x v="35"/>
    <x v="3"/>
    <x v="2"/>
  </r>
  <r>
    <x v="4"/>
    <x v="5"/>
    <x v="8"/>
    <x v="12"/>
    <x v="14"/>
    <x v="27"/>
    <x v="4"/>
    <x v="12"/>
    <x v="25"/>
    <x v="24"/>
    <x v="35"/>
    <x v="0"/>
    <x v="12"/>
    <x v="14"/>
    <x v="12"/>
    <x v="62"/>
    <x v="26"/>
    <x v="1"/>
    <x v="66"/>
    <x v="0"/>
    <x v="2"/>
  </r>
  <r>
    <x v="4"/>
    <x v="5"/>
    <x v="8"/>
    <x v="13"/>
    <x v="32"/>
    <x v="27"/>
    <x v="22"/>
    <x v="13"/>
    <x v="29"/>
    <x v="12"/>
    <x v="22"/>
    <x v="0"/>
    <x v="13"/>
    <x v="30"/>
    <x v="13"/>
    <x v="44"/>
    <x v="44"/>
    <x v="1"/>
    <x v="48"/>
    <x v="0"/>
    <x v="0"/>
  </r>
  <r>
    <x v="4"/>
    <x v="5"/>
    <x v="8"/>
    <x v="15"/>
    <x v="24"/>
    <x v="20"/>
    <x v="15"/>
    <x v="15"/>
    <x v="24"/>
    <x v="21"/>
    <x v="0"/>
    <x v="0"/>
    <x v="15"/>
    <x v="24"/>
    <x v="15"/>
    <x v="44"/>
    <x v="30"/>
    <x v="1"/>
    <x v="48"/>
    <x v="3"/>
    <x v="2"/>
  </r>
  <r>
    <x v="4"/>
    <x v="5"/>
    <x v="8"/>
    <x v="18"/>
    <x v="20"/>
    <x v="17"/>
    <x v="8"/>
    <x v="20"/>
    <x v="17"/>
    <x v="27"/>
    <x v="40"/>
    <x v="0"/>
    <x v="18"/>
    <x v="20"/>
    <x v="18"/>
    <x v="48"/>
    <x v="20"/>
    <x v="0"/>
    <x v="32"/>
    <x v="3"/>
    <x v="2"/>
  </r>
  <r>
    <x v="4"/>
    <x v="5"/>
    <x v="8"/>
    <x v="22"/>
    <x v="25"/>
    <x v="27"/>
    <x v="33"/>
    <x v="22"/>
    <x v="30"/>
    <x v="36"/>
    <x v="26"/>
    <x v="0"/>
    <x v="22"/>
    <x v="25"/>
    <x v="25"/>
    <x v="33"/>
    <x v="55"/>
    <x v="1"/>
    <x v="37"/>
    <x v="3"/>
    <x v="0"/>
  </r>
  <r>
    <x v="4"/>
    <x v="5"/>
    <x v="8"/>
    <x v="28"/>
    <x v="30"/>
    <x v="16"/>
    <x v="14"/>
    <x v="17"/>
    <x v="31"/>
    <x v="11"/>
    <x v="17"/>
    <x v="0"/>
    <x v="28"/>
    <x v="17"/>
    <x v="28"/>
    <x v="41"/>
    <x v="25"/>
    <x v="0"/>
    <x v="39"/>
    <x v="3"/>
    <x v="2"/>
  </r>
  <r>
    <x v="18"/>
    <x v="5"/>
    <x v="20"/>
    <x v="6"/>
    <x v="26"/>
    <x v="13"/>
    <x v="16"/>
    <x v="27"/>
    <x v="31"/>
    <x v="24"/>
    <x v="31"/>
    <x v="1"/>
    <x v="6"/>
    <x v="26"/>
    <x v="26"/>
    <x v="36"/>
    <x v="24"/>
    <x v="0"/>
    <x v="44"/>
    <x v="3"/>
    <x v="2"/>
  </r>
  <r>
    <x v="18"/>
    <x v="5"/>
    <x v="20"/>
    <x v="12"/>
    <x v="15"/>
    <x v="0"/>
    <x v="28"/>
    <x v="15"/>
    <x v="31"/>
    <x v="14"/>
    <x v="46"/>
    <x v="1"/>
    <x v="12"/>
    <x v="15"/>
    <x v="15"/>
    <x v="8"/>
    <x v="20"/>
    <x v="0"/>
    <x v="72"/>
    <x v="0"/>
    <x v="2"/>
  </r>
  <r>
    <x v="20"/>
    <x v="5"/>
    <x v="20"/>
    <x v="19"/>
    <x v="29"/>
    <x v="6"/>
    <x v="8"/>
    <x v="28"/>
    <x v="28"/>
    <x v="14"/>
    <x v="46"/>
    <x v="1"/>
    <x v="19"/>
    <x v="27"/>
    <x v="27"/>
    <x v="37"/>
    <x v="9"/>
    <x v="0"/>
    <x v="43"/>
    <x v="3"/>
    <x v="2"/>
  </r>
  <r>
    <x v="20"/>
    <x v="5"/>
    <x v="20"/>
    <x v="33"/>
    <x v="11"/>
    <x v="15"/>
    <x v="33"/>
    <x v="32"/>
    <x v="35"/>
    <x v="26"/>
    <x v="46"/>
    <x v="1"/>
    <x v="31"/>
    <x v="11"/>
    <x v="11"/>
    <x v="21"/>
    <x v="43"/>
    <x v="1"/>
    <x v="25"/>
    <x v="3"/>
    <x v="0"/>
  </r>
  <r>
    <x v="34"/>
    <x v="5"/>
    <x v="18"/>
    <x v="0"/>
    <x v="11"/>
    <x v="23"/>
    <x v="18"/>
    <x v="0"/>
    <x v="23"/>
    <x v="32"/>
    <x v="44"/>
    <x v="1"/>
    <x v="0"/>
    <x v="11"/>
    <x v="0"/>
    <x v="44"/>
    <x v="36"/>
    <x v="1"/>
    <x v="48"/>
    <x v="3"/>
    <x v="2"/>
  </r>
  <r>
    <x v="34"/>
    <x v="5"/>
    <x v="18"/>
    <x v="20"/>
    <x v="15"/>
    <x v="24"/>
    <x v="18"/>
    <x v="20"/>
    <x v="28"/>
    <x v="20"/>
    <x v="46"/>
    <x v="1"/>
    <x v="20"/>
    <x v="15"/>
    <x v="20"/>
    <x v="45"/>
    <x v="37"/>
    <x v="1"/>
    <x v="49"/>
    <x v="0"/>
    <x v="0"/>
  </r>
  <r>
    <x v="35"/>
    <x v="5"/>
    <x v="18"/>
    <x v="4"/>
    <x v="29"/>
    <x v="28"/>
    <x v="22"/>
    <x v="4"/>
    <x v="32"/>
    <x v="22"/>
    <x v="2"/>
    <x v="1"/>
    <x v="4"/>
    <x v="27"/>
    <x v="4"/>
    <x v="45"/>
    <x v="45"/>
    <x v="1"/>
    <x v="49"/>
    <x v="0"/>
    <x v="0"/>
  </r>
  <r>
    <x v="35"/>
    <x v="5"/>
    <x v="18"/>
    <x v="9"/>
    <x v="26"/>
    <x v="20"/>
    <x v="14"/>
    <x v="9"/>
    <x v="22"/>
    <x v="16"/>
    <x v="46"/>
    <x v="1"/>
    <x v="9"/>
    <x v="26"/>
    <x v="9"/>
    <x v="45"/>
    <x v="29"/>
    <x v="1"/>
    <x v="49"/>
    <x v="3"/>
    <x v="2"/>
  </r>
  <r>
    <x v="43"/>
    <x v="5"/>
    <x v="17"/>
    <x v="4"/>
    <x v="0"/>
    <x v="46"/>
    <x v="13"/>
    <x v="4"/>
    <x v="31"/>
    <x v="29"/>
    <x v="2"/>
    <x v="1"/>
    <x v="4"/>
    <x v="0"/>
    <x v="4"/>
    <x v="72"/>
    <x v="54"/>
    <x v="1"/>
    <x v="76"/>
    <x v="0"/>
    <x v="0"/>
  </r>
  <r>
    <x v="43"/>
    <x v="5"/>
    <x v="17"/>
    <x v="9"/>
    <x v="20"/>
    <x v="17"/>
    <x v="16"/>
    <x v="20"/>
    <x v="31"/>
    <x v="23"/>
    <x v="46"/>
    <x v="1"/>
    <x v="9"/>
    <x v="20"/>
    <x v="9"/>
    <x v="40"/>
    <x v="28"/>
    <x v="0"/>
    <x v="40"/>
    <x v="3"/>
    <x v="2"/>
  </r>
  <r>
    <x v="50"/>
    <x v="5"/>
    <x v="19"/>
    <x v="9"/>
    <x v="4"/>
    <x v="21"/>
    <x v="8"/>
    <x v="4"/>
    <x v="28"/>
    <x v="20"/>
    <x v="17"/>
    <x v="1"/>
    <x v="9"/>
    <x v="4"/>
    <x v="9"/>
    <x v="52"/>
    <x v="24"/>
    <x v="0"/>
    <x v="28"/>
    <x v="3"/>
    <x v="2"/>
  </r>
  <r>
    <x v="59"/>
    <x v="6"/>
    <x v="0"/>
    <x v="9"/>
    <x v="4"/>
    <x v="18"/>
    <x v="18"/>
    <x v="4"/>
    <x v="31"/>
    <x v="15"/>
    <x v="38"/>
    <x v="0"/>
    <x v="9"/>
    <x v="4"/>
    <x v="9"/>
    <x v="39"/>
    <x v="31"/>
    <x v="0"/>
    <x v="41"/>
    <x v="3"/>
    <x v="0"/>
  </r>
  <r>
    <x v="68"/>
    <x v="6"/>
    <x v="0"/>
    <x v="0"/>
    <x v="20"/>
    <x v="18"/>
    <x v="21"/>
    <x v="0"/>
    <x v="20"/>
    <x v="22"/>
    <x v="44"/>
    <x v="0"/>
    <x v="0"/>
    <x v="20"/>
    <x v="20"/>
    <x v="36"/>
    <x v="34"/>
    <x v="1"/>
    <x v="40"/>
    <x v="3"/>
    <x v="1"/>
  </r>
  <r>
    <x v="68"/>
    <x v="6"/>
    <x v="0"/>
    <x v="1"/>
    <x v="31"/>
    <x v="21"/>
    <x v="29"/>
    <x v="1"/>
    <x v="32"/>
    <x v="28"/>
    <x v="12"/>
    <x v="0"/>
    <x v="1"/>
    <x v="29"/>
    <x v="29"/>
    <x v="31"/>
    <x v="45"/>
    <x v="1"/>
    <x v="35"/>
    <x v="3"/>
    <x v="0"/>
  </r>
  <r>
    <x v="68"/>
    <x v="6"/>
    <x v="0"/>
    <x v="2"/>
    <x v="3"/>
    <x v="10"/>
    <x v="5"/>
    <x v="2"/>
    <x v="31"/>
    <x v="23"/>
    <x v="23"/>
    <x v="0"/>
    <x v="2"/>
    <x v="3"/>
    <x v="2"/>
    <x v="44"/>
    <x v="10"/>
    <x v="1"/>
    <x v="48"/>
    <x v="0"/>
    <x v="2"/>
  </r>
  <r>
    <x v="68"/>
    <x v="6"/>
    <x v="0"/>
    <x v="8"/>
    <x v="22"/>
    <x v="16"/>
    <x v="18"/>
    <x v="22"/>
    <x v="35"/>
    <x v="29"/>
    <x v="5"/>
    <x v="0"/>
    <x v="8"/>
    <x v="22"/>
    <x v="22"/>
    <x v="37"/>
    <x v="29"/>
    <x v="0"/>
    <x v="43"/>
    <x v="2"/>
    <x v="2"/>
  </r>
  <r>
    <x v="68"/>
    <x v="6"/>
    <x v="0"/>
    <x v="12"/>
    <x v="5"/>
    <x v="20"/>
    <x v="12"/>
    <x v="12"/>
    <x v="26"/>
    <x v="19"/>
    <x v="35"/>
    <x v="0"/>
    <x v="12"/>
    <x v="5"/>
    <x v="12"/>
    <x v="47"/>
    <x v="27"/>
    <x v="1"/>
    <x v="51"/>
    <x v="0"/>
    <x v="2"/>
  </r>
  <r>
    <x v="68"/>
    <x v="6"/>
    <x v="0"/>
    <x v="13"/>
    <x v="10"/>
    <x v="32"/>
    <x v="37"/>
    <x v="13"/>
    <x v="32"/>
    <x v="37"/>
    <x v="22"/>
    <x v="0"/>
    <x v="13"/>
    <x v="10"/>
    <x v="10"/>
    <x v="34"/>
    <x v="64"/>
    <x v="1"/>
    <x v="38"/>
    <x v="3"/>
    <x v="0"/>
  </r>
  <r>
    <x v="68"/>
    <x v="6"/>
    <x v="0"/>
    <x v="14"/>
    <x v="11"/>
    <x v="20"/>
    <x v="25"/>
    <x v="11"/>
    <x v="30"/>
    <x v="29"/>
    <x v="8"/>
    <x v="0"/>
    <x v="14"/>
    <x v="11"/>
    <x v="11"/>
    <x v="34"/>
    <x v="40"/>
    <x v="0"/>
    <x v="46"/>
    <x v="0"/>
    <x v="0"/>
  </r>
  <r>
    <x v="68"/>
    <x v="6"/>
    <x v="0"/>
    <x v="15"/>
    <x v="27"/>
    <x v="30"/>
    <x v="25"/>
    <x v="15"/>
    <x v="24"/>
    <x v="26"/>
    <x v="0"/>
    <x v="0"/>
    <x v="15"/>
    <x v="16"/>
    <x v="15"/>
    <x v="44"/>
    <x v="50"/>
    <x v="1"/>
    <x v="48"/>
    <x v="3"/>
    <x v="0"/>
  </r>
  <r>
    <x v="68"/>
    <x v="6"/>
    <x v="0"/>
    <x v="21"/>
    <x v="24"/>
    <x v="31"/>
    <x v="33"/>
    <x v="21"/>
    <x v="31"/>
    <x v="35"/>
    <x v="20"/>
    <x v="0"/>
    <x v="21"/>
    <x v="24"/>
    <x v="24"/>
    <x v="37"/>
    <x v="59"/>
    <x v="1"/>
    <x v="41"/>
    <x v="3"/>
    <x v="0"/>
  </r>
  <r>
    <x v="68"/>
    <x v="6"/>
    <x v="0"/>
    <x v="23"/>
    <x v="6"/>
    <x v="19"/>
    <x v="21"/>
    <x v="6"/>
    <x v="35"/>
    <x v="18"/>
    <x v="26"/>
    <x v="0"/>
    <x v="23"/>
    <x v="6"/>
    <x v="6"/>
    <x v="37"/>
    <x v="35"/>
    <x v="0"/>
    <x v="43"/>
    <x v="2"/>
    <x v="0"/>
  </r>
  <r>
    <x v="68"/>
    <x v="6"/>
    <x v="0"/>
    <x v="25"/>
    <x v="7"/>
    <x v="26"/>
    <x v="8"/>
    <x v="25"/>
    <x v="30"/>
    <x v="16"/>
    <x v="18"/>
    <x v="0"/>
    <x v="25"/>
    <x v="7"/>
    <x v="25"/>
    <x v="57"/>
    <x v="29"/>
    <x v="1"/>
    <x v="61"/>
    <x v="0"/>
    <x v="2"/>
  </r>
  <r>
    <x v="68"/>
    <x v="6"/>
    <x v="0"/>
    <x v="29"/>
    <x v="18"/>
    <x v="9"/>
    <x v="8"/>
    <x v="28"/>
    <x v="16"/>
    <x v="22"/>
    <x v="4"/>
    <x v="0"/>
    <x v="27"/>
    <x v="18"/>
    <x v="27"/>
    <x v="40"/>
    <x v="12"/>
    <x v="1"/>
    <x v="44"/>
    <x v="3"/>
    <x v="2"/>
  </r>
  <r>
    <x v="68"/>
    <x v="6"/>
    <x v="0"/>
    <x v="32"/>
    <x v="19"/>
    <x v="13"/>
    <x v="23"/>
    <x v="19"/>
    <x v="32"/>
    <x v="14"/>
    <x v="28"/>
    <x v="0"/>
    <x v="30"/>
    <x v="19"/>
    <x v="19"/>
    <x v="29"/>
    <x v="31"/>
    <x v="0"/>
    <x v="51"/>
    <x v="0"/>
    <x v="0"/>
  </r>
  <r>
    <x v="73"/>
    <x v="6"/>
    <x v="0"/>
    <x v="17"/>
    <x v="28"/>
    <x v="0"/>
    <x v="26"/>
    <x v="17"/>
    <x v="32"/>
    <x v="21"/>
    <x v="19"/>
    <x v="0"/>
    <x v="17"/>
    <x v="28"/>
    <x v="28"/>
    <x v="10"/>
    <x v="18"/>
    <x v="1"/>
    <x v="14"/>
    <x v="3"/>
    <x v="2"/>
  </r>
  <r>
    <x v="73"/>
    <x v="6"/>
    <x v="0"/>
    <x v="33"/>
    <x v="26"/>
    <x v="13"/>
    <x v="36"/>
    <x v="27"/>
    <x v="32"/>
    <x v="32"/>
    <x v="9"/>
    <x v="0"/>
    <x v="31"/>
    <x v="26"/>
    <x v="26"/>
    <x v="16"/>
    <x v="44"/>
    <x v="0"/>
    <x v="64"/>
    <x v="0"/>
    <x v="0"/>
  </r>
  <r>
    <x v="82"/>
    <x v="6"/>
    <x v="9"/>
    <x v="3"/>
    <x v="23"/>
    <x v="28"/>
    <x v="35"/>
    <x v="26"/>
    <x v="36"/>
    <x v="15"/>
    <x v="27"/>
    <x v="0"/>
    <x v="3"/>
    <x v="23"/>
    <x v="23"/>
    <x v="32"/>
    <x v="58"/>
    <x v="2"/>
    <x v="88"/>
    <x v="1"/>
    <x v="0"/>
  </r>
  <r>
    <x v="90"/>
    <x v="6"/>
    <x v="9"/>
    <x v="0"/>
    <x v="31"/>
    <x v="37"/>
    <x v="5"/>
    <x v="0"/>
    <x v="23"/>
    <x v="33"/>
    <x v="44"/>
    <x v="0"/>
    <x v="0"/>
    <x v="29"/>
    <x v="0"/>
    <x v="71"/>
    <x v="37"/>
    <x v="1"/>
    <x v="75"/>
    <x v="0"/>
    <x v="2"/>
  </r>
  <r>
    <x v="90"/>
    <x v="6"/>
    <x v="9"/>
    <x v="4"/>
    <x v="28"/>
    <x v="43"/>
    <x v="25"/>
    <x v="4"/>
    <x v="12"/>
    <x v="22"/>
    <x v="2"/>
    <x v="0"/>
    <x v="4"/>
    <x v="28"/>
    <x v="4"/>
    <x v="57"/>
    <x v="63"/>
    <x v="1"/>
    <x v="61"/>
    <x v="0"/>
    <x v="0"/>
  </r>
  <r>
    <x v="90"/>
    <x v="6"/>
    <x v="9"/>
    <x v="7"/>
    <x v="2"/>
    <x v="17"/>
    <x v="23"/>
    <x v="2"/>
    <x v="28"/>
    <x v="18"/>
    <x v="10"/>
    <x v="0"/>
    <x v="7"/>
    <x v="2"/>
    <x v="2"/>
    <x v="33"/>
    <x v="35"/>
    <x v="0"/>
    <x v="47"/>
    <x v="0"/>
    <x v="0"/>
  </r>
  <r>
    <x v="90"/>
    <x v="6"/>
    <x v="9"/>
    <x v="9"/>
    <x v="13"/>
    <x v="31"/>
    <x v="18"/>
    <x v="9"/>
    <x v="25"/>
    <x v="28"/>
    <x v="38"/>
    <x v="0"/>
    <x v="9"/>
    <x v="13"/>
    <x v="9"/>
    <x v="52"/>
    <x v="44"/>
    <x v="1"/>
    <x v="56"/>
    <x v="0"/>
    <x v="0"/>
  </r>
  <r>
    <x v="90"/>
    <x v="6"/>
    <x v="9"/>
    <x v="10"/>
    <x v="32"/>
    <x v="12"/>
    <x v="14"/>
    <x v="10"/>
    <x v="25"/>
    <x v="30"/>
    <x v="11"/>
    <x v="0"/>
    <x v="10"/>
    <x v="30"/>
    <x v="30"/>
    <x v="37"/>
    <x v="21"/>
    <x v="1"/>
    <x v="41"/>
    <x v="3"/>
    <x v="2"/>
  </r>
  <r>
    <x v="90"/>
    <x v="6"/>
    <x v="9"/>
    <x v="12"/>
    <x v="15"/>
    <x v="16"/>
    <x v="10"/>
    <x v="12"/>
    <x v="35"/>
    <x v="18"/>
    <x v="35"/>
    <x v="0"/>
    <x v="12"/>
    <x v="15"/>
    <x v="12"/>
    <x v="45"/>
    <x v="21"/>
    <x v="1"/>
    <x v="49"/>
    <x v="0"/>
    <x v="2"/>
  </r>
  <r>
    <x v="90"/>
    <x v="6"/>
    <x v="9"/>
    <x v="17"/>
    <x v="29"/>
    <x v="6"/>
    <x v="2"/>
    <x v="28"/>
    <x v="26"/>
    <x v="10"/>
    <x v="19"/>
    <x v="0"/>
    <x v="17"/>
    <x v="27"/>
    <x v="17"/>
    <x v="44"/>
    <x v="3"/>
    <x v="0"/>
    <x v="36"/>
    <x v="3"/>
    <x v="2"/>
  </r>
  <r>
    <x v="90"/>
    <x v="6"/>
    <x v="9"/>
    <x v="20"/>
    <x v="18"/>
    <x v="28"/>
    <x v="22"/>
    <x v="20"/>
    <x v="26"/>
    <x v="18"/>
    <x v="13"/>
    <x v="0"/>
    <x v="20"/>
    <x v="18"/>
    <x v="20"/>
    <x v="45"/>
    <x v="45"/>
    <x v="1"/>
    <x v="49"/>
    <x v="0"/>
    <x v="0"/>
  </r>
  <r>
    <x v="90"/>
    <x v="6"/>
    <x v="9"/>
    <x v="22"/>
    <x v="21"/>
    <x v="13"/>
    <x v="11"/>
    <x v="22"/>
    <x v="29"/>
    <x v="43"/>
    <x v="26"/>
    <x v="0"/>
    <x v="22"/>
    <x v="21"/>
    <x v="22"/>
    <x v="41"/>
    <x v="19"/>
    <x v="1"/>
    <x v="45"/>
    <x v="3"/>
    <x v="2"/>
  </r>
  <r>
    <x v="90"/>
    <x v="6"/>
    <x v="9"/>
    <x v="24"/>
    <x v="1"/>
    <x v="25"/>
    <x v="33"/>
    <x v="24"/>
    <x v="29"/>
    <x v="30"/>
    <x v="30"/>
    <x v="0"/>
    <x v="24"/>
    <x v="1"/>
    <x v="1"/>
    <x v="31"/>
    <x v="53"/>
    <x v="1"/>
    <x v="35"/>
    <x v="3"/>
    <x v="0"/>
  </r>
  <r>
    <x v="90"/>
    <x v="6"/>
    <x v="9"/>
    <x v="26"/>
    <x v="6"/>
    <x v="21"/>
    <x v="14"/>
    <x v="27"/>
    <x v="31"/>
    <x v="30"/>
    <x v="15"/>
    <x v="0"/>
    <x v="26"/>
    <x v="6"/>
    <x v="26"/>
    <x v="46"/>
    <x v="30"/>
    <x v="1"/>
    <x v="50"/>
    <x v="0"/>
    <x v="2"/>
  </r>
  <r>
    <x v="90"/>
    <x v="6"/>
    <x v="9"/>
    <x v="27"/>
    <x v="14"/>
    <x v="35"/>
    <x v="12"/>
    <x v="16"/>
    <x v="31"/>
    <x v="29"/>
    <x v="32"/>
    <x v="0"/>
    <x v="16"/>
    <x v="14"/>
    <x v="16"/>
    <x v="62"/>
    <x v="42"/>
    <x v="1"/>
    <x v="66"/>
    <x v="0"/>
    <x v="0"/>
  </r>
  <r>
    <x v="90"/>
    <x v="6"/>
    <x v="9"/>
    <x v="33"/>
    <x v="8"/>
    <x v="20"/>
    <x v="25"/>
    <x v="32"/>
    <x v="31"/>
    <x v="28"/>
    <x v="9"/>
    <x v="0"/>
    <x v="31"/>
    <x v="8"/>
    <x v="8"/>
    <x v="34"/>
    <x v="40"/>
    <x v="1"/>
    <x v="38"/>
    <x v="3"/>
    <x v="0"/>
  </r>
  <r>
    <x v="95"/>
    <x v="6"/>
    <x v="9"/>
    <x v="5"/>
    <x v="25"/>
    <x v="11"/>
    <x v="27"/>
    <x v="5"/>
    <x v="31"/>
    <x v="20"/>
    <x v="37"/>
    <x v="0"/>
    <x v="5"/>
    <x v="25"/>
    <x v="25"/>
    <x v="23"/>
    <x v="33"/>
    <x v="1"/>
    <x v="27"/>
    <x v="3"/>
    <x v="1"/>
  </r>
  <r>
    <x v="95"/>
    <x v="6"/>
    <x v="9"/>
    <x v="19"/>
    <x v="11"/>
    <x v="14"/>
    <x v="12"/>
    <x v="11"/>
    <x v="33"/>
    <x v="20"/>
    <x v="43"/>
    <x v="0"/>
    <x v="19"/>
    <x v="11"/>
    <x v="19"/>
    <x v="41"/>
    <x v="21"/>
    <x v="0"/>
    <x v="39"/>
    <x v="3"/>
    <x v="2"/>
  </r>
  <r>
    <x v="104"/>
    <x v="6"/>
    <x v="10"/>
    <x v="20"/>
    <x v="12"/>
    <x v="24"/>
    <x v="0"/>
    <x v="20"/>
    <x v="35"/>
    <x v="11"/>
    <x v="13"/>
    <x v="0"/>
    <x v="20"/>
    <x v="12"/>
    <x v="20"/>
    <x v="65"/>
    <x v="17"/>
    <x v="1"/>
    <x v="69"/>
    <x v="0"/>
    <x v="2"/>
  </r>
  <r>
    <x v="112"/>
    <x v="6"/>
    <x v="10"/>
    <x v="3"/>
    <x v="0"/>
    <x v="30"/>
    <x v="16"/>
    <x v="0"/>
    <x v="27"/>
    <x v="30"/>
    <x v="27"/>
    <x v="0"/>
    <x v="3"/>
    <x v="0"/>
    <x v="3"/>
    <x v="53"/>
    <x v="41"/>
    <x v="0"/>
    <x v="27"/>
    <x v="3"/>
    <x v="0"/>
  </r>
  <r>
    <x v="112"/>
    <x v="6"/>
    <x v="10"/>
    <x v="4"/>
    <x v="19"/>
    <x v="7"/>
    <x v="20"/>
    <x v="4"/>
    <x v="24"/>
    <x v="19"/>
    <x v="2"/>
    <x v="0"/>
    <x v="4"/>
    <x v="19"/>
    <x v="19"/>
    <x v="26"/>
    <x v="22"/>
    <x v="1"/>
    <x v="30"/>
    <x v="3"/>
    <x v="2"/>
  </r>
  <r>
    <x v="112"/>
    <x v="6"/>
    <x v="10"/>
    <x v="6"/>
    <x v="9"/>
    <x v="14"/>
    <x v="27"/>
    <x v="6"/>
    <x v="30"/>
    <x v="17"/>
    <x v="31"/>
    <x v="0"/>
    <x v="6"/>
    <x v="9"/>
    <x v="9"/>
    <x v="26"/>
    <x v="36"/>
    <x v="1"/>
    <x v="30"/>
    <x v="3"/>
    <x v="0"/>
  </r>
  <r>
    <x v="112"/>
    <x v="6"/>
    <x v="10"/>
    <x v="8"/>
    <x v="5"/>
    <x v="28"/>
    <x v="15"/>
    <x v="8"/>
    <x v="24"/>
    <x v="24"/>
    <x v="5"/>
    <x v="0"/>
    <x v="8"/>
    <x v="5"/>
    <x v="8"/>
    <x v="52"/>
    <x v="38"/>
    <x v="1"/>
    <x v="56"/>
    <x v="0"/>
    <x v="0"/>
  </r>
  <r>
    <x v="112"/>
    <x v="6"/>
    <x v="10"/>
    <x v="11"/>
    <x v="10"/>
    <x v="31"/>
    <x v="25"/>
    <x v="11"/>
    <x v="24"/>
    <x v="29"/>
    <x v="16"/>
    <x v="0"/>
    <x v="11"/>
    <x v="10"/>
    <x v="11"/>
    <x v="45"/>
    <x v="51"/>
    <x v="1"/>
    <x v="49"/>
    <x v="0"/>
    <x v="0"/>
  </r>
  <r>
    <x v="112"/>
    <x v="6"/>
    <x v="10"/>
    <x v="13"/>
    <x v="27"/>
    <x v="23"/>
    <x v="20"/>
    <x v="13"/>
    <x v="34"/>
    <x v="37"/>
    <x v="22"/>
    <x v="0"/>
    <x v="13"/>
    <x v="16"/>
    <x v="13"/>
    <x v="42"/>
    <x v="38"/>
    <x v="1"/>
    <x v="46"/>
    <x v="0"/>
    <x v="2"/>
  </r>
  <r>
    <x v="112"/>
    <x v="6"/>
    <x v="10"/>
    <x v="14"/>
    <x v="2"/>
    <x v="14"/>
    <x v="17"/>
    <x v="2"/>
    <x v="33"/>
    <x v="24"/>
    <x v="8"/>
    <x v="0"/>
    <x v="14"/>
    <x v="2"/>
    <x v="2"/>
    <x v="36"/>
    <x v="26"/>
    <x v="0"/>
    <x v="44"/>
    <x v="2"/>
    <x v="2"/>
  </r>
  <r>
    <x v="112"/>
    <x v="6"/>
    <x v="10"/>
    <x v="15"/>
    <x v="23"/>
    <x v="21"/>
    <x v="2"/>
    <x v="15"/>
    <x v="31"/>
    <x v="23"/>
    <x v="0"/>
    <x v="0"/>
    <x v="15"/>
    <x v="23"/>
    <x v="15"/>
    <x v="59"/>
    <x v="17"/>
    <x v="1"/>
    <x v="63"/>
    <x v="0"/>
    <x v="2"/>
  </r>
  <r>
    <x v="112"/>
    <x v="6"/>
    <x v="10"/>
    <x v="18"/>
    <x v="7"/>
    <x v="27"/>
    <x v="22"/>
    <x v="18"/>
    <x v="17"/>
    <x v="19"/>
    <x v="40"/>
    <x v="0"/>
    <x v="18"/>
    <x v="7"/>
    <x v="18"/>
    <x v="44"/>
    <x v="44"/>
    <x v="1"/>
    <x v="48"/>
    <x v="3"/>
    <x v="0"/>
  </r>
  <r>
    <x v="112"/>
    <x v="6"/>
    <x v="10"/>
    <x v="22"/>
    <x v="33"/>
    <x v="24"/>
    <x v="27"/>
    <x v="22"/>
    <x v="30"/>
    <x v="28"/>
    <x v="26"/>
    <x v="0"/>
    <x v="22"/>
    <x v="31"/>
    <x v="32"/>
    <x v="36"/>
    <x v="46"/>
    <x v="1"/>
    <x v="40"/>
    <x v="3"/>
    <x v="0"/>
  </r>
  <r>
    <x v="112"/>
    <x v="6"/>
    <x v="10"/>
    <x v="25"/>
    <x v="26"/>
    <x v="31"/>
    <x v="2"/>
    <x v="27"/>
    <x v="29"/>
    <x v="27"/>
    <x v="18"/>
    <x v="0"/>
    <x v="25"/>
    <x v="26"/>
    <x v="25"/>
    <x v="69"/>
    <x v="27"/>
    <x v="0"/>
    <x v="11"/>
    <x v="3"/>
    <x v="2"/>
  </r>
  <r>
    <x v="112"/>
    <x v="6"/>
    <x v="10"/>
    <x v="29"/>
    <x v="28"/>
    <x v="34"/>
    <x v="16"/>
    <x v="28"/>
    <x v="16"/>
    <x v="17"/>
    <x v="4"/>
    <x v="0"/>
    <x v="27"/>
    <x v="28"/>
    <x v="27"/>
    <x v="57"/>
    <x v="45"/>
    <x v="1"/>
    <x v="61"/>
    <x v="0"/>
    <x v="0"/>
  </r>
  <r>
    <x v="112"/>
    <x v="6"/>
    <x v="10"/>
    <x v="31"/>
    <x v="17"/>
    <x v="29"/>
    <x v="35"/>
    <x v="30"/>
    <x v="30"/>
    <x v="15"/>
    <x v="34"/>
    <x v="0"/>
    <x v="29"/>
    <x v="17"/>
    <x v="17"/>
    <x v="33"/>
    <x v="59"/>
    <x v="1"/>
    <x v="37"/>
    <x v="3"/>
    <x v="0"/>
  </r>
  <r>
    <x v="112"/>
    <x v="6"/>
    <x v="10"/>
    <x v="32"/>
    <x v="24"/>
    <x v="7"/>
    <x v="15"/>
    <x v="24"/>
    <x v="34"/>
    <x v="28"/>
    <x v="28"/>
    <x v="0"/>
    <x v="30"/>
    <x v="24"/>
    <x v="24"/>
    <x v="31"/>
    <x v="17"/>
    <x v="0"/>
    <x v="49"/>
    <x v="0"/>
    <x v="2"/>
  </r>
  <r>
    <x v="117"/>
    <x v="6"/>
    <x v="10"/>
    <x v="21"/>
    <x v="1"/>
    <x v="29"/>
    <x v="43"/>
    <x v="21"/>
    <x v="31"/>
    <x v="43"/>
    <x v="20"/>
    <x v="0"/>
    <x v="21"/>
    <x v="1"/>
    <x v="1"/>
    <x v="25"/>
    <x v="67"/>
    <x v="1"/>
    <x v="29"/>
    <x v="3"/>
    <x v="0"/>
  </r>
  <r>
    <x v="126"/>
    <x v="6"/>
    <x v="11"/>
    <x v="6"/>
    <x v="18"/>
    <x v="19"/>
    <x v="5"/>
    <x v="6"/>
    <x v="22"/>
    <x v="27"/>
    <x v="31"/>
    <x v="0"/>
    <x v="6"/>
    <x v="18"/>
    <x v="6"/>
    <x v="53"/>
    <x v="19"/>
    <x v="1"/>
    <x v="57"/>
    <x v="0"/>
    <x v="2"/>
  </r>
  <r>
    <x v="134"/>
    <x v="6"/>
    <x v="11"/>
    <x v="0"/>
    <x v="17"/>
    <x v="10"/>
    <x v="15"/>
    <x v="0"/>
    <x v="17"/>
    <x v="21"/>
    <x v="44"/>
    <x v="0"/>
    <x v="0"/>
    <x v="17"/>
    <x v="17"/>
    <x v="34"/>
    <x v="20"/>
    <x v="1"/>
    <x v="38"/>
    <x v="3"/>
    <x v="2"/>
  </r>
  <r>
    <x v="134"/>
    <x v="6"/>
    <x v="11"/>
    <x v="1"/>
    <x v="4"/>
    <x v="45"/>
    <x v="31"/>
    <x v="4"/>
    <x v="31"/>
    <x v="31"/>
    <x v="12"/>
    <x v="0"/>
    <x v="1"/>
    <x v="4"/>
    <x v="1"/>
    <x v="53"/>
    <x v="71"/>
    <x v="0"/>
    <x v="27"/>
    <x v="3"/>
    <x v="0"/>
  </r>
  <r>
    <x v="134"/>
    <x v="6"/>
    <x v="11"/>
    <x v="2"/>
    <x v="24"/>
    <x v="24"/>
    <x v="26"/>
    <x v="2"/>
    <x v="30"/>
    <x v="24"/>
    <x v="23"/>
    <x v="0"/>
    <x v="2"/>
    <x v="24"/>
    <x v="24"/>
    <x v="37"/>
    <x v="45"/>
    <x v="1"/>
    <x v="41"/>
    <x v="3"/>
    <x v="0"/>
  </r>
  <r>
    <x v="134"/>
    <x v="6"/>
    <x v="11"/>
    <x v="5"/>
    <x v="10"/>
    <x v="14"/>
    <x v="12"/>
    <x v="10"/>
    <x v="31"/>
    <x v="30"/>
    <x v="37"/>
    <x v="0"/>
    <x v="5"/>
    <x v="10"/>
    <x v="5"/>
    <x v="41"/>
    <x v="21"/>
    <x v="0"/>
    <x v="39"/>
    <x v="3"/>
    <x v="2"/>
  </r>
  <r>
    <x v="134"/>
    <x v="6"/>
    <x v="11"/>
    <x v="12"/>
    <x v="32"/>
    <x v="24"/>
    <x v="18"/>
    <x v="12"/>
    <x v="30"/>
    <x v="14"/>
    <x v="35"/>
    <x v="0"/>
    <x v="12"/>
    <x v="30"/>
    <x v="12"/>
    <x v="45"/>
    <x v="37"/>
    <x v="1"/>
    <x v="49"/>
    <x v="0"/>
    <x v="0"/>
  </r>
  <r>
    <x v="134"/>
    <x v="6"/>
    <x v="11"/>
    <x v="14"/>
    <x v="13"/>
    <x v="27"/>
    <x v="25"/>
    <x v="13"/>
    <x v="35"/>
    <x v="31"/>
    <x v="45"/>
    <x v="0"/>
    <x v="14"/>
    <x v="13"/>
    <x v="14"/>
    <x v="41"/>
    <x v="47"/>
    <x v="0"/>
    <x v="39"/>
    <x v="3"/>
    <x v="0"/>
  </r>
  <r>
    <x v="134"/>
    <x v="6"/>
    <x v="11"/>
    <x v="20"/>
    <x v="3"/>
    <x v="0"/>
    <x v="14"/>
    <x v="20"/>
    <x v="30"/>
    <x v="16"/>
    <x v="13"/>
    <x v="0"/>
    <x v="20"/>
    <x v="3"/>
    <x v="3"/>
    <x v="22"/>
    <x v="6"/>
    <x v="1"/>
    <x v="26"/>
    <x v="3"/>
    <x v="2"/>
  </r>
  <r>
    <x v="134"/>
    <x v="6"/>
    <x v="11"/>
    <x v="23"/>
    <x v="29"/>
    <x v="14"/>
    <x v="25"/>
    <x v="28"/>
    <x v="35"/>
    <x v="14"/>
    <x v="26"/>
    <x v="0"/>
    <x v="23"/>
    <x v="27"/>
    <x v="27"/>
    <x v="28"/>
    <x v="34"/>
    <x v="0"/>
    <x v="52"/>
    <x v="0"/>
    <x v="0"/>
  </r>
  <r>
    <x v="134"/>
    <x v="6"/>
    <x v="11"/>
    <x v="26"/>
    <x v="15"/>
    <x v="40"/>
    <x v="12"/>
    <x v="27"/>
    <x v="30"/>
    <x v="31"/>
    <x v="15"/>
    <x v="0"/>
    <x v="26"/>
    <x v="15"/>
    <x v="26"/>
    <x v="67"/>
    <x v="47"/>
    <x v="1"/>
    <x v="71"/>
    <x v="0"/>
    <x v="0"/>
  </r>
  <r>
    <x v="134"/>
    <x v="6"/>
    <x v="11"/>
    <x v="27"/>
    <x v="21"/>
    <x v="31"/>
    <x v="33"/>
    <x v="16"/>
    <x v="30"/>
    <x v="42"/>
    <x v="32"/>
    <x v="0"/>
    <x v="16"/>
    <x v="21"/>
    <x v="21"/>
    <x v="37"/>
    <x v="59"/>
    <x v="1"/>
    <x v="41"/>
    <x v="3"/>
    <x v="0"/>
  </r>
  <r>
    <x v="134"/>
    <x v="6"/>
    <x v="11"/>
    <x v="28"/>
    <x v="8"/>
    <x v="14"/>
    <x v="22"/>
    <x v="8"/>
    <x v="35"/>
    <x v="22"/>
    <x v="17"/>
    <x v="0"/>
    <x v="28"/>
    <x v="8"/>
    <x v="8"/>
    <x v="31"/>
    <x v="31"/>
    <x v="0"/>
    <x v="49"/>
    <x v="0"/>
    <x v="2"/>
  </r>
  <r>
    <x v="134"/>
    <x v="6"/>
    <x v="11"/>
    <x v="31"/>
    <x v="9"/>
    <x v="4"/>
    <x v="25"/>
    <x v="9"/>
    <x v="31"/>
    <x v="19"/>
    <x v="34"/>
    <x v="0"/>
    <x v="29"/>
    <x v="9"/>
    <x v="9"/>
    <x v="18"/>
    <x v="24"/>
    <x v="0"/>
    <x v="62"/>
    <x v="0"/>
    <x v="2"/>
  </r>
  <r>
    <x v="134"/>
    <x v="6"/>
    <x v="11"/>
    <x v="33"/>
    <x v="7"/>
    <x v="28"/>
    <x v="18"/>
    <x v="32"/>
    <x v="22"/>
    <x v="29"/>
    <x v="9"/>
    <x v="0"/>
    <x v="31"/>
    <x v="7"/>
    <x v="32"/>
    <x v="49"/>
    <x v="41"/>
    <x v="1"/>
    <x v="53"/>
    <x v="0"/>
    <x v="0"/>
  </r>
  <r>
    <x v="139"/>
    <x v="6"/>
    <x v="11"/>
    <x v="19"/>
    <x v="22"/>
    <x v="21"/>
    <x v="8"/>
    <x v="19"/>
    <x v="30"/>
    <x v="19"/>
    <x v="43"/>
    <x v="0"/>
    <x v="19"/>
    <x v="22"/>
    <x v="19"/>
    <x v="52"/>
    <x v="24"/>
    <x v="1"/>
    <x v="56"/>
    <x v="0"/>
    <x v="2"/>
  </r>
  <r>
    <x v="148"/>
    <x v="6"/>
    <x v="12"/>
    <x v="28"/>
    <x v="0"/>
    <x v="18"/>
    <x v="31"/>
    <x v="0"/>
    <x v="30"/>
    <x v="19"/>
    <x v="17"/>
    <x v="0"/>
    <x v="28"/>
    <x v="0"/>
    <x v="0"/>
    <x v="26"/>
    <x v="44"/>
    <x v="0"/>
    <x v="54"/>
    <x v="0"/>
    <x v="0"/>
  </r>
  <r>
    <x v="156"/>
    <x v="6"/>
    <x v="12"/>
    <x v="2"/>
    <x v="33"/>
    <x v="7"/>
    <x v="14"/>
    <x v="2"/>
    <x v="29"/>
    <x v="23"/>
    <x v="23"/>
    <x v="0"/>
    <x v="2"/>
    <x v="31"/>
    <x v="32"/>
    <x v="32"/>
    <x v="16"/>
    <x v="1"/>
    <x v="36"/>
    <x v="3"/>
    <x v="2"/>
  </r>
  <r>
    <x v="156"/>
    <x v="6"/>
    <x v="12"/>
    <x v="7"/>
    <x v="20"/>
    <x v="10"/>
    <x v="31"/>
    <x v="20"/>
    <x v="17"/>
    <x v="29"/>
    <x v="10"/>
    <x v="0"/>
    <x v="7"/>
    <x v="20"/>
    <x v="20"/>
    <x v="18"/>
    <x v="36"/>
    <x v="0"/>
    <x v="62"/>
    <x v="0"/>
    <x v="2"/>
  </r>
  <r>
    <x v="156"/>
    <x v="6"/>
    <x v="12"/>
    <x v="8"/>
    <x v="6"/>
    <x v="25"/>
    <x v="12"/>
    <x v="6"/>
    <x v="32"/>
    <x v="26"/>
    <x v="5"/>
    <x v="0"/>
    <x v="8"/>
    <x v="6"/>
    <x v="8"/>
    <x v="52"/>
    <x v="32"/>
    <x v="0"/>
    <x v="28"/>
    <x v="3"/>
    <x v="2"/>
  </r>
  <r>
    <x v="156"/>
    <x v="6"/>
    <x v="12"/>
    <x v="9"/>
    <x v="1"/>
    <x v="13"/>
    <x v="21"/>
    <x v="9"/>
    <x v="30"/>
    <x v="23"/>
    <x v="38"/>
    <x v="0"/>
    <x v="9"/>
    <x v="1"/>
    <x v="1"/>
    <x v="31"/>
    <x v="29"/>
    <x v="1"/>
    <x v="35"/>
    <x v="3"/>
    <x v="2"/>
  </r>
  <r>
    <x v="156"/>
    <x v="6"/>
    <x v="12"/>
    <x v="10"/>
    <x v="25"/>
    <x v="21"/>
    <x v="21"/>
    <x v="25"/>
    <x v="30"/>
    <x v="26"/>
    <x v="11"/>
    <x v="0"/>
    <x v="10"/>
    <x v="25"/>
    <x v="10"/>
    <x v="39"/>
    <x v="37"/>
    <x v="0"/>
    <x v="41"/>
    <x v="3"/>
    <x v="0"/>
  </r>
  <r>
    <x v="156"/>
    <x v="6"/>
    <x v="12"/>
    <x v="11"/>
    <x v="22"/>
    <x v="20"/>
    <x v="14"/>
    <x v="11"/>
    <x v="23"/>
    <x v="32"/>
    <x v="16"/>
    <x v="0"/>
    <x v="11"/>
    <x v="22"/>
    <x v="11"/>
    <x v="45"/>
    <x v="29"/>
    <x v="1"/>
    <x v="49"/>
    <x v="2"/>
    <x v="2"/>
  </r>
  <r>
    <x v="156"/>
    <x v="6"/>
    <x v="12"/>
    <x v="13"/>
    <x v="5"/>
    <x v="26"/>
    <x v="21"/>
    <x v="13"/>
    <x v="29"/>
    <x v="29"/>
    <x v="22"/>
    <x v="0"/>
    <x v="13"/>
    <x v="5"/>
    <x v="13"/>
    <x v="44"/>
    <x v="42"/>
    <x v="1"/>
    <x v="48"/>
    <x v="0"/>
    <x v="0"/>
  </r>
  <r>
    <x v="156"/>
    <x v="6"/>
    <x v="12"/>
    <x v="17"/>
    <x v="3"/>
    <x v="16"/>
    <x v="28"/>
    <x v="3"/>
    <x v="32"/>
    <x v="17"/>
    <x v="19"/>
    <x v="0"/>
    <x v="17"/>
    <x v="3"/>
    <x v="3"/>
    <x v="27"/>
    <x v="39"/>
    <x v="0"/>
    <x v="53"/>
    <x v="0"/>
    <x v="0"/>
  </r>
  <r>
    <x v="156"/>
    <x v="6"/>
    <x v="12"/>
    <x v="18"/>
    <x v="32"/>
    <x v="14"/>
    <x v="28"/>
    <x v="18"/>
    <x v="32"/>
    <x v="23"/>
    <x v="40"/>
    <x v="0"/>
    <x v="18"/>
    <x v="30"/>
    <x v="30"/>
    <x v="25"/>
    <x v="37"/>
    <x v="1"/>
    <x v="29"/>
    <x v="3"/>
    <x v="0"/>
  </r>
  <r>
    <x v="156"/>
    <x v="6"/>
    <x v="12"/>
    <x v="19"/>
    <x v="12"/>
    <x v="28"/>
    <x v="11"/>
    <x v="19"/>
    <x v="25"/>
    <x v="12"/>
    <x v="43"/>
    <x v="0"/>
    <x v="19"/>
    <x v="12"/>
    <x v="19"/>
    <x v="56"/>
    <x v="34"/>
    <x v="1"/>
    <x v="60"/>
    <x v="0"/>
    <x v="0"/>
  </r>
  <r>
    <x v="156"/>
    <x v="6"/>
    <x v="12"/>
    <x v="24"/>
    <x v="27"/>
    <x v="31"/>
    <x v="29"/>
    <x v="24"/>
    <x v="30"/>
    <x v="35"/>
    <x v="30"/>
    <x v="0"/>
    <x v="24"/>
    <x v="16"/>
    <x v="24"/>
    <x v="41"/>
    <x v="55"/>
    <x v="1"/>
    <x v="45"/>
    <x v="3"/>
    <x v="0"/>
  </r>
  <r>
    <x v="156"/>
    <x v="6"/>
    <x v="12"/>
    <x v="26"/>
    <x v="23"/>
    <x v="28"/>
    <x v="11"/>
    <x v="27"/>
    <x v="17"/>
    <x v="34"/>
    <x v="15"/>
    <x v="0"/>
    <x v="26"/>
    <x v="23"/>
    <x v="26"/>
    <x v="56"/>
    <x v="34"/>
    <x v="1"/>
    <x v="60"/>
    <x v="0"/>
    <x v="2"/>
  </r>
  <r>
    <x v="161"/>
    <x v="6"/>
    <x v="12"/>
    <x v="4"/>
    <x v="31"/>
    <x v="11"/>
    <x v="15"/>
    <x v="4"/>
    <x v="25"/>
    <x v="27"/>
    <x v="2"/>
    <x v="0"/>
    <x v="4"/>
    <x v="29"/>
    <x v="29"/>
    <x v="35"/>
    <x v="21"/>
    <x v="1"/>
    <x v="39"/>
    <x v="3"/>
    <x v="2"/>
  </r>
  <r>
    <x v="170"/>
    <x v="6"/>
    <x v="13"/>
    <x v="27"/>
    <x v="9"/>
    <x v="18"/>
    <x v="11"/>
    <x v="9"/>
    <x v="31"/>
    <x v="22"/>
    <x v="32"/>
    <x v="0"/>
    <x v="16"/>
    <x v="9"/>
    <x v="16"/>
    <x v="46"/>
    <x v="24"/>
    <x v="0"/>
    <x v="34"/>
    <x v="3"/>
    <x v="2"/>
  </r>
  <r>
    <x v="178"/>
    <x v="6"/>
    <x v="13"/>
    <x v="3"/>
    <x v="28"/>
    <x v="42"/>
    <x v="14"/>
    <x v="3"/>
    <x v="22"/>
    <x v="22"/>
    <x v="27"/>
    <x v="0"/>
    <x v="3"/>
    <x v="28"/>
    <x v="3"/>
    <x v="67"/>
    <x v="51"/>
    <x v="1"/>
    <x v="71"/>
    <x v="0"/>
    <x v="0"/>
  </r>
  <r>
    <x v="178"/>
    <x v="6"/>
    <x v="13"/>
    <x v="5"/>
    <x v="14"/>
    <x v="13"/>
    <x v="15"/>
    <x v="5"/>
    <x v="32"/>
    <x v="26"/>
    <x v="37"/>
    <x v="0"/>
    <x v="5"/>
    <x v="14"/>
    <x v="14"/>
    <x v="37"/>
    <x v="23"/>
    <x v="1"/>
    <x v="41"/>
    <x v="3"/>
    <x v="2"/>
  </r>
  <r>
    <x v="178"/>
    <x v="6"/>
    <x v="13"/>
    <x v="10"/>
    <x v="17"/>
    <x v="28"/>
    <x v="26"/>
    <x v="10"/>
    <x v="32"/>
    <x v="22"/>
    <x v="11"/>
    <x v="0"/>
    <x v="10"/>
    <x v="17"/>
    <x v="10"/>
    <x v="41"/>
    <x v="49"/>
    <x v="1"/>
    <x v="45"/>
    <x v="0"/>
    <x v="0"/>
  </r>
  <r>
    <x v="178"/>
    <x v="6"/>
    <x v="13"/>
    <x v="11"/>
    <x v="8"/>
    <x v="13"/>
    <x v="28"/>
    <x v="11"/>
    <x v="27"/>
    <x v="28"/>
    <x v="16"/>
    <x v="0"/>
    <x v="11"/>
    <x v="8"/>
    <x v="8"/>
    <x v="24"/>
    <x v="36"/>
    <x v="1"/>
    <x v="28"/>
    <x v="3"/>
    <x v="2"/>
  </r>
  <r>
    <x v="178"/>
    <x v="6"/>
    <x v="13"/>
    <x v="12"/>
    <x v="13"/>
    <x v="23"/>
    <x v="21"/>
    <x v="12"/>
    <x v="31"/>
    <x v="29"/>
    <x v="35"/>
    <x v="0"/>
    <x v="12"/>
    <x v="13"/>
    <x v="12"/>
    <x v="41"/>
    <x v="39"/>
    <x v="1"/>
    <x v="45"/>
    <x v="2"/>
    <x v="0"/>
  </r>
  <r>
    <x v="178"/>
    <x v="6"/>
    <x v="13"/>
    <x v="18"/>
    <x v="26"/>
    <x v="27"/>
    <x v="13"/>
    <x v="27"/>
    <x v="22"/>
    <x v="33"/>
    <x v="40"/>
    <x v="0"/>
    <x v="18"/>
    <x v="26"/>
    <x v="18"/>
    <x v="53"/>
    <x v="35"/>
    <x v="0"/>
    <x v="27"/>
    <x v="3"/>
    <x v="2"/>
  </r>
  <r>
    <x v="178"/>
    <x v="6"/>
    <x v="13"/>
    <x v="20"/>
    <x v="6"/>
    <x v="32"/>
    <x v="15"/>
    <x v="20"/>
    <x v="22"/>
    <x v="30"/>
    <x v="13"/>
    <x v="0"/>
    <x v="20"/>
    <x v="6"/>
    <x v="20"/>
    <x v="56"/>
    <x v="42"/>
    <x v="1"/>
    <x v="60"/>
    <x v="0"/>
    <x v="0"/>
  </r>
  <r>
    <x v="178"/>
    <x v="6"/>
    <x v="13"/>
    <x v="21"/>
    <x v="4"/>
    <x v="38"/>
    <x v="36"/>
    <x v="4"/>
    <x v="32"/>
    <x v="41"/>
    <x v="20"/>
    <x v="0"/>
    <x v="21"/>
    <x v="4"/>
    <x v="21"/>
    <x v="41"/>
    <x v="69"/>
    <x v="0"/>
    <x v="39"/>
    <x v="3"/>
    <x v="0"/>
  </r>
  <r>
    <x v="178"/>
    <x v="6"/>
    <x v="13"/>
    <x v="22"/>
    <x v="2"/>
    <x v="24"/>
    <x v="21"/>
    <x v="22"/>
    <x v="30"/>
    <x v="19"/>
    <x v="26"/>
    <x v="0"/>
    <x v="22"/>
    <x v="2"/>
    <x v="22"/>
    <x v="42"/>
    <x v="40"/>
    <x v="1"/>
    <x v="46"/>
    <x v="0"/>
    <x v="0"/>
  </r>
  <r>
    <x v="178"/>
    <x v="6"/>
    <x v="13"/>
    <x v="24"/>
    <x v="15"/>
    <x v="7"/>
    <x v="24"/>
    <x v="15"/>
    <x v="35"/>
    <x v="27"/>
    <x v="30"/>
    <x v="0"/>
    <x v="24"/>
    <x v="15"/>
    <x v="15"/>
    <x v="22"/>
    <x v="26"/>
    <x v="0"/>
    <x v="58"/>
    <x v="0"/>
    <x v="2"/>
  </r>
  <r>
    <x v="178"/>
    <x v="6"/>
    <x v="13"/>
    <x v="29"/>
    <x v="1"/>
    <x v="23"/>
    <x v="22"/>
    <x v="28"/>
    <x v="23"/>
    <x v="25"/>
    <x v="4"/>
    <x v="0"/>
    <x v="27"/>
    <x v="1"/>
    <x v="27"/>
    <x v="40"/>
    <x v="40"/>
    <x v="1"/>
    <x v="44"/>
    <x v="3"/>
    <x v="0"/>
  </r>
  <r>
    <x v="178"/>
    <x v="6"/>
    <x v="13"/>
    <x v="32"/>
    <x v="7"/>
    <x v="25"/>
    <x v="24"/>
    <x v="31"/>
    <x v="22"/>
    <x v="23"/>
    <x v="28"/>
    <x v="0"/>
    <x v="30"/>
    <x v="7"/>
    <x v="30"/>
    <x v="40"/>
    <x v="44"/>
    <x v="1"/>
    <x v="44"/>
    <x v="3"/>
    <x v="0"/>
  </r>
  <r>
    <x v="178"/>
    <x v="6"/>
    <x v="13"/>
    <x v="33"/>
    <x v="25"/>
    <x v="24"/>
    <x v="18"/>
    <x v="25"/>
    <x v="31"/>
    <x v="24"/>
    <x v="9"/>
    <x v="0"/>
    <x v="31"/>
    <x v="25"/>
    <x v="32"/>
    <x v="45"/>
    <x v="37"/>
    <x v="0"/>
    <x v="35"/>
    <x v="3"/>
    <x v="0"/>
  </r>
  <r>
    <x v="183"/>
    <x v="6"/>
    <x v="13"/>
    <x v="0"/>
    <x v="23"/>
    <x v="25"/>
    <x v="2"/>
    <x v="0"/>
    <x v="23"/>
    <x v="25"/>
    <x v="44"/>
    <x v="0"/>
    <x v="0"/>
    <x v="23"/>
    <x v="0"/>
    <x v="63"/>
    <x v="21"/>
    <x v="1"/>
    <x v="67"/>
    <x v="0"/>
    <x v="2"/>
  </r>
  <r>
    <x v="192"/>
    <x v="6"/>
    <x v="14"/>
    <x v="11"/>
    <x v="5"/>
    <x v="23"/>
    <x v="8"/>
    <x v="11"/>
    <x v="22"/>
    <x v="27"/>
    <x v="16"/>
    <x v="0"/>
    <x v="11"/>
    <x v="5"/>
    <x v="11"/>
    <x v="54"/>
    <x v="26"/>
    <x v="1"/>
    <x v="58"/>
    <x v="0"/>
    <x v="2"/>
  </r>
  <r>
    <x v="200"/>
    <x v="6"/>
    <x v="14"/>
    <x v="0"/>
    <x v="29"/>
    <x v="3"/>
    <x v="4"/>
    <x v="0"/>
    <x v="32"/>
    <x v="20"/>
    <x v="44"/>
    <x v="0"/>
    <x v="0"/>
    <x v="27"/>
    <x v="31"/>
    <x v="38"/>
    <x v="3"/>
    <x v="1"/>
    <x v="42"/>
    <x v="3"/>
    <x v="2"/>
  </r>
  <r>
    <x v="200"/>
    <x v="6"/>
    <x v="14"/>
    <x v="1"/>
    <x v="27"/>
    <x v="27"/>
    <x v="31"/>
    <x v="1"/>
    <x v="28"/>
    <x v="39"/>
    <x v="12"/>
    <x v="0"/>
    <x v="1"/>
    <x v="16"/>
    <x v="16"/>
    <x v="35"/>
    <x v="53"/>
    <x v="1"/>
    <x v="39"/>
    <x v="3"/>
    <x v="0"/>
  </r>
  <r>
    <x v="200"/>
    <x v="6"/>
    <x v="14"/>
    <x v="6"/>
    <x v="7"/>
    <x v="28"/>
    <x v="15"/>
    <x v="6"/>
    <x v="15"/>
    <x v="27"/>
    <x v="31"/>
    <x v="0"/>
    <x v="6"/>
    <x v="7"/>
    <x v="6"/>
    <x v="52"/>
    <x v="38"/>
    <x v="1"/>
    <x v="56"/>
    <x v="0"/>
    <x v="0"/>
  </r>
  <r>
    <x v="200"/>
    <x v="6"/>
    <x v="14"/>
    <x v="10"/>
    <x v="33"/>
    <x v="17"/>
    <x v="15"/>
    <x v="32"/>
    <x v="35"/>
    <x v="34"/>
    <x v="11"/>
    <x v="0"/>
    <x v="10"/>
    <x v="31"/>
    <x v="10"/>
    <x v="41"/>
    <x v="27"/>
    <x v="0"/>
    <x v="39"/>
    <x v="3"/>
    <x v="2"/>
  </r>
  <r>
    <x v="200"/>
    <x v="6"/>
    <x v="14"/>
    <x v="14"/>
    <x v="24"/>
    <x v="13"/>
    <x v="31"/>
    <x v="14"/>
    <x v="33"/>
    <x v="29"/>
    <x v="8"/>
    <x v="0"/>
    <x v="14"/>
    <x v="24"/>
    <x v="24"/>
    <x v="21"/>
    <x v="39"/>
    <x v="1"/>
    <x v="25"/>
    <x v="3"/>
    <x v="0"/>
  </r>
  <r>
    <x v="200"/>
    <x v="6"/>
    <x v="14"/>
    <x v="15"/>
    <x v="21"/>
    <x v="24"/>
    <x v="19"/>
    <x v="15"/>
    <x v="23"/>
    <x v="37"/>
    <x v="0"/>
    <x v="0"/>
    <x v="15"/>
    <x v="21"/>
    <x v="15"/>
    <x v="44"/>
    <x v="38"/>
    <x v="1"/>
    <x v="48"/>
    <x v="3"/>
    <x v="2"/>
  </r>
  <r>
    <x v="200"/>
    <x v="6"/>
    <x v="14"/>
    <x v="17"/>
    <x v="22"/>
    <x v="7"/>
    <x v="15"/>
    <x v="22"/>
    <x v="32"/>
    <x v="23"/>
    <x v="42"/>
    <x v="0"/>
    <x v="17"/>
    <x v="22"/>
    <x v="22"/>
    <x v="31"/>
    <x v="17"/>
    <x v="0"/>
    <x v="49"/>
    <x v="0"/>
    <x v="2"/>
  </r>
  <r>
    <x v="200"/>
    <x v="6"/>
    <x v="14"/>
    <x v="18"/>
    <x v="3"/>
    <x v="25"/>
    <x v="23"/>
    <x v="3"/>
    <x v="32"/>
    <x v="26"/>
    <x v="40"/>
    <x v="0"/>
    <x v="18"/>
    <x v="3"/>
    <x v="18"/>
    <x v="41"/>
    <x v="43"/>
    <x v="0"/>
    <x v="39"/>
    <x v="3"/>
    <x v="0"/>
  </r>
  <r>
    <x v="200"/>
    <x v="6"/>
    <x v="14"/>
    <x v="23"/>
    <x v="2"/>
    <x v="21"/>
    <x v="14"/>
    <x v="23"/>
    <x v="32"/>
    <x v="14"/>
    <x v="26"/>
    <x v="0"/>
    <x v="23"/>
    <x v="2"/>
    <x v="23"/>
    <x v="46"/>
    <x v="30"/>
    <x v="1"/>
    <x v="50"/>
    <x v="0"/>
    <x v="1"/>
  </r>
  <r>
    <x v="200"/>
    <x v="6"/>
    <x v="14"/>
    <x v="25"/>
    <x v="19"/>
    <x v="18"/>
    <x v="8"/>
    <x v="19"/>
    <x v="31"/>
    <x v="12"/>
    <x v="18"/>
    <x v="0"/>
    <x v="25"/>
    <x v="19"/>
    <x v="25"/>
    <x v="49"/>
    <x v="21"/>
    <x v="0"/>
    <x v="31"/>
    <x v="3"/>
    <x v="2"/>
  </r>
  <r>
    <x v="200"/>
    <x v="6"/>
    <x v="14"/>
    <x v="26"/>
    <x v="20"/>
    <x v="13"/>
    <x v="25"/>
    <x v="20"/>
    <x v="22"/>
    <x v="32"/>
    <x v="15"/>
    <x v="0"/>
    <x v="26"/>
    <x v="20"/>
    <x v="20"/>
    <x v="27"/>
    <x v="33"/>
    <x v="0"/>
    <x v="53"/>
    <x v="0"/>
    <x v="2"/>
  </r>
  <r>
    <x v="200"/>
    <x v="6"/>
    <x v="14"/>
    <x v="28"/>
    <x v="31"/>
    <x v="14"/>
    <x v="32"/>
    <x v="29"/>
    <x v="35"/>
    <x v="24"/>
    <x v="17"/>
    <x v="0"/>
    <x v="28"/>
    <x v="29"/>
    <x v="29"/>
    <x v="21"/>
    <x v="41"/>
    <x v="1"/>
    <x v="25"/>
    <x v="3"/>
    <x v="0"/>
  </r>
  <r>
    <x v="200"/>
    <x v="6"/>
    <x v="14"/>
    <x v="32"/>
    <x v="13"/>
    <x v="23"/>
    <x v="32"/>
    <x v="31"/>
    <x v="29"/>
    <x v="30"/>
    <x v="28"/>
    <x v="0"/>
    <x v="30"/>
    <x v="13"/>
    <x v="13"/>
    <x v="30"/>
    <x v="50"/>
    <x v="1"/>
    <x v="34"/>
    <x v="3"/>
    <x v="0"/>
  </r>
  <r>
    <x v="205"/>
    <x v="6"/>
    <x v="14"/>
    <x v="9"/>
    <x v="12"/>
    <x v="24"/>
    <x v="7"/>
    <x v="9"/>
    <x v="20"/>
    <x v="14"/>
    <x v="38"/>
    <x v="0"/>
    <x v="9"/>
    <x v="12"/>
    <x v="9"/>
    <x v="56"/>
    <x v="26"/>
    <x v="1"/>
    <x v="60"/>
    <x v="0"/>
    <x v="2"/>
  </r>
  <r>
    <x v="214"/>
    <x v="6"/>
    <x v="15"/>
    <x v="32"/>
    <x v="14"/>
    <x v="33"/>
    <x v="20"/>
    <x v="31"/>
    <x v="31"/>
    <x v="21"/>
    <x v="28"/>
    <x v="0"/>
    <x v="30"/>
    <x v="14"/>
    <x v="30"/>
    <x v="52"/>
    <x v="48"/>
    <x v="1"/>
    <x v="56"/>
    <x v="0"/>
    <x v="0"/>
  </r>
  <r>
    <x v="222"/>
    <x v="6"/>
    <x v="15"/>
    <x v="1"/>
    <x v="11"/>
    <x v="30"/>
    <x v="30"/>
    <x v="1"/>
    <x v="31"/>
    <x v="36"/>
    <x v="12"/>
    <x v="0"/>
    <x v="1"/>
    <x v="11"/>
    <x v="1"/>
    <x v="39"/>
    <x v="55"/>
    <x v="1"/>
    <x v="43"/>
    <x v="3"/>
    <x v="0"/>
  </r>
  <r>
    <x v="222"/>
    <x v="6"/>
    <x v="15"/>
    <x v="3"/>
    <x v="20"/>
    <x v="22"/>
    <x v="39"/>
    <x v="20"/>
    <x v="26"/>
    <x v="30"/>
    <x v="27"/>
    <x v="0"/>
    <x v="3"/>
    <x v="20"/>
    <x v="20"/>
    <x v="22"/>
    <x v="56"/>
    <x v="0"/>
    <x v="58"/>
    <x v="0"/>
    <x v="0"/>
  </r>
  <r>
    <x v="222"/>
    <x v="6"/>
    <x v="15"/>
    <x v="4"/>
    <x v="0"/>
    <x v="27"/>
    <x v="18"/>
    <x v="4"/>
    <x v="32"/>
    <x v="25"/>
    <x v="2"/>
    <x v="0"/>
    <x v="4"/>
    <x v="0"/>
    <x v="4"/>
    <x v="48"/>
    <x v="40"/>
    <x v="1"/>
    <x v="52"/>
    <x v="0"/>
    <x v="0"/>
  </r>
  <r>
    <x v="222"/>
    <x v="6"/>
    <x v="15"/>
    <x v="6"/>
    <x v="33"/>
    <x v="24"/>
    <x v="25"/>
    <x v="6"/>
    <x v="31"/>
    <x v="32"/>
    <x v="45"/>
    <x v="0"/>
    <x v="6"/>
    <x v="31"/>
    <x v="31"/>
    <x v="38"/>
    <x v="44"/>
    <x v="1"/>
    <x v="42"/>
    <x v="3"/>
    <x v="0"/>
  </r>
  <r>
    <x v="222"/>
    <x v="6"/>
    <x v="15"/>
    <x v="7"/>
    <x v="23"/>
    <x v="25"/>
    <x v="29"/>
    <x v="23"/>
    <x v="32"/>
    <x v="25"/>
    <x v="10"/>
    <x v="0"/>
    <x v="7"/>
    <x v="23"/>
    <x v="23"/>
    <x v="35"/>
    <x v="49"/>
    <x v="0"/>
    <x v="45"/>
    <x v="0"/>
    <x v="0"/>
  </r>
  <r>
    <x v="222"/>
    <x v="6"/>
    <x v="15"/>
    <x v="8"/>
    <x v="25"/>
    <x v="26"/>
    <x v="21"/>
    <x v="8"/>
    <x v="27"/>
    <x v="22"/>
    <x v="5"/>
    <x v="0"/>
    <x v="8"/>
    <x v="25"/>
    <x v="8"/>
    <x v="44"/>
    <x v="42"/>
    <x v="1"/>
    <x v="48"/>
    <x v="0"/>
    <x v="0"/>
  </r>
  <r>
    <x v="222"/>
    <x v="6"/>
    <x v="15"/>
    <x v="9"/>
    <x v="27"/>
    <x v="24"/>
    <x v="17"/>
    <x v="9"/>
    <x v="30"/>
    <x v="20"/>
    <x v="38"/>
    <x v="0"/>
    <x v="9"/>
    <x v="16"/>
    <x v="9"/>
    <x v="46"/>
    <x v="36"/>
    <x v="1"/>
    <x v="50"/>
    <x v="0"/>
    <x v="0"/>
  </r>
  <r>
    <x v="222"/>
    <x v="6"/>
    <x v="15"/>
    <x v="12"/>
    <x v="10"/>
    <x v="17"/>
    <x v="11"/>
    <x v="12"/>
    <x v="35"/>
    <x v="27"/>
    <x v="35"/>
    <x v="0"/>
    <x v="12"/>
    <x v="10"/>
    <x v="12"/>
    <x v="45"/>
    <x v="23"/>
    <x v="1"/>
    <x v="49"/>
    <x v="0"/>
    <x v="2"/>
  </r>
  <r>
    <x v="222"/>
    <x v="6"/>
    <x v="15"/>
    <x v="13"/>
    <x v="15"/>
    <x v="11"/>
    <x v="28"/>
    <x v="15"/>
    <x v="31"/>
    <x v="35"/>
    <x v="22"/>
    <x v="0"/>
    <x v="13"/>
    <x v="15"/>
    <x v="15"/>
    <x v="22"/>
    <x v="34"/>
    <x v="0"/>
    <x v="58"/>
    <x v="0"/>
    <x v="2"/>
  </r>
  <r>
    <x v="222"/>
    <x v="6"/>
    <x v="15"/>
    <x v="21"/>
    <x v="29"/>
    <x v="22"/>
    <x v="18"/>
    <x v="28"/>
    <x v="35"/>
    <x v="34"/>
    <x v="20"/>
    <x v="0"/>
    <x v="21"/>
    <x v="27"/>
    <x v="21"/>
    <x v="43"/>
    <x v="35"/>
    <x v="0"/>
    <x v="37"/>
    <x v="3"/>
    <x v="2"/>
  </r>
  <r>
    <x v="222"/>
    <x v="6"/>
    <x v="15"/>
    <x v="31"/>
    <x v="24"/>
    <x v="21"/>
    <x v="28"/>
    <x v="30"/>
    <x v="35"/>
    <x v="30"/>
    <x v="34"/>
    <x v="0"/>
    <x v="29"/>
    <x v="24"/>
    <x v="24"/>
    <x v="32"/>
    <x v="44"/>
    <x v="1"/>
    <x v="36"/>
    <x v="3"/>
    <x v="0"/>
  </r>
  <r>
    <x v="227"/>
    <x v="6"/>
    <x v="15"/>
    <x v="5"/>
    <x v="19"/>
    <x v="17"/>
    <x v="8"/>
    <x v="19"/>
    <x v="28"/>
    <x v="13"/>
    <x v="37"/>
    <x v="0"/>
    <x v="5"/>
    <x v="19"/>
    <x v="5"/>
    <x v="48"/>
    <x v="20"/>
    <x v="0"/>
    <x v="32"/>
    <x v="3"/>
    <x v="2"/>
  </r>
  <r>
    <x v="236"/>
    <x v="6"/>
    <x v="16"/>
    <x v="31"/>
    <x v="1"/>
    <x v="25"/>
    <x v="41"/>
    <x v="1"/>
    <x v="28"/>
    <x v="32"/>
    <x v="34"/>
    <x v="0"/>
    <x v="29"/>
    <x v="1"/>
    <x v="1"/>
    <x v="23"/>
    <x v="61"/>
    <x v="0"/>
    <x v="57"/>
    <x v="0"/>
    <x v="0"/>
  </r>
  <r>
    <x v="244"/>
    <x v="6"/>
    <x v="16"/>
    <x v="2"/>
    <x v="26"/>
    <x v="18"/>
    <x v="12"/>
    <x v="27"/>
    <x v="30"/>
    <x v="26"/>
    <x v="23"/>
    <x v="0"/>
    <x v="2"/>
    <x v="26"/>
    <x v="2"/>
    <x v="45"/>
    <x v="25"/>
    <x v="0"/>
    <x v="35"/>
    <x v="3"/>
    <x v="2"/>
  </r>
  <r>
    <x v="244"/>
    <x v="6"/>
    <x v="16"/>
    <x v="7"/>
    <x v="8"/>
    <x v="7"/>
    <x v="33"/>
    <x v="8"/>
    <x v="23"/>
    <x v="32"/>
    <x v="10"/>
    <x v="0"/>
    <x v="7"/>
    <x v="8"/>
    <x v="8"/>
    <x v="13"/>
    <x v="35"/>
    <x v="0"/>
    <x v="67"/>
    <x v="0"/>
    <x v="2"/>
  </r>
  <r>
    <x v="244"/>
    <x v="6"/>
    <x v="16"/>
    <x v="11"/>
    <x v="13"/>
    <x v="23"/>
    <x v="29"/>
    <x v="11"/>
    <x v="22"/>
    <x v="38"/>
    <x v="16"/>
    <x v="0"/>
    <x v="11"/>
    <x v="13"/>
    <x v="13"/>
    <x v="33"/>
    <x v="47"/>
    <x v="1"/>
    <x v="37"/>
    <x v="3"/>
    <x v="0"/>
  </r>
  <r>
    <x v="244"/>
    <x v="6"/>
    <x v="16"/>
    <x v="15"/>
    <x v="14"/>
    <x v="16"/>
    <x v="12"/>
    <x v="15"/>
    <x v="23"/>
    <x v="19"/>
    <x v="0"/>
    <x v="0"/>
    <x v="15"/>
    <x v="14"/>
    <x v="15"/>
    <x v="43"/>
    <x v="23"/>
    <x v="1"/>
    <x v="47"/>
    <x v="3"/>
    <x v="2"/>
  </r>
  <r>
    <x v="244"/>
    <x v="6"/>
    <x v="16"/>
    <x v="17"/>
    <x v="4"/>
    <x v="7"/>
    <x v="11"/>
    <x v="4"/>
    <x v="31"/>
    <x v="23"/>
    <x v="19"/>
    <x v="0"/>
    <x v="17"/>
    <x v="4"/>
    <x v="4"/>
    <x v="35"/>
    <x v="13"/>
    <x v="0"/>
    <x v="45"/>
    <x v="2"/>
    <x v="2"/>
  </r>
  <r>
    <x v="244"/>
    <x v="6"/>
    <x v="16"/>
    <x v="18"/>
    <x v="23"/>
    <x v="24"/>
    <x v="21"/>
    <x v="18"/>
    <x v="30"/>
    <x v="24"/>
    <x v="40"/>
    <x v="0"/>
    <x v="18"/>
    <x v="23"/>
    <x v="18"/>
    <x v="42"/>
    <x v="40"/>
    <x v="1"/>
    <x v="46"/>
    <x v="0"/>
    <x v="0"/>
  </r>
  <r>
    <x v="244"/>
    <x v="6"/>
    <x v="16"/>
    <x v="19"/>
    <x v="10"/>
    <x v="13"/>
    <x v="20"/>
    <x v="19"/>
    <x v="28"/>
    <x v="19"/>
    <x v="43"/>
    <x v="0"/>
    <x v="19"/>
    <x v="10"/>
    <x v="10"/>
    <x v="32"/>
    <x v="28"/>
    <x v="1"/>
    <x v="36"/>
    <x v="3"/>
    <x v="2"/>
  </r>
  <r>
    <x v="244"/>
    <x v="6"/>
    <x v="16"/>
    <x v="22"/>
    <x v="25"/>
    <x v="25"/>
    <x v="21"/>
    <x v="22"/>
    <x v="31"/>
    <x v="19"/>
    <x v="26"/>
    <x v="0"/>
    <x v="22"/>
    <x v="25"/>
    <x v="22"/>
    <x v="43"/>
    <x v="41"/>
    <x v="1"/>
    <x v="47"/>
    <x v="0"/>
    <x v="0"/>
  </r>
  <r>
    <x v="244"/>
    <x v="6"/>
    <x v="16"/>
    <x v="24"/>
    <x v="9"/>
    <x v="27"/>
    <x v="18"/>
    <x v="24"/>
    <x v="35"/>
    <x v="23"/>
    <x v="30"/>
    <x v="0"/>
    <x v="24"/>
    <x v="9"/>
    <x v="24"/>
    <x v="48"/>
    <x v="40"/>
    <x v="1"/>
    <x v="52"/>
    <x v="0"/>
    <x v="0"/>
  </r>
  <r>
    <x v="244"/>
    <x v="6"/>
    <x v="16"/>
    <x v="27"/>
    <x v="32"/>
    <x v="40"/>
    <x v="33"/>
    <x v="16"/>
    <x v="30"/>
    <x v="29"/>
    <x v="32"/>
    <x v="0"/>
    <x v="16"/>
    <x v="30"/>
    <x v="16"/>
    <x v="46"/>
    <x v="68"/>
    <x v="1"/>
    <x v="50"/>
    <x v="0"/>
    <x v="0"/>
  </r>
  <r>
    <x v="244"/>
    <x v="6"/>
    <x v="16"/>
    <x v="28"/>
    <x v="21"/>
    <x v="20"/>
    <x v="39"/>
    <x v="21"/>
    <x v="27"/>
    <x v="40"/>
    <x v="17"/>
    <x v="0"/>
    <x v="28"/>
    <x v="21"/>
    <x v="21"/>
    <x v="20"/>
    <x v="54"/>
    <x v="0"/>
    <x v="60"/>
    <x v="0"/>
    <x v="0"/>
  </r>
  <r>
    <x v="249"/>
    <x v="6"/>
    <x v="16"/>
    <x v="29"/>
    <x v="3"/>
    <x v="28"/>
    <x v="23"/>
    <x v="28"/>
    <x v="26"/>
    <x v="21"/>
    <x v="4"/>
    <x v="0"/>
    <x v="27"/>
    <x v="3"/>
    <x v="27"/>
    <x v="44"/>
    <x v="46"/>
    <x v="1"/>
    <x v="48"/>
    <x v="0"/>
    <x v="0"/>
  </r>
  <r>
    <x v="259"/>
    <x v="6"/>
    <x v="1"/>
    <x v="2"/>
    <x v="7"/>
    <x v="25"/>
    <x v="5"/>
    <x v="2"/>
    <x v="22"/>
    <x v="22"/>
    <x v="23"/>
    <x v="0"/>
    <x v="2"/>
    <x v="7"/>
    <x v="2"/>
    <x v="59"/>
    <x v="25"/>
    <x v="1"/>
    <x v="63"/>
    <x v="0"/>
    <x v="2"/>
  </r>
  <r>
    <x v="268"/>
    <x v="6"/>
    <x v="1"/>
    <x v="0"/>
    <x v="28"/>
    <x v="20"/>
    <x v="18"/>
    <x v="0"/>
    <x v="9"/>
    <x v="28"/>
    <x v="44"/>
    <x v="0"/>
    <x v="0"/>
    <x v="28"/>
    <x v="0"/>
    <x v="41"/>
    <x v="33"/>
    <x v="1"/>
    <x v="45"/>
    <x v="3"/>
    <x v="2"/>
  </r>
  <r>
    <x v="268"/>
    <x v="6"/>
    <x v="1"/>
    <x v="4"/>
    <x v="15"/>
    <x v="14"/>
    <x v="18"/>
    <x v="4"/>
    <x v="31"/>
    <x v="22"/>
    <x v="2"/>
    <x v="0"/>
    <x v="4"/>
    <x v="15"/>
    <x v="15"/>
    <x v="35"/>
    <x v="27"/>
    <x v="1"/>
    <x v="39"/>
    <x v="3"/>
    <x v="2"/>
  </r>
  <r>
    <x v="268"/>
    <x v="6"/>
    <x v="1"/>
    <x v="14"/>
    <x v="12"/>
    <x v="18"/>
    <x v="22"/>
    <x v="14"/>
    <x v="31"/>
    <x v="18"/>
    <x v="8"/>
    <x v="0"/>
    <x v="14"/>
    <x v="12"/>
    <x v="12"/>
    <x v="35"/>
    <x v="35"/>
    <x v="1"/>
    <x v="39"/>
    <x v="3"/>
    <x v="0"/>
  </r>
  <r>
    <x v="268"/>
    <x v="6"/>
    <x v="1"/>
    <x v="20"/>
    <x v="29"/>
    <x v="21"/>
    <x v="29"/>
    <x v="20"/>
    <x v="22"/>
    <x v="33"/>
    <x v="13"/>
    <x v="0"/>
    <x v="20"/>
    <x v="27"/>
    <x v="27"/>
    <x v="31"/>
    <x v="45"/>
    <x v="1"/>
    <x v="35"/>
    <x v="3"/>
    <x v="0"/>
  </r>
  <r>
    <x v="268"/>
    <x v="6"/>
    <x v="1"/>
    <x v="21"/>
    <x v="9"/>
    <x v="20"/>
    <x v="23"/>
    <x v="21"/>
    <x v="31"/>
    <x v="34"/>
    <x v="20"/>
    <x v="0"/>
    <x v="21"/>
    <x v="9"/>
    <x v="9"/>
    <x v="36"/>
    <x v="38"/>
    <x v="1"/>
    <x v="40"/>
    <x v="3"/>
    <x v="2"/>
  </r>
  <r>
    <x v="268"/>
    <x v="6"/>
    <x v="1"/>
    <x v="23"/>
    <x v="17"/>
    <x v="3"/>
    <x v="7"/>
    <x v="17"/>
    <x v="35"/>
    <x v="11"/>
    <x v="26"/>
    <x v="0"/>
    <x v="23"/>
    <x v="17"/>
    <x v="17"/>
    <x v="35"/>
    <x v="5"/>
    <x v="0"/>
    <x v="45"/>
    <x v="0"/>
    <x v="2"/>
  </r>
  <r>
    <x v="268"/>
    <x v="6"/>
    <x v="1"/>
    <x v="25"/>
    <x v="1"/>
    <x v="21"/>
    <x v="13"/>
    <x v="25"/>
    <x v="34"/>
    <x v="32"/>
    <x v="18"/>
    <x v="0"/>
    <x v="25"/>
    <x v="1"/>
    <x v="25"/>
    <x v="47"/>
    <x v="29"/>
    <x v="1"/>
    <x v="51"/>
    <x v="0"/>
    <x v="2"/>
  </r>
  <r>
    <x v="268"/>
    <x v="6"/>
    <x v="1"/>
    <x v="26"/>
    <x v="8"/>
    <x v="27"/>
    <x v="33"/>
    <x v="27"/>
    <x v="31"/>
    <x v="36"/>
    <x v="15"/>
    <x v="0"/>
    <x v="26"/>
    <x v="8"/>
    <x v="8"/>
    <x v="33"/>
    <x v="55"/>
    <x v="1"/>
    <x v="37"/>
    <x v="3"/>
    <x v="0"/>
  </r>
  <r>
    <x v="268"/>
    <x v="6"/>
    <x v="1"/>
    <x v="27"/>
    <x v="18"/>
    <x v="21"/>
    <x v="29"/>
    <x v="16"/>
    <x v="28"/>
    <x v="32"/>
    <x v="32"/>
    <x v="0"/>
    <x v="16"/>
    <x v="18"/>
    <x v="18"/>
    <x v="31"/>
    <x v="45"/>
    <x v="1"/>
    <x v="35"/>
    <x v="3"/>
    <x v="0"/>
  </r>
  <r>
    <x v="268"/>
    <x v="6"/>
    <x v="1"/>
    <x v="31"/>
    <x v="5"/>
    <x v="33"/>
    <x v="8"/>
    <x v="5"/>
    <x v="32"/>
    <x v="24"/>
    <x v="34"/>
    <x v="0"/>
    <x v="29"/>
    <x v="5"/>
    <x v="29"/>
    <x v="64"/>
    <x v="36"/>
    <x v="0"/>
    <x v="16"/>
    <x v="3"/>
    <x v="0"/>
  </r>
  <r>
    <x v="268"/>
    <x v="6"/>
    <x v="1"/>
    <x v="32"/>
    <x v="11"/>
    <x v="44"/>
    <x v="23"/>
    <x v="11"/>
    <x v="31"/>
    <x v="32"/>
    <x v="28"/>
    <x v="0"/>
    <x v="30"/>
    <x v="11"/>
    <x v="30"/>
    <x v="60"/>
    <x v="62"/>
    <x v="0"/>
    <x v="20"/>
    <x v="3"/>
    <x v="0"/>
  </r>
  <r>
    <x v="268"/>
    <x v="6"/>
    <x v="1"/>
    <x v="33"/>
    <x v="19"/>
    <x v="23"/>
    <x v="18"/>
    <x v="32"/>
    <x v="32"/>
    <x v="17"/>
    <x v="9"/>
    <x v="0"/>
    <x v="31"/>
    <x v="19"/>
    <x v="32"/>
    <x v="44"/>
    <x v="36"/>
    <x v="1"/>
    <x v="48"/>
    <x v="0"/>
    <x v="0"/>
  </r>
  <r>
    <x v="273"/>
    <x v="6"/>
    <x v="1"/>
    <x v="22"/>
    <x v="6"/>
    <x v="18"/>
    <x v="18"/>
    <x v="26"/>
    <x v="36"/>
    <x v="33"/>
    <x v="26"/>
    <x v="0"/>
    <x v="22"/>
    <x v="6"/>
    <x v="22"/>
    <x v="39"/>
    <x v="31"/>
    <x v="2"/>
    <x v="88"/>
    <x v="1"/>
    <x v="2"/>
  </r>
  <r>
    <x v="283"/>
    <x v="6"/>
    <x v="2"/>
    <x v="4"/>
    <x v="21"/>
    <x v="20"/>
    <x v="18"/>
    <x v="4"/>
    <x v="30"/>
    <x v="41"/>
    <x v="2"/>
    <x v="0"/>
    <x v="4"/>
    <x v="21"/>
    <x v="4"/>
    <x v="41"/>
    <x v="33"/>
    <x v="1"/>
    <x v="45"/>
    <x v="3"/>
    <x v="2"/>
  </r>
  <r>
    <x v="292"/>
    <x v="6"/>
    <x v="2"/>
    <x v="6"/>
    <x v="3"/>
    <x v="9"/>
    <x v="14"/>
    <x v="6"/>
    <x v="32"/>
    <x v="30"/>
    <x v="31"/>
    <x v="0"/>
    <x v="6"/>
    <x v="3"/>
    <x v="3"/>
    <x v="34"/>
    <x v="18"/>
    <x v="1"/>
    <x v="38"/>
    <x v="3"/>
    <x v="2"/>
  </r>
  <r>
    <x v="292"/>
    <x v="6"/>
    <x v="2"/>
    <x v="7"/>
    <x v="26"/>
    <x v="6"/>
    <x v="22"/>
    <x v="27"/>
    <x v="20"/>
    <x v="25"/>
    <x v="10"/>
    <x v="0"/>
    <x v="7"/>
    <x v="26"/>
    <x v="26"/>
    <x v="23"/>
    <x v="23"/>
    <x v="0"/>
    <x v="57"/>
    <x v="0"/>
    <x v="2"/>
  </r>
  <r>
    <x v="292"/>
    <x v="6"/>
    <x v="2"/>
    <x v="8"/>
    <x v="2"/>
    <x v="24"/>
    <x v="15"/>
    <x v="8"/>
    <x v="23"/>
    <x v="23"/>
    <x v="5"/>
    <x v="0"/>
    <x v="8"/>
    <x v="2"/>
    <x v="8"/>
    <x v="48"/>
    <x v="34"/>
    <x v="1"/>
    <x v="52"/>
    <x v="0"/>
    <x v="2"/>
  </r>
  <r>
    <x v="292"/>
    <x v="6"/>
    <x v="2"/>
    <x v="10"/>
    <x v="14"/>
    <x v="23"/>
    <x v="17"/>
    <x v="10"/>
    <x v="26"/>
    <x v="28"/>
    <x v="11"/>
    <x v="0"/>
    <x v="10"/>
    <x v="14"/>
    <x v="10"/>
    <x v="45"/>
    <x v="35"/>
    <x v="1"/>
    <x v="49"/>
    <x v="0"/>
    <x v="2"/>
  </r>
  <r>
    <x v="292"/>
    <x v="6"/>
    <x v="2"/>
    <x v="13"/>
    <x v="32"/>
    <x v="21"/>
    <x v="15"/>
    <x v="13"/>
    <x v="31"/>
    <x v="42"/>
    <x v="22"/>
    <x v="0"/>
    <x v="13"/>
    <x v="30"/>
    <x v="13"/>
    <x v="45"/>
    <x v="31"/>
    <x v="1"/>
    <x v="49"/>
    <x v="0"/>
    <x v="2"/>
  </r>
  <r>
    <x v="292"/>
    <x v="6"/>
    <x v="2"/>
    <x v="15"/>
    <x v="31"/>
    <x v="14"/>
    <x v="17"/>
    <x v="15"/>
    <x v="23"/>
    <x v="24"/>
    <x v="0"/>
    <x v="0"/>
    <x v="15"/>
    <x v="29"/>
    <x v="29"/>
    <x v="36"/>
    <x v="26"/>
    <x v="1"/>
    <x v="40"/>
    <x v="3"/>
    <x v="2"/>
  </r>
  <r>
    <x v="292"/>
    <x v="6"/>
    <x v="2"/>
    <x v="17"/>
    <x v="18"/>
    <x v="7"/>
    <x v="12"/>
    <x v="18"/>
    <x v="35"/>
    <x v="11"/>
    <x v="19"/>
    <x v="0"/>
    <x v="17"/>
    <x v="18"/>
    <x v="18"/>
    <x v="34"/>
    <x v="14"/>
    <x v="0"/>
    <x v="46"/>
    <x v="0"/>
    <x v="2"/>
  </r>
  <r>
    <x v="292"/>
    <x v="6"/>
    <x v="2"/>
    <x v="19"/>
    <x v="0"/>
    <x v="27"/>
    <x v="22"/>
    <x v="19"/>
    <x v="33"/>
    <x v="14"/>
    <x v="43"/>
    <x v="0"/>
    <x v="19"/>
    <x v="0"/>
    <x v="19"/>
    <x v="44"/>
    <x v="44"/>
    <x v="1"/>
    <x v="48"/>
    <x v="0"/>
    <x v="0"/>
  </r>
  <r>
    <x v="292"/>
    <x v="6"/>
    <x v="2"/>
    <x v="22"/>
    <x v="5"/>
    <x v="19"/>
    <x v="14"/>
    <x v="22"/>
    <x v="23"/>
    <x v="17"/>
    <x v="26"/>
    <x v="0"/>
    <x v="22"/>
    <x v="5"/>
    <x v="22"/>
    <x v="44"/>
    <x v="28"/>
    <x v="1"/>
    <x v="48"/>
    <x v="3"/>
    <x v="2"/>
  </r>
  <r>
    <x v="292"/>
    <x v="6"/>
    <x v="2"/>
    <x v="28"/>
    <x v="20"/>
    <x v="14"/>
    <x v="28"/>
    <x v="20"/>
    <x v="14"/>
    <x v="37"/>
    <x v="17"/>
    <x v="0"/>
    <x v="28"/>
    <x v="20"/>
    <x v="20"/>
    <x v="25"/>
    <x v="37"/>
    <x v="0"/>
    <x v="55"/>
    <x v="0"/>
    <x v="2"/>
  </r>
  <r>
    <x v="292"/>
    <x v="6"/>
    <x v="2"/>
    <x v="29"/>
    <x v="25"/>
    <x v="23"/>
    <x v="13"/>
    <x v="28"/>
    <x v="24"/>
    <x v="20"/>
    <x v="4"/>
    <x v="0"/>
    <x v="27"/>
    <x v="25"/>
    <x v="27"/>
    <x v="49"/>
    <x v="31"/>
    <x v="1"/>
    <x v="53"/>
    <x v="0"/>
    <x v="2"/>
  </r>
  <r>
    <x v="292"/>
    <x v="6"/>
    <x v="2"/>
    <x v="33"/>
    <x v="11"/>
    <x v="39"/>
    <x v="22"/>
    <x v="32"/>
    <x v="31"/>
    <x v="31"/>
    <x v="9"/>
    <x v="0"/>
    <x v="31"/>
    <x v="11"/>
    <x v="32"/>
    <x v="56"/>
    <x v="56"/>
    <x v="1"/>
    <x v="60"/>
    <x v="0"/>
    <x v="0"/>
  </r>
  <r>
    <x v="297"/>
    <x v="6"/>
    <x v="2"/>
    <x v="24"/>
    <x v="12"/>
    <x v="24"/>
    <x v="18"/>
    <x v="24"/>
    <x v="24"/>
    <x v="26"/>
    <x v="7"/>
    <x v="0"/>
    <x v="24"/>
    <x v="12"/>
    <x v="24"/>
    <x v="45"/>
    <x v="37"/>
    <x v="1"/>
    <x v="49"/>
    <x v="0"/>
    <x v="0"/>
  </r>
  <r>
    <x v="307"/>
    <x v="6"/>
    <x v="3"/>
    <x v="8"/>
    <x v="33"/>
    <x v="28"/>
    <x v="24"/>
    <x v="8"/>
    <x v="25"/>
    <x v="41"/>
    <x v="5"/>
    <x v="0"/>
    <x v="8"/>
    <x v="31"/>
    <x v="8"/>
    <x v="43"/>
    <x v="47"/>
    <x v="1"/>
    <x v="47"/>
    <x v="3"/>
    <x v="0"/>
  </r>
  <r>
    <x v="307"/>
    <x v="6"/>
    <x v="3"/>
    <x v="10"/>
    <x v="19"/>
    <x v="13"/>
    <x v="11"/>
    <x v="10"/>
    <x v="34"/>
    <x v="18"/>
    <x v="11"/>
    <x v="0"/>
    <x v="10"/>
    <x v="19"/>
    <x v="10"/>
    <x v="41"/>
    <x v="19"/>
    <x v="1"/>
    <x v="45"/>
    <x v="0"/>
    <x v="2"/>
  </r>
  <r>
    <x v="307"/>
    <x v="6"/>
    <x v="3"/>
    <x v="13"/>
    <x v="26"/>
    <x v="4"/>
    <x v="26"/>
    <x v="27"/>
    <x v="20"/>
    <x v="33"/>
    <x v="22"/>
    <x v="0"/>
    <x v="13"/>
    <x v="26"/>
    <x v="26"/>
    <x v="17"/>
    <x v="25"/>
    <x v="0"/>
    <x v="63"/>
    <x v="0"/>
    <x v="2"/>
  </r>
  <r>
    <x v="316"/>
    <x v="6"/>
    <x v="3"/>
    <x v="1"/>
    <x v="0"/>
    <x v="35"/>
    <x v="17"/>
    <x v="1"/>
    <x v="29"/>
    <x v="32"/>
    <x v="12"/>
    <x v="0"/>
    <x v="1"/>
    <x v="0"/>
    <x v="1"/>
    <x v="57"/>
    <x v="47"/>
    <x v="1"/>
    <x v="61"/>
    <x v="0"/>
    <x v="0"/>
  </r>
  <r>
    <x v="316"/>
    <x v="6"/>
    <x v="3"/>
    <x v="2"/>
    <x v="6"/>
    <x v="16"/>
    <x v="12"/>
    <x v="2"/>
    <x v="30"/>
    <x v="18"/>
    <x v="23"/>
    <x v="0"/>
    <x v="2"/>
    <x v="6"/>
    <x v="2"/>
    <x v="43"/>
    <x v="23"/>
    <x v="1"/>
    <x v="47"/>
    <x v="0"/>
    <x v="2"/>
  </r>
  <r>
    <x v="316"/>
    <x v="6"/>
    <x v="3"/>
    <x v="3"/>
    <x v="14"/>
    <x v="25"/>
    <x v="19"/>
    <x v="3"/>
    <x v="20"/>
    <x v="22"/>
    <x v="27"/>
    <x v="0"/>
    <x v="3"/>
    <x v="14"/>
    <x v="3"/>
    <x v="45"/>
    <x v="39"/>
    <x v="1"/>
    <x v="49"/>
    <x v="3"/>
    <x v="0"/>
  </r>
  <r>
    <x v="316"/>
    <x v="6"/>
    <x v="3"/>
    <x v="5"/>
    <x v="32"/>
    <x v="18"/>
    <x v="25"/>
    <x v="31"/>
    <x v="24"/>
    <x v="18"/>
    <x v="37"/>
    <x v="0"/>
    <x v="5"/>
    <x v="30"/>
    <x v="30"/>
    <x v="32"/>
    <x v="38"/>
    <x v="0"/>
    <x v="48"/>
    <x v="3"/>
    <x v="0"/>
  </r>
  <r>
    <x v="316"/>
    <x v="6"/>
    <x v="3"/>
    <x v="7"/>
    <x v="22"/>
    <x v="10"/>
    <x v="25"/>
    <x v="22"/>
    <x v="24"/>
    <x v="27"/>
    <x v="10"/>
    <x v="0"/>
    <x v="7"/>
    <x v="22"/>
    <x v="22"/>
    <x v="24"/>
    <x v="30"/>
    <x v="0"/>
    <x v="56"/>
    <x v="0"/>
    <x v="2"/>
  </r>
  <r>
    <x v="316"/>
    <x v="6"/>
    <x v="3"/>
    <x v="9"/>
    <x v="15"/>
    <x v="24"/>
    <x v="28"/>
    <x v="9"/>
    <x v="30"/>
    <x v="14"/>
    <x v="38"/>
    <x v="0"/>
    <x v="9"/>
    <x v="15"/>
    <x v="15"/>
    <x v="35"/>
    <x v="47"/>
    <x v="1"/>
    <x v="39"/>
    <x v="3"/>
    <x v="0"/>
  </r>
  <r>
    <x v="316"/>
    <x v="6"/>
    <x v="3"/>
    <x v="12"/>
    <x v="27"/>
    <x v="10"/>
    <x v="19"/>
    <x v="16"/>
    <x v="32"/>
    <x v="26"/>
    <x v="35"/>
    <x v="0"/>
    <x v="12"/>
    <x v="16"/>
    <x v="16"/>
    <x v="30"/>
    <x v="24"/>
    <x v="0"/>
    <x v="50"/>
    <x v="0"/>
    <x v="2"/>
  </r>
  <r>
    <x v="316"/>
    <x v="6"/>
    <x v="3"/>
    <x v="18"/>
    <x v="28"/>
    <x v="28"/>
    <x v="22"/>
    <x v="18"/>
    <x v="23"/>
    <x v="24"/>
    <x v="40"/>
    <x v="0"/>
    <x v="18"/>
    <x v="28"/>
    <x v="18"/>
    <x v="45"/>
    <x v="45"/>
    <x v="1"/>
    <x v="49"/>
    <x v="2"/>
    <x v="0"/>
  </r>
  <r>
    <x v="316"/>
    <x v="6"/>
    <x v="3"/>
    <x v="21"/>
    <x v="17"/>
    <x v="46"/>
    <x v="19"/>
    <x v="21"/>
    <x v="21"/>
    <x v="24"/>
    <x v="20"/>
    <x v="0"/>
    <x v="21"/>
    <x v="17"/>
    <x v="21"/>
    <x v="66"/>
    <x v="60"/>
    <x v="1"/>
    <x v="70"/>
    <x v="0"/>
    <x v="0"/>
  </r>
  <r>
    <x v="316"/>
    <x v="6"/>
    <x v="3"/>
    <x v="23"/>
    <x v="20"/>
    <x v="14"/>
    <x v="20"/>
    <x v="20"/>
    <x v="18"/>
    <x v="31"/>
    <x v="26"/>
    <x v="0"/>
    <x v="23"/>
    <x v="20"/>
    <x v="20"/>
    <x v="33"/>
    <x v="29"/>
    <x v="0"/>
    <x v="47"/>
    <x v="3"/>
    <x v="2"/>
  </r>
  <r>
    <x v="316"/>
    <x v="6"/>
    <x v="3"/>
    <x v="24"/>
    <x v="4"/>
    <x v="32"/>
    <x v="30"/>
    <x v="24"/>
    <x v="30"/>
    <x v="31"/>
    <x v="30"/>
    <x v="0"/>
    <x v="24"/>
    <x v="4"/>
    <x v="24"/>
    <x v="41"/>
    <x v="57"/>
    <x v="1"/>
    <x v="45"/>
    <x v="3"/>
    <x v="0"/>
  </r>
  <r>
    <x v="316"/>
    <x v="6"/>
    <x v="3"/>
    <x v="31"/>
    <x v="29"/>
    <x v="11"/>
    <x v="3"/>
    <x v="28"/>
    <x v="26"/>
    <x v="26"/>
    <x v="34"/>
    <x v="0"/>
    <x v="29"/>
    <x v="27"/>
    <x v="29"/>
    <x v="47"/>
    <x v="9"/>
    <x v="0"/>
    <x v="33"/>
    <x v="3"/>
    <x v="2"/>
  </r>
  <r>
    <x v="321"/>
    <x v="6"/>
    <x v="3"/>
    <x v="25"/>
    <x v="11"/>
    <x v="10"/>
    <x v="25"/>
    <x v="25"/>
    <x v="29"/>
    <x v="29"/>
    <x v="18"/>
    <x v="0"/>
    <x v="25"/>
    <x v="11"/>
    <x v="11"/>
    <x v="24"/>
    <x v="30"/>
    <x v="1"/>
    <x v="28"/>
    <x v="3"/>
    <x v="2"/>
  </r>
  <r>
    <x v="331"/>
    <x v="6"/>
    <x v="4"/>
    <x v="19"/>
    <x v="8"/>
    <x v="12"/>
    <x v="15"/>
    <x v="8"/>
    <x v="31"/>
    <x v="21"/>
    <x v="43"/>
    <x v="0"/>
    <x v="19"/>
    <x v="8"/>
    <x v="8"/>
    <x v="36"/>
    <x v="22"/>
    <x v="0"/>
    <x v="44"/>
    <x v="3"/>
    <x v="2"/>
  </r>
  <r>
    <x v="340"/>
    <x v="6"/>
    <x v="4"/>
    <x v="0"/>
    <x v="33"/>
    <x v="28"/>
    <x v="21"/>
    <x v="0"/>
    <x v="32"/>
    <x v="31"/>
    <x v="44"/>
    <x v="0"/>
    <x v="0"/>
    <x v="31"/>
    <x v="0"/>
    <x v="46"/>
    <x v="44"/>
    <x v="1"/>
    <x v="50"/>
    <x v="0"/>
    <x v="0"/>
  </r>
  <r>
    <x v="340"/>
    <x v="6"/>
    <x v="4"/>
    <x v="1"/>
    <x v="15"/>
    <x v="25"/>
    <x v="27"/>
    <x v="1"/>
    <x v="27"/>
    <x v="34"/>
    <x v="12"/>
    <x v="0"/>
    <x v="1"/>
    <x v="15"/>
    <x v="15"/>
    <x v="37"/>
    <x v="47"/>
    <x v="1"/>
    <x v="41"/>
    <x v="3"/>
    <x v="0"/>
  </r>
  <r>
    <x v="340"/>
    <x v="6"/>
    <x v="4"/>
    <x v="2"/>
    <x v="18"/>
    <x v="35"/>
    <x v="4"/>
    <x v="2"/>
    <x v="30"/>
    <x v="17"/>
    <x v="23"/>
    <x v="0"/>
    <x v="2"/>
    <x v="18"/>
    <x v="2"/>
    <x v="70"/>
    <x v="34"/>
    <x v="1"/>
    <x v="74"/>
    <x v="0"/>
    <x v="0"/>
  </r>
  <r>
    <x v="340"/>
    <x v="6"/>
    <x v="4"/>
    <x v="5"/>
    <x v="28"/>
    <x v="23"/>
    <x v="4"/>
    <x v="29"/>
    <x v="35"/>
    <x v="22"/>
    <x v="37"/>
    <x v="0"/>
    <x v="5"/>
    <x v="28"/>
    <x v="5"/>
    <x v="58"/>
    <x v="22"/>
    <x v="0"/>
    <x v="22"/>
    <x v="3"/>
    <x v="2"/>
  </r>
  <r>
    <x v="340"/>
    <x v="6"/>
    <x v="4"/>
    <x v="6"/>
    <x v="25"/>
    <x v="29"/>
    <x v="12"/>
    <x v="6"/>
    <x v="34"/>
    <x v="18"/>
    <x v="31"/>
    <x v="0"/>
    <x v="6"/>
    <x v="25"/>
    <x v="6"/>
    <x v="56"/>
    <x v="36"/>
    <x v="1"/>
    <x v="60"/>
    <x v="0"/>
    <x v="0"/>
  </r>
  <r>
    <x v="340"/>
    <x v="6"/>
    <x v="4"/>
    <x v="11"/>
    <x v="12"/>
    <x v="18"/>
    <x v="11"/>
    <x v="11"/>
    <x v="23"/>
    <x v="23"/>
    <x v="16"/>
    <x v="0"/>
    <x v="11"/>
    <x v="12"/>
    <x v="11"/>
    <x v="46"/>
    <x v="24"/>
    <x v="1"/>
    <x v="50"/>
    <x v="0"/>
    <x v="2"/>
  </r>
  <r>
    <x v="340"/>
    <x v="6"/>
    <x v="4"/>
    <x v="14"/>
    <x v="9"/>
    <x v="7"/>
    <x v="18"/>
    <x v="9"/>
    <x v="30"/>
    <x v="11"/>
    <x v="8"/>
    <x v="0"/>
    <x v="14"/>
    <x v="9"/>
    <x v="9"/>
    <x v="28"/>
    <x v="20"/>
    <x v="0"/>
    <x v="52"/>
    <x v="0"/>
    <x v="2"/>
  </r>
  <r>
    <x v="340"/>
    <x v="6"/>
    <x v="4"/>
    <x v="20"/>
    <x v="17"/>
    <x v="23"/>
    <x v="8"/>
    <x v="20"/>
    <x v="10"/>
    <x v="24"/>
    <x v="13"/>
    <x v="0"/>
    <x v="20"/>
    <x v="17"/>
    <x v="20"/>
    <x v="54"/>
    <x v="26"/>
    <x v="1"/>
    <x v="58"/>
    <x v="0"/>
    <x v="2"/>
  </r>
  <r>
    <x v="340"/>
    <x v="6"/>
    <x v="4"/>
    <x v="21"/>
    <x v="10"/>
    <x v="10"/>
    <x v="26"/>
    <x v="21"/>
    <x v="24"/>
    <x v="41"/>
    <x v="20"/>
    <x v="0"/>
    <x v="21"/>
    <x v="10"/>
    <x v="10"/>
    <x v="23"/>
    <x v="31"/>
    <x v="1"/>
    <x v="27"/>
    <x v="3"/>
    <x v="2"/>
  </r>
  <r>
    <x v="340"/>
    <x v="6"/>
    <x v="4"/>
    <x v="24"/>
    <x v="3"/>
    <x v="35"/>
    <x v="22"/>
    <x v="24"/>
    <x v="31"/>
    <x v="31"/>
    <x v="30"/>
    <x v="0"/>
    <x v="24"/>
    <x v="3"/>
    <x v="24"/>
    <x v="52"/>
    <x v="52"/>
    <x v="1"/>
    <x v="56"/>
    <x v="0"/>
    <x v="0"/>
  </r>
  <r>
    <x v="340"/>
    <x v="6"/>
    <x v="4"/>
    <x v="26"/>
    <x v="22"/>
    <x v="21"/>
    <x v="12"/>
    <x v="27"/>
    <x v="24"/>
    <x v="33"/>
    <x v="15"/>
    <x v="0"/>
    <x v="26"/>
    <x v="22"/>
    <x v="26"/>
    <x v="48"/>
    <x v="28"/>
    <x v="1"/>
    <x v="52"/>
    <x v="0"/>
    <x v="2"/>
  </r>
  <r>
    <x v="340"/>
    <x v="6"/>
    <x v="4"/>
    <x v="27"/>
    <x v="31"/>
    <x v="18"/>
    <x v="26"/>
    <x v="16"/>
    <x v="30"/>
    <x v="32"/>
    <x v="32"/>
    <x v="0"/>
    <x v="16"/>
    <x v="29"/>
    <x v="29"/>
    <x v="31"/>
    <x v="39"/>
    <x v="1"/>
    <x v="35"/>
    <x v="3"/>
    <x v="1"/>
  </r>
  <r>
    <x v="340"/>
    <x v="6"/>
    <x v="4"/>
    <x v="29"/>
    <x v="4"/>
    <x v="37"/>
    <x v="5"/>
    <x v="28"/>
    <x v="20"/>
    <x v="22"/>
    <x v="4"/>
    <x v="0"/>
    <x v="27"/>
    <x v="4"/>
    <x v="27"/>
    <x v="71"/>
    <x v="37"/>
    <x v="1"/>
    <x v="75"/>
    <x v="0"/>
    <x v="0"/>
  </r>
  <r>
    <x v="345"/>
    <x v="6"/>
    <x v="4"/>
    <x v="23"/>
    <x v="13"/>
    <x v="7"/>
    <x v="39"/>
    <x v="23"/>
    <x v="35"/>
    <x v="31"/>
    <x v="26"/>
    <x v="0"/>
    <x v="23"/>
    <x v="13"/>
    <x v="13"/>
    <x v="7"/>
    <x v="41"/>
    <x v="1"/>
    <x v="11"/>
    <x v="3"/>
    <x v="0"/>
  </r>
  <r>
    <x v="355"/>
    <x v="6"/>
    <x v="5"/>
    <x v="15"/>
    <x v="24"/>
    <x v="18"/>
    <x v="11"/>
    <x v="15"/>
    <x v="30"/>
    <x v="26"/>
    <x v="0"/>
    <x v="0"/>
    <x v="15"/>
    <x v="24"/>
    <x v="15"/>
    <x v="46"/>
    <x v="24"/>
    <x v="1"/>
    <x v="50"/>
    <x v="0"/>
    <x v="2"/>
  </r>
  <r>
    <x v="364"/>
    <x v="6"/>
    <x v="5"/>
    <x v="3"/>
    <x v="26"/>
    <x v="17"/>
    <x v="25"/>
    <x v="27"/>
    <x v="33"/>
    <x v="25"/>
    <x v="27"/>
    <x v="0"/>
    <x v="3"/>
    <x v="26"/>
    <x v="26"/>
    <x v="31"/>
    <x v="37"/>
    <x v="0"/>
    <x v="49"/>
    <x v="0"/>
    <x v="0"/>
  </r>
  <r>
    <x v="364"/>
    <x v="6"/>
    <x v="5"/>
    <x v="4"/>
    <x v="27"/>
    <x v="25"/>
    <x v="14"/>
    <x v="4"/>
    <x v="35"/>
    <x v="31"/>
    <x v="2"/>
    <x v="0"/>
    <x v="4"/>
    <x v="16"/>
    <x v="4"/>
    <x v="50"/>
    <x v="34"/>
    <x v="1"/>
    <x v="54"/>
    <x v="0"/>
    <x v="2"/>
  </r>
  <r>
    <x v="364"/>
    <x v="6"/>
    <x v="5"/>
    <x v="7"/>
    <x v="6"/>
    <x v="7"/>
    <x v="21"/>
    <x v="6"/>
    <x v="27"/>
    <x v="17"/>
    <x v="10"/>
    <x v="0"/>
    <x v="7"/>
    <x v="6"/>
    <x v="6"/>
    <x v="25"/>
    <x v="23"/>
    <x v="0"/>
    <x v="55"/>
    <x v="0"/>
    <x v="2"/>
  </r>
  <r>
    <x v="364"/>
    <x v="6"/>
    <x v="5"/>
    <x v="10"/>
    <x v="5"/>
    <x v="17"/>
    <x v="15"/>
    <x v="10"/>
    <x v="22"/>
    <x v="18"/>
    <x v="11"/>
    <x v="0"/>
    <x v="10"/>
    <x v="5"/>
    <x v="10"/>
    <x v="41"/>
    <x v="27"/>
    <x v="1"/>
    <x v="45"/>
    <x v="3"/>
    <x v="2"/>
  </r>
  <r>
    <x v="364"/>
    <x v="6"/>
    <x v="5"/>
    <x v="11"/>
    <x v="29"/>
    <x v="35"/>
    <x v="8"/>
    <x v="28"/>
    <x v="31"/>
    <x v="28"/>
    <x v="16"/>
    <x v="0"/>
    <x v="11"/>
    <x v="27"/>
    <x v="11"/>
    <x v="66"/>
    <x v="38"/>
    <x v="0"/>
    <x v="14"/>
    <x v="3"/>
    <x v="0"/>
  </r>
  <r>
    <x v="364"/>
    <x v="6"/>
    <x v="5"/>
    <x v="13"/>
    <x v="12"/>
    <x v="14"/>
    <x v="20"/>
    <x v="13"/>
    <x v="24"/>
    <x v="29"/>
    <x v="22"/>
    <x v="0"/>
    <x v="13"/>
    <x v="12"/>
    <x v="12"/>
    <x v="33"/>
    <x v="29"/>
    <x v="1"/>
    <x v="37"/>
    <x v="3"/>
    <x v="2"/>
  </r>
  <r>
    <x v="364"/>
    <x v="6"/>
    <x v="5"/>
    <x v="14"/>
    <x v="19"/>
    <x v="13"/>
    <x v="23"/>
    <x v="19"/>
    <x v="30"/>
    <x v="10"/>
    <x v="8"/>
    <x v="0"/>
    <x v="14"/>
    <x v="19"/>
    <x v="19"/>
    <x v="29"/>
    <x v="31"/>
    <x v="0"/>
    <x v="51"/>
    <x v="0"/>
    <x v="0"/>
  </r>
  <r>
    <x v="364"/>
    <x v="6"/>
    <x v="5"/>
    <x v="17"/>
    <x v="1"/>
    <x v="11"/>
    <x v="40"/>
    <x v="1"/>
    <x v="27"/>
    <x v="22"/>
    <x v="19"/>
    <x v="0"/>
    <x v="17"/>
    <x v="1"/>
    <x v="1"/>
    <x v="10"/>
    <x v="46"/>
    <x v="0"/>
    <x v="70"/>
    <x v="0"/>
    <x v="0"/>
  </r>
  <r>
    <x v="364"/>
    <x v="6"/>
    <x v="5"/>
    <x v="18"/>
    <x v="0"/>
    <x v="23"/>
    <x v="21"/>
    <x v="0"/>
    <x v="33"/>
    <x v="22"/>
    <x v="40"/>
    <x v="0"/>
    <x v="18"/>
    <x v="0"/>
    <x v="18"/>
    <x v="41"/>
    <x v="39"/>
    <x v="0"/>
    <x v="39"/>
    <x v="3"/>
    <x v="0"/>
  </r>
  <r>
    <x v="364"/>
    <x v="6"/>
    <x v="5"/>
    <x v="22"/>
    <x v="8"/>
    <x v="7"/>
    <x v="5"/>
    <x v="8"/>
    <x v="30"/>
    <x v="28"/>
    <x v="26"/>
    <x v="0"/>
    <x v="22"/>
    <x v="8"/>
    <x v="22"/>
    <x v="41"/>
    <x v="7"/>
    <x v="0"/>
    <x v="39"/>
    <x v="3"/>
    <x v="2"/>
  </r>
  <r>
    <x v="364"/>
    <x v="6"/>
    <x v="5"/>
    <x v="25"/>
    <x v="33"/>
    <x v="19"/>
    <x v="25"/>
    <x v="32"/>
    <x v="32"/>
    <x v="31"/>
    <x v="18"/>
    <x v="0"/>
    <x v="25"/>
    <x v="31"/>
    <x v="32"/>
    <x v="33"/>
    <x v="39"/>
    <x v="0"/>
    <x v="47"/>
    <x v="0"/>
    <x v="0"/>
  </r>
  <r>
    <x v="364"/>
    <x v="6"/>
    <x v="5"/>
    <x v="28"/>
    <x v="23"/>
    <x v="14"/>
    <x v="21"/>
    <x v="29"/>
    <x v="31"/>
    <x v="20"/>
    <x v="17"/>
    <x v="0"/>
    <x v="28"/>
    <x v="23"/>
    <x v="23"/>
    <x v="32"/>
    <x v="30"/>
    <x v="1"/>
    <x v="36"/>
    <x v="3"/>
    <x v="2"/>
  </r>
  <r>
    <x v="364"/>
    <x v="6"/>
    <x v="5"/>
    <x v="31"/>
    <x v="21"/>
    <x v="13"/>
    <x v="9"/>
    <x v="30"/>
    <x v="33"/>
    <x v="38"/>
    <x v="34"/>
    <x v="0"/>
    <x v="29"/>
    <x v="21"/>
    <x v="29"/>
    <x v="43"/>
    <x v="17"/>
    <x v="1"/>
    <x v="47"/>
    <x v="0"/>
    <x v="2"/>
  </r>
  <r>
    <x v="364"/>
    <x v="6"/>
    <x v="5"/>
    <x v="32"/>
    <x v="9"/>
    <x v="10"/>
    <x v="8"/>
    <x v="31"/>
    <x v="33"/>
    <x v="22"/>
    <x v="28"/>
    <x v="0"/>
    <x v="30"/>
    <x v="9"/>
    <x v="30"/>
    <x v="41"/>
    <x v="13"/>
    <x v="1"/>
    <x v="45"/>
    <x v="0"/>
    <x v="2"/>
  </r>
  <r>
    <x v="369"/>
    <x v="6"/>
    <x v="5"/>
    <x v="20"/>
    <x v="2"/>
    <x v="27"/>
    <x v="21"/>
    <x v="20"/>
    <x v="25"/>
    <x v="24"/>
    <x v="13"/>
    <x v="0"/>
    <x v="20"/>
    <x v="2"/>
    <x v="20"/>
    <x v="45"/>
    <x v="43"/>
    <x v="1"/>
    <x v="49"/>
    <x v="0"/>
    <x v="0"/>
  </r>
  <r>
    <x v="379"/>
    <x v="6"/>
    <x v="6"/>
    <x v="29"/>
    <x v="17"/>
    <x v="21"/>
    <x v="2"/>
    <x v="28"/>
    <x v="7"/>
    <x v="13"/>
    <x v="4"/>
    <x v="0"/>
    <x v="27"/>
    <x v="17"/>
    <x v="27"/>
    <x v="59"/>
    <x v="17"/>
    <x v="1"/>
    <x v="63"/>
    <x v="0"/>
    <x v="2"/>
  </r>
  <r>
    <x v="387"/>
    <x v="6"/>
    <x v="6"/>
    <x v="23"/>
    <x v="18"/>
    <x v="10"/>
    <x v="32"/>
    <x v="18"/>
    <x v="32"/>
    <x v="14"/>
    <x v="26"/>
    <x v="0"/>
    <x v="23"/>
    <x v="18"/>
    <x v="18"/>
    <x v="17"/>
    <x v="37"/>
    <x v="0"/>
    <x v="63"/>
    <x v="0"/>
    <x v="0"/>
  </r>
  <r>
    <x v="391"/>
    <x v="6"/>
    <x v="6"/>
    <x v="0"/>
    <x v="21"/>
    <x v="38"/>
    <x v="45"/>
    <x v="0"/>
    <x v="31"/>
    <x v="31"/>
    <x v="44"/>
    <x v="0"/>
    <x v="0"/>
    <x v="21"/>
    <x v="21"/>
    <x v="31"/>
    <x v="78"/>
    <x v="1"/>
    <x v="35"/>
    <x v="3"/>
    <x v="0"/>
  </r>
  <r>
    <x v="391"/>
    <x v="6"/>
    <x v="6"/>
    <x v="1"/>
    <x v="28"/>
    <x v="38"/>
    <x v="11"/>
    <x v="1"/>
    <x v="10"/>
    <x v="37"/>
    <x v="12"/>
    <x v="0"/>
    <x v="1"/>
    <x v="28"/>
    <x v="1"/>
    <x v="66"/>
    <x v="44"/>
    <x v="1"/>
    <x v="70"/>
    <x v="0"/>
    <x v="0"/>
  </r>
  <r>
    <x v="391"/>
    <x v="6"/>
    <x v="6"/>
    <x v="2"/>
    <x v="25"/>
    <x v="24"/>
    <x v="24"/>
    <x v="2"/>
    <x v="27"/>
    <x v="16"/>
    <x v="23"/>
    <x v="0"/>
    <x v="2"/>
    <x v="25"/>
    <x v="2"/>
    <x v="39"/>
    <x v="43"/>
    <x v="1"/>
    <x v="43"/>
    <x v="3"/>
    <x v="0"/>
  </r>
  <r>
    <x v="391"/>
    <x v="6"/>
    <x v="6"/>
    <x v="3"/>
    <x v="7"/>
    <x v="30"/>
    <x v="11"/>
    <x v="3"/>
    <x v="16"/>
    <x v="20"/>
    <x v="27"/>
    <x v="0"/>
    <x v="3"/>
    <x v="7"/>
    <x v="3"/>
    <x v="58"/>
    <x v="36"/>
    <x v="1"/>
    <x v="62"/>
    <x v="0"/>
    <x v="0"/>
  </r>
  <r>
    <x v="391"/>
    <x v="6"/>
    <x v="6"/>
    <x v="5"/>
    <x v="11"/>
    <x v="24"/>
    <x v="28"/>
    <x v="11"/>
    <x v="28"/>
    <x v="14"/>
    <x v="37"/>
    <x v="0"/>
    <x v="5"/>
    <x v="11"/>
    <x v="11"/>
    <x v="35"/>
    <x v="47"/>
    <x v="0"/>
    <x v="45"/>
    <x v="3"/>
    <x v="0"/>
  </r>
  <r>
    <x v="391"/>
    <x v="6"/>
    <x v="6"/>
    <x v="6"/>
    <x v="26"/>
    <x v="17"/>
    <x v="22"/>
    <x v="27"/>
    <x v="31"/>
    <x v="25"/>
    <x v="31"/>
    <x v="0"/>
    <x v="6"/>
    <x v="26"/>
    <x v="26"/>
    <x v="34"/>
    <x v="34"/>
    <x v="0"/>
    <x v="46"/>
    <x v="0"/>
    <x v="2"/>
  </r>
  <r>
    <x v="391"/>
    <x v="6"/>
    <x v="6"/>
    <x v="8"/>
    <x v="31"/>
    <x v="23"/>
    <x v="18"/>
    <x v="8"/>
    <x v="23"/>
    <x v="29"/>
    <x v="5"/>
    <x v="0"/>
    <x v="8"/>
    <x v="29"/>
    <x v="8"/>
    <x v="44"/>
    <x v="36"/>
    <x v="1"/>
    <x v="48"/>
    <x v="3"/>
    <x v="2"/>
  </r>
  <r>
    <x v="391"/>
    <x v="6"/>
    <x v="6"/>
    <x v="9"/>
    <x v="20"/>
    <x v="2"/>
    <x v="14"/>
    <x v="20"/>
    <x v="31"/>
    <x v="20"/>
    <x v="38"/>
    <x v="0"/>
    <x v="9"/>
    <x v="20"/>
    <x v="20"/>
    <x v="25"/>
    <x v="9"/>
    <x v="0"/>
    <x v="55"/>
    <x v="0"/>
    <x v="2"/>
  </r>
  <r>
    <x v="391"/>
    <x v="6"/>
    <x v="6"/>
    <x v="12"/>
    <x v="14"/>
    <x v="18"/>
    <x v="18"/>
    <x v="12"/>
    <x v="30"/>
    <x v="13"/>
    <x v="35"/>
    <x v="0"/>
    <x v="12"/>
    <x v="14"/>
    <x v="12"/>
    <x v="39"/>
    <x v="31"/>
    <x v="1"/>
    <x v="43"/>
    <x v="3"/>
    <x v="0"/>
  </r>
  <r>
    <x v="391"/>
    <x v="6"/>
    <x v="6"/>
    <x v="15"/>
    <x v="32"/>
    <x v="14"/>
    <x v="17"/>
    <x v="15"/>
    <x v="25"/>
    <x v="20"/>
    <x v="0"/>
    <x v="0"/>
    <x v="15"/>
    <x v="30"/>
    <x v="30"/>
    <x v="36"/>
    <x v="26"/>
    <x v="1"/>
    <x v="40"/>
    <x v="3"/>
    <x v="2"/>
  </r>
  <r>
    <x v="391"/>
    <x v="6"/>
    <x v="6"/>
    <x v="19"/>
    <x v="13"/>
    <x v="3"/>
    <x v="32"/>
    <x v="19"/>
    <x v="27"/>
    <x v="23"/>
    <x v="43"/>
    <x v="0"/>
    <x v="19"/>
    <x v="13"/>
    <x v="13"/>
    <x v="10"/>
    <x v="30"/>
    <x v="1"/>
    <x v="14"/>
    <x v="3"/>
    <x v="2"/>
  </r>
  <r>
    <x v="391"/>
    <x v="6"/>
    <x v="6"/>
    <x v="22"/>
    <x v="10"/>
    <x v="14"/>
    <x v="4"/>
    <x v="22"/>
    <x v="29"/>
    <x v="19"/>
    <x v="26"/>
    <x v="0"/>
    <x v="22"/>
    <x v="10"/>
    <x v="22"/>
    <x v="49"/>
    <x v="13"/>
    <x v="1"/>
    <x v="53"/>
    <x v="0"/>
    <x v="2"/>
  </r>
  <r>
    <x v="391"/>
    <x v="6"/>
    <x v="6"/>
    <x v="27"/>
    <x v="24"/>
    <x v="13"/>
    <x v="17"/>
    <x v="24"/>
    <x v="32"/>
    <x v="33"/>
    <x v="32"/>
    <x v="0"/>
    <x v="16"/>
    <x v="24"/>
    <x v="24"/>
    <x v="35"/>
    <x v="25"/>
    <x v="0"/>
    <x v="45"/>
    <x v="0"/>
    <x v="2"/>
  </r>
  <r>
    <x v="396"/>
    <x v="6"/>
    <x v="6"/>
    <x v="33"/>
    <x v="4"/>
    <x v="12"/>
    <x v="24"/>
    <x v="32"/>
    <x v="23"/>
    <x v="35"/>
    <x v="9"/>
    <x v="0"/>
    <x v="31"/>
    <x v="4"/>
    <x v="4"/>
    <x v="27"/>
    <x v="31"/>
    <x v="1"/>
    <x v="31"/>
    <x v="3"/>
    <x v="2"/>
  </r>
  <r>
    <x v="406"/>
    <x v="6"/>
    <x v="7"/>
    <x v="25"/>
    <x v="22"/>
    <x v="21"/>
    <x v="17"/>
    <x v="25"/>
    <x v="34"/>
    <x v="19"/>
    <x v="18"/>
    <x v="0"/>
    <x v="25"/>
    <x v="22"/>
    <x v="25"/>
    <x v="43"/>
    <x v="33"/>
    <x v="1"/>
    <x v="47"/>
    <x v="0"/>
    <x v="0"/>
  </r>
  <r>
    <x v="413"/>
    <x v="6"/>
    <x v="7"/>
    <x v="3"/>
    <x v="18"/>
    <x v="28"/>
    <x v="32"/>
    <x v="3"/>
    <x v="28"/>
    <x v="23"/>
    <x v="27"/>
    <x v="0"/>
    <x v="3"/>
    <x v="18"/>
    <x v="18"/>
    <x v="35"/>
    <x v="55"/>
    <x v="1"/>
    <x v="39"/>
    <x v="3"/>
    <x v="0"/>
  </r>
  <r>
    <x v="413"/>
    <x v="6"/>
    <x v="7"/>
    <x v="4"/>
    <x v="1"/>
    <x v="13"/>
    <x v="31"/>
    <x v="1"/>
    <x v="31"/>
    <x v="32"/>
    <x v="2"/>
    <x v="0"/>
    <x v="4"/>
    <x v="1"/>
    <x v="1"/>
    <x v="21"/>
    <x v="39"/>
    <x v="0"/>
    <x v="59"/>
    <x v="0"/>
    <x v="1"/>
  </r>
  <r>
    <x v="413"/>
    <x v="6"/>
    <x v="7"/>
    <x v="5"/>
    <x v="33"/>
    <x v="18"/>
    <x v="39"/>
    <x v="32"/>
    <x v="31"/>
    <x v="32"/>
    <x v="37"/>
    <x v="0"/>
    <x v="5"/>
    <x v="31"/>
    <x v="32"/>
    <x v="18"/>
    <x v="52"/>
    <x v="0"/>
    <x v="62"/>
    <x v="0"/>
    <x v="0"/>
  </r>
  <r>
    <x v="413"/>
    <x v="6"/>
    <x v="7"/>
    <x v="7"/>
    <x v="27"/>
    <x v="17"/>
    <x v="15"/>
    <x v="16"/>
    <x v="28"/>
    <x v="24"/>
    <x v="10"/>
    <x v="0"/>
    <x v="7"/>
    <x v="16"/>
    <x v="7"/>
    <x v="41"/>
    <x v="27"/>
    <x v="0"/>
    <x v="39"/>
    <x v="3"/>
    <x v="2"/>
  </r>
  <r>
    <x v="413"/>
    <x v="6"/>
    <x v="7"/>
    <x v="11"/>
    <x v="19"/>
    <x v="35"/>
    <x v="23"/>
    <x v="11"/>
    <x v="25"/>
    <x v="23"/>
    <x v="16"/>
    <x v="0"/>
    <x v="11"/>
    <x v="19"/>
    <x v="11"/>
    <x v="51"/>
    <x v="53"/>
    <x v="1"/>
    <x v="55"/>
    <x v="0"/>
    <x v="0"/>
  </r>
  <r>
    <x v="413"/>
    <x v="6"/>
    <x v="7"/>
    <x v="12"/>
    <x v="6"/>
    <x v="9"/>
    <x v="8"/>
    <x v="12"/>
    <x v="31"/>
    <x v="17"/>
    <x v="35"/>
    <x v="0"/>
    <x v="12"/>
    <x v="6"/>
    <x v="12"/>
    <x v="40"/>
    <x v="12"/>
    <x v="1"/>
    <x v="44"/>
    <x v="3"/>
    <x v="2"/>
  </r>
  <r>
    <x v="413"/>
    <x v="6"/>
    <x v="7"/>
    <x v="14"/>
    <x v="32"/>
    <x v="35"/>
    <x v="15"/>
    <x v="31"/>
    <x v="29"/>
    <x v="22"/>
    <x v="8"/>
    <x v="0"/>
    <x v="14"/>
    <x v="30"/>
    <x v="14"/>
    <x v="59"/>
    <x v="45"/>
    <x v="0"/>
    <x v="21"/>
    <x v="3"/>
    <x v="0"/>
  </r>
  <r>
    <x v="413"/>
    <x v="6"/>
    <x v="7"/>
    <x v="17"/>
    <x v="28"/>
    <x v="18"/>
    <x v="20"/>
    <x v="17"/>
    <x v="25"/>
    <x v="13"/>
    <x v="19"/>
    <x v="0"/>
    <x v="17"/>
    <x v="28"/>
    <x v="28"/>
    <x v="37"/>
    <x v="33"/>
    <x v="1"/>
    <x v="41"/>
    <x v="3"/>
    <x v="0"/>
  </r>
  <r>
    <x v="413"/>
    <x v="6"/>
    <x v="7"/>
    <x v="20"/>
    <x v="23"/>
    <x v="38"/>
    <x v="2"/>
    <x v="20"/>
    <x v="3"/>
    <x v="24"/>
    <x v="13"/>
    <x v="0"/>
    <x v="20"/>
    <x v="23"/>
    <x v="20"/>
    <x v="75"/>
    <x v="34"/>
    <x v="1"/>
    <x v="79"/>
    <x v="0"/>
    <x v="2"/>
  </r>
  <r>
    <x v="413"/>
    <x v="6"/>
    <x v="7"/>
    <x v="21"/>
    <x v="31"/>
    <x v="28"/>
    <x v="22"/>
    <x v="21"/>
    <x v="31"/>
    <x v="40"/>
    <x v="20"/>
    <x v="0"/>
    <x v="21"/>
    <x v="29"/>
    <x v="21"/>
    <x v="45"/>
    <x v="45"/>
    <x v="1"/>
    <x v="49"/>
    <x v="0"/>
    <x v="0"/>
  </r>
  <r>
    <x v="413"/>
    <x v="6"/>
    <x v="7"/>
    <x v="24"/>
    <x v="13"/>
    <x v="30"/>
    <x v="23"/>
    <x v="24"/>
    <x v="30"/>
    <x v="38"/>
    <x v="30"/>
    <x v="0"/>
    <x v="24"/>
    <x v="13"/>
    <x v="24"/>
    <x v="46"/>
    <x v="48"/>
    <x v="1"/>
    <x v="50"/>
    <x v="0"/>
    <x v="0"/>
  </r>
  <r>
    <x v="413"/>
    <x v="6"/>
    <x v="7"/>
    <x v="29"/>
    <x v="0"/>
    <x v="28"/>
    <x v="32"/>
    <x v="28"/>
    <x v="19"/>
    <x v="21"/>
    <x v="4"/>
    <x v="0"/>
    <x v="27"/>
    <x v="0"/>
    <x v="0"/>
    <x v="35"/>
    <x v="55"/>
    <x v="1"/>
    <x v="39"/>
    <x v="3"/>
    <x v="0"/>
  </r>
  <r>
    <x v="417"/>
    <x v="6"/>
    <x v="7"/>
    <x v="15"/>
    <x v="9"/>
    <x v="30"/>
    <x v="8"/>
    <x v="15"/>
    <x v="30"/>
    <x v="10"/>
    <x v="0"/>
    <x v="0"/>
    <x v="15"/>
    <x v="9"/>
    <x v="15"/>
    <x v="61"/>
    <x v="33"/>
    <x v="1"/>
    <x v="65"/>
    <x v="0"/>
    <x v="0"/>
  </r>
  <r>
    <x v="417"/>
    <x v="6"/>
    <x v="7"/>
    <x v="26"/>
    <x v="2"/>
    <x v="28"/>
    <x v="25"/>
    <x v="27"/>
    <x v="26"/>
    <x v="27"/>
    <x v="15"/>
    <x v="0"/>
    <x v="26"/>
    <x v="2"/>
    <x v="26"/>
    <x v="42"/>
    <x v="48"/>
    <x v="1"/>
    <x v="46"/>
    <x v="3"/>
    <x v="0"/>
  </r>
  <r>
    <x v="422"/>
    <x v="6"/>
    <x v="7"/>
    <x v="8"/>
    <x v="10"/>
    <x v="39"/>
    <x v="19"/>
    <x v="8"/>
    <x v="24"/>
    <x v="27"/>
    <x v="5"/>
    <x v="0"/>
    <x v="8"/>
    <x v="10"/>
    <x v="8"/>
    <x v="59"/>
    <x v="53"/>
    <x v="1"/>
    <x v="63"/>
    <x v="0"/>
    <x v="0"/>
  </r>
  <r>
    <x v="1"/>
    <x v="6"/>
    <x v="8"/>
    <x v="1"/>
    <x v="21"/>
    <x v="35"/>
    <x v="30"/>
    <x v="1"/>
    <x v="22"/>
    <x v="51"/>
    <x v="12"/>
    <x v="0"/>
    <x v="1"/>
    <x v="21"/>
    <x v="1"/>
    <x v="44"/>
    <x v="60"/>
    <x v="1"/>
    <x v="48"/>
    <x v="3"/>
    <x v="0"/>
  </r>
  <r>
    <x v="1"/>
    <x v="6"/>
    <x v="8"/>
    <x v="6"/>
    <x v="2"/>
    <x v="24"/>
    <x v="8"/>
    <x v="2"/>
    <x v="32"/>
    <x v="15"/>
    <x v="31"/>
    <x v="0"/>
    <x v="6"/>
    <x v="2"/>
    <x v="6"/>
    <x v="55"/>
    <x v="27"/>
    <x v="0"/>
    <x v="25"/>
    <x v="3"/>
    <x v="2"/>
  </r>
  <r>
    <x v="1"/>
    <x v="6"/>
    <x v="8"/>
    <x v="9"/>
    <x v="24"/>
    <x v="21"/>
    <x v="4"/>
    <x v="9"/>
    <x v="35"/>
    <x v="14"/>
    <x v="38"/>
    <x v="0"/>
    <x v="9"/>
    <x v="24"/>
    <x v="9"/>
    <x v="56"/>
    <x v="20"/>
    <x v="1"/>
    <x v="60"/>
    <x v="0"/>
    <x v="2"/>
  </r>
  <r>
    <x v="1"/>
    <x v="6"/>
    <x v="8"/>
    <x v="10"/>
    <x v="11"/>
    <x v="21"/>
    <x v="29"/>
    <x v="11"/>
    <x v="30"/>
    <x v="34"/>
    <x v="11"/>
    <x v="0"/>
    <x v="10"/>
    <x v="11"/>
    <x v="11"/>
    <x v="31"/>
    <x v="45"/>
    <x v="0"/>
    <x v="49"/>
    <x v="0"/>
    <x v="0"/>
  </r>
  <r>
    <x v="1"/>
    <x v="6"/>
    <x v="8"/>
    <x v="13"/>
    <x v="14"/>
    <x v="21"/>
    <x v="18"/>
    <x v="13"/>
    <x v="26"/>
    <x v="31"/>
    <x v="22"/>
    <x v="0"/>
    <x v="13"/>
    <x v="14"/>
    <x v="13"/>
    <x v="42"/>
    <x v="34"/>
    <x v="1"/>
    <x v="46"/>
    <x v="3"/>
    <x v="2"/>
  </r>
  <r>
    <x v="1"/>
    <x v="6"/>
    <x v="8"/>
    <x v="17"/>
    <x v="0"/>
    <x v="3"/>
    <x v="42"/>
    <x v="0"/>
    <x v="23"/>
    <x v="12"/>
    <x v="19"/>
    <x v="0"/>
    <x v="17"/>
    <x v="0"/>
    <x v="0"/>
    <x v="1"/>
    <x v="40"/>
    <x v="0"/>
    <x v="79"/>
    <x v="0"/>
    <x v="0"/>
  </r>
  <r>
    <x v="1"/>
    <x v="6"/>
    <x v="8"/>
    <x v="18"/>
    <x v="20"/>
    <x v="11"/>
    <x v="33"/>
    <x v="20"/>
    <x v="22"/>
    <x v="28"/>
    <x v="40"/>
    <x v="0"/>
    <x v="18"/>
    <x v="20"/>
    <x v="20"/>
    <x v="17"/>
    <x v="39"/>
    <x v="0"/>
    <x v="63"/>
    <x v="0"/>
    <x v="0"/>
  </r>
  <r>
    <x v="1"/>
    <x v="6"/>
    <x v="8"/>
    <x v="19"/>
    <x v="5"/>
    <x v="35"/>
    <x v="8"/>
    <x v="19"/>
    <x v="25"/>
    <x v="22"/>
    <x v="43"/>
    <x v="0"/>
    <x v="19"/>
    <x v="5"/>
    <x v="19"/>
    <x v="66"/>
    <x v="38"/>
    <x v="1"/>
    <x v="70"/>
    <x v="0"/>
    <x v="0"/>
  </r>
  <r>
    <x v="1"/>
    <x v="6"/>
    <x v="8"/>
    <x v="23"/>
    <x v="3"/>
    <x v="27"/>
    <x v="8"/>
    <x v="3"/>
    <x v="30"/>
    <x v="20"/>
    <x v="26"/>
    <x v="0"/>
    <x v="23"/>
    <x v="3"/>
    <x v="23"/>
    <x v="58"/>
    <x v="30"/>
    <x v="0"/>
    <x v="22"/>
    <x v="3"/>
    <x v="2"/>
  </r>
  <r>
    <x v="1"/>
    <x v="6"/>
    <x v="8"/>
    <x v="25"/>
    <x v="8"/>
    <x v="24"/>
    <x v="11"/>
    <x v="25"/>
    <x v="24"/>
    <x v="22"/>
    <x v="18"/>
    <x v="0"/>
    <x v="25"/>
    <x v="8"/>
    <x v="25"/>
    <x v="52"/>
    <x v="30"/>
    <x v="1"/>
    <x v="56"/>
    <x v="0"/>
    <x v="2"/>
  </r>
  <r>
    <x v="1"/>
    <x v="6"/>
    <x v="8"/>
    <x v="26"/>
    <x v="7"/>
    <x v="24"/>
    <x v="22"/>
    <x v="27"/>
    <x v="31"/>
    <x v="17"/>
    <x v="15"/>
    <x v="0"/>
    <x v="26"/>
    <x v="7"/>
    <x v="26"/>
    <x v="41"/>
    <x v="41"/>
    <x v="1"/>
    <x v="45"/>
    <x v="2"/>
    <x v="0"/>
  </r>
  <r>
    <x v="1"/>
    <x v="6"/>
    <x v="8"/>
    <x v="27"/>
    <x v="15"/>
    <x v="24"/>
    <x v="35"/>
    <x v="15"/>
    <x v="26"/>
    <x v="24"/>
    <x v="32"/>
    <x v="0"/>
    <x v="16"/>
    <x v="15"/>
    <x v="15"/>
    <x v="28"/>
    <x v="54"/>
    <x v="0"/>
    <x v="52"/>
    <x v="0"/>
    <x v="0"/>
  </r>
  <r>
    <x v="1"/>
    <x v="6"/>
    <x v="8"/>
    <x v="28"/>
    <x v="29"/>
    <x v="20"/>
    <x v="23"/>
    <x v="28"/>
    <x v="14"/>
    <x v="24"/>
    <x v="17"/>
    <x v="0"/>
    <x v="28"/>
    <x v="27"/>
    <x v="27"/>
    <x v="36"/>
    <x v="38"/>
    <x v="0"/>
    <x v="44"/>
    <x v="3"/>
    <x v="0"/>
  </r>
  <r>
    <x v="1"/>
    <x v="6"/>
    <x v="8"/>
    <x v="31"/>
    <x v="4"/>
    <x v="14"/>
    <x v="14"/>
    <x v="30"/>
    <x v="31"/>
    <x v="23"/>
    <x v="34"/>
    <x v="0"/>
    <x v="29"/>
    <x v="4"/>
    <x v="29"/>
    <x v="39"/>
    <x v="23"/>
    <x v="1"/>
    <x v="43"/>
    <x v="3"/>
    <x v="2"/>
  </r>
  <r>
    <x v="1"/>
    <x v="6"/>
    <x v="8"/>
    <x v="32"/>
    <x v="12"/>
    <x v="21"/>
    <x v="15"/>
    <x v="31"/>
    <x v="31"/>
    <x v="17"/>
    <x v="28"/>
    <x v="0"/>
    <x v="30"/>
    <x v="12"/>
    <x v="30"/>
    <x v="45"/>
    <x v="31"/>
    <x v="1"/>
    <x v="49"/>
    <x v="0"/>
    <x v="2"/>
  </r>
  <r>
    <x v="1"/>
    <x v="6"/>
    <x v="8"/>
    <x v="33"/>
    <x v="22"/>
    <x v="7"/>
    <x v="17"/>
    <x v="32"/>
    <x v="19"/>
    <x v="29"/>
    <x v="9"/>
    <x v="0"/>
    <x v="31"/>
    <x v="22"/>
    <x v="22"/>
    <x v="29"/>
    <x v="19"/>
    <x v="1"/>
    <x v="33"/>
    <x v="3"/>
    <x v="2"/>
  </r>
  <r>
    <x v="12"/>
    <x v="6"/>
    <x v="20"/>
    <x v="12"/>
    <x v="24"/>
    <x v="24"/>
    <x v="12"/>
    <x v="12"/>
    <x v="29"/>
    <x v="10"/>
    <x v="46"/>
    <x v="1"/>
    <x v="12"/>
    <x v="24"/>
    <x v="12"/>
    <x v="51"/>
    <x v="31"/>
    <x v="1"/>
    <x v="55"/>
    <x v="0"/>
    <x v="0"/>
  </r>
  <r>
    <x v="12"/>
    <x v="6"/>
    <x v="20"/>
    <x v="29"/>
    <x v="10"/>
    <x v="23"/>
    <x v="4"/>
    <x v="28"/>
    <x v="21"/>
    <x v="25"/>
    <x v="46"/>
    <x v="1"/>
    <x v="27"/>
    <x v="10"/>
    <x v="27"/>
    <x v="58"/>
    <x v="22"/>
    <x v="1"/>
    <x v="62"/>
    <x v="0"/>
    <x v="2"/>
  </r>
  <r>
    <x v="16"/>
    <x v="6"/>
    <x v="20"/>
    <x v="11"/>
    <x v="22"/>
    <x v="35"/>
    <x v="11"/>
    <x v="11"/>
    <x v="27"/>
    <x v="27"/>
    <x v="46"/>
    <x v="1"/>
    <x v="11"/>
    <x v="22"/>
    <x v="11"/>
    <x v="63"/>
    <x v="41"/>
    <x v="1"/>
    <x v="67"/>
    <x v="0"/>
    <x v="0"/>
  </r>
  <r>
    <x v="16"/>
    <x v="6"/>
    <x v="20"/>
    <x v="26"/>
    <x v="18"/>
    <x v="27"/>
    <x v="10"/>
    <x v="27"/>
    <x v="15"/>
    <x v="29"/>
    <x v="46"/>
    <x v="1"/>
    <x v="26"/>
    <x v="18"/>
    <x v="26"/>
    <x v="56"/>
    <x v="32"/>
    <x v="1"/>
    <x v="60"/>
    <x v="0"/>
    <x v="2"/>
  </r>
  <r>
    <x v="28"/>
    <x v="6"/>
    <x v="18"/>
    <x v="1"/>
    <x v="29"/>
    <x v="33"/>
    <x v="18"/>
    <x v="1"/>
    <x v="24"/>
    <x v="36"/>
    <x v="12"/>
    <x v="1"/>
    <x v="1"/>
    <x v="27"/>
    <x v="1"/>
    <x v="54"/>
    <x v="46"/>
    <x v="1"/>
    <x v="58"/>
    <x v="0"/>
    <x v="0"/>
  </r>
  <r>
    <x v="28"/>
    <x v="6"/>
    <x v="18"/>
    <x v="20"/>
    <x v="12"/>
    <x v="31"/>
    <x v="14"/>
    <x v="20"/>
    <x v="5"/>
    <x v="22"/>
    <x v="46"/>
    <x v="1"/>
    <x v="20"/>
    <x v="12"/>
    <x v="20"/>
    <x v="56"/>
    <x v="40"/>
    <x v="1"/>
    <x v="60"/>
    <x v="0"/>
    <x v="0"/>
  </r>
  <r>
    <x v="32"/>
    <x v="6"/>
    <x v="18"/>
    <x v="8"/>
    <x v="11"/>
    <x v="28"/>
    <x v="32"/>
    <x v="8"/>
    <x v="26"/>
    <x v="39"/>
    <x v="5"/>
    <x v="1"/>
    <x v="8"/>
    <x v="11"/>
    <x v="11"/>
    <x v="35"/>
    <x v="55"/>
    <x v="1"/>
    <x v="39"/>
    <x v="3"/>
    <x v="0"/>
  </r>
  <r>
    <x v="32"/>
    <x v="6"/>
    <x v="18"/>
    <x v="15"/>
    <x v="26"/>
    <x v="13"/>
    <x v="16"/>
    <x v="15"/>
    <x v="32"/>
    <x v="25"/>
    <x v="46"/>
    <x v="1"/>
    <x v="15"/>
    <x v="26"/>
    <x v="26"/>
    <x v="36"/>
    <x v="24"/>
    <x v="1"/>
    <x v="40"/>
    <x v="3"/>
    <x v="2"/>
  </r>
  <r>
    <x v="41"/>
    <x v="6"/>
    <x v="17"/>
    <x v="1"/>
    <x v="11"/>
    <x v="41"/>
    <x v="19"/>
    <x v="1"/>
    <x v="24"/>
    <x v="53"/>
    <x v="12"/>
    <x v="1"/>
    <x v="1"/>
    <x v="11"/>
    <x v="1"/>
    <x v="61"/>
    <x v="55"/>
    <x v="1"/>
    <x v="65"/>
    <x v="0"/>
    <x v="0"/>
  </r>
  <r>
    <x v="41"/>
    <x v="6"/>
    <x v="17"/>
    <x v="20"/>
    <x v="26"/>
    <x v="33"/>
    <x v="15"/>
    <x v="20"/>
    <x v="26"/>
    <x v="34"/>
    <x v="46"/>
    <x v="1"/>
    <x v="20"/>
    <x v="26"/>
    <x v="20"/>
    <x v="57"/>
    <x v="43"/>
    <x v="1"/>
    <x v="61"/>
    <x v="0"/>
    <x v="0"/>
  </r>
  <r>
    <x v="41"/>
    <x v="6"/>
    <x v="19"/>
    <x v="20"/>
    <x v="1"/>
    <x v="31"/>
    <x v="26"/>
    <x v="20"/>
    <x v="31"/>
    <x v="49"/>
    <x v="29"/>
    <x v="1"/>
    <x v="20"/>
    <x v="1"/>
    <x v="20"/>
    <x v="44"/>
    <x v="52"/>
    <x v="1"/>
    <x v="48"/>
    <x v="0"/>
    <x v="0"/>
  </r>
  <r>
    <x v="55"/>
    <x v="7"/>
    <x v="0"/>
    <x v="20"/>
    <x v="15"/>
    <x v="24"/>
    <x v="40"/>
    <x v="20"/>
    <x v="19"/>
    <x v="31"/>
    <x v="13"/>
    <x v="0"/>
    <x v="20"/>
    <x v="15"/>
    <x v="15"/>
    <x v="23"/>
    <x v="59"/>
    <x v="1"/>
    <x v="27"/>
    <x v="3"/>
    <x v="0"/>
  </r>
  <r>
    <x v="65"/>
    <x v="7"/>
    <x v="0"/>
    <x v="3"/>
    <x v="23"/>
    <x v="18"/>
    <x v="10"/>
    <x v="3"/>
    <x v="18"/>
    <x v="14"/>
    <x v="27"/>
    <x v="0"/>
    <x v="3"/>
    <x v="23"/>
    <x v="3"/>
    <x v="47"/>
    <x v="23"/>
    <x v="1"/>
    <x v="51"/>
    <x v="3"/>
    <x v="2"/>
  </r>
  <r>
    <x v="65"/>
    <x v="7"/>
    <x v="0"/>
    <x v="5"/>
    <x v="1"/>
    <x v="14"/>
    <x v="21"/>
    <x v="1"/>
    <x v="23"/>
    <x v="33"/>
    <x v="37"/>
    <x v="0"/>
    <x v="5"/>
    <x v="1"/>
    <x v="1"/>
    <x v="32"/>
    <x v="30"/>
    <x v="0"/>
    <x v="48"/>
    <x v="3"/>
    <x v="2"/>
  </r>
  <r>
    <x v="65"/>
    <x v="7"/>
    <x v="0"/>
    <x v="6"/>
    <x v="2"/>
    <x v="0"/>
    <x v="18"/>
    <x v="6"/>
    <x v="31"/>
    <x v="19"/>
    <x v="31"/>
    <x v="0"/>
    <x v="6"/>
    <x v="2"/>
    <x v="2"/>
    <x v="18"/>
    <x v="10"/>
    <x v="1"/>
    <x v="22"/>
    <x v="3"/>
    <x v="2"/>
  </r>
  <r>
    <x v="65"/>
    <x v="7"/>
    <x v="0"/>
    <x v="7"/>
    <x v="26"/>
    <x v="15"/>
    <x v="19"/>
    <x v="27"/>
    <x v="19"/>
    <x v="28"/>
    <x v="10"/>
    <x v="0"/>
    <x v="7"/>
    <x v="26"/>
    <x v="26"/>
    <x v="35"/>
    <x v="29"/>
    <x v="0"/>
    <x v="45"/>
    <x v="3"/>
    <x v="2"/>
  </r>
  <r>
    <x v="65"/>
    <x v="7"/>
    <x v="0"/>
    <x v="8"/>
    <x v="22"/>
    <x v="16"/>
    <x v="2"/>
    <x v="8"/>
    <x v="30"/>
    <x v="29"/>
    <x v="1"/>
    <x v="0"/>
    <x v="8"/>
    <x v="22"/>
    <x v="8"/>
    <x v="54"/>
    <x v="12"/>
    <x v="1"/>
    <x v="58"/>
    <x v="0"/>
    <x v="2"/>
  </r>
  <r>
    <x v="65"/>
    <x v="7"/>
    <x v="0"/>
    <x v="10"/>
    <x v="0"/>
    <x v="32"/>
    <x v="21"/>
    <x v="0"/>
    <x v="33"/>
    <x v="30"/>
    <x v="11"/>
    <x v="0"/>
    <x v="10"/>
    <x v="0"/>
    <x v="10"/>
    <x v="50"/>
    <x v="48"/>
    <x v="0"/>
    <x v="30"/>
    <x v="3"/>
    <x v="0"/>
  </r>
  <r>
    <x v="65"/>
    <x v="7"/>
    <x v="0"/>
    <x v="11"/>
    <x v="29"/>
    <x v="14"/>
    <x v="7"/>
    <x v="11"/>
    <x v="31"/>
    <x v="35"/>
    <x v="16"/>
    <x v="0"/>
    <x v="11"/>
    <x v="27"/>
    <x v="11"/>
    <x v="46"/>
    <x v="16"/>
    <x v="1"/>
    <x v="50"/>
    <x v="0"/>
    <x v="2"/>
  </r>
  <r>
    <x v="65"/>
    <x v="7"/>
    <x v="0"/>
    <x v="12"/>
    <x v="14"/>
    <x v="4"/>
    <x v="27"/>
    <x v="12"/>
    <x v="26"/>
    <x v="13"/>
    <x v="29"/>
    <x v="0"/>
    <x v="12"/>
    <x v="14"/>
    <x v="14"/>
    <x v="16"/>
    <x v="26"/>
    <x v="1"/>
    <x v="20"/>
    <x v="3"/>
    <x v="2"/>
  </r>
  <r>
    <x v="65"/>
    <x v="7"/>
    <x v="0"/>
    <x v="17"/>
    <x v="13"/>
    <x v="43"/>
    <x v="7"/>
    <x v="13"/>
    <x v="34"/>
    <x v="17"/>
    <x v="19"/>
    <x v="0"/>
    <x v="17"/>
    <x v="13"/>
    <x v="17"/>
    <x v="74"/>
    <x v="45"/>
    <x v="0"/>
    <x v="6"/>
    <x v="3"/>
    <x v="0"/>
  </r>
  <r>
    <x v="65"/>
    <x v="7"/>
    <x v="0"/>
    <x v="28"/>
    <x v="4"/>
    <x v="2"/>
    <x v="21"/>
    <x v="4"/>
    <x v="26"/>
    <x v="30"/>
    <x v="17"/>
    <x v="0"/>
    <x v="28"/>
    <x v="4"/>
    <x v="4"/>
    <x v="18"/>
    <x v="16"/>
    <x v="0"/>
    <x v="62"/>
    <x v="0"/>
    <x v="2"/>
  </r>
  <r>
    <x v="65"/>
    <x v="7"/>
    <x v="0"/>
    <x v="32"/>
    <x v="24"/>
    <x v="13"/>
    <x v="24"/>
    <x v="31"/>
    <x v="33"/>
    <x v="35"/>
    <x v="21"/>
    <x v="0"/>
    <x v="30"/>
    <x v="24"/>
    <x v="24"/>
    <x v="28"/>
    <x v="32"/>
    <x v="1"/>
    <x v="32"/>
    <x v="3"/>
    <x v="2"/>
  </r>
  <r>
    <x v="65"/>
    <x v="7"/>
    <x v="0"/>
    <x v="33"/>
    <x v="25"/>
    <x v="14"/>
    <x v="28"/>
    <x v="25"/>
    <x v="35"/>
    <x v="29"/>
    <x v="9"/>
    <x v="0"/>
    <x v="31"/>
    <x v="25"/>
    <x v="25"/>
    <x v="25"/>
    <x v="37"/>
    <x v="0"/>
    <x v="55"/>
    <x v="0"/>
    <x v="2"/>
  </r>
  <r>
    <x v="69"/>
    <x v="7"/>
    <x v="0"/>
    <x v="9"/>
    <x v="16"/>
    <x v="21"/>
    <x v="19"/>
    <x v="9"/>
    <x v="30"/>
    <x v="21"/>
    <x v="38"/>
    <x v="0"/>
    <x v="9"/>
    <x v="16"/>
    <x v="9"/>
    <x v="41"/>
    <x v="35"/>
    <x v="1"/>
    <x v="45"/>
    <x v="3"/>
    <x v="0"/>
  </r>
  <r>
    <x v="69"/>
    <x v="7"/>
    <x v="0"/>
    <x v="19"/>
    <x v="21"/>
    <x v="26"/>
    <x v="17"/>
    <x v="19"/>
    <x v="30"/>
    <x v="30"/>
    <x v="43"/>
    <x v="0"/>
    <x v="19"/>
    <x v="21"/>
    <x v="19"/>
    <x v="48"/>
    <x v="38"/>
    <x v="1"/>
    <x v="52"/>
    <x v="0"/>
    <x v="1"/>
  </r>
  <r>
    <x v="79"/>
    <x v="7"/>
    <x v="9"/>
    <x v="6"/>
    <x v="12"/>
    <x v="6"/>
    <x v="11"/>
    <x v="6"/>
    <x v="24"/>
    <x v="10"/>
    <x v="31"/>
    <x v="0"/>
    <x v="6"/>
    <x v="12"/>
    <x v="12"/>
    <x v="34"/>
    <x v="12"/>
    <x v="1"/>
    <x v="38"/>
    <x v="3"/>
    <x v="2"/>
  </r>
  <r>
    <x v="87"/>
    <x v="7"/>
    <x v="9"/>
    <x v="1"/>
    <x v="11"/>
    <x v="31"/>
    <x v="21"/>
    <x v="1"/>
    <x v="32"/>
    <x v="16"/>
    <x v="12"/>
    <x v="0"/>
    <x v="1"/>
    <x v="11"/>
    <x v="1"/>
    <x v="49"/>
    <x v="47"/>
    <x v="1"/>
    <x v="53"/>
    <x v="0"/>
    <x v="0"/>
  </r>
  <r>
    <x v="87"/>
    <x v="7"/>
    <x v="9"/>
    <x v="2"/>
    <x v="7"/>
    <x v="21"/>
    <x v="8"/>
    <x v="2"/>
    <x v="22"/>
    <x v="14"/>
    <x v="23"/>
    <x v="0"/>
    <x v="2"/>
    <x v="7"/>
    <x v="2"/>
    <x v="52"/>
    <x v="24"/>
    <x v="1"/>
    <x v="56"/>
    <x v="0"/>
    <x v="2"/>
  </r>
  <r>
    <x v="87"/>
    <x v="7"/>
    <x v="9"/>
    <x v="4"/>
    <x v="3"/>
    <x v="6"/>
    <x v="2"/>
    <x v="4"/>
    <x v="23"/>
    <x v="19"/>
    <x v="2"/>
    <x v="0"/>
    <x v="4"/>
    <x v="3"/>
    <x v="4"/>
    <x v="44"/>
    <x v="3"/>
    <x v="1"/>
    <x v="48"/>
    <x v="3"/>
    <x v="2"/>
  </r>
  <r>
    <x v="87"/>
    <x v="7"/>
    <x v="9"/>
    <x v="9"/>
    <x v="8"/>
    <x v="39"/>
    <x v="15"/>
    <x v="8"/>
    <x v="33"/>
    <x v="18"/>
    <x v="38"/>
    <x v="0"/>
    <x v="9"/>
    <x v="8"/>
    <x v="9"/>
    <x v="63"/>
    <x v="49"/>
    <x v="0"/>
    <x v="17"/>
    <x v="3"/>
    <x v="0"/>
  </r>
  <r>
    <x v="87"/>
    <x v="7"/>
    <x v="9"/>
    <x v="13"/>
    <x v="0"/>
    <x v="10"/>
    <x v="14"/>
    <x v="0"/>
    <x v="22"/>
    <x v="23"/>
    <x v="22"/>
    <x v="0"/>
    <x v="13"/>
    <x v="0"/>
    <x v="0"/>
    <x v="35"/>
    <x v="19"/>
    <x v="0"/>
    <x v="45"/>
    <x v="3"/>
    <x v="2"/>
  </r>
  <r>
    <x v="87"/>
    <x v="7"/>
    <x v="9"/>
    <x v="14"/>
    <x v="32"/>
    <x v="13"/>
    <x v="35"/>
    <x v="31"/>
    <x v="34"/>
    <x v="21"/>
    <x v="8"/>
    <x v="0"/>
    <x v="14"/>
    <x v="30"/>
    <x v="30"/>
    <x v="17"/>
    <x v="43"/>
    <x v="0"/>
    <x v="63"/>
    <x v="0"/>
    <x v="0"/>
  </r>
  <r>
    <x v="87"/>
    <x v="7"/>
    <x v="9"/>
    <x v="15"/>
    <x v="25"/>
    <x v="24"/>
    <x v="18"/>
    <x v="15"/>
    <x v="28"/>
    <x v="29"/>
    <x v="0"/>
    <x v="0"/>
    <x v="15"/>
    <x v="25"/>
    <x v="15"/>
    <x v="45"/>
    <x v="37"/>
    <x v="1"/>
    <x v="49"/>
    <x v="0"/>
    <x v="2"/>
  </r>
  <r>
    <x v="87"/>
    <x v="7"/>
    <x v="9"/>
    <x v="16"/>
    <x v="18"/>
    <x v="14"/>
    <x v="17"/>
    <x v="16"/>
    <x v="28"/>
    <x v="24"/>
    <x v="39"/>
    <x v="0"/>
    <x v="16"/>
    <x v="18"/>
    <x v="18"/>
    <x v="36"/>
    <x v="26"/>
    <x v="1"/>
    <x v="40"/>
    <x v="3"/>
    <x v="2"/>
  </r>
  <r>
    <x v="87"/>
    <x v="7"/>
    <x v="9"/>
    <x v="17"/>
    <x v="33"/>
    <x v="17"/>
    <x v="25"/>
    <x v="17"/>
    <x v="32"/>
    <x v="26"/>
    <x v="19"/>
    <x v="0"/>
    <x v="17"/>
    <x v="31"/>
    <x v="32"/>
    <x v="31"/>
    <x v="37"/>
    <x v="1"/>
    <x v="35"/>
    <x v="3"/>
    <x v="0"/>
  </r>
  <r>
    <x v="87"/>
    <x v="7"/>
    <x v="9"/>
    <x v="21"/>
    <x v="20"/>
    <x v="17"/>
    <x v="34"/>
    <x v="20"/>
    <x v="23"/>
    <x v="44"/>
    <x v="25"/>
    <x v="0"/>
    <x v="21"/>
    <x v="20"/>
    <x v="20"/>
    <x v="22"/>
    <x v="46"/>
    <x v="0"/>
    <x v="58"/>
    <x v="0"/>
    <x v="0"/>
  </r>
  <r>
    <x v="87"/>
    <x v="7"/>
    <x v="9"/>
    <x v="24"/>
    <x v="23"/>
    <x v="42"/>
    <x v="18"/>
    <x v="24"/>
    <x v="9"/>
    <x v="21"/>
    <x v="30"/>
    <x v="0"/>
    <x v="24"/>
    <x v="23"/>
    <x v="24"/>
    <x v="63"/>
    <x v="55"/>
    <x v="1"/>
    <x v="67"/>
    <x v="0"/>
    <x v="0"/>
  </r>
  <r>
    <x v="87"/>
    <x v="7"/>
    <x v="9"/>
    <x v="26"/>
    <x v="19"/>
    <x v="23"/>
    <x v="7"/>
    <x v="27"/>
    <x v="25"/>
    <x v="25"/>
    <x v="15"/>
    <x v="0"/>
    <x v="26"/>
    <x v="19"/>
    <x v="26"/>
    <x v="55"/>
    <x v="25"/>
    <x v="1"/>
    <x v="59"/>
    <x v="0"/>
    <x v="2"/>
  </r>
  <r>
    <x v="87"/>
    <x v="7"/>
    <x v="9"/>
    <x v="29"/>
    <x v="28"/>
    <x v="9"/>
    <x v="7"/>
    <x v="28"/>
    <x v="10"/>
    <x v="19"/>
    <x v="4"/>
    <x v="0"/>
    <x v="27"/>
    <x v="28"/>
    <x v="27"/>
    <x v="41"/>
    <x v="11"/>
    <x v="1"/>
    <x v="45"/>
    <x v="3"/>
    <x v="2"/>
  </r>
  <r>
    <x v="87"/>
    <x v="7"/>
    <x v="9"/>
    <x v="31"/>
    <x v="5"/>
    <x v="26"/>
    <x v="5"/>
    <x v="30"/>
    <x v="23"/>
    <x v="20"/>
    <x v="34"/>
    <x v="0"/>
    <x v="29"/>
    <x v="5"/>
    <x v="29"/>
    <x v="60"/>
    <x v="26"/>
    <x v="1"/>
    <x v="64"/>
    <x v="0"/>
    <x v="2"/>
  </r>
  <r>
    <x v="91"/>
    <x v="7"/>
    <x v="9"/>
    <x v="22"/>
    <x v="10"/>
    <x v="7"/>
    <x v="22"/>
    <x v="22"/>
    <x v="30"/>
    <x v="21"/>
    <x v="26"/>
    <x v="0"/>
    <x v="22"/>
    <x v="10"/>
    <x v="10"/>
    <x v="24"/>
    <x v="24"/>
    <x v="1"/>
    <x v="28"/>
    <x v="3"/>
    <x v="2"/>
  </r>
  <r>
    <x v="101"/>
    <x v="7"/>
    <x v="10"/>
    <x v="28"/>
    <x v="17"/>
    <x v="36"/>
    <x v="39"/>
    <x v="17"/>
    <x v="33"/>
    <x v="15"/>
    <x v="17"/>
    <x v="0"/>
    <x v="28"/>
    <x v="17"/>
    <x v="17"/>
    <x v="36"/>
    <x v="70"/>
    <x v="0"/>
    <x v="44"/>
    <x v="2"/>
    <x v="0"/>
  </r>
  <r>
    <x v="109"/>
    <x v="7"/>
    <x v="10"/>
    <x v="3"/>
    <x v="9"/>
    <x v="23"/>
    <x v="14"/>
    <x v="9"/>
    <x v="31"/>
    <x v="14"/>
    <x v="27"/>
    <x v="0"/>
    <x v="3"/>
    <x v="9"/>
    <x v="3"/>
    <x v="48"/>
    <x v="32"/>
    <x v="0"/>
    <x v="32"/>
    <x v="3"/>
    <x v="0"/>
  </r>
  <r>
    <x v="109"/>
    <x v="7"/>
    <x v="10"/>
    <x v="4"/>
    <x v="21"/>
    <x v="10"/>
    <x v="32"/>
    <x v="4"/>
    <x v="27"/>
    <x v="27"/>
    <x v="2"/>
    <x v="0"/>
    <x v="4"/>
    <x v="21"/>
    <x v="21"/>
    <x v="17"/>
    <x v="37"/>
    <x v="1"/>
    <x v="21"/>
    <x v="3"/>
    <x v="0"/>
  </r>
  <r>
    <x v="109"/>
    <x v="7"/>
    <x v="10"/>
    <x v="5"/>
    <x v="26"/>
    <x v="20"/>
    <x v="15"/>
    <x v="27"/>
    <x v="23"/>
    <x v="21"/>
    <x v="37"/>
    <x v="0"/>
    <x v="5"/>
    <x v="26"/>
    <x v="5"/>
    <x v="44"/>
    <x v="30"/>
    <x v="0"/>
    <x v="36"/>
    <x v="3"/>
    <x v="2"/>
  </r>
  <r>
    <x v="109"/>
    <x v="7"/>
    <x v="10"/>
    <x v="10"/>
    <x v="1"/>
    <x v="23"/>
    <x v="28"/>
    <x v="1"/>
    <x v="31"/>
    <x v="36"/>
    <x v="11"/>
    <x v="0"/>
    <x v="10"/>
    <x v="1"/>
    <x v="1"/>
    <x v="34"/>
    <x v="46"/>
    <x v="0"/>
    <x v="46"/>
    <x v="0"/>
    <x v="0"/>
  </r>
  <r>
    <x v="109"/>
    <x v="7"/>
    <x v="10"/>
    <x v="11"/>
    <x v="6"/>
    <x v="24"/>
    <x v="22"/>
    <x v="11"/>
    <x v="19"/>
    <x v="29"/>
    <x v="16"/>
    <x v="0"/>
    <x v="11"/>
    <x v="6"/>
    <x v="11"/>
    <x v="41"/>
    <x v="41"/>
    <x v="1"/>
    <x v="45"/>
    <x v="3"/>
    <x v="0"/>
  </r>
  <r>
    <x v="109"/>
    <x v="7"/>
    <x v="10"/>
    <x v="13"/>
    <x v="7"/>
    <x v="28"/>
    <x v="26"/>
    <x v="7"/>
    <x v="35"/>
    <x v="18"/>
    <x v="22"/>
    <x v="0"/>
    <x v="13"/>
    <x v="7"/>
    <x v="13"/>
    <x v="41"/>
    <x v="49"/>
    <x v="0"/>
    <x v="39"/>
    <x v="3"/>
    <x v="0"/>
  </r>
  <r>
    <x v="109"/>
    <x v="7"/>
    <x v="10"/>
    <x v="14"/>
    <x v="2"/>
    <x v="41"/>
    <x v="5"/>
    <x v="2"/>
    <x v="29"/>
    <x v="10"/>
    <x v="45"/>
    <x v="0"/>
    <x v="14"/>
    <x v="2"/>
    <x v="14"/>
    <x v="74"/>
    <x v="41"/>
    <x v="0"/>
    <x v="6"/>
    <x v="3"/>
    <x v="0"/>
  </r>
  <r>
    <x v="109"/>
    <x v="7"/>
    <x v="10"/>
    <x v="16"/>
    <x v="15"/>
    <x v="7"/>
    <x v="22"/>
    <x v="15"/>
    <x v="31"/>
    <x v="29"/>
    <x v="39"/>
    <x v="0"/>
    <x v="16"/>
    <x v="15"/>
    <x v="15"/>
    <x v="24"/>
    <x v="24"/>
    <x v="0"/>
    <x v="56"/>
    <x v="0"/>
    <x v="2"/>
  </r>
  <r>
    <x v="109"/>
    <x v="7"/>
    <x v="10"/>
    <x v="19"/>
    <x v="31"/>
    <x v="31"/>
    <x v="15"/>
    <x v="30"/>
    <x v="34"/>
    <x v="16"/>
    <x v="43"/>
    <x v="0"/>
    <x v="19"/>
    <x v="29"/>
    <x v="19"/>
    <x v="55"/>
    <x v="41"/>
    <x v="0"/>
    <x v="25"/>
    <x v="3"/>
    <x v="0"/>
  </r>
  <r>
    <x v="109"/>
    <x v="7"/>
    <x v="10"/>
    <x v="20"/>
    <x v="12"/>
    <x v="33"/>
    <x v="31"/>
    <x v="20"/>
    <x v="11"/>
    <x v="23"/>
    <x v="13"/>
    <x v="0"/>
    <x v="20"/>
    <x v="12"/>
    <x v="20"/>
    <x v="41"/>
    <x v="59"/>
    <x v="1"/>
    <x v="45"/>
    <x v="3"/>
    <x v="0"/>
  </r>
  <r>
    <x v="109"/>
    <x v="7"/>
    <x v="10"/>
    <x v="23"/>
    <x v="18"/>
    <x v="17"/>
    <x v="4"/>
    <x v="18"/>
    <x v="26"/>
    <x v="20"/>
    <x v="26"/>
    <x v="0"/>
    <x v="23"/>
    <x v="18"/>
    <x v="23"/>
    <x v="52"/>
    <x v="16"/>
    <x v="0"/>
    <x v="28"/>
    <x v="3"/>
    <x v="2"/>
  </r>
  <r>
    <x v="109"/>
    <x v="7"/>
    <x v="10"/>
    <x v="25"/>
    <x v="22"/>
    <x v="24"/>
    <x v="22"/>
    <x v="25"/>
    <x v="25"/>
    <x v="20"/>
    <x v="18"/>
    <x v="0"/>
    <x v="25"/>
    <x v="22"/>
    <x v="25"/>
    <x v="41"/>
    <x v="41"/>
    <x v="1"/>
    <x v="45"/>
    <x v="3"/>
    <x v="0"/>
  </r>
  <r>
    <x v="109"/>
    <x v="7"/>
    <x v="10"/>
    <x v="32"/>
    <x v="29"/>
    <x v="30"/>
    <x v="25"/>
    <x v="31"/>
    <x v="31"/>
    <x v="18"/>
    <x v="21"/>
    <x v="0"/>
    <x v="30"/>
    <x v="27"/>
    <x v="30"/>
    <x v="44"/>
    <x v="50"/>
    <x v="1"/>
    <x v="48"/>
    <x v="0"/>
    <x v="0"/>
  </r>
  <r>
    <x v="109"/>
    <x v="7"/>
    <x v="10"/>
    <x v="33"/>
    <x v="24"/>
    <x v="24"/>
    <x v="8"/>
    <x v="24"/>
    <x v="31"/>
    <x v="41"/>
    <x v="9"/>
    <x v="0"/>
    <x v="31"/>
    <x v="24"/>
    <x v="32"/>
    <x v="55"/>
    <x v="27"/>
    <x v="0"/>
    <x v="25"/>
    <x v="3"/>
    <x v="2"/>
  </r>
  <r>
    <x v="113"/>
    <x v="7"/>
    <x v="10"/>
    <x v="0"/>
    <x v="8"/>
    <x v="14"/>
    <x v="26"/>
    <x v="8"/>
    <x v="31"/>
    <x v="27"/>
    <x v="44"/>
    <x v="0"/>
    <x v="0"/>
    <x v="8"/>
    <x v="8"/>
    <x v="27"/>
    <x v="35"/>
    <x v="0"/>
    <x v="53"/>
    <x v="0"/>
    <x v="2"/>
  </r>
  <r>
    <x v="123"/>
    <x v="7"/>
    <x v="11"/>
    <x v="11"/>
    <x v="5"/>
    <x v="32"/>
    <x v="12"/>
    <x v="11"/>
    <x v="22"/>
    <x v="23"/>
    <x v="16"/>
    <x v="0"/>
    <x v="11"/>
    <x v="5"/>
    <x v="11"/>
    <x v="59"/>
    <x v="39"/>
    <x v="1"/>
    <x v="63"/>
    <x v="0"/>
    <x v="0"/>
  </r>
  <r>
    <x v="131"/>
    <x v="7"/>
    <x v="11"/>
    <x v="0"/>
    <x v="28"/>
    <x v="15"/>
    <x v="13"/>
    <x v="0"/>
    <x v="24"/>
    <x v="23"/>
    <x v="44"/>
    <x v="0"/>
    <x v="0"/>
    <x v="28"/>
    <x v="0"/>
    <x v="41"/>
    <x v="23"/>
    <x v="1"/>
    <x v="45"/>
    <x v="3"/>
    <x v="2"/>
  </r>
  <r>
    <x v="131"/>
    <x v="7"/>
    <x v="11"/>
    <x v="1"/>
    <x v="3"/>
    <x v="14"/>
    <x v="21"/>
    <x v="1"/>
    <x v="21"/>
    <x v="31"/>
    <x v="12"/>
    <x v="0"/>
    <x v="1"/>
    <x v="3"/>
    <x v="3"/>
    <x v="32"/>
    <x v="30"/>
    <x v="1"/>
    <x v="36"/>
    <x v="3"/>
    <x v="2"/>
  </r>
  <r>
    <x v="131"/>
    <x v="7"/>
    <x v="11"/>
    <x v="2"/>
    <x v="26"/>
    <x v="6"/>
    <x v="24"/>
    <x v="27"/>
    <x v="31"/>
    <x v="18"/>
    <x v="23"/>
    <x v="0"/>
    <x v="2"/>
    <x v="26"/>
    <x v="26"/>
    <x v="21"/>
    <x v="25"/>
    <x v="0"/>
    <x v="59"/>
    <x v="0"/>
    <x v="2"/>
  </r>
  <r>
    <x v="131"/>
    <x v="7"/>
    <x v="11"/>
    <x v="7"/>
    <x v="6"/>
    <x v="4"/>
    <x v="29"/>
    <x v="6"/>
    <x v="31"/>
    <x v="17"/>
    <x v="10"/>
    <x v="0"/>
    <x v="7"/>
    <x v="6"/>
    <x v="6"/>
    <x v="14"/>
    <x v="28"/>
    <x v="0"/>
    <x v="66"/>
    <x v="0"/>
    <x v="2"/>
  </r>
  <r>
    <x v="131"/>
    <x v="7"/>
    <x v="11"/>
    <x v="8"/>
    <x v="17"/>
    <x v="27"/>
    <x v="33"/>
    <x v="8"/>
    <x v="25"/>
    <x v="31"/>
    <x v="1"/>
    <x v="0"/>
    <x v="8"/>
    <x v="17"/>
    <x v="17"/>
    <x v="33"/>
    <x v="55"/>
    <x v="1"/>
    <x v="37"/>
    <x v="3"/>
    <x v="0"/>
  </r>
  <r>
    <x v="131"/>
    <x v="7"/>
    <x v="11"/>
    <x v="9"/>
    <x v="24"/>
    <x v="13"/>
    <x v="8"/>
    <x v="9"/>
    <x v="31"/>
    <x v="26"/>
    <x v="38"/>
    <x v="0"/>
    <x v="9"/>
    <x v="24"/>
    <x v="9"/>
    <x v="44"/>
    <x v="16"/>
    <x v="1"/>
    <x v="48"/>
    <x v="0"/>
    <x v="2"/>
  </r>
  <r>
    <x v="131"/>
    <x v="7"/>
    <x v="11"/>
    <x v="12"/>
    <x v="32"/>
    <x v="53"/>
    <x v="12"/>
    <x v="31"/>
    <x v="33"/>
    <x v="21"/>
    <x v="29"/>
    <x v="0"/>
    <x v="12"/>
    <x v="30"/>
    <x v="12"/>
    <x v="79"/>
    <x v="61"/>
    <x v="0"/>
    <x v="2"/>
    <x v="3"/>
    <x v="0"/>
  </r>
  <r>
    <x v="131"/>
    <x v="7"/>
    <x v="11"/>
    <x v="16"/>
    <x v="25"/>
    <x v="21"/>
    <x v="24"/>
    <x v="16"/>
    <x v="35"/>
    <x v="29"/>
    <x v="39"/>
    <x v="0"/>
    <x v="16"/>
    <x v="25"/>
    <x v="25"/>
    <x v="36"/>
    <x v="40"/>
    <x v="1"/>
    <x v="40"/>
    <x v="3"/>
    <x v="0"/>
  </r>
  <r>
    <x v="131"/>
    <x v="7"/>
    <x v="11"/>
    <x v="18"/>
    <x v="21"/>
    <x v="0"/>
    <x v="18"/>
    <x v="21"/>
    <x v="31"/>
    <x v="35"/>
    <x v="45"/>
    <x v="0"/>
    <x v="18"/>
    <x v="21"/>
    <x v="21"/>
    <x v="18"/>
    <x v="10"/>
    <x v="0"/>
    <x v="62"/>
    <x v="0"/>
    <x v="2"/>
  </r>
  <r>
    <x v="131"/>
    <x v="7"/>
    <x v="11"/>
    <x v="19"/>
    <x v="10"/>
    <x v="4"/>
    <x v="12"/>
    <x v="19"/>
    <x v="33"/>
    <x v="19"/>
    <x v="43"/>
    <x v="0"/>
    <x v="19"/>
    <x v="10"/>
    <x v="10"/>
    <x v="31"/>
    <x v="11"/>
    <x v="1"/>
    <x v="35"/>
    <x v="3"/>
    <x v="2"/>
  </r>
  <r>
    <x v="131"/>
    <x v="7"/>
    <x v="11"/>
    <x v="20"/>
    <x v="4"/>
    <x v="27"/>
    <x v="31"/>
    <x v="20"/>
    <x v="19"/>
    <x v="32"/>
    <x v="13"/>
    <x v="0"/>
    <x v="20"/>
    <x v="4"/>
    <x v="4"/>
    <x v="35"/>
    <x v="53"/>
    <x v="1"/>
    <x v="39"/>
    <x v="3"/>
    <x v="0"/>
  </r>
  <r>
    <x v="131"/>
    <x v="7"/>
    <x v="11"/>
    <x v="23"/>
    <x v="14"/>
    <x v="20"/>
    <x v="18"/>
    <x v="14"/>
    <x v="31"/>
    <x v="10"/>
    <x v="26"/>
    <x v="0"/>
    <x v="23"/>
    <x v="14"/>
    <x v="23"/>
    <x v="41"/>
    <x v="33"/>
    <x v="0"/>
    <x v="39"/>
    <x v="3"/>
    <x v="0"/>
  </r>
  <r>
    <x v="131"/>
    <x v="7"/>
    <x v="11"/>
    <x v="29"/>
    <x v="13"/>
    <x v="43"/>
    <x v="15"/>
    <x v="28"/>
    <x v="11"/>
    <x v="17"/>
    <x v="4"/>
    <x v="0"/>
    <x v="27"/>
    <x v="13"/>
    <x v="27"/>
    <x v="67"/>
    <x v="53"/>
    <x v="1"/>
    <x v="71"/>
    <x v="0"/>
    <x v="0"/>
  </r>
  <r>
    <x v="131"/>
    <x v="7"/>
    <x v="11"/>
    <x v="31"/>
    <x v="22"/>
    <x v="22"/>
    <x v="21"/>
    <x v="30"/>
    <x v="31"/>
    <x v="23"/>
    <x v="34"/>
    <x v="0"/>
    <x v="29"/>
    <x v="22"/>
    <x v="29"/>
    <x v="40"/>
    <x v="38"/>
    <x v="1"/>
    <x v="44"/>
    <x v="3"/>
    <x v="0"/>
  </r>
  <r>
    <x v="135"/>
    <x v="7"/>
    <x v="11"/>
    <x v="15"/>
    <x v="33"/>
    <x v="26"/>
    <x v="18"/>
    <x v="15"/>
    <x v="23"/>
    <x v="33"/>
    <x v="0"/>
    <x v="0"/>
    <x v="15"/>
    <x v="31"/>
    <x v="15"/>
    <x v="47"/>
    <x v="39"/>
    <x v="1"/>
    <x v="51"/>
    <x v="0"/>
    <x v="2"/>
  </r>
  <r>
    <x v="145"/>
    <x v="7"/>
    <x v="12"/>
    <x v="31"/>
    <x v="20"/>
    <x v="11"/>
    <x v="17"/>
    <x v="20"/>
    <x v="27"/>
    <x v="45"/>
    <x v="34"/>
    <x v="0"/>
    <x v="29"/>
    <x v="20"/>
    <x v="20"/>
    <x v="33"/>
    <x v="23"/>
    <x v="0"/>
    <x v="47"/>
    <x v="2"/>
    <x v="2"/>
  </r>
  <r>
    <x v="153"/>
    <x v="7"/>
    <x v="12"/>
    <x v="6"/>
    <x v="3"/>
    <x v="17"/>
    <x v="14"/>
    <x v="6"/>
    <x v="31"/>
    <x v="12"/>
    <x v="31"/>
    <x v="0"/>
    <x v="6"/>
    <x v="3"/>
    <x v="6"/>
    <x v="42"/>
    <x v="26"/>
    <x v="1"/>
    <x v="46"/>
    <x v="0"/>
    <x v="2"/>
  </r>
  <r>
    <x v="153"/>
    <x v="7"/>
    <x v="12"/>
    <x v="7"/>
    <x v="23"/>
    <x v="11"/>
    <x v="15"/>
    <x v="23"/>
    <x v="34"/>
    <x v="17"/>
    <x v="10"/>
    <x v="0"/>
    <x v="7"/>
    <x v="23"/>
    <x v="23"/>
    <x v="35"/>
    <x v="21"/>
    <x v="0"/>
    <x v="45"/>
    <x v="0"/>
    <x v="2"/>
  </r>
  <r>
    <x v="153"/>
    <x v="7"/>
    <x v="12"/>
    <x v="8"/>
    <x v="11"/>
    <x v="28"/>
    <x v="33"/>
    <x v="8"/>
    <x v="33"/>
    <x v="39"/>
    <x v="1"/>
    <x v="0"/>
    <x v="8"/>
    <x v="11"/>
    <x v="11"/>
    <x v="34"/>
    <x v="56"/>
    <x v="1"/>
    <x v="38"/>
    <x v="3"/>
    <x v="0"/>
  </r>
  <r>
    <x v="153"/>
    <x v="7"/>
    <x v="12"/>
    <x v="10"/>
    <x v="4"/>
    <x v="21"/>
    <x v="25"/>
    <x v="10"/>
    <x v="32"/>
    <x v="21"/>
    <x v="11"/>
    <x v="0"/>
    <x v="10"/>
    <x v="4"/>
    <x v="4"/>
    <x v="35"/>
    <x v="41"/>
    <x v="1"/>
    <x v="39"/>
    <x v="3"/>
    <x v="0"/>
  </r>
  <r>
    <x v="153"/>
    <x v="7"/>
    <x v="12"/>
    <x v="12"/>
    <x v="15"/>
    <x v="31"/>
    <x v="40"/>
    <x v="15"/>
    <x v="35"/>
    <x v="27"/>
    <x v="29"/>
    <x v="0"/>
    <x v="12"/>
    <x v="15"/>
    <x v="15"/>
    <x v="30"/>
    <x v="66"/>
    <x v="0"/>
    <x v="50"/>
    <x v="0"/>
    <x v="0"/>
  </r>
  <r>
    <x v="153"/>
    <x v="7"/>
    <x v="12"/>
    <x v="13"/>
    <x v="28"/>
    <x v="23"/>
    <x v="21"/>
    <x v="13"/>
    <x v="34"/>
    <x v="22"/>
    <x v="22"/>
    <x v="0"/>
    <x v="13"/>
    <x v="28"/>
    <x v="13"/>
    <x v="41"/>
    <x v="39"/>
    <x v="1"/>
    <x v="45"/>
    <x v="0"/>
    <x v="0"/>
  </r>
  <r>
    <x v="153"/>
    <x v="7"/>
    <x v="12"/>
    <x v="17"/>
    <x v="29"/>
    <x v="7"/>
    <x v="14"/>
    <x v="17"/>
    <x v="35"/>
    <x v="29"/>
    <x v="19"/>
    <x v="0"/>
    <x v="17"/>
    <x v="27"/>
    <x v="27"/>
    <x v="32"/>
    <x v="16"/>
    <x v="1"/>
    <x v="36"/>
    <x v="3"/>
    <x v="2"/>
  </r>
  <r>
    <x v="153"/>
    <x v="7"/>
    <x v="12"/>
    <x v="18"/>
    <x v="32"/>
    <x v="13"/>
    <x v="8"/>
    <x v="31"/>
    <x v="31"/>
    <x v="21"/>
    <x v="14"/>
    <x v="0"/>
    <x v="18"/>
    <x v="30"/>
    <x v="18"/>
    <x v="44"/>
    <x v="16"/>
    <x v="0"/>
    <x v="36"/>
    <x v="3"/>
    <x v="2"/>
  </r>
  <r>
    <x v="153"/>
    <x v="7"/>
    <x v="12"/>
    <x v="22"/>
    <x v="16"/>
    <x v="19"/>
    <x v="25"/>
    <x v="22"/>
    <x v="30"/>
    <x v="23"/>
    <x v="26"/>
    <x v="0"/>
    <x v="22"/>
    <x v="16"/>
    <x v="16"/>
    <x v="33"/>
    <x v="39"/>
    <x v="1"/>
    <x v="37"/>
    <x v="3"/>
    <x v="0"/>
  </r>
  <r>
    <x v="153"/>
    <x v="7"/>
    <x v="12"/>
    <x v="24"/>
    <x v="2"/>
    <x v="14"/>
    <x v="28"/>
    <x v="24"/>
    <x v="32"/>
    <x v="12"/>
    <x v="30"/>
    <x v="0"/>
    <x v="24"/>
    <x v="2"/>
    <x v="2"/>
    <x v="25"/>
    <x v="37"/>
    <x v="1"/>
    <x v="29"/>
    <x v="3"/>
    <x v="0"/>
  </r>
  <r>
    <x v="153"/>
    <x v="7"/>
    <x v="12"/>
    <x v="25"/>
    <x v="0"/>
    <x v="31"/>
    <x v="5"/>
    <x v="25"/>
    <x v="24"/>
    <x v="24"/>
    <x v="18"/>
    <x v="0"/>
    <x v="25"/>
    <x v="0"/>
    <x v="25"/>
    <x v="65"/>
    <x v="31"/>
    <x v="1"/>
    <x v="69"/>
    <x v="0"/>
    <x v="2"/>
  </r>
  <r>
    <x v="153"/>
    <x v="7"/>
    <x v="12"/>
    <x v="26"/>
    <x v="14"/>
    <x v="6"/>
    <x v="28"/>
    <x v="27"/>
    <x v="20"/>
    <x v="21"/>
    <x v="15"/>
    <x v="0"/>
    <x v="26"/>
    <x v="14"/>
    <x v="14"/>
    <x v="17"/>
    <x v="29"/>
    <x v="1"/>
    <x v="21"/>
    <x v="3"/>
    <x v="2"/>
  </r>
  <r>
    <x v="157"/>
    <x v="7"/>
    <x v="12"/>
    <x v="5"/>
    <x v="19"/>
    <x v="14"/>
    <x v="18"/>
    <x v="19"/>
    <x v="31"/>
    <x v="14"/>
    <x v="37"/>
    <x v="0"/>
    <x v="5"/>
    <x v="19"/>
    <x v="19"/>
    <x v="35"/>
    <x v="27"/>
    <x v="0"/>
    <x v="45"/>
    <x v="2"/>
    <x v="2"/>
  </r>
  <r>
    <x v="167"/>
    <x v="7"/>
    <x v="13"/>
    <x v="4"/>
    <x v="25"/>
    <x v="20"/>
    <x v="26"/>
    <x v="4"/>
    <x v="31"/>
    <x v="25"/>
    <x v="2"/>
    <x v="0"/>
    <x v="4"/>
    <x v="25"/>
    <x v="25"/>
    <x v="33"/>
    <x v="41"/>
    <x v="1"/>
    <x v="37"/>
    <x v="3"/>
    <x v="0"/>
  </r>
  <r>
    <x v="175"/>
    <x v="7"/>
    <x v="13"/>
    <x v="0"/>
    <x v="31"/>
    <x v="35"/>
    <x v="31"/>
    <x v="30"/>
    <x v="34"/>
    <x v="26"/>
    <x v="44"/>
    <x v="0"/>
    <x v="0"/>
    <x v="29"/>
    <x v="0"/>
    <x v="43"/>
    <x v="61"/>
    <x v="0"/>
    <x v="37"/>
    <x v="3"/>
    <x v="0"/>
  </r>
  <r>
    <x v="175"/>
    <x v="7"/>
    <x v="13"/>
    <x v="1"/>
    <x v="18"/>
    <x v="14"/>
    <x v="18"/>
    <x v="1"/>
    <x v="10"/>
    <x v="25"/>
    <x v="12"/>
    <x v="0"/>
    <x v="1"/>
    <x v="18"/>
    <x v="18"/>
    <x v="35"/>
    <x v="27"/>
    <x v="1"/>
    <x v="39"/>
    <x v="3"/>
    <x v="2"/>
  </r>
  <r>
    <x v="175"/>
    <x v="7"/>
    <x v="13"/>
    <x v="2"/>
    <x v="5"/>
    <x v="21"/>
    <x v="25"/>
    <x v="2"/>
    <x v="24"/>
    <x v="11"/>
    <x v="23"/>
    <x v="0"/>
    <x v="2"/>
    <x v="5"/>
    <x v="5"/>
    <x v="35"/>
    <x v="41"/>
    <x v="1"/>
    <x v="39"/>
    <x v="3"/>
    <x v="0"/>
  </r>
  <r>
    <x v="175"/>
    <x v="7"/>
    <x v="13"/>
    <x v="9"/>
    <x v="22"/>
    <x v="7"/>
    <x v="21"/>
    <x v="9"/>
    <x v="13"/>
    <x v="12"/>
    <x v="38"/>
    <x v="0"/>
    <x v="9"/>
    <x v="22"/>
    <x v="22"/>
    <x v="25"/>
    <x v="23"/>
    <x v="1"/>
    <x v="29"/>
    <x v="3"/>
    <x v="2"/>
  </r>
  <r>
    <x v="175"/>
    <x v="7"/>
    <x v="13"/>
    <x v="12"/>
    <x v="7"/>
    <x v="30"/>
    <x v="15"/>
    <x v="12"/>
    <x v="18"/>
    <x v="28"/>
    <x v="29"/>
    <x v="0"/>
    <x v="12"/>
    <x v="7"/>
    <x v="12"/>
    <x v="54"/>
    <x v="40"/>
    <x v="1"/>
    <x v="58"/>
    <x v="0"/>
    <x v="0"/>
  </r>
  <r>
    <x v="175"/>
    <x v="7"/>
    <x v="13"/>
    <x v="14"/>
    <x v="17"/>
    <x v="14"/>
    <x v="25"/>
    <x v="14"/>
    <x v="32"/>
    <x v="19"/>
    <x v="8"/>
    <x v="0"/>
    <x v="14"/>
    <x v="17"/>
    <x v="17"/>
    <x v="28"/>
    <x v="34"/>
    <x v="1"/>
    <x v="32"/>
    <x v="3"/>
    <x v="0"/>
  </r>
  <r>
    <x v="175"/>
    <x v="7"/>
    <x v="13"/>
    <x v="15"/>
    <x v="26"/>
    <x v="10"/>
    <x v="17"/>
    <x v="15"/>
    <x v="30"/>
    <x v="28"/>
    <x v="0"/>
    <x v="0"/>
    <x v="15"/>
    <x v="26"/>
    <x v="26"/>
    <x v="32"/>
    <x v="22"/>
    <x v="1"/>
    <x v="36"/>
    <x v="3"/>
    <x v="2"/>
  </r>
  <r>
    <x v="175"/>
    <x v="7"/>
    <x v="13"/>
    <x v="19"/>
    <x v="11"/>
    <x v="20"/>
    <x v="8"/>
    <x v="11"/>
    <x v="31"/>
    <x v="23"/>
    <x v="43"/>
    <x v="0"/>
    <x v="19"/>
    <x v="11"/>
    <x v="19"/>
    <x v="51"/>
    <x v="23"/>
    <x v="0"/>
    <x v="29"/>
    <x v="3"/>
    <x v="2"/>
  </r>
  <r>
    <x v="175"/>
    <x v="7"/>
    <x v="13"/>
    <x v="21"/>
    <x v="10"/>
    <x v="48"/>
    <x v="36"/>
    <x v="21"/>
    <x v="29"/>
    <x v="33"/>
    <x v="25"/>
    <x v="0"/>
    <x v="21"/>
    <x v="10"/>
    <x v="21"/>
    <x v="52"/>
    <x v="79"/>
    <x v="1"/>
    <x v="56"/>
    <x v="0"/>
    <x v="0"/>
  </r>
  <r>
    <x v="175"/>
    <x v="7"/>
    <x v="13"/>
    <x v="23"/>
    <x v="20"/>
    <x v="14"/>
    <x v="22"/>
    <x v="20"/>
    <x v="19"/>
    <x v="29"/>
    <x v="26"/>
    <x v="0"/>
    <x v="23"/>
    <x v="20"/>
    <x v="20"/>
    <x v="31"/>
    <x v="31"/>
    <x v="0"/>
    <x v="49"/>
    <x v="3"/>
    <x v="2"/>
  </r>
  <r>
    <x v="175"/>
    <x v="7"/>
    <x v="13"/>
    <x v="24"/>
    <x v="16"/>
    <x v="13"/>
    <x v="15"/>
    <x v="26"/>
    <x v="30"/>
    <x v="32"/>
    <x v="30"/>
    <x v="0"/>
    <x v="24"/>
    <x v="16"/>
    <x v="16"/>
    <x v="37"/>
    <x v="23"/>
    <x v="2"/>
    <x v="88"/>
    <x v="1"/>
    <x v="2"/>
  </r>
  <r>
    <x v="175"/>
    <x v="7"/>
    <x v="13"/>
    <x v="33"/>
    <x v="28"/>
    <x v="23"/>
    <x v="22"/>
    <x v="32"/>
    <x v="15"/>
    <x v="26"/>
    <x v="9"/>
    <x v="0"/>
    <x v="31"/>
    <x v="28"/>
    <x v="32"/>
    <x v="40"/>
    <x v="40"/>
    <x v="1"/>
    <x v="44"/>
    <x v="3"/>
    <x v="0"/>
  </r>
  <r>
    <x v="179"/>
    <x v="7"/>
    <x v="13"/>
    <x v="32"/>
    <x v="13"/>
    <x v="33"/>
    <x v="20"/>
    <x v="31"/>
    <x v="23"/>
    <x v="26"/>
    <x v="21"/>
    <x v="0"/>
    <x v="30"/>
    <x v="13"/>
    <x v="30"/>
    <x v="52"/>
    <x v="48"/>
    <x v="1"/>
    <x v="56"/>
    <x v="0"/>
    <x v="0"/>
  </r>
  <r>
    <x v="189"/>
    <x v="7"/>
    <x v="14"/>
    <x v="24"/>
    <x v="15"/>
    <x v="28"/>
    <x v="28"/>
    <x v="15"/>
    <x v="31"/>
    <x v="27"/>
    <x v="30"/>
    <x v="0"/>
    <x v="24"/>
    <x v="15"/>
    <x v="24"/>
    <x v="39"/>
    <x v="51"/>
    <x v="0"/>
    <x v="41"/>
    <x v="3"/>
    <x v="0"/>
  </r>
  <r>
    <x v="197"/>
    <x v="7"/>
    <x v="14"/>
    <x v="3"/>
    <x v="31"/>
    <x v="27"/>
    <x v="25"/>
    <x v="3"/>
    <x v="31"/>
    <x v="25"/>
    <x v="27"/>
    <x v="0"/>
    <x v="3"/>
    <x v="29"/>
    <x v="3"/>
    <x v="41"/>
    <x v="47"/>
    <x v="1"/>
    <x v="45"/>
    <x v="2"/>
    <x v="0"/>
  </r>
  <r>
    <x v="197"/>
    <x v="7"/>
    <x v="14"/>
    <x v="5"/>
    <x v="4"/>
    <x v="14"/>
    <x v="2"/>
    <x v="4"/>
    <x v="31"/>
    <x v="14"/>
    <x v="37"/>
    <x v="0"/>
    <x v="5"/>
    <x v="4"/>
    <x v="5"/>
    <x v="52"/>
    <x v="10"/>
    <x v="0"/>
    <x v="28"/>
    <x v="3"/>
    <x v="2"/>
  </r>
  <r>
    <x v="197"/>
    <x v="7"/>
    <x v="14"/>
    <x v="7"/>
    <x v="32"/>
    <x v="6"/>
    <x v="10"/>
    <x v="31"/>
    <x v="26"/>
    <x v="19"/>
    <x v="10"/>
    <x v="0"/>
    <x v="7"/>
    <x v="30"/>
    <x v="30"/>
    <x v="35"/>
    <x v="11"/>
    <x v="0"/>
    <x v="45"/>
    <x v="3"/>
    <x v="2"/>
  </r>
  <r>
    <x v="197"/>
    <x v="7"/>
    <x v="14"/>
    <x v="11"/>
    <x v="21"/>
    <x v="14"/>
    <x v="24"/>
    <x v="21"/>
    <x v="30"/>
    <x v="26"/>
    <x v="16"/>
    <x v="0"/>
    <x v="11"/>
    <x v="21"/>
    <x v="21"/>
    <x v="29"/>
    <x v="33"/>
    <x v="0"/>
    <x v="51"/>
    <x v="0"/>
    <x v="2"/>
  </r>
  <r>
    <x v="197"/>
    <x v="7"/>
    <x v="14"/>
    <x v="13"/>
    <x v="14"/>
    <x v="0"/>
    <x v="25"/>
    <x v="14"/>
    <x v="31"/>
    <x v="17"/>
    <x v="22"/>
    <x v="0"/>
    <x v="13"/>
    <x v="14"/>
    <x v="14"/>
    <x v="11"/>
    <x v="17"/>
    <x v="0"/>
    <x v="69"/>
    <x v="0"/>
    <x v="2"/>
  </r>
  <r>
    <x v="197"/>
    <x v="7"/>
    <x v="14"/>
    <x v="16"/>
    <x v="9"/>
    <x v="18"/>
    <x v="0"/>
    <x v="9"/>
    <x v="34"/>
    <x v="16"/>
    <x v="39"/>
    <x v="0"/>
    <x v="16"/>
    <x v="9"/>
    <x v="16"/>
    <x v="59"/>
    <x v="11"/>
    <x v="0"/>
    <x v="21"/>
    <x v="3"/>
    <x v="2"/>
  </r>
  <r>
    <x v="197"/>
    <x v="7"/>
    <x v="14"/>
    <x v="17"/>
    <x v="0"/>
    <x v="30"/>
    <x v="0"/>
    <x v="17"/>
    <x v="31"/>
    <x v="26"/>
    <x v="42"/>
    <x v="0"/>
    <x v="17"/>
    <x v="0"/>
    <x v="17"/>
    <x v="71"/>
    <x v="23"/>
    <x v="1"/>
    <x v="75"/>
    <x v="0"/>
    <x v="2"/>
  </r>
  <r>
    <x v="197"/>
    <x v="7"/>
    <x v="14"/>
    <x v="18"/>
    <x v="23"/>
    <x v="28"/>
    <x v="26"/>
    <x v="18"/>
    <x v="31"/>
    <x v="13"/>
    <x v="14"/>
    <x v="0"/>
    <x v="18"/>
    <x v="23"/>
    <x v="18"/>
    <x v="41"/>
    <x v="49"/>
    <x v="1"/>
    <x v="45"/>
    <x v="2"/>
    <x v="0"/>
  </r>
  <r>
    <x v="197"/>
    <x v="7"/>
    <x v="14"/>
    <x v="19"/>
    <x v="2"/>
    <x v="21"/>
    <x v="14"/>
    <x v="19"/>
    <x v="29"/>
    <x v="10"/>
    <x v="43"/>
    <x v="0"/>
    <x v="19"/>
    <x v="2"/>
    <x v="19"/>
    <x v="46"/>
    <x v="30"/>
    <x v="1"/>
    <x v="50"/>
    <x v="0"/>
    <x v="0"/>
  </r>
  <r>
    <x v="197"/>
    <x v="7"/>
    <x v="14"/>
    <x v="20"/>
    <x v="1"/>
    <x v="20"/>
    <x v="5"/>
    <x v="20"/>
    <x v="31"/>
    <x v="47"/>
    <x v="13"/>
    <x v="0"/>
    <x v="20"/>
    <x v="1"/>
    <x v="20"/>
    <x v="54"/>
    <x v="20"/>
    <x v="1"/>
    <x v="58"/>
    <x v="0"/>
    <x v="2"/>
  </r>
  <r>
    <x v="197"/>
    <x v="7"/>
    <x v="14"/>
    <x v="22"/>
    <x v="29"/>
    <x v="4"/>
    <x v="22"/>
    <x v="28"/>
    <x v="30"/>
    <x v="12"/>
    <x v="26"/>
    <x v="0"/>
    <x v="22"/>
    <x v="27"/>
    <x v="27"/>
    <x v="21"/>
    <x v="21"/>
    <x v="0"/>
    <x v="59"/>
    <x v="0"/>
    <x v="2"/>
  </r>
  <r>
    <x v="197"/>
    <x v="7"/>
    <x v="14"/>
    <x v="26"/>
    <x v="6"/>
    <x v="26"/>
    <x v="12"/>
    <x v="27"/>
    <x v="29"/>
    <x v="14"/>
    <x v="15"/>
    <x v="0"/>
    <x v="26"/>
    <x v="6"/>
    <x v="26"/>
    <x v="53"/>
    <x v="33"/>
    <x v="1"/>
    <x v="57"/>
    <x v="0"/>
    <x v="0"/>
  </r>
  <r>
    <x v="197"/>
    <x v="7"/>
    <x v="14"/>
    <x v="28"/>
    <x v="8"/>
    <x v="7"/>
    <x v="38"/>
    <x v="8"/>
    <x v="24"/>
    <x v="31"/>
    <x v="17"/>
    <x v="0"/>
    <x v="28"/>
    <x v="8"/>
    <x v="8"/>
    <x v="8"/>
    <x v="40"/>
    <x v="0"/>
    <x v="72"/>
    <x v="0"/>
    <x v="0"/>
  </r>
  <r>
    <x v="201"/>
    <x v="7"/>
    <x v="14"/>
    <x v="25"/>
    <x v="33"/>
    <x v="31"/>
    <x v="22"/>
    <x v="25"/>
    <x v="28"/>
    <x v="32"/>
    <x v="18"/>
    <x v="0"/>
    <x v="25"/>
    <x v="31"/>
    <x v="25"/>
    <x v="48"/>
    <x v="48"/>
    <x v="1"/>
    <x v="52"/>
    <x v="0"/>
    <x v="0"/>
  </r>
  <r>
    <x v="211"/>
    <x v="7"/>
    <x v="15"/>
    <x v="2"/>
    <x v="18"/>
    <x v="37"/>
    <x v="0"/>
    <x v="2"/>
    <x v="31"/>
    <x v="9"/>
    <x v="23"/>
    <x v="0"/>
    <x v="2"/>
    <x v="18"/>
    <x v="2"/>
    <x v="76"/>
    <x v="30"/>
    <x v="1"/>
    <x v="80"/>
    <x v="0"/>
    <x v="0"/>
  </r>
  <r>
    <x v="219"/>
    <x v="7"/>
    <x v="15"/>
    <x v="3"/>
    <x v="24"/>
    <x v="31"/>
    <x v="12"/>
    <x v="3"/>
    <x v="32"/>
    <x v="25"/>
    <x v="27"/>
    <x v="0"/>
    <x v="3"/>
    <x v="24"/>
    <x v="3"/>
    <x v="58"/>
    <x v="38"/>
    <x v="1"/>
    <x v="62"/>
    <x v="0"/>
    <x v="0"/>
  </r>
  <r>
    <x v="219"/>
    <x v="7"/>
    <x v="15"/>
    <x v="6"/>
    <x v="13"/>
    <x v="21"/>
    <x v="21"/>
    <x v="6"/>
    <x v="15"/>
    <x v="17"/>
    <x v="31"/>
    <x v="0"/>
    <x v="6"/>
    <x v="13"/>
    <x v="6"/>
    <x v="39"/>
    <x v="37"/>
    <x v="1"/>
    <x v="43"/>
    <x v="3"/>
    <x v="0"/>
  </r>
  <r>
    <x v="219"/>
    <x v="7"/>
    <x v="15"/>
    <x v="7"/>
    <x v="19"/>
    <x v="13"/>
    <x v="31"/>
    <x v="19"/>
    <x v="18"/>
    <x v="10"/>
    <x v="42"/>
    <x v="0"/>
    <x v="7"/>
    <x v="19"/>
    <x v="19"/>
    <x v="21"/>
    <x v="39"/>
    <x v="0"/>
    <x v="59"/>
    <x v="0"/>
    <x v="0"/>
  </r>
  <r>
    <x v="219"/>
    <x v="7"/>
    <x v="15"/>
    <x v="10"/>
    <x v="26"/>
    <x v="12"/>
    <x v="18"/>
    <x v="27"/>
    <x v="31"/>
    <x v="25"/>
    <x v="11"/>
    <x v="0"/>
    <x v="10"/>
    <x v="26"/>
    <x v="26"/>
    <x v="33"/>
    <x v="25"/>
    <x v="0"/>
    <x v="47"/>
    <x v="0"/>
    <x v="2"/>
  </r>
  <r>
    <x v="219"/>
    <x v="7"/>
    <x v="15"/>
    <x v="20"/>
    <x v="16"/>
    <x v="18"/>
    <x v="11"/>
    <x v="20"/>
    <x v="23"/>
    <x v="31"/>
    <x v="13"/>
    <x v="0"/>
    <x v="20"/>
    <x v="16"/>
    <x v="20"/>
    <x v="46"/>
    <x v="24"/>
    <x v="1"/>
    <x v="50"/>
    <x v="0"/>
    <x v="2"/>
  </r>
  <r>
    <x v="219"/>
    <x v="7"/>
    <x v="15"/>
    <x v="21"/>
    <x v="5"/>
    <x v="17"/>
    <x v="10"/>
    <x v="21"/>
    <x v="19"/>
    <x v="29"/>
    <x v="25"/>
    <x v="0"/>
    <x v="21"/>
    <x v="5"/>
    <x v="21"/>
    <x v="46"/>
    <x v="22"/>
    <x v="1"/>
    <x v="50"/>
    <x v="3"/>
    <x v="2"/>
  </r>
  <r>
    <x v="219"/>
    <x v="7"/>
    <x v="15"/>
    <x v="23"/>
    <x v="1"/>
    <x v="17"/>
    <x v="23"/>
    <x v="1"/>
    <x v="28"/>
    <x v="26"/>
    <x v="26"/>
    <x v="0"/>
    <x v="23"/>
    <x v="1"/>
    <x v="1"/>
    <x v="33"/>
    <x v="35"/>
    <x v="0"/>
    <x v="47"/>
    <x v="0"/>
    <x v="2"/>
  </r>
  <r>
    <x v="219"/>
    <x v="7"/>
    <x v="15"/>
    <x v="25"/>
    <x v="28"/>
    <x v="30"/>
    <x v="8"/>
    <x v="25"/>
    <x v="11"/>
    <x v="26"/>
    <x v="18"/>
    <x v="0"/>
    <x v="25"/>
    <x v="28"/>
    <x v="25"/>
    <x v="61"/>
    <x v="33"/>
    <x v="1"/>
    <x v="65"/>
    <x v="0"/>
    <x v="2"/>
  </r>
  <r>
    <x v="219"/>
    <x v="7"/>
    <x v="15"/>
    <x v="29"/>
    <x v="12"/>
    <x v="38"/>
    <x v="36"/>
    <x v="28"/>
    <x v="26"/>
    <x v="26"/>
    <x v="4"/>
    <x v="0"/>
    <x v="27"/>
    <x v="12"/>
    <x v="27"/>
    <x v="41"/>
    <x v="69"/>
    <x v="1"/>
    <x v="45"/>
    <x v="3"/>
    <x v="0"/>
  </r>
  <r>
    <x v="219"/>
    <x v="7"/>
    <x v="15"/>
    <x v="31"/>
    <x v="4"/>
    <x v="2"/>
    <x v="15"/>
    <x v="30"/>
    <x v="33"/>
    <x v="26"/>
    <x v="34"/>
    <x v="0"/>
    <x v="29"/>
    <x v="4"/>
    <x v="4"/>
    <x v="24"/>
    <x v="10"/>
    <x v="1"/>
    <x v="28"/>
    <x v="3"/>
    <x v="2"/>
  </r>
  <r>
    <x v="219"/>
    <x v="7"/>
    <x v="15"/>
    <x v="33"/>
    <x v="8"/>
    <x v="16"/>
    <x v="31"/>
    <x v="8"/>
    <x v="33"/>
    <x v="34"/>
    <x v="9"/>
    <x v="0"/>
    <x v="31"/>
    <x v="8"/>
    <x v="8"/>
    <x v="24"/>
    <x v="42"/>
    <x v="0"/>
    <x v="56"/>
    <x v="0"/>
    <x v="0"/>
  </r>
  <r>
    <x v="223"/>
    <x v="7"/>
    <x v="15"/>
    <x v="15"/>
    <x v="9"/>
    <x v="26"/>
    <x v="17"/>
    <x v="15"/>
    <x v="23"/>
    <x v="20"/>
    <x v="0"/>
    <x v="0"/>
    <x v="15"/>
    <x v="9"/>
    <x v="15"/>
    <x v="48"/>
    <x v="38"/>
    <x v="1"/>
    <x v="52"/>
    <x v="0"/>
    <x v="0"/>
  </r>
  <r>
    <x v="233"/>
    <x v="7"/>
    <x v="16"/>
    <x v="23"/>
    <x v="3"/>
    <x v="31"/>
    <x v="19"/>
    <x v="3"/>
    <x v="31"/>
    <x v="20"/>
    <x v="26"/>
    <x v="0"/>
    <x v="23"/>
    <x v="3"/>
    <x v="23"/>
    <x v="51"/>
    <x v="45"/>
    <x v="0"/>
    <x v="29"/>
    <x v="3"/>
    <x v="0"/>
  </r>
  <r>
    <x v="241"/>
    <x v="7"/>
    <x v="16"/>
    <x v="4"/>
    <x v="1"/>
    <x v="17"/>
    <x v="15"/>
    <x v="1"/>
    <x v="31"/>
    <x v="18"/>
    <x v="2"/>
    <x v="0"/>
    <x v="4"/>
    <x v="1"/>
    <x v="4"/>
    <x v="41"/>
    <x v="27"/>
    <x v="0"/>
    <x v="39"/>
    <x v="3"/>
    <x v="2"/>
  </r>
  <r>
    <x v="241"/>
    <x v="7"/>
    <x v="16"/>
    <x v="8"/>
    <x v="15"/>
    <x v="25"/>
    <x v="15"/>
    <x v="8"/>
    <x v="32"/>
    <x v="40"/>
    <x v="1"/>
    <x v="0"/>
    <x v="8"/>
    <x v="15"/>
    <x v="8"/>
    <x v="49"/>
    <x v="35"/>
    <x v="1"/>
    <x v="53"/>
    <x v="0"/>
    <x v="2"/>
  </r>
  <r>
    <x v="241"/>
    <x v="7"/>
    <x v="16"/>
    <x v="12"/>
    <x v="13"/>
    <x v="11"/>
    <x v="18"/>
    <x v="12"/>
    <x v="25"/>
    <x v="24"/>
    <x v="29"/>
    <x v="0"/>
    <x v="12"/>
    <x v="13"/>
    <x v="13"/>
    <x v="32"/>
    <x v="24"/>
    <x v="1"/>
    <x v="36"/>
    <x v="3"/>
    <x v="2"/>
  </r>
  <r>
    <x v="241"/>
    <x v="7"/>
    <x v="16"/>
    <x v="14"/>
    <x v="6"/>
    <x v="20"/>
    <x v="5"/>
    <x v="14"/>
    <x v="25"/>
    <x v="10"/>
    <x v="8"/>
    <x v="0"/>
    <x v="14"/>
    <x v="6"/>
    <x v="14"/>
    <x v="54"/>
    <x v="20"/>
    <x v="1"/>
    <x v="58"/>
    <x v="0"/>
    <x v="2"/>
  </r>
  <r>
    <x v="241"/>
    <x v="7"/>
    <x v="16"/>
    <x v="18"/>
    <x v="24"/>
    <x v="21"/>
    <x v="25"/>
    <x v="24"/>
    <x v="31"/>
    <x v="23"/>
    <x v="14"/>
    <x v="0"/>
    <x v="18"/>
    <x v="24"/>
    <x v="24"/>
    <x v="35"/>
    <x v="41"/>
    <x v="0"/>
    <x v="45"/>
    <x v="2"/>
    <x v="0"/>
  </r>
  <r>
    <x v="241"/>
    <x v="7"/>
    <x v="16"/>
    <x v="21"/>
    <x v="31"/>
    <x v="27"/>
    <x v="8"/>
    <x v="21"/>
    <x v="23"/>
    <x v="42"/>
    <x v="25"/>
    <x v="0"/>
    <x v="21"/>
    <x v="29"/>
    <x v="21"/>
    <x v="58"/>
    <x v="30"/>
    <x v="1"/>
    <x v="62"/>
    <x v="0"/>
    <x v="2"/>
  </r>
  <r>
    <x v="241"/>
    <x v="7"/>
    <x v="16"/>
    <x v="22"/>
    <x v="17"/>
    <x v="14"/>
    <x v="48"/>
    <x v="17"/>
    <x v="26"/>
    <x v="19"/>
    <x v="26"/>
    <x v="0"/>
    <x v="22"/>
    <x v="17"/>
    <x v="17"/>
    <x v="4"/>
    <x v="58"/>
    <x v="0"/>
    <x v="76"/>
    <x v="0"/>
    <x v="0"/>
  </r>
  <r>
    <x v="241"/>
    <x v="7"/>
    <x v="16"/>
    <x v="25"/>
    <x v="9"/>
    <x v="47"/>
    <x v="21"/>
    <x v="25"/>
    <x v="23"/>
    <x v="16"/>
    <x v="18"/>
    <x v="0"/>
    <x v="25"/>
    <x v="9"/>
    <x v="25"/>
    <x v="66"/>
    <x v="64"/>
    <x v="1"/>
    <x v="70"/>
    <x v="0"/>
    <x v="0"/>
  </r>
  <r>
    <x v="241"/>
    <x v="7"/>
    <x v="16"/>
    <x v="28"/>
    <x v="0"/>
    <x v="7"/>
    <x v="18"/>
    <x v="0"/>
    <x v="33"/>
    <x v="12"/>
    <x v="17"/>
    <x v="0"/>
    <x v="28"/>
    <x v="0"/>
    <x v="0"/>
    <x v="28"/>
    <x v="20"/>
    <x v="0"/>
    <x v="52"/>
    <x v="0"/>
    <x v="2"/>
  </r>
  <r>
    <x v="241"/>
    <x v="7"/>
    <x v="16"/>
    <x v="29"/>
    <x v="33"/>
    <x v="11"/>
    <x v="15"/>
    <x v="28"/>
    <x v="21"/>
    <x v="23"/>
    <x v="4"/>
    <x v="0"/>
    <x v="27"/>
    <x v="31"/>
    <x v="32"/>
    <x v="35"/>
    <x v="21"/>
    <x v="1"/>
    <x v="39"/>
    <x v="3"/>
    <x v="2"/>
  </r>
  <r>
    <x v="241"/>
    <x v="7"/>
    <x v="16"/>
    <x v="32"/>
    <x v="2"/>
    <x v="20"/>
    <x v="18"/>
    <x v="31"/>
    <x v="31"/>
    <x v="16"/>
    <x v="21"/>
    <x v="0"/>
    <x v="30"/>
    <x v="2"/>
    <x v="30"/>
    <x v="41"/>
    <x v="33"/>
    <x v="1"/>
    <x v="45"/>
    <x v="2"/>
    <x v="0"/>
  </r>
  <r>
    <x v="245"/>
    <x v="7"/>
    <x v="16"/>
    <x v="11"/>
    <x v="10"/>
    <x v="14"/>
    <x v="28"/>
    <x v="10"/>
    <x v="32"/>
    <x v="19"/>
    <x v="16"/>
    <x v="0"/>
    <x v="11"/>
    <x v="10"/>
    <x v="10"/>
    <x v="25"/>
    <x v="37"/>
    <x v="0"/>
    <x v="55"/>
    <x v="0"/>
    <x v="0"/>
  </r>
  <r>
    <x v="255"/>
    <x v="7"/>
    <x v="1"/>
    <x v="0"/>
    <x v="29"/>
    <x v="13"/>
    <x v="20"/>
    <x v="28"/>
    <x v="25"/>
    <x v="14"/>
    <x v="44"/>
    <x v="0"/>
    <x v="0"/>
    <x v="27"/>
    <x v="27"/>
    <x v="32"/>
    <x v="28"/>
    <x v="0"/>
    <x v="48"/>
    <x v="2"/>
    <x v="2"/>
  </r>
  <r>
    <x v="265"/>
    <x v="7"/>
    <x v="1"/>
    <x v="1"/>
    <x v="8"/>
    <x v="24"/>
    <x v="5"/>
    <x v="1"/>
    <x v="30"/>
    <x v="32"/>
    <x v="12"/>
    <x v="0"/>
    <x v="1"/>
    <x v="8"/>
    <x v="1"/>
    <x v="58"/>
    <x v="24"/>
    <x v="1"/>
    <x v="62"/>
    <x v="0"/>
    <x v="2"/>
  </r>
  <r>
    <x v="265"/>
    <x v="7"/>
    <x v="1"/>
    <x v="3"/>
    <x v="21"/>
    <x v="7"/>
    <x v="44"/>
    <x v="21"/>
    <x v="33"/>
    <x v="31"/>
    <x v="27"/>
    <x v="0"/>
    <x v="3"/>
    <x v="21"/>
    <x v="21"/>
    <x v="2"/>
    <x v="47"/>
    <x v="0"/>
    <x v="78"/>
    <x v="0"/>
    <x v="0"/>
  </r>
  <r>
    <x v="265"/>
    <x v="7"/>
    <x v="1"/>
    <x v="5"/>
    <x v="11"/>
    <x v="13"/>
    <x v="21"/>
    <x v="5"/>
    <x v="28"/>
    <x v="9"/>
    <x v="37"/>
    <x v="0"/>
    <x v="5"/>
    <x v="11"/>
    <x v="11"/>
    <x v="31"/>
    <x v="29"/>
    <x v="1"/>
    <x v="35"/>
    <x v="3"/>
    <x v="0"/>
  </r>
  <r>
    <x v="265"/>
    <x v="7"/>
    <x v="1"/>
    <x v="9"/>
    <x v="20"/>
    <x v="13"/>
    <x v="39"/>
    <x v="20"/>
    <x v="23"/>
    <x v="24"/>
    <x v="38"/>
    <x v="0"/>
    <x v="9"/>
    <x v="20"/>
    <x v="20"/>
    <x v="13"/>
    <x v="47"/>
    <x v="0"/>
    <x v="67"/>
    <x v="0"/>
    <x v="0"/>
  </r>
  <r>
    <x v="265"/>
    <x v="7"/>
    <x v="1"/>
    <x v="10"/>
    <x v="7"/>
    <x v="35"/>
    <x v="22"/>
    <x v="10"/>
    <x v="16"/>
    <x v="19"/>
    <x v="11"/>
    <x v="0"/>
    <x v="10"/>
    <x v="7"/>
    <x v="10"/>
    <x v="52"/>
    <x v="52"/>
    <x v="1"/>
    <x v="56"/>
    <x v="0"/>
    <x v="0"/>
  </r>
  <r>
    <x v="265"/>
    <x v="7"/>
    <x v="1"/>
    <x v="13"/>
    <x v="26"/>
    <x v="14"/>
    <x v="18"/>
    <x v="27"/>
    <x v="16"/>
    <x v="28"/>
    <x v="22"/>
    <x v="0"/>
    <x v="13"/>
    <x v="26"/>
    <x v="26"/>
    <x v="35"/>
    <x v="27"/>
    <x v="0"/>
    <x v="45"/>
    <x v="3"/>
    <x v="2"/>
  </r>
  <r>
    <x v="265"/>
    <x v="7"/>
    <x v="1"/>
    <x v="14"/>
    <x v="16"/>
    <x v="17"/>
    <x v="15"/>
    <x v="14"/>
    <x v="27"/>
    <x v="15"/>
    <x v="8"/>
    <x v="0"/>
    <x v="14"/>
    <x v="16"/>
    <x v="14"/>
    <x v="41"/>
    <x v="27"/>
    <x v="1"/>
    <x v="45"/>
    <x v="3"/>
    <x v="2"/>
  </r>
  <r>
    <x v="265"/>
    <x v="7"/>
    <x v="1"/>
    <x v="17"/>
    <x v="12"/>
    <x v="30"/>
    <x v="5"/>
    <x v="17"/>
    <x v="13"/>
    <x v="24"/>
    <x v="19"/>
    <x v="0"/>
    <x v="17"/>
    <x v="12"/>
    <x v="17"/>
    <x v="64"/>
    <x v="30"/>
    <x v="1"/>
    <x v="68"/>
    <x v="0"/>
    <x v="2"/>
  </r>
  <r>
    <x v="265"/>
    <x v="7"/>
    <x v="1"/>
    <x v="28"/>
    <x v="22"/>
    <x v="28"/>
    <x v="19"/>
    <x v="22"/>
    <x v="31"/>
    <x v="17"/>
    <x v="17"/>
    <x v="0"/>
    <x v="28"/>
    <x v="22"/>
    <x v="28"/>
    <x v="48"/>
    <x v="42"/>
    <x v="0"/>
    <x v="32"/>
    <x v="3"/>
    <x v="0"/>
  </r>
  <r>
    <x v="265"/>
    <x v="7"/>
    <x v="1"/>
    <x v="31"/>
    <x v="23"/>
    <x v="12"/>
    <x v="8"/>
    <x v="30"/>
    <x v="35"/>
    <x v="23"/>
    <x v="34"/>
    <x v="0"/>
    <x v="29"/>
    <x v="23"/>
    <x v="29"/>
    <x v="43"/>
    <x v="15"/>
    <x v="1"/>
    <x v="47"/>
    <x v="0"/>
    <x v="2"/>
  </r>
  <r>
    <x v="265"/>
    <x v="7"/>
    <x v="1"/>
    <x v="32"/>
    <x v="6"/>
    <x v="21"/>
    <x v="18"/>
    <x v="31"/>
    <x v="28"/>
    <x v="15"/>
    <x v="21"/>
    <x v="0"/>
    <x v="30"/>
    <x v="6"/>
    <x v="30"/>
    <x v="42"/>
    <x v="34"/>
    <x v="1"/>
    <x v="46"/>
    <x v="3"/>
    <x v="0"/>
  </r>
  <r>
    <x v="265"/>
    <x v="7"/>
    <x v="1"/>
    <x v="33"/>
    <x v="19"/>
    <x v="27"/>
    <x v="36"/>
    <x v="19"/>
    <x v="35"/>
    <x v="20"/>
    <x v="9"/>
    <x v="0"/>
    <x v="31"/>
    <x v="19"/>
    <x v="19"/>
    <x v="30"/>
    <x v="58"/>
    <x v="0"/>
    <x v="50"/>
    <x v="0"/>
    <x v="0"/>
  </r>
  <r>
    <x v="269"/>
    <x v="7"/>
    <x v="1"/>
    <x v="4"/>
    <x v="18"/>
    <x v="42"/>
    <x v="19"/>
    <x v="4"/>
    <x v="21"/>
    <x v="11"/>
    <x v="2"/>
    <x v="0"/>
    <x v="4"/>
    <x v="18"/>
    <x v="4"/>
    <x v="62"/>
    <x v="56"/>
    <x v="1"/>
    <x v="66"/>
    <x v="0"/>
    <x v="0"/>
  </r>
  <r>
    <x v="279"/>
    <x v="7"/>
    <x v="2"/>
    <x v="26"/>
    <x v="32"/>
    <x v="37"/>
    <x v="15"/>
    <x v="27"/>
    <x v="23"/>
    <x v="23"/>
    <x v="15"/>
    <x v="0"/>
    <x v="26"/>
    <x v="30"/>
    <x v="26"/>
    <x v="61"/>
    <x v="47"/>
    <x v="1"/>
    <x v="65"/>
    <x v="0"/>
    <x v="0"/>
  </r>
  <r>
    <x v="289"/>
    <x v="7"/>
    <x v="2"/>
    <x v="5"/>
    <x v="10"/>
    <x v="21"/>
    <x v="25"/>
    <x v="10"/>
    <x v="31"/>
    <x v="16"/>
    <x v="37"/>
    <x v="0"/>
    <x v="5"/>
    <x v="10"/>
    <x v="10"/>
    <x v="35"/>
    <x v="41"/>
    <x v="0"/>
    <x v="45"/>
    <x v="2"/>
    <x v="0"/>
  </r>
  <r>
    <x v="289"/>
    <x v="7"/>
    <x v="2"/>
    <x v="7"/>
    <x v="14"/>
    <x v="4"/>
    <x v="17"/>
    <x v="14"/>
    <x v="22"/>
    <x v="9"/>
    <x v="10"/>
    <x v="0"/>
    <x v="7"/>
    <x v="14"/>
    <x v="14"/>
    <x v="26"/>
    <x v="16"/>
    <x v="0"/>
    <x v="54"/>
    <x v="0"/>
    <x v="2"/>
  </r>
  <r>
    <x v="289"/>
    <x v="7"/>
    <x v="2"/>
    <x v="8"/>
    <x v="25"/>
    <x v="6"/>
    <x v="35"/>
    <x v="25"/>
    <x v="25"/>
    <x v="30"/>
    <x v="1"/>
    <x v="0"/>
    <x v="8"/>
    <x v="25"/>
    <x v="25"/>
    <x v="10"/>
    <x v="36"/>
    <x v="0"/>
    <x v="70"/>
    <x v="0"/>
    <x v="2"/>
  </r>
  <r>
    <x v="289"/>
    <x v="7"/>
    <x v="2"/>
    <x v="9"/>
    <x v="6"/>
    <x v="14"/>
    <x v="18"/>
    <x v="9"/>
    <x v="32"/>
    <x v="10"/>
    <x v="38"/>
    <x v="0"/>
    <x v="9"/>
    <x v="6"/>
    <x v="6"/>
    <x v="35"/>
    <x v="27"/>
    <x v="1"/>
    <x v="39"/>
    <x v="3"/>
    <x v="2"/>
  </r>
  <r>
    <x v="289"/>
    <x v="7"/>
    <x v="2"/>
    <x v="11"/>
    <x v="2"/>
    <x v="0"/>
    <x v="21"/>
    <x v="2"/>
    <x v="33"/>
    <x v="10"/>
    <x v="16"/>
    <x v="0"/>
    <x v="11"/>
    <x v="2"/>
    <x v="2"/>
    <x v="15"/>
    <x v="13"/>
    <x v="0"/>
    <x v="65"/>
    <x v="0"/>
    <x v="2"/>
  </r>
  <r>
    <x v="289"/>
    <x v="7"/>
    <x v="2"/>
    <x v="12"/>
    <x v="0"/>
    <x v="28"/>
    <x v="19"/>
    <x v="12"/>
    <x v="33"/>
    <x v="9"/>
    <x v="29"/>
    <x v="0"/>
    <x v="12"/>
    <x v="0"/>
    <x v="12"/>
    <x v="48"/>
    <x v="42"/>
    <x v="1"/>
    <x v="52"/>
    <x v="0"/>
    <x v="0"/>
  </r>
  <r>
    <x v="289"/>
    <x v="7"/>
    <x v="2"/>
    <x v="16"/>
    <x v="3"/>
    <x v="50"/>
    <x v="22"/>
    <x v="16"/>
    <x v="24"/>
    <x v="16"/>
    <x v="39"/>
    <x v="0"/>
    <x v="16"/>
    <x v="3"/>
    <x v="16"/>
    <x v="68"/>
    <x v="68"/>
    <x v="1"/>
    <x v="72"/>
    <x v="0"/>
    <x v="0"/>
  </r>
  <r>
    <x v="289"/>
    <x v="7"/>
    <x v="2"/>
    <x v="18"/>
    <x v="31"/>
    <x v="17"/>
    <x v="28"/>
    <x v="30"/>
    <x v="35"/>
    <x v="18"/>
    <x v="14"/>
    <x v="0"/>
    <x v="18"/>
    <x v="29"/>
    <x v="29"/>
    <x v="28"/>
    <x v="40"/>
    <x v="0"/>
    <x v="52"/>
    <x v="0"/>
    <x v="0"/>
  </r>
  <r>
    <x v="289"/>
    <x v="7"/>
    <x v="2"/>
    <x v="19"/>
    <x v="17"/>
    <x v="21"/>
    <x v="5"/>
    <x v="19"/>
    <x v="32"/>
    <x v="25"/>
    <x v="43"/>
    <x v="0"/>
    <x v="19"/>
    <x v="17"/>
    <x v="19"/>
    <x v="55"/>
    <x v="21"/>
    <x v="1"/>
    <x v="59"/>
    <x v="0"/>
    <x v="2"/>
  </r>
  <r>
    <x v="289"/>
    <x v="7"/>
    <x v="2"/>
    <x v="21"/>
    <x v="33"/>
    <x v="31"/>
    <x v="29"/>
    <x v="21"/>
    <x v="22"/>
    <x v="39"/>
    <x v="25"/>
    <x v="0"/>
    <x v="21"/>
    <x v="31"/>
    <x v="21"/>
    <x v="41"/>
    <x v="55"/>
    <x v="1"/>
    <x v="45"/>
    <x v="3"/>
    <x v="0"/>
  </r>
  <r>
    <x v="289"/>
    <x v="7"/>
    <x v="2"/>
    <x v="22"/>
    <x v="15"/>
    <x v="9"/>
    <x v="7"/>
    <x v="15"/>
    <x v="17"/>
    <x v="25"/>
    <x v="26"/>
    <x v="0"/>
    <x v="22"/>
    <x v="15"/>
    <x v="22"/>
    <x v="41"/>
    <x v="11"/>
    <x v="0"/>
    <x v="39"/>
    <x v="3"/>
    <x v="2"/>
  </r>
  <r>
    <x v="289"/>
    <x v="7"/>
    <x v="2"/>
    <x v="24"/>
    <x v="20"/>
    <x v="5"/>
    <x v="31"/>
    <x v="20"/>
    <x v="23"/>
    <x v="43"/>
    <x v="7"/>
    <x v="0"/>
    <x v="24"/>
    <x v="20"/>
    <x v="20"/>
    <x v="13"/>
    <x v="31"/>
    <x v="0"/>
    <x v="67"/>
    <x v="0"/>
    <x v="2"/>
  </r>
  <r>
    <x v="293"/>
    <x v="7"/>
    <x v="2"/>
    <x v="29"/>
    <x v="1"/>
    <x v="28"/>
    <x v="32"/>
    <x v="28"/>
    <x v="33"/>
    <x v="25"/>
    <x v="4"/>
    <x v="0"/>
    <x v="27"/>
    <x v="1"/>
    <x v="1"/>
    <x v="35"/>
    <x v="55"/>
    <x v="1"/>
    <x v="39"/>
    <x v="3"/>
    <x v="0"/>
  </r>
  <r>
    <x v="303"/>
    <x v="7"/>
    <x v="3"/>
    <x v="8"/>
    <x v="16"/>
    <x v="3"/>
    <x v="26"/>
    <x v="16"/>
    <x v="35"/>
    <x v="30"/>
    <x v="1"/>
    <x v="0"/>
    <x v="8"/>
    <x v="16"/>
    <x v="16"/>
    <x v="16"/>
    <x v="24"/>
    <x v="0"/>
    <x v="64"/>
    <x v="0"/>
    <x v="2"/>
  </r>
  <r>
    <x v="303"/>
    <x v="7"/>
    <x v="3"/>
    <x v="10"/>
    <x v="19"/>
    <x v="20"/>
    <x v="28"/>
    <x v="19"/>
    <x v="31"/>
    <x v="23"/>
    <x v="11"/>
    <x v="0"/>
    <x v="10"/>
    <x v="19"/>
    <x v="19"/>
    <x v="31"/>
    <x v="43"/>
    <x v="0"/>
    <x v="49"/>
    <x v="0"/>
    <x v="0"/>
  </r>
  <r>
    <x v="303"/>
    <x v="7"/>
    <x v="3"/>
    <x v="33"/>
    <x v="22"/>
    <x v="17"/>
    <x v="8"/>
    <x v="32"/>
    <x v="22"/>
    <x v="24"/>
    <x v="9"/>
    <x v="0"/>
    <x v="31"/>
    <x v="22"/>
    <x v="32"/>
    <x v="48"/>
    <x v="20"/>
    <x v="1"/>
    <x v="52"/>
    <x v="0"/>
    <x v="2"/>
  </r>
  <r>
    <x v="313"/>
    <x v="7"/>
    <x v="3"/>
    <x v="0"/>
    <x v="14"/>
    <x v="24"/>
    <x v="22"/>
    <x v="14"/>
    <x v="27"/>
    <x v="10"/>
    <x v="44"/>
    <x v="0"/>
    <x v="0"/>
    <x v="14"/>
    <x v="0"/>
    <x v="41"/>
    <x v="41"/>
    <x v="0"/>
    <x v="39"/>
    <x v="3"/>
    <x v="0"/>
  </r>
  <r>
    <x v="313"/>
    <x v="7"/>
    <x v="3"/>
    <x v="1"/>
    <x v="31"/>
    <x v="31"/>
    <x v="18"/>
    <x v="1"/>
    <x v="17"/>
    <x v="31"/>
    <x v="12"/>
    <x v="0"/>
    <x v="1"/>
    <x v="29"/>
    <x v="1"/>
    <x v="52"/>
    <x v="44"/>
    <x v="1"/>
    <x v="56"/>
    <x v="0"/>
    <x v="0"/>
  </r>
  <r>
    <x v="313"/>
    <x v="7"/>
    <x v="3"/>
    <x v="6"/>
    <x v="7"/>
    <x v="27"/>
    <x v="14"/>
    <x v="6"/>
    <x v="21"/>
    <x v="10"/>
    <x v="31"/>
    <x v="0"/>
    <x v="6"/>
    <x v="7"/>
    <x v="6"/>
    <x v="52"/>
    <x v="36"/>
    <x v="1"/>
    <x v="56"/>
    <x v="0"/>
    <x v="0"/>
  </r>
  <r>
    <x v="313"/>
    <x v="7"/>
    <x v="3"/>
    <x v="13"/>
    <x v="32"/>
    <x v="13"/>
    <x v="18"/>
    <x v="31"/>
    <x v="30"/>
    <x v="22"/>
    <x v="22"/>
    <x v="0"/>
    <x v="13"/>
    <x v="30"/>
    <x v="30"/>
    <x v="34"/>
    <x v="26"/>
    <x v="0"/>
    <x v="46"/>
    <x v="0"/>
    <x v="2"/>
  </r>
  <r>
    <x v="313"/>
    <x v="7"/>
    <x v="3"/>
    <x v="15"/>
    <x v="3"/>
    <x v="7"/>
    <x v="14"/>
    <x v="15"/>
    <x v="17"/>
    <x v="26"/>
    <x v="0"/>
    <x v="0"/>
    <x v="15"/>
    <x v="3"/>
    <x v="3"/>
    <x v="32"/>
    <x v="16"/>
    <x v="1"/>
    <x v="36"/>
    <x v="3"/>
    <x v="2"/>
  </r>
  <r>
    <x v="313"/>
    <x v="7"/>
    <x v="3"/>
    <x v="17"/>
    <x v="21"/>
    <x v="23"/>
    <x v="18"/>
    <x v="17"/>
    <x v="32"/>
    <x v="41"/>
    <x v="19"/>
    <x v="0"/>
    <x v="17"/>
    <x v="21"/>
    <x v="17"/>
    <x v="44"/>
    <x v="36"/>
    <x v="1"/>
    <x v="48"/>
    <x v="0"/>
    <x v="2"/>
  </r>
  <r>
    <x v="313"/>
    <x v="7"/>
    <x v="3"/>
    <x v="20"/>
    <x v="18"/>
    <x v="32"/>
    <x v="15"/>
    <x v="20"/>
    <x v="4"/>
    <x v="29"/>
    <x v="13"/>
    <x v="0"/>
    <x v="20"/>
    <x v="18"/>
    <x v="20"/>
    <x v="56"/>
    <x v="42"/>
    <x v="1"/>
    <x v="60"/>
    <x v="0"/>
    <x v="0"/>
  </r>
  <r>
    <x v="313"/>
    <x v="7"/>
    <x v="3"/>
    <x v="23"/>
    <x v="4"/>
    <x v="24"/>
    <x v="33"/>
    <x v="4"/>
    <x v="27"/>
    <x v="14"/>
    <x v="26"/>
    <x v="0"/>
    <x v="23"/>
    <x v="4"/>
    <x v="4"/>
    <x v="30"/>
    <x v="52"/>
    <x v="0"/>
    <x v="50"/>
    <x v="0"/>
    <x v="0"/>
  </r>
  <r>
    <x v="313"/>
    <x v="7"/>
    <x v="3"/>
    <x v="24"/>
    <x v="9"/>
    <x v="18"/>
    <x v="12"/>
    <x v="24"/>
    <x v="27"/>
    <x v="21"/>
    <x v="30"/>
    <x v="0"/>
    <x v="24"/>
    <x v="9"/>
    <x v="24"/>
    <x v="45"/>
    <x v="25"/>
    <x v="1"/>
    <x v="49"/>
    <x v="0"/>
    <x v="2"/>
  </r>
  <r>
    <x v="313"/>
    <x v="7"/>
    <x v="3"/>
    <x v="25"/>
    <x v="5"/>
    <x v="28"/>
    <x v="2"/>
    <x v="25"/>
    <x v="10"/>
    <x v="22"/>
    <x v="18"/>
    <x v="0"/>
    <x v="25"/>
    <x v="5"/>
    <x v="25"/>
    <x v="66"/>
    <x v="24"/>
    <x v="1"/>
    <x v="70"/>
    <x v="0"/>
    <x v="2"/>
  </r>
  <r>
    <x v="313"/>
    <x v="7"/>
    <x v="3"/>
    <x v="26"/>
    <x v="11"/>
    <x v="28"/>
    <x v="26"/>
    <x v="27"/>
    <x v="9"/>
    <x v="17"/>
    <x v="15"/>
    <x v="0"/>
    <x v="26"/>
    <x v="11"/>
    <x v="26"/>
    <x v="41"/>
    <x v="49"/>
    <x v="1"/>
    <x v="45"/>
    <x v="3"/>
    <x v="0"/>
  </r>
  <r>
    <x v="313"/>
    <x v="7"/>
    <x v="3"/>
    <x v="28"/>
    <x v="29"/>
    <x v="10"/>
    <x v="22"/>
    <x v="28"/>
    <x v="23"/>
    <x v="20"/>
    <x v="17"/>
    <x v="0"/>
    <x v="28"/>
    <x v="27"/>
    <x v="27"/>
    <x v="27"/>
    <x v="27"/>
    <x v="0"/>
    <x v="53"/>
    <x v="0"/>
    <x v="2"/>
  </r>
  <r>
    <x v="317"/>
    <x v="7"/>
    <x v="3"/>
    <x v="2"/>
    <x v="12"/>
    <x v="20"/>
    <x v="14"/>
    <x v="2"/>
    <x v="23"/>
    <x v="10"/>
    <x v="23"/>
    <x v="0"/>
    <x v="2"/>
    <x v="12"/>
    <x v="2"/>
    <x v="45"/>
    <x v="29"/>
    <x v="1"/>
    <x v="49"/>
    <x v="2"/>
    <x v="0"/>
  </r>
  <r>
    <x v="327"/>
    <x v="7"/>
    <x v="4"/>
    <x v="8"/>
    <x v="33"/>
    <x v="35"/>
    <x v="12"/>
    <x v="32"/>
    <x v="33"/>
    <x v="28"/>
    <x v="1"/>
    <x v="0"/>
    <x v="8"/>
    <x v="31"/>
    <x v="8"/>
    <x v="62"/>
    <x v="42"/>
    <x v="0"/>
    <x v="18"/>
    <x v="3"/>
    <x v="0"/>
  </r>
  <r>
    <x v="337"/>
    <x v="7"/>
    <x v="4"/>
    <x v="0"/>
    <x v="17"/>
    <x v="13"/>
    <x v="30"/>
    <x v="17"/>
    <x v="23"/>
    <x v="23"/>
    <x v="44"/>
    <x v="0"/>
    <x v="0"/>
    <x v="17"/>
    <x v="17"/>
    <x v="22"/>
    <x v="38"/>
    <x v="0"/>
    <x v="58"/>
    <x v="0"/>
    <x v="0"/>
  </r>
  <r>
    <x v="337"/>
    <x v="7"/>
    <x v="4"/>
    <x v="1"/>
    <x v="19"/>
    <x v="6"/>
    <x v="12"/>
    <x v="1"/>
    <x v="31"/>
    <x v="28"/>
    <x v="12"/>
    <x v="0"/>
    <x v="1"/>
    <x v="19"/>
    <x v="19"/>
    <x v="33"/>
    <x v="13"/>
    <x v="1"/>
    <x v="37"/>
    <x v="3"/>
    <x v="2"/>
  </r>
  <r>
    <x v="337"/>
    <x v="7"/>
    <x v="4"/>
    <x v="2"/>
    <x v="10"/>
    <x v="41"/>
    <x v="18"/>
    <x v="2"/>
    <x v="31"/>
    <x v="21"/>
    <x v="23"/>
    <x v="0"/>
    <x v="2"/>
    <x v="10"/>
    <x v="2"/>
    <x v="62"/>
    <x v="54"/>
    <x v="1"/>
    <x v="66"/>
    <x v="0"/>
    <x v="0"/>
  </r>
  <r>
    <x v="337"/>
    <x v="7"/>
    <x v="4"/>
    <x v="3"/>
    <x v="20"/>
    <x v="2"/>
    <x v="21"/>
    <x v="20"/>
    <x v="19"/>
    <x v="30"/>
    <x v="27"/>
    <x v="0"/>
    <x v="3"/>
    <x v="20"/>
    <x v="20"/>
    <x v="18"/>
    <x v="16"/>
    <x v="0"/>
    <x v="62"/>
    <x v="0"/>
    <x v="2"/>
  </r>
  <r>
    <x v="337"/>
    <x v="7"/>
    <x v="4"/>
    <x v="5"/>
    <x v="28"/>
    <x v="11"/>
    <x v="13"/>
    <x v="5"/>
    <x v="31"/>
    <x v="16"/>
    <x v="37"/>
    <x v="0"/>
    <x v="5"/>
    <x v="28"/>
    <x v="28"/>
    <x v="37"/>
    <x v="19"/>
    <x v="1"/>
    <x v="41"/>
    <x v="3"/>
    <x v="2"/>
  </r>
  <r>
    <x v="337"/>
    <x v="7"/>
    <x v="4"/>
    <x v="11"/>
    <x v="31"/>
    <x v="23"/>
    <x v="18"/>
    <x v="11"/>
    <x v="33"/>
    <x v="24"/>
    <x v="16"/>
    <x v="0"/>
    <x v="11"/>
    <x v="29"/>
    <x v="11"/>
    <x v="44"/>
    <x v="36"/>
    <x v="1"/>
    <x v="48"/>
    <x v="0"/>
    <x v="0"/>
  </r>
  <r>
    <x v="337"/>
    <x v="7"/>
    <x v="4"/>
    <x v="14"/>
    <x v="13"/>
    <x v="27"/>
    <x v="8"/>
    <x v="14"/>
    <x v="18"/>
    <x v="16"/>
    <x v="8"/>
    <x v="0"/>
    <x v="14"/>
    <x v="13"/>
    <x v="14"/>
    <x v="58"/>
    <x v="30"/>
    <x v="1"/>
    <x v="62"/>
    <x v="0"/>
    <x v="2"/>
  </r>
  <r>
    <x v="337"/>
    <x v="7"/>
    <x v="4"/>
    <x v="16"/>
    <x v="7"/>
    <x v="16"/>
    <x v="8"/>
    <x v="16"/>
    <x v="10"/>
    <x v="21"/>
    <x v="39"/>
    <x v="0"/>
    <x v="16"/>
    <x v="7"/>
    <x v="16"/>
    <x v="47"/>
    <x v="19"/>
    <x v="1"/>
    <x v="51"/>
    <x v="3"/>
    <x v="2"/>
  </r>
  <r>
    <x v="337"/>
    <x v="7"/>
    <x v="4"/>
    <x v="18"/>
    <x v="9"/>
    <x v="32"/>
    <x v="7"/>
    <x v="9"/>
    <x v="34"/>
    <x v="13"/>
    <x v="14"/>
    <x v="0"/>
    <x v="18"/>
    <x v="9"/>
    <x v="18"/>
    <x v="64"/>
    <x v="34"/>
    <x v="0"/>
    <x v="16"/>
    <x v="3"/>
    <x v="0"/>
  </r>
  <r>
    <x v="337"/>
    <x v="7"/>
    <x v="4"/>
    <x v="21"/>
    <x v="4"/>
    <x v="28"/>
    <x v="19"/>
    <x v="21"/>
    <x v="28"/>
    <x v="30"/>
    <x v="25"/>
    <x v="0"/>
    <x v="21"/>
    <x v="4"/>
    <x v="21"/>
    <x v="48"/>
    <x v="42"/>
    <x v="1"/>
    <x v="52"/>
    <x v="0"/>
    <x v="0"/>
  </r>
  <r>
    <x v="337"/>
    <x v="7"/>
    <x v="4"/>
    <x v="23"/>
    <x v="15"/>
    <x v="35"/>
    <x v="29"/>
    <x v="15"/>
    <x v="31"/>
    <x v="21"/>
    <x v="26"/>
    <x v="0"/>
    <x v="23"/>
    <x v="15"/>
    <x v="23"/>
    <x v="45"/>
    <x v="59"/>
    <x v="0"/>
    <x v="35"/>
    <x v="3"/>
    <x v="0"/>
  </r>
  <r>
    <x v="337"/>
    <x v="7"/>
    <x v="4"/>
    <x v="24"/>
    <x v="22"/>
    <x v="21"/>
    <x v="15"/>
    <x v="24"/>
    <x v="19"/>
    <x v="17"/>
    <x v="30"/>
    <x v="0"/>
    <x v="24"/>
    <x v="22"/>
    <x v="24"/>
    <x v="45"/>
    <x v="31"/>
    <x v="1"/>
    <x v="49"/>
    <x v="3"/>
    <x v="2"/>
  </r>
  <r>
    <x v="337"/>
    <x v="7"/>
    <x v="4"/>
    <x v="29"/>
    <x v="25"/>
    <x v="21"/>
    <x v="8"/>
    <x v="25"/>
    <x v="26"/>
    <x v="29"/>
    <x v="4"/>
    <x v="0"/>
    <x v="27"/>
    <x v="25"/>
    <x v="27"/>
    <x v="52"/>
    <x v="24"/>
    <x v="0"/>
    <x v="28"/>
    <x v="3"/>
    <x v="2"/>
  </r>
  <r>
    <x v="337"/>
    <x v="7"/>
    <x v="4"/>
    <x v="32"/>
    <x v="12"/>
    <x v="21"/>
    <x v="11"/>
    <x v="31"/>
    <x v="24"/>
    <x v="20"/>
    <x v="21"/>
    <x v="0"/>
    <x v="30"/>
    <x v="12"/>
    <x v="30"/>
    <x v="49"/>
    <x v="27"/>
    <x v="1"/>
    <x v="53"/>
    <x v="0"/>
    <x v="2"/>
  </r>
  <r>
    <x v="341"/>
    <x v="7"/>
    <x v="4"/>
    <x v="6"/>
    <x v="26"/>
    <x v="17"/>
    <x v="21"/>
    <x v="27"/>
    <x v="28"/>
    <x v="21"/>
    <x v="31"/>
    <x v="0"/>
    <x v="6"/>
    <x v="26"/>
    <x v="26"/>
    <x v="35"/>
    <x v="33"/>
    <x v="0"/>
    <x v="45"/>
    <x v="3"/>
    <x v="2"/>
  </r>
  <r>
    <x v="351"/>
    <x v="7"/>
    <x v="5"/>
    <x v="1"/>
    <x v="21"/>
    <x v="17"/>
    <x v="15"/>
    <x v="1"/>
    <x v="32"/>
    <x v="37"/>
    <x v="12"/>
    <x v="0"/>
    <x v="1"/>
    <x v="21"/>
    <x v="1"/>
    <x v="41"/>
    <x v="27"/>
    <x v="1"/>
    <x v="45"/>
    <x v="0"/>
    <x v="2"/>
  </r>
  <r>
    <x v="361"/>
    <x v="7"/>
    <x v="5"/>
    <x v="0"/>
    <x v="32"/>
    <x v="9"/>
    <x v="5"/>
    <x v="31"/>
    <x v="32"/>
    <x v="18"/>
    <x v="44"/>
    <x v="0"/>
    <x v="0"/>
    <x v="30"/>
    <x v="0"/>
    <x v="43"/>
    <x v="9"/>
    <x v="0"/>
    <x v="37"/>
    <x v="3"/>
    <x v="2"/>
  </r>
  <r>
    <x v="361"/>
    <x v="7"/>
    <x v="5"/>
    <x v="3"/>
    <x v="13"/>
    <x v="10"/>
    <x v="5"/>
    <x v="3"/>
    <x v="30"/>
    <x v="7"/>
    <x v="27"/>
    <x v="0"/>
    <x v="3"/>
    <x v="13"/>
    <x v="3"/>
    <x v="44"/>
    <x v="10"/>
    <x v="1"/>
    <x v="48"/>
    <x v="0"/>
    <x v="2"/>
  </r>
  <r>
    <x v="361"/>
    <x v="7"/>
    <x v="5"/>
    <x v="4"/>
    <x v="19"/>
    <x v="28"/>
    <x v="22"/>
    <x v="19"/>
    <x v="32"/>
    <x v="15"/>
    <x v="2"/>
    <x v="0"/>
    <x v="4"/>
    <x v="19"/>
    <x v="4"/>
    <x v="45"/>
    <x v="45"/>
    <x v="0"/>
    <x v="35"/>
    <x v="3"/>
    <x v="0"/>
  </r>
  <r>
    <x v="361"/>
    <x v="7"/>
    <x v="5"/>
    <x v="6"/>
    <x v="5"/>
    <x v="4"/>
    <x v="31"/>
    <x v="6"/>
    <x v="25"/>
    <x v="15"/>
    <x v="31"/>
    <x v="0"/>
    <x v="6"/>
    <x v="5"/>
    <x v="5"/>
    <x v="12"/>
    <x v="30"/>
    <x v="1"/>
    <x v="16"/>
    <x v="3"/>
    <x v="2"/>
  </r>
  <r>
    <x v="361"/>
    <x v="7"/>
    <x v="5"/>
    <x v="7"/>
    <x v="11"/>
    <x v="18"/>
    <x v="25"/>
    <x v="11"/>
    <x v="32"/>
    <x v="11"/>
    <x v="10"/>
    <x v="0"/>
    <x v="7"/>
    <x v="11"/>
    <x v="11"/>
    <x v="32"/>
    <x v="38"/>
    <x v="0"/>
    <x v="48"/>
    <x v="0"/>
    <x v="0"/>
  </r>
  <r>
    <x v="361"/>
    <x v="7"/>
    <x v="5"/>
    <x v="9"/>
    <x v="23"/>
    <x v="20"/>
    <x v="0"/>
    <x v="23"/>
    <x v="35"/>
    <x v="15"/>
    <x v="38"/>
    <x v="0"/>
    <x v="9"/>
    <x v="23"/>
    <x v="9"/>
    <x v="61"/>
    <x v="13"/>
    <x v="0"/>
    <x v="19"/>
    <x v="3"/>
    <x v="2"/>
  </r>
  <r>
    <x v="361"/>
    <x v="7"/>
    <x v="5"/>
    <x v="12"/>
    <x v="28"/>
    <x v="13"/>
    <x v="24"/>
    <x v="12"/>
    <x v="35"/>
    <x v="25"/>
    <x v="29"/>
    <x v="0"/>
    <x v="12"/>
    <x v="28"/>
    <x v="28"/>
    <x v="28"/>
    <x v="32"/>
    <x v="1"/>
    <x v="32"/>
    <x v="3"/>
    <x v="2"/>
  </r>
  <r>
    <x v="361"/>
    <x v="7"/>
    <x v="5"/>
    <x v="14"/>
    <x v="29"/>
    <x v="27"/>
    <x v="22"/>
    <x v="14"/>
    <x v="31"/>
    <x v="14"/>
    <x v="8"/>
    <x v="0"/>
    <x v="14"/>
    <x v="27"/>
    <x v="14"/>
    <x v="44"/>
    <x v="44"/>
    <x v="1"/>
    <x v="48"/>
    <x v="0"/>
    <x v="0"/>
  </r>
  <r>
    <x v="361"/>
    <x v="7"/>
    <x v="5"/>
    <x v="15"/>
    <x v="24"/>
    <x v="23"/>
    <x v="13"/>
    <x v="15"/>
    <x v="28"/>
    <x v="31"/>
    <x v="0"/>
    <x v="0"/>
    <x v="15"/>
    <x v="24"/>
    <x v="15"/>
    <x v="49"/>
    <x v="31"/>
    <x v="1"/>
    <x v="53"/>
    <x v="0"/>
    <x v="2"/>
  </r>
  <r>
    <x v="361"/>
    <x v="7"/>
    <x v="5"/>
    <x v="16"/>
    <x v="33"/>
    <x v="27"/>
    <x v="11"/>
    <x v="16"/>
    <x v="25"/>
    <x v="27"/>
    <x v="39"/>
    <x v="0"/>
    <x v="16"/>
    <x v="31"/>
    <x v="16"/>
    <x v="55"/>
    <x v="33"/>
    <x v="1"/>
    <x v="59"/>
    <x v="0"/>
    <x v="2"/>
  </r>
  <r>
    <x v="361"/>
    <x v="7"/>
    <x v="5"/>
    <x v="17"/>
    <x v="25"/>
    <x v="32"/>
    <x v="41"/>
    <x v="17"/>
    <x v="35"/>
    <x v="29"/>
    <x v="19"/>
    <x v="0"/>
    <x v="17"/>
    <x v="25"/>
    <x v="25"/>
    <x v="30"/>
    <x v="68"/>
    <x v="1"/>
    <x v="34"/>
    <x v="3"/>
    <x v="0"/>
  </r>
  <r>
    <x v="361"/>
    <x v="7"/>
    <x v="5"/>
    <x v="22"/>
    <x v="8"/>
    <x v="7"/>
    <x v="28"/>
    <x v="8"/>
    <x v="29"/>
    <x v="18"/>
    <x v="26"/>
    <x v="0"/>
    <x v="22"/>
    <x v="8"/>
    <x v="8"/>
    <x v="18"/>
    <x v="30"/>
    <x v="0"/>
    <x v="62"/>
    <x v="0"/>
    <x v="2"/>
  </r>
  <r>
    <x v="361"/>
    <x v="7"/>
    <x v="5"/>
    <x v="26"/>
    <x v="2"/>
    <x v="36"/>
    <x v="36"/>
    <x v="27"/>
    <x v="25"/>
    <x v="20"/>
    <x v="15"/>
    <x v="0"/>
    <x v="26"/>
    <x v="2"/>
    <x v="26"/>
    <x v="39"/>
    <x v="67"/>
    <x v="1"/>
    <x v="43"/>
    <x v="3"/>
    <x v="0"/>
  </r>
  <r>
    <x v="361"/>
    <x v="7"/>
    <x v="5"/>
    <x v="31"/>
    <x v="10"/>
    <x v="18"/>
    <x v="22"/>
    <x v="26"/>
    <x v="36"/>
    <x v="29"/>
    <x v="34"/>
    <x v="0"/>
    <x v="29"/>
    <x v="10"/>
    <x v="10"/>
    <x v="35"/>
    <x v="35"/>
    <x v="2"/>
    <x v="88"/>
    <x v="1"/>
    <x v="2"/>
  </r>
  <r>
    <x v="365"/>
    <x v="7"/>
    <x v="5"/>
    <x v="18"/>
    <x v="20"/>
    <x v="24"/>
    <x v="18"/>
    <x v="20"/>
    <x v="16"/>
    <x v="30"/>
    <x v="14"/>
    <x v="0"/>
    <x v="18"/>
    <x v="20"/>
    <x v="18"/>
    <x v="45"/>
    <x v="37"/>
    <x v="0"/>
    <x v="35"/>
    <x v="3"/>
    <x v="2"/>
  </r>
  <r>
    <x v="375"/>
    <x v="7"/>
    <x v="6"/>
    <x v="13"/>
    <x v="9"/>
    <x v="10"/>
    <x v="23"/>
    <x v="9"/>
    <x v="31"/>
    <x v="15"/>
    <x v="22"/>
    <x v="0"/>
    <x v="13"/>
    <x v="9"/>
    <x v="9"/>
    <x v="26"/>
    <x v="28"/>
    <x v="0"/>
    <x v="54"/>
    <x v="0"/>
    <x v="2"/>
  </r>
  <r>
    <x v="383"/>
    <x v="7"/>
    <x v="6"/>
    <x v="10"/>
    <x v="5"/>
    <x v="17"/>
    <x v="8"/>
    <x v="10"/>
    <x v="27"/>
    <x v="21"/>
    <x v="11"/>
    <x v="0"/>
    <x v="10"/>
    <x v="5"/>
    <x v="10"/>
    <x v="48"/>
    <x v="20"/>
    <x v="1"/>
    <x v="52"/>
    <x v="0"/>
    <x v="2"/>
  </r>
  <r>
    <x v="383"/>
    <x v="7"/>
    <x v="6"/>
    <x v="15"/>
    <x v="16"/>
    <x v="27"/>
    <x v="11"/>
    <x v="16"/>
    <x v="35"/>
    <x v="28"/>
    <x v="0"/>
    <x v="0"/>
    <x v="15"/>
    <x v="16"/>
    <x v="15"/>
    <x v="55"/>
    <x v="33"/>
    <x v="0"/>
    <x v="25"/>
    <x v="3"/>
    <x v="2"/>
  </r>
  <r>
    <x v="388"/>
    <x v="7"/>
    <x v="6"/>
    <x v="3"/>
    <x v="18"/>
    <x v="21"/>
    <x v="14"/>
    <x v="3"/>
    <x v="30"/>
    <x v="13"/>
    <x v="27"/>
    <x v="0"/>
    <x v="3"/>
    <x v="18"/>
    <x v="3"/>
    <x v="46"/>
    <x v="30"/>
    <x v="1"/>
    <x v="50"/>
    <x v="0"/>
    <x v="0"/>
  </r>
  <r>
    <x v="388"/>
    <x v="7"/>
    <x v="6"/>
    <x v="4"/>
    <x v="11"/>
    <x v="28"/>
    <x v="22"/>
    <x v="4"/>
    <x v="31"/>
    <x v="27"/>
    <x v="2"/>
    <x v="0"/>
    <x v="4"/>
    <x v="11"/>
    <x v="4"/>
    <x v="45"/>
    <x v="45"/>
    <x v="1"/>
    <x v="49"/>
    <x v="0"/>
    <x v="0"/>
  </r>
  <r>
    <x v="388"/>
    <x v="7"/>
    <x v="6"/>
    <x v="7"/>
    <x v="2"/>
    <x v="7"/>
    <x v="25"/>
    <x v="2"/>
    <x v="24"/>
    <x v="18"/>
    <x v="10"/>
    <x v="0"/>
    <x v="7"/>
    <x v="2"/>
    <x v="2"/>
    <x v="21"/>
    <x v="27"/>
    <x v="0"/>
    <x v="59"/>
    <x v="0"/>
    <x v="2"/>
  </r>
  <r>
    <x v="388"/>
    <x v="7"/>
    <x v="6"/>
    <x v="14"/>
    <x v="12"/>
    <x v="42"/>
    <x v="5"/>
    <x v="14"/>
    <x v="16"/>
    <x v="12"/>
    <x v="8"/>
    <x v="0"/>
    <x v="14"/>
    <x v="12"/>
    <x v="14"/>
    <x v="75"/>
    <x v="42"/>
    <x v="1"/>
    <x v="79"/>
    <x v="0"/>
    <x v="0"/>
  </r>
  <r>
    <x v="388"/>
    <x v="7"/>
    <x v="6"/>
    <x v="19"/>
    <x v="6"/>
    <x v="31"/>
    <x v="5"/>
    <x v="19"/>
    <x v="12"/>
    <x v="19"/>
    <x v="43"/>
    <x v="0"/>
    <x v="19"/>
    <x v="6"/>
    <x v="19"/>
    <x v="65"/>
    <x v="31"/>
    <x v="1"/>
    <x v="69"/>
    <x v="0"/>
    <x v="2"/>
  </r>
  <r>
    <x v="388"/>
    <x v="7"/>
    <x v="6"/>
    <x v="21"/>
    <x v="23"/>
    <x v="28"/>
    <x v="17"/>
    <x v="21"/>
    <x v="4"/>
    <x v="28"/>
    <x v="25"/>
    <x v="0"/>
    <x v="21"/>
    <x v="23"/>
    <x v="21"/>
    <x v="50"/>
    <x v="40"/>
    <x v="1"/>
    <x v="54"/>
    <x v="3"/>
    <x v="0"/>
  </r>
  <r>
    <x v="388"/>
    <x v="7"/>
    <x v="6"/>
    <x v="22"/>
    <x v="25"/>
    <x v="26"/>
    <x v="32"/>
    <x v="25"/>
    <x v="22"/>
    <x v="14"/>
    <x v="26"/>
    <x v="0"/>
    <x v="22"/>
    <x v="25"/>
    <x v="25"/>
    <x v="33"/>
    <x v="53"/>
    <x v="0"/>
    <x v="47"/>
    <x v="3"/>
    <x v="0"/>
  </r>
  <r>
    <x v="388"/>
    <x v="7"/>
    <x v="6"/>
    <x v="24"/>
    <x v="8"/>
    <x v="14"/>
    <x v="18"/>
    <x v="8"/>
    <x v="31"/>
    <x v="26"/>
    <x v="30"/>
    <x v="0"/>
    <x v="24"/>
    <x v="8"/>
    <x v="8"/>
    <x v="35"/>
    <x v="27"/>
    <x v="0"/>
    <x v="45"/>
    <x v="2"/>
    <x v="2"/>
  </r>
  <r>
    <x v="388"/>
    <x v="7"/>
    <x v="6"/>
    <x v="26"/>
    <x v="20"/>
    <x v="21"/>
    <x v="25"/>
    <x v="20"/>
    <x v="32"/>
    <x v="39"/>
    <x v="15"/>
    <x v="0"/>
    <x v="26"/>
    <x v="20"/>
    <x v="20"/>
    <x v="35"/>
    <x v="41"/>
    <x v="0"/>
    <x v="45"/>
    <x v="0"/>
    <x v="2"/>
  </r>
  <r>
    <x v="388"/>
    <x v="7"/>
    <x v="6"/>
    <x v="28"/>
    <x v="32"/>
    <x v="22"/>
    <x v="21"/>
    <x v="29"/>
    <x v="32"/>
    <x v="23"/>
    <x v="17"/>
    <x v="0"/>
    <x v="28"/>
    <x v="30"/>
    <x v="28"/>
    <x v="40"/>
    <x v="38"/>
    <x v="1"/>
    <x v="44"/>
    <x v="3"/>
    <x v="0"/>
  </r>
  <r>
    <x v="388"/>
    <x v="7"/>
    <x v="6"/>
    <x v="29"/>
    <x v="17"/>
    <x v="4"/>
    <x v="40"/>
    <x v="17"/>
    <x v="35"/>
    <x v="29"/>
    <x v="4"/>
    <x v="0"/>
    <x v="27"/>
    <x v="17"/>
    <x v="17"/>
    <x v="3"/>
    <x v="39"/>
    <x v="0"/>
    <x v="77"/>
    <x v="0"/>
    <x v="0"/>
  </r>
  <r>
    <x v="388"/>
    <x v="7"/>
    <x v="6"/>
    <x v="33"/>
    <x v="0"/>
    <x v="17"/>
    <x v="13"/>
    <x v="32"/>
    <x v="29"/>
    <x v="14"/>
    <x v="9"/>
    <x v="0"/>
    <x v="31"/>
    <x v="0"/>
    <x v="32"/>
    <x v="43"/>
    <x v="25"/>
    <x v="1"/>
    <x v="47"/>
    <x v="0"/>
    <x v="2"/>
  </r>
  <r>
    <x v="392"/>
    <x v="7"/>
    <x v="6"/>
    <x v="31"/>
    <x v="1"/>
    <x v="18"/>
    <x v="22"/>
    <x v="1"/>
    <x v="23"/>
    <x v="33"/>
    <x v="34"/>
    <x v="0"/>
    <x v="29"/>
    <x v="1"/>
    <x v="1"/>
    <x v="35"/>
    <x v="35"/>
    <x v="0"/>
    <x v="45"/>
    <x v="3"/>
    <x v="2"/>
  </r>
  <r>
    <x v="410"/>
    <x v="7"/>
    <x v="7"/>
    <x v="2"/>
    <x v="13"/>
    <x v="20"/>
    <x v="14"/>
    <x v="2"/>
    <x v="10"/>
    <x v="16"/>
    <x v="23"/>
    <x v="0"/>
    <x v="2"/>
    <x v="13"/>
    <x v="2"/>
    <x v="45"/>
    <x v="29"/>
    <x v="1"/>
    <x v="49"/>
    <x v="3"/>
    <x v="2"/>
  </r>
  <r>
    <x v="410"/>
    <x v="7"/>
    <x v="7"/>
    <x v="11"/>
    <x v="19"/>
    <x v="0"/>
    <x v="14"/>
    <x v="19"/>
    <x v="20"/>
    <x v="16"/>
    <x v="16"/>
    <x v="0"/>
    <x v="11"/>
    <x v="19"/>
    <x v="19"/>
    <x v="22"/>
    <x v="6"/>
    <x v="0"/>
    <x v="58"/>
    <x v="0"/>
    <x v="2"/>
  </r>
  <r>
    <x v="414"/>
    <x v="7"/>
    <x v="7"/>
    <x v="0"/>
    <x v="22"/>
    <x v="20"/>
    <x v="0"/>
    <x v="0"/>
    <x v="31"/>
    <x v="12"/>
    <x v="44"/>
    <x v="0"/>
    <x v="0"/>
    <x v="22"/>
    <x v="0"/>
    <x v="61"/>
    <x v="13"/>
    <x v="1"/>
    <x v="65"/>
    <x v="0"/>
    <x v="2"/>
  </r>
  <r>
    <x v="414"/>
    <x v="7"/>
    <x v="7"/>
    <x v="4"/>
    <x v="31"/>
    <x v="19"/>
    <x v="17"/>
    <x v="4"/>
    <x v="17"/>
    <x v="27"/>
    <x v="2"/>
    <x v="0"/>
    <x v="4"/>
    <x v="29"/>
    <x v="4"/>
    <x v="41"/>
    <x v="31"/>
    <x v="1"/>
    <x v="45"/>
    <x v="3"/>
    <x v="2"/>
  </r>
  <r>
    <x v="414"/>
    <x v="7"/>
    <x v="7"/>
    <x v="5"/>
    <x v="7"/>
    <x v="17"/>
    <x v="2"/>
    <x v="5"/>
    <x v="26"/>
    <x v="8"/>
    <x v="37"/>
    <x v="0"/>
    <x v="5"/>
    <x v="7"/>
    <x v="5"/>
    <x v="55"/>
    <x v="13"/>
    <x v="1"/>
    <x v="59"/>
    <x v="0"/>
    <x v="2"/>
  </r>
  <r>
    <x v="414"/>
    <x v="7"/>
    <x v="7"/>
    <x v="6"/>
    <x v="10"/>
    <x v="23"/>
    <x v="15"/>
    <x v="10"/>
    <x v="30"/>
    <x v="21"/>
    <x v="31"/>
    <x v="0"/>
    <x v="6"/>
    <x v="10"/>
    <x v="6"/>
    <x v="47"/>
    <x v="33"/>
    <x v="0"/>
    <x v="33"/>
    <x v="3"/>
    <x v="2"/>
  </r>
  <r>
    <x v="414"/>
    <x v="7"/>
    <x v="7"/>
    <x v="8"/>
    <x v="29"/>
    <x v="9"/>
    <x v="19"/>
    <x v="8"/>
    <x v="28"/>
    <x v="28"/>
    <x v="1"/>
    <x v="0"/>
    <x v="8"/>
    <x v="27"/>
    <x v="27"/>
    <x v="29"/>
    <x v="23"/>
    <x v="1"/>
    <x v="33"/>
    <x v="3"/>
    <x v="2"/>
  </r>
  <r>
    <x v="414"/>
    <x v="7"/>
    <x v="7"/>
    <x v="15"/>
    <x v="18"/>
    <x v="26"/>
    <x v="11"/>
    <x v="15"/>
    <x v="15"/>
    <x v="21"/>
    <x v="0"/>
    <x v="0"/>
    <x v="15"/>
    <x v="18"/>
    <x v="15"/>
    <x v="54"/>
    <x v="32"/>
    <x v="1"/>
    <x v="58"/>
    <x v="0"/>
    <x v="2"/>
  </r>
  <r>
    <x v="414"/>
    <x v="7"/>
    <x v="7"/>
    <x v="20"/>
    <x v="3"/>
    <x v="34"/>
    <x v="14"/>
    <x v="20"/>
    <x v="15"/>
    <x v="29"/>
    <x v="13"/>
    <x v="0"/>
    <x v="20"/>
    <x v="3"/>
    <x v="20"/>
    <x v="59"/>
    <x v="43"/>
    <x v="1"/>
    <x v="63"/>
    <x v="0"/>
    <x v="0"/>
  </r>
  <r>
    <x v="414"/>
    <x v="7"/>
    <x v="7"/>
    <x v="21"/>
    <x v="1"/>
    <x v="20"/>
    <x v="11"/>
    <x v="21"/>
    <x v="26"/>
    <x v="38"/>
    <x v="25"/>
    <x v="0"/>
    <x v="21"/>
    <x v="1"/>
    <x v="21"/>
    <x v="48"/>
    <x v="26"/>
    <x v="1"/>
    <x v="52"/>
    <x v="0"/>
    <x v="2"/>
  </r>
  <r>
    <x v="414"/>
    <x v="7"/>
    <x v="7"/>
    <x v="23"/>
    <x v="16"/>
    <x v="4"/>
    <x v="12"/>
    <x v="16"/>
    <x v="22"/>
    <x v="19"/>
    <x v="26"/>
    <x v="0"/>
    <x v="23"/>
    <x v="16"/>
    <x v="16"/>
    <x v="31"/>
    <x v="11"/>
    <x v="0"/>
    <x v="49"/>
    <x v="3"/>
    <x v="2"/>
  </r>
  <r>
    <x v="414"/>
    <x v="7"/>
    <x v="7"/>
    <x v="28"/>
    <x v="14"/>
    <x v="41"/>
    <x v="31"/>
    <x v="14"/>
    <x v="29"/>
    <x v="20"/>
    <x v="17"/>
    <x v="0"/>
    <x v="28"/>
    <x v="14"/>
    <x v="28"/>
    <x v="49"/>
    <x v="67"/>
    <x v="0"/>
    <x v="31"/>
    <x v="3"/>
    <x v="0"/>
  </r>
  <r>
    <x v="414"/>
    <x v="7"/>
    <x v="7"/>
    <x v="32"/>
    <x v="17"/>
    <x v="20"/>
    <x v="25"/>
    <x v="17"/>
    <x v="26"/>
    <x v="26"/>
    <x v="21"/>
    <x v="0"/>
    <x v="30"/>
    <x v="17"/>
    <x v="17"/>
    <x v="34"/>
    <x v="40"/>
    <x v="0"/>
    <x v="46"/>
    <x v="3"/>
    <x v="0"/>
  </r>
  <r>
    <x v="414"/>
    <x v="7"/>
    <x v="7"/>
    <x v="33"/>
    <x v="9"/>
    <x v="24"/>
    <x v="9"/>
    <x v="32"/>
    <x v="31"/>
    <x v="13"/>
    <x v="9"/>
    <x v="0"/>
    <x v="31"/>
    <x v="9"/>
    <x v="32"/>
    <x v="54"/>
    <x v="28"/>
    <x v="1"/>
    <x v="58"/>
    <x v="0"/>
    <x v="2"/>
  </r>
  <r>
    <x v="418"/>
    <x v="7"/>
    <x v="7"/>
    <x v="12"/>
    <x v="26"/>
    <x v="3"/>
    <x v="32"/>
    <x v="27"/>
    <x v="21"/>
    <x v="25"/>
    <x v="29"/>
    <x v="0"/>
    <x v="12"/>
    <x v="26"/>
    <x v="26"/>
    <x v="10"/>
    <x v="30"/>
    <x v="0"/>
    <x v="70"/>
    <x v="0"/>
    <x v="2"/>
  </r>
  <r>
    <x v="418"/>
    <x v="7"/>
    <x v="7"/>
    <x v="25"/>
    <x v="24"/>
    <x v="16"/>
    <x v="8"/>
    <x v="25"/>
    <x v="17"/>
    <x v="26"/>
    <x v="18"/>
    <x v="0"/>
    <x v="25"/>
    <x v="24"/>
    <x v="25"/>
    <x v="47"/>
    <x v="19"/>
    <x v="1"/>
    <x v="51"/>
    <x v="3"/>
    <x v="2"/>
  </r>
  <r>
    <x v="430"/>
    <x v="7"/>
    <x v="8"/>
    <x v="1"/>
    <x v="4"/>
    <x v="19"/>
    <x v="8"/>
    <x v="1"/>
    <x v="27"/>
    <x v="23"/>
    <x v="12"/>
    <x v="0"/>
    <x v="1"/>
    <x v="4"/>
    <x v="1"/>
    <x v="50"/>
    <x v="22"/>
    <x v="1"/>
    <x v="54"/>
    <x v="0"/>
    <x v="2"/>
  </r>
  <r>
    <x v="430"/>
    <x v="7"/>
    <x v="8"/>
    <x v="2"/>
    <x v="6"/>
    <x v="24"/>
    <x v="29"/>
    <x v="2"/>
    <x v="21"/>
    <x v="14"/>
    <x v="23"/>
    <x v="0"/>
    <x v="2"/>
    <x v="6"/>
    <x v="6"/>
    <x v="34"/>
    <x v="48"/>
    <x v="1"/>
    <x v="38"/>
    <x v="3"/>
    <x v="0"/>
  </r>
  <r>
    <x v="430"/>
    <x v="7"/>
    <x v="8"/>
    <x v="9"/>
    <x v="15"/>
    <x v="21"/>
    <x v="25"/>
    <x v="9"/>
    <x v="31"/>
    <x v="9"/>
    <x v="38"/>
    <x v="0"/>
    <x v="9"/>
    <x v="15"/>
    <x v="15"/>
    <x v="35"/>
    <x v="41"/>
    <x v="1"/>
    <x v="39"/>
    <x v="3"/>
    <x v="0"/>
  </r>
  <r>
    <x v="430"/>
    <x v="7"/>
    <x v="8"/>
    <x v="10"/>
    <x v="11"/>
    <x v="32"/>
    <x v="9"/>
    <x v="10"/>
    <x v="22"/>
    <x v="23"/>
    <x v="11"/>
    <x v="0"/>
    <x v="10"/>
    <x v="11"/>
    <x v="10"/>
    <x v="62"/>
    <x v="36"/>
    <x v="1"/>
    <x v="66"/>
    <x v="0"/>
    <x v="0"/>
  </r>
  <r>
    <x v="430"/>
    <x v="7"/>
    <x v="8"/>
    <x v="13"/>
    <x v="12"/>
    <x v="19"/>
    <x v="11"/>
    <x v="13"/>
    <x v="26"/>
    <x v="17"/>
    <x v="22"/>
    <x v="0"/>
    <x v="13"/>
    <x v="12"/>
    <x v="13"/>
    <x v="47"/>
    <x v="25"/>
    <x v="1"/>
    <x v="51"/>
    <x v="0"/>
    <x v="2"/>
  </r>
  <r>
    <x v="430"/>
    <x v="7"/>
    <x v="8"/>
    <x v="16"/>
    <x v="24"/>
    <x v="27"/>
    <x v="8"/>
    <x v="16"/>
    <x v="23"/>
    <x v="20"/>
    <x v="39"/>
    <x v="0"/>
    <x v="16"/>
    <x v="24"/>
    <x v="16"/>
    <x v="58"/>
    <x v="30"/>
    <x v="1"/>
    <x v="62"/>
    <x v="0"/>
    <x v="2"/>
  </r>
  <r>
    <x v="430"/>
    <x v="7"/>
    <x v="8"/>
    <x v="17"/>
    <x v="28"/>
    <x v="10"/>
    <x v="32"/>
    <x v="29"/>
    <x v="25"/>
    <x v="23"/>
    <x v="19"/>
    <x v="0"/>
    <x v="17"/>
    <x v="28"/>
    <x v="28"/>
    <x v="17"/>
    <x v="37"/>
    <x v="0"/>
    <x v="63"/>
    <x v="0"/>
    <x v="0"/>
  </r>
  <r>
    <x v="430"/>
    <x v="7"/>
    <x v="8"/>
    <x v="18"/>
    <x v="3"/>
    <x v="13"/>
    <x v="20"/>
    <x v="3"/>
    <x v="32"/>
    <x v="17"/>
    <x v="14"/>
    <x v="0"/>
    <x v="18"/>
    <x v="3"/>
    <x v="3"/>
    <x v="32"/>
    <x v="28"/>
    <x v="0"/>
    <x v="48"/>
    <x v="0"/>
    <x v="2"/>
  </r>
  <r>
    <x v="430"/>
    <x v="7"/>
    <x v="8"/>
    <x v="19"/>
    <x v="5"/>
    <x v="20"/>
    <x v="8"/>
    <x v="19"/>
    <x v="10"/>
    <x v="11"/>
    <x v="43"/>
    <x v="0"/>
    <x v="19"/>
    <x v="5"/>
    <x v="19"/>
    <x v="51"/>
    <x v="23"/>
    <x v="1"/>
    <x v="55"/>
    <x v="3"/>
    <x v="2"/>
  </r>
  <r>
    <x v="430"/>
    <x v="7"/>
    <x v="8"/>
    <x v="20"/>
    <x v="23"/>
    <x v="23"/>
    <x v="4"/>
    <x v="20"/>
    <x v="3"/>
    <x v="21"/>
    <x v="13"/>
    <x v="0"/>
    <x v="20"/>
    <x v="23"/>
    <x v="20"/>
    <x v="58"/>
    <x v="22"/>
    <x v="1"/>
    <x v="62"/>
    <x v="0"/>
    <x v="2"/>
  </r>
  <r>
    <x v="430"/>
    <x v="7"/>
    <x v="8"/>
    <x v="22"/>
    <x v="33"/>
    <x v="15"/>
    <x v="8"/>
    <x v="32"/>
    <x v="28"/>
    <x v="16"/>
    <x v="26"/>
    <x v="0"/>
    <x v="22"/>
    <x v="31"/>
    <x v="22"/>
    <x v="46"/>
    <x v="18"/>
    <x v="0"/>
    <x v="34"/>
    <x v="3"/>
    <x v="2"/>
  </r>
  <r>
    <x v="430"/>
    <x v="7"/>
    <x v="8"/>
    <x v="25"/>
    <x v="8"/>
    <x v="0"/>
    <x v="4"/>
    <x v="8"/>
    <x v="30"/>
    <x v="16"/>
    <x v="18"/>
    <x v="0"/>
    <x v="25"/>
    <x v="8"/>
    <x v="8"/>
    <x v="32"/>
    <x v="0"/>
    <x v="0"/>
    <x v="48"/>
    <x v="0"/>
    <x v="2"/>
  </r>
  <r>
    <x v="430"/>
    <x v="7"/>
    <x v="8"/>
    <x v="26"/>
    <x v="7"/>
    <x v="25"/>
    <x v="22"/>
    <x v="27"/>
    <x v="27"/>
    <x v="11"/>
    <x v="15"/>
    <x v="0"/>
    <x v="26"/>
    <x v="7"/>
    <x v="26"/>
    <x v="42"/>
    <x v="42"/>
    <x v="1"/>
    <x v="46"/>
    <x v="3"/>
    <x v="0"/>
  </r>
  <r>
    <x v="430"/>
    <x v="7"/>
    <x v="8"/>
    <x v="29"/>
    <x v="0"/>
    <x v="21"/>
    <x v="24"/>
    <x v="28"/>
    <x v="21"/>
    <x v="10"/>
    <x v="4"/>
    <x v="0"/>
    <x v="27"/>
    <x v="0"/>
    <x v="0"/>
    <x v="36"/>
    <x v="40"/>
    <x v="1"/>
    <x v="40"/>
    <x v="3"/>
    <x v="0"/>
  </r>
  <r>
    <x v="430"/>
    <x v="7"/>
    <x v="8"/>
    <x v="31"/>
    <x v="21"/>
    <x v="28"/>
    <x v="22"/>
    <x v="21"/>
    <x v="25"/>
    <x v="32"/>
    <x v="34"/>
    <x v="0"/>
    <x v="29"/>
    <x v="21"/>
    <x v="29"/>
    <x v="45"/>
    <x v="45"/>
    <x v="0"/>
    <x v="35"/>
    <x v="3"/>
    <x v="0"/>
  </r>
  <r>
    <x v="430"/>
    <x v="7"/>
    <x v="8"/>
    <x v="32"/>
    <x v="14"/>
    <x v="12"/>
    <x v="8"/>
    <x v="31"/>
    <x v="32"/>
    <x v="14"/>
    <x v="21"/>
    <x v="0"/>
    <x v="30"/>
    <x v="14"/>
    <x v="30"/>
    <x v="43"/>
    <x v="15"/>
    <x v="1"/>
    <x v="47"/>
    <x v="0"/>
    <x v="2"/>
  </r>
  <r>
    <x v="10"/>
    <x v="7"/>
    <x v="20"/>
    <x v="15"/>
    <x v="32"/>
    <x v="18"/>
    <x v="20"/>
    <x v="15"/>
    <x v="20"/>
    <x v="22"/>
    <x v="0"/>
    <x v="1"/>
    <x v="15"/>
    <x v="30"/>
    <x v="30"/>
    <x v="37"/>
    <x v="33"/>
    <x v="1"/>
    <x v="41"/>
    <x v="3"/>
    <x v="2"/>
  </r>
  <r>
    <x v="10"/>
    <x v="7"/>
    <x v="20"/>
    <x v="17"/>
    <x v="1"/>
    <x v="10"/>
    <x v="24"/>
    <x v="17"/>
    <x v="24"/>
    <x v="30"/>
    <x v="19"/>
    <x v="1"/>
    <x v="17"/>
    <x v="1"/>
    <x v="1"/>
    <x v="25"/>
    <x v="29"/>
    <x v="1"/>
    <x v="29"/>
    <x v="3"/>
    <x v="2"/>
  </r>
  <r>
    <x v="13"/>
    <x v="7"/>
    <x v="20"/>
    <x v="14"/>
    <x v="3"/>
    <x v="7"/>
    <x v="2"/>
    <x v="14"/>
    <x v="21"/>
    <x v="13"/>
    <x v="8"/>
    <x v="1"/>
    <x v="14"/>
    <x v="3"/>
    <x v="14"/>
    <x v="45"/>
    <x v="4"/>
    <x v="1"/>
    <x v="49"/>
    <x v="3"/>
    <x v="2"/>
  </r>
  <r>
    <x v="13"/>
    <x v="7"/>
    <x v="20"/>
    <x v="21"/>
    <x v="4"/>
    <x v="28"/>
    <x v="24"/>
    <x v="21"/>
    <x v="24"/>
    <x v="29"/>
    <x v="25"/>
    <x v="1"/>
    <x v="21"/>
    <x v="4"/>
    <x v="21"/>
    <x v="43"/>
    <x v="47"/>
    <x v="1"/>
    <x v="47"/>
    <x v="3"/>
    <x v="0"/>
  </r>
  <r>
    <x v="26"/>
    <x v="7"/>
    <x v="18"/>
    <x v="20"/>
    <x v="32"/>
    <x v="32"/>
    <x v="12"/>
    <x v="20"/>
    <x v="10"/>
    <x v="31"/>
    <x v="13"/>
    <x v="1"/>
    <x v="20"/>
    <x v="30"/>
    <x v="20"/>
    <x v="59"/>
    <x v="39"/>
    <x v="1"/>
    <x v="63"/>
    <x v="0"/>
    <x v="0"/>
  </r>
  <r>
    <x v="26"/>
    <x v="7"/>
    <x v="18"/>
    <x v="25"/>
    <x v="1"/>
    <x v="12"/>
    <x v="8"/>
    <x v="1"/>
    <x v="32"/>
    <x v="14"/>
    <x v="18"/>
    <x v="1"/>
    <x v="25"/>
    <x v="1"/>
    <x v="25"/>
    <x v="43"/>
    <x v="15"/>
    <x v="0"/>
    <x v="37"/>
    <x v="3"/>
    <x v="2"/>
  </r>
  <r>
    <x v="29"/>
    <x v="7"/>
    <x v="18"/>
    <x v="19"/>
    <x v="21"/>
    <x v="26"/>
    <x v="22"/>
    <x v="19"/>
    <x v="26"/>
    <x v="27"/>
    <x v="43"/>
    <x v="1"/>
    <x v="19"/>
    <x v="21"/>
    <x v="19"/>
    <x v="43"/>
    <x v="43"/>
    <x v="1"/>
    <x v="47"/>
    <x v="3"/>
    <x v="0"/>
  </r>
  <r>
    <x v="29"/>
    <x v="7"/>
    <x v="18"/>
    <x v="26"/>
    <x v="14"/>
    <x v="39"/>
    <x v="43"/>
    <x v="27"/>
    <x v="23"/>
    <x v="15"/>
    <x v="15"/>
    <x v="1"/>
    <x v="26"/>
    <x v="14"/>
    <x v="14"/>
    <x v="35"/>
    <x v="77"/>
    <x v="1"/>
    <x v="39"/>
    <x v="3"/>
    <x v="0"/>
  </r>
  <r>
    <x v="39"/>
    <x v="7"/>
    <x v="17"/>
    <x v="20"/>
    <x v="14"/>
    <x v="21"/>
    <x v="18"/>
    <x v="20"/>
    <x v="22"/>
    <x v="26"/>
    <x v="13"/>
    <x v="1"/>
    <x v="20"/>
    <x v="14"/>
    <x v="20"/>
    <x v="42"/>
    <x v="34"/>
    <x v="1"/>
    <x v="46"/>
    <x v="3"/>
    <x v="2"/>
  </r>
  <r>
    <x v="39"/>
    <x v="7"/>
    <x v="17"/>
    <x v="25"/>
    <x v="19"/>
    <x v="35"/>
    <x v="5"/>
    <x v="19"/>
    <x v="31"/>
    <x v="12"/>
    <x v="18"/>
    <x v="1"/>
    <x v="25"/>
    <x v="19"/>
    <x v="25"/>
    <x v="69"/>
    <x v="35"/>
    <x v="0"/>
    <x v="11"/>
    <x v="3"/>
    <x v="0"/>
  </r>
  <r>
    <x v="47"/>
    <x v="7"/>
    <x v="19"/>
    <x v="20"/>
    <x v="25"/>
    <x v="30"/>
    <x v="39"/>
    <x v="20"/>
    <x v="28"/>
    <x v="31"/>
    <x v="43"/>
    <x v="1"/>
    <x v="20"/>
    <x v="25"/>
    <x v="25"/>
    <x v="30"/>
    <x v="64"/>
    <x v="1"/>
    <x v="34"/>
    <x v="3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1" cacheId="1" dataOnRows="0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I6:M16" firstHeaderRow="1" firstDataRow="2" firstDataCol="1"/>
  <pivotFields count="21">
    <pivotField dataField="1" compact="0" showAll="0"/>
    <pivotField axis="axisRow" compact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 defaultSubtotal="0">
      <items count="3">
        <item x="0"/>
        <item x="1"/>
        <item x="2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Count - Date" fld="0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4.vml"/><Relationship Id="rId4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4" min="4" style="1" width="55"/>
  </cols>
  <sheetData>
    <row r="1" customFormat="false" ht="24" hidden="false" customHeight="tru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</row>
    <row r="6" customFormat="false" ht="39.75" hidden="false" customHeight="true" outlineLevel="0" collapsed="false">
      <c r="A6" s="6" t="s">
        <v>4</v>
      </c>
    </row>
    <row r="8" customFormat="false" ht="15" hidden="false" customHeight="false" outlineLevel="0" collapsed="false">
      <c r="A8" s="4" t="s">
        <v>5</v>
      </c>
    </row>
    <row r="9" customFormat="false" ht="31.5" hidden="false" customHeight="true" outlineLevel="0" collapsed="false">
      <c r="A9" s="5" t="s">
        <v>6</v>
      </c>
    </row>
    <row r="11" customFormat="false" ht="15" hidden="false" customHeight="false" outlineLevel="0" collapsed="false">
      <c r="A11" s="4" t="s">
        <v>7</v>
      </c>
    </row>
    <row r="12" customFormat="false" ht="15" hidden="false" customHeight="false" outlineLevel="0" collapsed="false">
      <c r="A12" s="7" t="s">
        <v>8</v>
      </c>
      <c r="B12" s="7" t="s">
        <v>9</v>
      </c>
      <c r="C12" s="7" t="s">
        <v>10</v>
      </c>
      <c r="D12" s="7" t="s">
        <v>11</v>
      </c>
    </row>
    <row r="13" customFormat="false" ht="27.75" hidden="false" customHeight="true" outlineLevel="0" collapsed="false">
      <c r="A13" s="8" t="s">
        <v>12</v>
      </c>
      <c r="B13" s="8" t="s">
        <v>13</v>
      </c>
      <c r="C13" s="8" t="s">
        <v>14</v>
      </c>
      <c r="D13" s="8" t="s">
        <v>15</v>
      </c>
    </row>
    <row r="14" customFormat="false" ht="27.75" hidden="false" customHeight="true" outlineLevel="0" collapsed="false">
      <c r="A14" s="8" t="s">
        <v>16</v>
      </c>
      <c r="B14" s="8" t="s">
        <v>13</v>
      </c>
      <c r="C14" s="8" t="s">
        <v>17</v>
      </c>
      <c r="D14" s="8" t="s">
        <v>18</v>
      </c>
    </row>
    <row r="15" customFormat="false" ht="27.75" hidden="false" customHeight="true" outlineLevel="0" collapsed="false">
      <c r="A15" s="8" t="s">
        <v>19</v>
      </c>
      <c r="B15" s="8" t="s">
        <v>13</v>
      </c>
      <c r="C15" s="8" t="s">
        <v>20</v>
      </c>
      <c r="D15" s="8" t="s">
        <v>21</v>
      </c>
    </row>
    <row r="16" customFormat="false" ht="27.75" hidden="false" customHeight="true" outlineLevel="0" collapsed="false">
      <c r="A16" s="8" t="s">
        <v>22</v>
      </c>
      <c r="B16" s="8" t="s">
        <v>13</v>
      </c>
      <c r="C16" s="8" t="s">
        <v>23</v>
      </c>
      <c r="D16" s="8" t="s">
        <v>24</v>
      </c>
    </row>
    <row r="17" customFormat="false" ht="27.75" hidden="false" customHeight="true" outlineLevel="0" collapsed="false">
      <c r="A17" s="8" t="s">
        <v>25</v>
      </c>
      <c r="B17" s="8" t="s">
        <v>26</v>
      </c>
      <c r="C17" s="8" t="s">
        <v>27</v>
      </c>
      <c r="D17" s="8" t="s">
        <v>28</v>
      </c>
    </row>
    <row r="18" customFormat="false" ht="27.75" hidden="false" customHeight="true" outlineLevel="0" collapsed="false">
      <c r="A18" s="8" t="s">
        <v>29</v>
      </c>
      <c r="B18" s="8" t="s">
        <v>26</v>
      </c>
      <c r="C18" s="8" t="s">
        <v>30</v>
      </c>
      <c r="D18" s="8" t="s">
        <v>31</v>
      </c>
    </row>
    <row r="19" customFormat="false" ht="27.75" hidden="false" customHeight="true" outlineLevel="0" collapsed="false">
      <c r="A19" s="8" t="s">
        <v>32</v>
      </c>
      <c r="B19" s="8" t="s">
        <v>26</v>
      </c>
      <c r="C19" s="8" t="s">
        <v>33</v>
      </c>
      <c r="D19" s="8" t="s">
        <v>34</v>
      </c>
    </row>
    <row r="20" customFormat="false" ht="27.75" hidden="false" customHeight="true" outlineLevel="0" collapsed="false">
      <c r="A20" s="8" t="s">
        <v>35</v>
      </c>
      <c r="B20" s="8" t="s">
        <v>26</v>
      </c>
      <c r="C20" s="8" t="s">
        <v>36</v>
      </c>
      <c r="D20" s="8" t="s">
        <v>37</v>
      </c>
    </row>
    <row r="21" customFormat="false" ht="27.75" hidden="false" customHeight="true" outlineLevel="0" collapsed="false">
      <c r="A21" s="8" t="s">
        <v>38</v>
      </c>
      <c r="B21" s="8" t="s">
        <v>39</v>
      </c>
      <c r="C21" s="8" t="s">
        <v>40</v>
      </c>
      <c r="D21" s="8" t="s">
        <v>41</v>
      </c>
    </row>
    <row r="22" customFormat="false" ht="27.75" hidden="false" customHeight="true" outlineLevel="0" collapsed="false">
      <c r="A22" s="8" t="s">
        <v>42</v>
      </c>
      <c r="B22" s="8" t="s">
        <v>39</v>
      </c>
      <c r="C22" s="8" t="s">
        <v>43</v>
      </c>
      <c r="D22" s="8" t="s">
        <v>44</v>
      </c>
    </row>
    <row r="23" customFormat="false" ht="27.75" hidden="false" customHeight="true" outlineLevel="0" collapsed="false">
      <c r="A23" s="8" t="s">
        <v>45</v>
      </c>
      <c r="B23" s="8" t="s">
        <v>39</v>
      </c>
      <c r="C23" s="8" t="s">
        <v>46</v>
      </c>
      <c r="D23" s="8" t="s">
        <v>47</v>
      </c>
    </row>
    <row r="26" customFormat="false" ht="15" hidden="false" customHeight="false" outlineLevel="0" collapsed="false">
      <c r="A26" s="6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</cols>
  <sheetData>
    <row r="1" customFormat="false" ht="19.7" hidden="false" customHeight="false" outlineLevel="0" collapsed="false">
      <c r="A1" s="2" t="s">
        <v>49</v>
      </c>
    </row>
    <row r="2" customFormat="false" ht="15" hidden="false" customHeight="false" outlineLevel="0" collapsed="false">
      <c r="A2" s="3" t="s">
        <v>50</v>
      </c>
    </row>
    <row r="4" customFormat="false" ht="15" hidden="false" customHeight="false" outlineLevel="0" collapsed="false">
      <c r="A4" s="7" t="s">
        <v>51</v>
      </c>
      <c r="B4" s="7" t="s">
        <v>52</v>
      </c>
    </row>
    <row r="5" customFormat="false" ht="15" hidden="false" customHeight="false" outlineLevel="0" collapsed="false">
      <c r="A5" s="9" t="s">
        <v>53</v>
      </c>
      <c r="B5" s="9" t="s">
        <v>54</v>
      </c>
    </row>
    <row r="6" customFormat="false" ht="15" hidden="false" customHeight="false" outlineLevel="0" collapsed="false">
      <c r="A6" s="9" t="s">
        <v>55</v>
      </c>
      <c r="B6" s="9" t="s">
        <v>56</v>
      </c>
    </row>
    <row r="7" customFormat="false" ht="15" hidden="false" customHeight="false" outlineLevel="0" collapsed="false">
      <c r="A7" s="9" t="s">
        <v>57</v>
      </c>
      <c r="B7" s="9" t="s">
        <v>58</v>
      </c>
    </row>
    <row r="8" customFormat="false" ht="15" hidden="false" customHeight="false" outlineLevel="0" collapsed="false">
      <c r="A8" s="9" t="s">
        <v>59</v>
      </c>
      <c r="B8" s="9" t="s">
        <v>60</v>
      </c>
    </row>
    <row r="9" customFormat="false" ht="15" hidden="false" customHeight="false" outlineLevel="0" collapsed="false">
      <c r="A9" s="9" t="s">
        <v>61</v>
      </c>
      <c r="B9" s="9" t="s">
        <v>62</v>
      </c>
    </row>
    <row r="10" customFormat="false" ht="15" hidden="false" customHeight="false" outlineLevel="0" collapsed="false">
      <c r="A10" s="9" t="s">
        <v>63</v>
      </c>
      <c r="B10" s="9" t="s">
        <v>64</v>
      </c>
    </row>
    <row r="11" customFormat="false" ht="15" hidden="false" customHeight="false" outlineLevel="0" collapsed="false">
      <c r="A11" s="9" t="s">
        <v>65</v>
      </c>
      <c r="B11" s="9" t="s">
        <v>66</v>
      </c>
    </row>
    <row r="12" customFormat="false" ht="15" hidden="false" customHeight="false" outlineLevel="0" collapsed="false">
      <c r="A12" s="9" t="s">
        <v>67</v>
      </c>
      <c r="B12" s="9" t="s">
        <v>68</v>
      </c>
    </row>
    <row r="13" customFormat="false" ht="15" hidden="false" customHeight="false" outlineLevel="0" collapsed="false">
      <c r="A13" s="9" t="s">
        <v>69</v>
      </c>
      <c r="B13" s="9" t="s">
        <v>70</v>
      </c>
    </row>
    <row r="14" customFormat="false" ht="15" hidden="false" customHeight="false" outlineLevel="0" collapsed="false">
      <c r="A14" s="9" t="s">
        <v>71</v>
      </c>
      <c r="B14" s="9" t="s">
        <v>72</v>
      </c>
    </row>
    <row r="15" customFormat="false" ht="15" hidden="false" customHeight="false" outlineLevel="0" collapsed="false">
      <c r="A15" s="9" t="s">
        <v>73</v>
      </c>
      <c r="B15" s="9" t="s">
        <v>74</v>
      </c>
    </row>
    <row r="16" customFormat="false" ht="15" hidden="false" customHeight="false" outlineLevel="0" collapsed="false">
      <c r="A16" s="9" t="s">
        <v>75</v>
      </c>
      <c r="B16" s="9" t="s">
        <v>76</v>
      </c>
    </row>
    <row r="17" customFormat="false" ht="15" hidden="false" customHeight="false" outlineLevel="0" collapsed="false">
      <c r="A17" s="9" t="s">
        <v>77</v>
      </c>
      <c r="B17" s="9" t="s">
        <v>78</v>
      </c>
    </row>
    <row r="18" customFormat="false" ht="15" hidden="false" customHeight="false" outlineLevel="0" collapsed="false">
      <c r="A18" s="9" t="s">
        <v>79</v>
      </c>
      <c r="B18" s="9" t="s">
        <v>80</v>
      </c>
    </row>
    <row r="19" customFormat="false" ht="15" hidden="false" customHeight="false" outlineLevel="0" collapsed="false">
      <c r="A19" s="9" t="s">
        <v>81</v>
      </c>
      <c r="B19" s="9" t="s">
        <v>82</v>
      </c>
    </row>
    <row r="20" customFormat="false" ht="15" hidden="false" customHeight="false" outlineLevel="0" collapsed="false">
      <c r="A20" s="9" t="s">
        <v>83</v>
      </c>
      <c r="B20" s="9" t="s">
        <v>84</v>
      </c>
    </row>
    <row r="21" customFormat="false" ht="15" hidden="false" customHeight="false" outlineLevel="0" collapsed="false">
      <c r="A21" s="9" t="s">
        <v>85</v>
      </c>
      <c r="B21" s="9" t="s">
        <v>86</v>
      </c>
    </row>
    <row r="22" customFormat="false" ht="15" hidden="false" customHeight="false" outlineLevel="0" collapsed="false">
      <c r="A22" s="9" t="s">
        <v>87</v>
      </c>
      <c r="B22" s="9" t="s">
        <v>88</v>
      </c>
    </row>
    <row r="23" customFormat="false" ht="15" hidden="false" customHeight="false" outlineLevel="0" collapsed="false">
      <c r="A23" s="9" t="s">
        <v>89</v>
      </c>
      <c r="B23" s="9" t="s">
        <v>90</v>
      </c>
    </row>
    <row r="24" customFormat="false" ht="15" hidden="false" customHeight="false" outlineLevel="0" collapsed="false">
      <c r="A24" s="9" t="s">
        <v>91</v>
      </c>
      <c r="B24" s="9" t="s">
        <v>92</v>
      </c>
    </row>
    <row r="25" customFormat="false" ht="15" hidden="false" customHeight="false" outlineLevel="0" collapsed="false">
      <c r="A25" s="9" t="s">
        <v>93</v>
      </c>
      <c r="B25" s="9" t="s">
        <v>94</v>
      </c>
    </row>
    <row r="26" customFormat="false" ht="15" hidden="false" customHeight="false" outlineLevel="0" collapsed="false">
      <c r="A26" s="9" t="s">
        <v>95</v>
      </c>
      <c r="B26" s="9" t="s">
        <v>96</v>
      </c>
    </row>
    <row r="27" customFormat="false" ht="15" hidden="false" customHeight="false" outlineLevel="0" collapsed="false">
      <c r="A27" s="9" t="s">
        <v>97</v>
      </c>
      <c r="B27" s="9" t="s">
        <v>98</v>
      </c>
    </row>
    <row r="28" customFormat="false" ht="15" hidden="false" customHeight="false" outlineLevel="0" collapsed="false">
      <c r="A28" s="9" t="s">
        <v>99</v>
      </c>
      <c r="B28" s="9" t="s">
        <v>100</v>
      </c>
    </row>
    <row r="29" customFormat="false" ht="15" hidden="false" customHeight="false" outlineLevel="0" collapsed="false">
      <c r="A29" s="9" t="s">
        <v>101</v>
      </c>
      <c r="B29" s="9" t="s">
        <v>102</v>
      </c>
    </row>
    <row r="30" customFormat="false" ht="15" hidden="false" customHeight="false" outlineLevel="0" collapsed="false">
      <c r="A30" s="9" t="s">
        <v>103</v>
      </c>
      <c r="B30" s="9" t="s">
        <v>104</v>
      </c>
    </row>
    <row r="31" customFormat="false" ht="15" hidden="false" customHeight="false" outlineLevel="0" collapsed="false">
      <c r="A31" s="9" t="s">
        <v>105</v>
      </c>
      <c r="B31" s="9" t="s">
        <v>106</v>
      </c>
    </row>
    <row r="32" customFormat="false" ht="15" hidden="false" customHeight="false" outlineLevel="0" collapsed="false">
      <c r="A32" s="9" t="s">
        <v>107</v>
      </c>
      <c r="B32" s="9" t="s">
        <v>86</v>
      </c>
    </row>
    <row r="33" customFormat="false" ht="15" hidden="false" customHeight="false" outlineLevel="0" collapsed="false">
      <c r="A33" s="9" t="s">
        <v>108</v>
      </c>
      <c r="B33" s="9" t="s">
        <v>109</v>
      </c>
    </row>
    <row r="34" customFormat="false" ht="15" hidden="false" customHeight="false" outlineLevel="0" collapsed="false">
      <c r="A34" s="9" t="s">
        <v>110</v>
      </c>
      <c r="B34" s="9" t="s">
        <v>111</v>
      </c>
    </row>
    <row r="35" customFormat="false" ht="15" hidden="false" customHeight="false" outlineLevel="0" collapsed="false">
      <c r="A35" s="9" t="s">
        <v>112</v>
      </c>
      <c r="B35" s="9" t="s">
        <v>88</v>
      </c>
    </row>
    <row r="36" customFormat="false" ht="15" hidden="false" customHeight="false" outlineLevel="0" collapsed="false">
      <c r="A36" s="9" t="s">
        <v>113</v>
      </c>
      <c r="B36" s="9" t="s">
        <v>114</v>
      </c>
    </row>
    <row r="37" customFormat="false" ht="15" hidden="false" customHeight="false" outlineLevel="0" collapsed="false">
      <c r="A37" s="9" t="s">
        <v>115</v>
      </c>
      <c r="B37" s="9" t="s">
        <v>116</v>
      </c>
    </row>
    <row r="38" customFormat="false" ht="15" hidden="false" customHeight="false" outlineLevel="0" collapsed="false">
      <c r="A38" s="9" t="s">
        <v>117</v>
      </c>
      <c r="B38" s="9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1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4" style="1" width="20"/>
    <col collapsed="false" customWidth="true" hidden="false" outlineLevel="0" max="11" min="11" style="1" width="18"/>
  </cols>
  <sheetData>
    <row r="1" customFormat="false" ht="15" hidden="false" customHeight="false" outlineLevel="0" collapsed="false">
      <c r="A1" s="7" t="s">
        <v>119</v>
      </c>
      <c r="B1" s="7" t="s">
        <v>120</v>
      </c>
      <c r="C1" s="7" t="s">
        <v>121</v>
      </c>
      <c r="D1" s="7" t="s">
        <v>122</v>
      </c>
      <c r="E1" s="7" t="s">
        <v>123</v>
      </c>
      <c r="F1" s="7" t="s">
        <v>124</v>
      </c>
      <c r="G1" s="7" t="s">
        <v>125</v>
      </c>
      <c r="H1" s="7" t="s">
        <v>126</v>
      </c>
      <c r="I1" s="7" t="s">
        <v>127</v>
      </c>
      <c r="J1" s="7" t="s">
        <v>128</v>
      </c>
      <c r="K1" s="7" t="s">
        <v>129</v>
      </c>
      <c r="L1" s="7" t="s">
        <v>130</v>
      </c>
      <c r="M1" s="7" t="s">
        <v>131</v>
      </c>
      <c r="N1" s="7" t="s">
        <v>132</v>
      </c>
      <c r="O1" s="7" t="s">
        <v>133</v>
      </c>
      <c r="P1" s="7" t="s">
        <v>134</v>
      </c>
      <c r="Q1" s="7" t="s">
        <v>135</v>
      </c>
      <c r="R1" s="7" t="s">
        <v>136</v>
      </c>
      <c r="S1" s="7" t="s">
        <v>137</v>
      </c>
      <c r="T1" s="7" t="s">
        <v>138</v>
      </c>
      <c r="U1" s="7" t="s">
        <v>139</v>
      </c>
    </row>
    <row r="2" customFormat="false" ht="15" hidden="false" customHeight="false" outlineLevel="0" collapsed="false">
      <c r="A2" s="1" t="s">
        <v>140</v>
      </c>
      <c r="B2" s="1" t="n">
        <v>2010</v>
      </c>
      <c r="C2" s="1" t="s">
        <v>141</v>
      </c>
      <c r="D2" s="1" t="s">
        <v>95</v>
      </c>
      <c r="E2" s="1" t="s">
        <v>91</v>
      </c>
      <c r="F2" s="1" t="n">
        <v>14</v>
      </c>
      <c r="G2" s="1" t="n">
        <v>9</v>
      </c>
      <c r="H2" s="1" t="s">
        <v>96</v>
      </c>
      <c r="I2" s="1" t="n">
        <v>-5</v>
      </c>
      <c r="J2" s="1" t="n">
        <v>49.5</v>
      </c>
      <c r="K2" s="1" t="s">
        <v>142</v>
      </c>
      <c r="L2" s="1" t="b">
        <f aca="false">FALSE()</f>
        <v>0</v>
      </c>
      <c r="M2" s="1" t="str">
        <f aca="false">VLOOKUP(D2,'Team Reference'!$A:$B,2,FALSE())</f>
        <v>NO</v>
      </c>
      <c r="N2" s="1" t="str">
        <f aca="false">VLOOKUP(E2,'Team Reference'!$A:$B,2,FALSE())</f>
        <v>MIN</v>
      </c>
      <c r="O2" s="1" t="str">
        <f aca="false">IF(F2&gt;G2,M2,IF(G2&gt;F2,N2,"Tie"))</f>
        <v>NO</v>
      </c>
      <c r="P2" s="1" t="n">
        <f aca="false">F2-G2</f>
        <v>5</v>
      </c>
      <c r="Q2" s="1" t="n">
        <f aca="false">F2+G2</f>
        <v>23</v>
      </c>
      <c r="R2" s="1" t="str">
        <f aca="false">IF(H2=M2,"Home",IF(H2=N2,"Away",IF(H2="PICK","Pick","N/A")))</f>
        <v>Home</v>
      </c>
      <c r="S2" s="1" t="n">
        <f aca="false">IF(R2="Home",P2,IF(R2="Away",-P2,""))</f>
        <v>5</v>
      </c>
      <c r="T2" s="1" t="str">
        <f aca="false">IF(R2="Pick","No Line",IF(S2="","N/A",IF(S2+I2&gt;0,"Favorite Covered",IF(S2+I2&lt;0,"Underdog Covered","Push"))))</f>
        <v>Push</v>
      </c>
      <c r="U2" s="1" t="str">
        <f aca="false">IF(Q2&gt;J2,"Over",IF(Q2&lt;J2,"Under","Push"))</f>
        <v>Under</v>
      </c>
    </row>
    <row r="3" customFormat="false" ht="15" hidden="false" customHeight="false" outlineLevel="0" collapsed="false">
      <c r="A3" s="1" t="s">
        <v>143</v>
      </c>
      <c r="B3" s="1" t="n">
        <v>2010</v>
      </c>
      <c r="C3" s="1" t="s">
        <v>141</v>
      </c>
      <c r="D3" s="1" t="s">
        <v>59</v>
      </c>
      <c r="E3" s="1" t="s">
        <v>89</v>
      </c>
      <c r="F3" s="1" t="n">
        <v>10</v>
      </c>
      <c r="G3" s="1" t="n">
        <v>15</v>
      </c>
      <c r="H3" s="1" t="s">
        <v>90</v>
      </c>
      <c r="I3" s="1" t="n">
        <v>-3</v>
      </c>
      <c r="J3" s="1" t="n">
        <v>39</v>
      </c>
      <c r="K3" s="1" t="s">
        <v>144</v>
      </c>
      <c r="L3" s="1" t="b">
        <f aca="false">FALSE()</f>
        <v>0</v>
      </c>
      <c r="M3" s="1" t="str">
        <f aca="false">VLOOKUP(D3,'Team Reference'!$A:$B,2,FALSE())</f>
        <v>BUF</v>
      </c>
      <c r="N3" s="1" t="str">
        <f aca="false">VLOOKUP(E3,'Team Reference'!$A:$B,2,FALSE())</f>
        <v>MIA</v>
      </c>
      <c r="O3" s="1" t="str">
        <f aca="false">IF(F3&gt;G3,M3,IF(G3&gt;F3,N3,"Tie"))</f>
        <v>MIA</v>
      </c>
      <c r="P3" s="1" t="n">
        <f aca="false">F3-G3</f>
        <v>-5</v>
      </c>
      <c r="Q3" s="1" t="n">
        <f aca="false">F3+G3</f>
        <v>25</v>
      </c>
      <c r="R3" s="1" t="str">
        <f aca="false">IF(H3=M3,"Home",IF(H3=N3,"Away",IF(H3="PICK","Pick","N/A")))</f>
        <v>Away</v>
      </c>
      <c r="S3" s="1" t="n">
        <f aca="false">IF(R3="Home",P3,IF(R3="Away",-P3,""))</f>
        <v>5</v>
      </c>
      <c r="T3" s="1" t="str">
        <f aca="false">IF(R3="Pick","No Line",IF(S3="","N/A",IF(S3+I3&gt;0,"Favorite Covered",IF(S3+I3&lt;0,"Underdog Covered","Push"))))</f>
        <v>Favorite Covered</v>
      </c>
      <c r="U3" s="1" t="str">
        <f aca="false">IF(Q3&gt;J3,"Over",IF(Q3&lt;J3,"Under","Push"))</f>
        <v>Under</v>
      </c>
    </row>
    <row r="4" customFormat="false" ht="15" hidden="false" customHeight="false" outlineLevel="0" collapsed="false">
      <c r="A4" s="1" t="s">
        <v>143</v>
      </c>
      <c r="B4" s="1" t="n">
        <v>2010</v>
      </c>
      <c r="C4" s="1" t="s">
        <v>141</v>
      </c>
      <c r="D4" s="1" t="s">
        <v>63</v>
      </c>
      <c r="E4" s="1" t="s">
        <v>73</v>
      </c>
      <c r="F4" s="1" t="n">
        <v>19</v>
      </c>
      <c r="G4" s="1" t="n">
        <v>14</v>
      </c>
      <c r="H4" s="1" t="s">
        <v>64</v>
      </c>
      <c r="I4" s="1" t="n">
        <v>-6.5</v>
      </c>
      <c r="J4" s="1" t="n">
        <v>45</v>
      </c>
      <c r="K4" s="1" t="s">
        <v>145</v>
      </c>
      <c r="L4" s="1" t="b">
        <f aca="false">FALSE()</f>
        <v>0</v>
      </c>
      <c r="M4" s="1" t="str">
        <f aca="false">VLOOKUP(D4,'Team Reference'!$A:$B,2,FALSE())</f>
        <v>CHI</v>
      </c>
      <c r="N4" s="1" t="str">
        <f aca="false">VLOOKUP(E4,'Team Reference'!$A:$B,2,FALSE())</f>
        <v>DET</v>
      </c>
      <c r="O4" s="1" t="str">
        <f aca="false">IF(F4&gt;G4,M4,IF(G4&gt;F4,N4,"Tie"))</f>
        <v>CHI</v>
      </c>
      <c r="P4" s="1" t="n">
        <f aca="false">F4-G4</f>
        <v>5</v>
      </c>
      <c r="Q4" s="1" t="n">
        <f aca="false">F4+G4</f>
        <v>33</v>
      </c>
      <c r="R4" s="1" t="str">
        <f aca="false">IF(H4=M4,"Home",IF(H4=N4,"Away",IF(H4="PICK","Pick","N/A")))</f>
        <v>Home</v>
      </c>
      <c r="S4" s="1" t="n">
        <f aca="false">IF(R4="Home",P4,IF(R4="Away",-P4,""))</f>
        <v>5</v>
      </c>
      <c r="T4" s="1" t="str">
        <f aca="false">IF(R4="Pick","No Line",IF(S4="","N/A",IF(S4+I4&gt;0,"Favorite Covered",IF(S4+I4&lt;0,"Underdog Covered","Push"))))</f>
        <v>Underdog Covered</v>
      </c>
      <c r="U4" s="1" t="str">
        <f aca="false">IF(Q4&gt;J4,"Over",IF(Q4&lt;J4,"Under","Push"))</f>
        <v>Under</v>
      </c>
    </row>
    <row r="5" customFormat="false" ht="15" hidden="false" customHeight="false" outlineLevel="0" collapsed="false">
      <c r="A5" s="1" t="s">
        <v>143</v>
      </c>
      <c r="B5" s="1" t="n">
        <v>2010</v>
      </c>
      <c r="C5" s="1" t="s">
        <v>141</v>
      </c>
      <c r="D5" s="1" t="s">
        <v>77</v>
      </c>
      <c r="E5" s="1" t="s">
        <v>79</v>
      </c>
      <c r="F5" s="1" t="n">
        <v>34</v>
      </c>
      <c r="G5" s="1" t="n">
        <v>24</v>
      </c>
      <c r="H5" s="1" t="s">
        <v>80</v>
      </c>
      <c r="I5" s="1" t="n">
        <v>-1</v>
      </c>
      <c r="J5" s="1" t="n">
        <v>48</v>
      </c>
      <c r="K5" s="1" t="s">
        <v>146</v>
      </c>
      <c r="L5" s="1" t="b">
        <f aca="false">FALSE()</f>
        <v>0</v>
      </c>
      <c r="M5" s="1" t="str">
        <f aca="false">VLOOKUP(D5,'Team Reference'!$A:$B,2,FALSE())</f>
        <v>HOU</v>
      </c>
      <c r="N5" s="1" t="str">
        <f aca="false">VLOOKUP(E5,'Team Reference'!$A:$B,2,FALSE())</f>
        <v>IND</v>
      </c>
      <c r="O5" s="1" t="str">
        <f aca="false">IF(F5&gt;G5,M5,IF(G5&gt;F5,N5,"Tie"))</f>
        <v>HOU</v>
      </c>
      <c r="P5" s="1" t="n">
        <f aca="false">F5-G5</f>
        <v>10</v>
      </c>
      <c r="Q5" s="1" t="n">
        <f aca="false">F5+G5</f>
        <v>58</v>
      </c>
      <c r="R5" s="1" t="str">
        <f aca="false">IF(H5=M5,"Home",IF(H5=N5,"Away",IF(H5="PICK","Pick","N/A")))</f>
        <v>Away</v>
      </c>
      <c r="S5" s="1" t="n">
        <f aca="false">IF(R5="Home",P5,IF(R5="Away",-P5,""))</f>
        <v>-10</v>
      </c>
      <c r="T5" s="1" t="str">
        <f aca="false">IF(R5="Pick","No Line",IF(S5="","N/A",IF(S5+I5&gt;0,"Favorite Covered",IF(S5+I5&lt;0,"Underdog Covered","Push"))))</f>
        <v>Underdog Covered</v>
      </c>
      <c r="U5" s="1" t="str">
        <f aca="false">IF(Q5&gt;J5,"Over",IF(Q5&lt;J5,"Under","Push"))</f>
        <v>Over</v>
      </c>
    </row>
    <row r="6" customFormat="false" ht="15" hidden="false" customHeight="false" outlineLevel="0" collapsed="false">
      <c r="A6" s="1" t="s">
        <v>143</v>
      </c>
      <c r="B6" s="1" t="n">
        <v>2010</v>
      </c>
      <c r="C6" s="1" t="s">
        <v>141</v>
      </c>
      <c r="D6" s="1" t="s">
        <v>81</v>
      </c>
      <c r="E6" s="1" t="s">
        <v>71</v>
      </c>
      <c r="F6" s="1" t="n">
        <v>24</v>
      </c>
      <c r="G6" s="1" t="n">
        <v>17</v>
      </c>
      <c r="H6" s="1" t="s">
        <v>82</v>
      </c>
      <c r="I6" s="1" t="n">
        <v>-3</v>
      </c>
      <c r="J6" s="1" t="n">
        <v>41.5</v>
      </c>
      <c r="K6" s="1" t="s">
        <v>147</v>
      </c>
      <c r="L6" s="1" t="b">
        <f aca="false">FALSE()</f>
        <v>0</v>
      </c>
      <c r="M6" s="1" t="str">
        <f aca="false">VLOOKUP(D6,'Team Reference'!$A:$B,2,FALSE())</f>
        <v>JAX</v>
      </c>
      <c r="N6" s="1" t="str">
        <f aca="false">VLOOKUP(E6,'Team Reference'!$A:$B,2,FALSE())</f>
        <v>DEN</v>
      </c>
      <c r="O6" s="1" t="str">
        <f aca="false">IF(F6&gt;G6,M6,IF(G6&gt;F6,N6,"Tie"))</f>
        <v>JAX</v>
      </c>
      <c r="P6" s="1" t="n">
        <f aca="false">F6-G6</f>
        <v>7</v>
      </c>
      <c r="Q6" s="1" t="n">
        <f aca="false">F6+G6</f>
        <v>41</v>
      </c>
      <c r="R6" s="1" t="str">
        <f aca="false">IF(H6=M6,"Home",IF(H6=N6,"Away",IF(H6="PICK","Pick","N/A")))</f>
        <v>Home</v>
      </c>
      <c r="S6" s="1" t="n">
        <f aca="false">IF(R6="Home",P6,IF(R6="Away",-P6,""))</f>
        <v>7</v>
      </c>
      <c r="T6" s="1" t="str">
        <f aca="false">IF(R6="Pick","No Line",IF(S6="","N/A",IF(S6+I6&gt;0,"Favorite Covered",IF(S6+I6&lt;0,"Underdog Covered","Push"))))</f>
        <v>Favorite Covered</v>
      </c>
      <c r="U6" s="1" t="str">
        <f aca="false">IF(Q6&gt;J6,"Over",IF(Q6&lt;J6,"Under","Push"))</f>
        <v>Under</v>
      </c>
    </row>
    <row r="7" customFormat="false" ht="15" hidden="false" customHeight="false" outlineLevel="0" collapsed="false">
      <c r="A7" s="1" t="s">
        <v>143</v>
      </c>
      <c r="B7" s="1" t="n">
        <v>2010</v>
      </c>
      <c r="C7" s="1" t="s">
        <v>141</v>
      </c>
      <c r="D7" s="1" t="s">
        <v>93</v>
      </c>
      <c r="E7" s="1" t="s">
        <v>65</v>
      </c>
      <c r="F7" s="1" t="n">
        <v>38</v>
      </c>
      <c r="G7" s="1" t="n">
        <v>24</v>
      </c>
      <c r="H7" s="1" t="s">
        <v>94</v>
      </c>
      <c r="I7" s="1" t="n">
        <v>-5.5</v>
      </c>
      <c r="J7" s="1" t="n">
        <v>45</v>
      </c>
      <c r="K7" s="1" t="s">
        <v>148</v>
      </c>
      <c r="L7" s="1" t="b">
        <f aca="false">FALSE()</f>
        <v>0</v>
      </c>
      <c r="M7" s="1" t="str">
        <f aca="false">VLOOKUP(D7,'Team Reference'!$A:$B,2,FALSE())</f>
        <v>NE</v>
      </c>
      <c r="N7" s="1" t="str">
        <f aca="false">VLOOKUP(E7,'Team Reference'!$A:$B,2,FALSE())</f>
        <v>CIN</v>
      </c>
      <c r="O7" s="1" t="str">
        <f aca="false">IF(F7&gt;G7,M7,IF(G7&gt;F7,N7,"Tie"))</f>
        <v>NE</v>
      </c>
      <c r="P7" s="1" t="n">
        <f aca="false">F7-G7</f>
        <v>14</v>
      </c>
      <c r="Q7" s="1" t="n">
        <f aca="false">F7+G7</f>
        <v>62</v>
      </c>
      <c r="R7" s="1" t="str">
        <f aca="false">IF(H7=M7,"Home",IF(H7=N7,"Away",IF(H7="PICK","Pick","N/A")))</f>
        <v>Home</v>
      </c>
      <c r="S7" s="1" t="n">
        <f aca="false">IF(R7="Home",P7,IF(R7="Away",-P7,""))</f>
        <v>14</v>
      </c>
      <c r="T7" s="1" t="str">
        <f aca="false">IF(R7="Pick","No Line",IF(S7="","N/A",IF(S7+I7&gt;0,"Favorite Covered",IF(S7+I7&lt;0,"Underdog Covered","Push"))))</f>
        <v>Favorite Covered</v>
      </c>
      <c r="U7" s="1" t="str">
        <f aca="false">IF(Q7&gt;J7,"Over",IF(Q7&lt;J7,"Under","Push"))</f>
        <v>Over</v>
      </c>
    </row>
    <row r="8" customFormat="false" ht="15" hidden="false" customHeight="false" outlineLevel="0" collapsed="false">
      <c r="A8" s="1" t="s">
        <v>143</v>
      </c>
      <c r="B8" s="1" t="n">
        <v>2010</v>
      </c>
      <c r="C8" s="1" t="s">
        <v>141</v>
      </c>
      <c r="D8" s="1" t="s">
        <v>97</v>
      </c>
      <c r="E8" s="1" t="s">
        <v>61</v>
      </c>
      <c r="F8" s="1" t="n">
        <v>31</v>
      </c>
      <c r="G8" s="1" t="n">
        <v>18</v>
      </c>
      <c r="H8" s="1" t="s">
        <v>98</v>
      </c>
      <c r="I8" s="1" t="n">
        <v>-6</v>
      </c>
      <c r="J8" s="1" t="n">
        <v>41</v>
      </c>
      <c r="K8" s="1" t="s">
        <v>149</v>
      </c>
      <c r="L8" s="1" t="b">
        <f aca="false">FALSE()</f>
        <v>0</v>
      </c>
      <c r="M8" s="1" t="str">
        <f aca="false">VLOOKUP(D8,'Team Reference'!$A:$B,2,FALSE())</f>
        <v>NYG</v>
      </c>
      <c r="N8" s="1" t="str">
        <f aca="false">VLOOKUP(E8,'Team Reference'!$A:$B,2,FALSE())</f>
        <v>CAR</v>
      </c>
      <c r="O8" s="1" t="str">
        <f aca="false">IF(F8&gt;G8,M8,IF(G8&gt;F8,N8,"Tie"))</f>
        <v>NYG</v>
      </c>
      <c r="P8" s="1" t="n">
        <f aca="false">F8-G8</f>
        <v>13</v>
      </c>
      <c r="Q8" s="1" t="n">
        <f aca="false">F8+G8</f>
        <v>49</v>
      </c>
      <c r="R8" s="1" t="str">
        <f aca="false">IF(H8=M8,"Home",IF(H8=N8,"Away",IF(H8="PICK","Pick","N/A")))</f>
        <v>Home</v>
      </c>
      <c r="S8" s="1" t="n">
        <f aca="false">IF(R8="Home",P8,IF(R8="Away",-P8,""))</f>
        <v>13</v>
      </c>
      <c r="T8" s="1" t="str">
        <f aca="false">IF(R8="Pick","No Line",IF(S8="","N/A",IF(S8+I8&gt;0,"Favorite Covered",IF(S8+I8&lt;0,"Underdog Covered","Push"))))</f>
        <v>Favorite Covered</v>
      </c>
      <c r="U8" s="1" t="str">
        <f aca="false">IF(Q8&gt;J8,"Over",IF(Q8&lt;J8,"Under","Push"))</f>
        <v>Over</v>
      </c>
    </row>
    <row r="9" customFormat="false" ht="15" hidden="false" customHeight="false" outlineLevel="0" collapsed="false">
      <c r="A9" s="1" t="s">
        <v>143</v>
      </c>
      <c r="B9" s="1" t="n">
        <v>2010</v>
      </c>
      <c r="C9" s="1" t="s">
        <v>141</v>
      </c>
      <c r="D9" s="1" t="s">
        <v>103</v>
      </c>
      <c r="E9" s="1" t="s">
        <v>75</v>
      </c>
      <c r="F9" s="1" t="n">
        <v>20</v>
      </c>
      <c r="G9" s="1" t="n">
        <v>27</v>
      </c>
      <c r="H9" s="1" t="s">
        <v>76</v>
      </c>
      <c r="I9" s="1" t="n">
        <v>-3</v>
      </c>
      <c r="J9" s="1" t="n">
        <v>48</v>
      </c>
      <c r="K9" s="1" t="s">
        <v>150</v>
      </c>
      <c r="L9" s="1" t="b">
        <f aca="false">FALSE()</f>
        <v>0</v>
      </c>
      <c r="M9" s="1" t="str">
        <f aca="false">VLOOKUP(D9,'Team Reference'!$A:$B,2,FALSE())</f>
        <v>PHI</v>
      </c>
      <c r="N9" s="1" t="str">
        <f aca="false">VLOOKUP(E9,'Team Reference'!$A:$B,2,FALSE())</f>
        <v>GB</v>
      </c>
      <c r="O9" s="1" t="str">
        <f aca="false">IF(F9&gt;G9,M9,IF(G9&gt;F9,N9,"Tie"))</f>
        <v>GB</v>
      </c>
      <c r="P9" s="1" t="n">
        <f aca="false">F9-G9</f>
        <v>-7</v>
      </c>
      <c r="Q9" s="1" t="n">
        <f aca="false">F9+G9</f>
        <v>47</v>
      </c>
      <c r="R9" s="1" t="str">
        <f aca="false">IF(H9=M9,"Home",IF(H9=N9,"Away",IF(H9="PICK","Pick","N/A")))</f>
        <v>Away</v>
      </c>
      <c r="S9" s="1" t="n">
        <f aca="false">IF(R9="Home",P9,IF(R9="Away",-P9,""))</f>
        <v>7</v>
      </c>
      <c r="T9" s="1" t="str">
        <f aca="false">IF(R9="Pick","No Line",IF(S9="","N/A",IF(S9+I9&gt;0,"Favorite Covered",IF(S9+I9&lt;0,"Underdog Covered","Push"))))</f>
        <v>Favorite Covered</v>
      </c>
      <c r="U9" s="1" t="str">
        <f aca="false">IF(Q9&gt;J9,"Over",IF(Q9&lt;J9,"Under","Push"))</f>
        <v>Under</v>
      </c>
    </row>
    <row r="10" customFormat="false" ht="15" hidden="false" customHeight="false" outlineLevel="0" collapsed="false">
      <c r="A10" s="1" t="s">
        <v>143</v>
      </c>
      <c r="B10" s="1" t="n">
        <v>2010</v>
      </c>
      <c r="C10" s="1" t="s">
        <v>141</v>
      </c>
      <c r="D10" s="1" t="s">
        <v>105</v>
      </c>
      <c r="E10" s="1" t="s">
        <v>55</v>
      </c>
      <c r="F10" s="1" t="n">
        <v>15</v>
      </c>
      <c r="G10" s="1" t="n">
        <v>9</v>
      </c>
      <c r="H10" s="1" t="s">
        <v>56</v>
      </c>
      <c r="I10" s="1" t="n">
        <v>-1.5</v>
      </c>
      <c r="J10" s="1" t="n">
        <v>39.5</v>
      </c>
      <c r="K10" s="1" t="s">
        <v>151</v>
      </c>
      <c r="L10" s="1" t="b">
        <f aca="false">FALSE()</f>
        <v>0</v>
      </c>
      <c r="M10" s="1" t="str">
        <f aca="false">VLOOKUP(D10,'Team Reference'!$A:$B,2,FALSE())</f>
        <v>PIT</v>
      </c>
      <c r="N10" s="1" t="str">
        <f aca="false">VLOOKUP(E10,'Team Reference'!$A:$B,2,FALSE())</f>
        <v>ATL</v>
      </c>
      <c r="O10" s="1" t="str">
        <f aca="false">IF(F10&gt;G10,M10,IF(G10&gt;F10,N10,"Tie"))</f>
        <v>PIT</v>
      </c>
      <c r="P10" s="1" t="n">
        <f aca="false">F10-G10</f>
        <v>6</v>
      </c>
      <c r="Q10" s="1" t="n">
        <f aca="false">F10+G10</f>
        <v>24</v>
      </c>
      <c r="R10" s="1" t="str">
        <f aca="false">IF(H10=M10,"Home",IF(H10=N10,"Away",IF(H10="PICK","Pick","N/A")))</f>
        <v>Away</v>
      </c>
      <c r="S10" s="1" t="n">
        <f aca="false">IF(R10="Home",P10,IF(R10="Away",-P10,""))</f>
        <v>-6</v>
      </c>
      <c r="T10" s="1" t="str">
        <f aca="false">IF(R10="Pick","No Line",IF(S10="","N/A",IF(S10+I10&gt;0,"Favorite Covered",IF(S10+I10&lt;0,"Underdog Covered","Push"))))</f>
        <v>Underdog Covered</v>
      </c>
      <c r="U10" s="1" t="str">
        <f aca="false">IF(Q10&gt;J10,"Over",IF(Q10&lt;J10,"Under","Push"))</f>
        <v>Under</v>
      </c>
    </row>
    <row r="11" customFormat="false" ht="15" hidden="false" customHeight="false" outlineLevel="0" collapsed="false">
      <c r="A11" s="1" t="s">
        <v>143</v>
      </c>
      <c r="B11" s="1" t="n">
        <v>2010</v>
      </c>
      <c r="C11" s="1" t="s">
        <v>141</v>
      </c>
      <c r="D11" s="1" t="s">
        <v>110</v>
      </c>
      <c r="E11" s="1" t="s">
        <v>108</v>
      </c>
      <c r="F11" s="1" t="n">
        <v>31</v>
      </c>
      <c r="G11" s="1" t="n">
        <v>6</v>
      </c>
      <c r="H11" s="1" t="s">
        <v>109</v>
      </c>
      <c r="I11" s="1" t="n">
        <v>-3</v>
      </c>
      <c r="J11" s="1" t="n">
        <v>37</v>
      </c>
      <c r="K11" s="1" t="s">
        <v>152</v>
      </c>
      <c r="L11" s="1" t="b">
        <f aca="false">FALSE()</f>
        <v>0</v>
      </c>
      <c r="M11" s="1" t="str">
        <f aca="false">VLOOKUP(D11,'Team Reference'!$A:$B,2,FALSE())</f>
        <v>SEA</v>
      </c>
      <c r="N11" s="1" t="str">
        <f aca="false">VLOOKUP(E11,'Team Reference'!$A:$B,2,FALSE())</f>
        <v>SF</v>
      </c>
      <c r="O11" s="1" t="str">
        <f aca="false">IF(F11&gt;G11,M11,IF(G11&gt;F11,N11,"Tie"))</f>
        <v>SEA</v>
      </c>
      <c r="P11" s="1" t="n">
        <f aca="false">F11-G11</f>
        <v>25</v>
      </c>
      <c r="Q11" s="1" t="n">
        <f aca="false">F11+G11</f>
        <v>37</v>
      </c>
      <c r="R11" s="1" t="str">
        <f aca="false">IF(H11=M11,"Home",IF(H11=N11,"Away",IF(H11="PICK","Pick","N/A")))</f>
        <v>Away</v>
      </c>
      <c r="S11" s="1" t="n">
        <f aca="false">IF(R11="Home",P11,IF(R11="Away",-P11,""))</f>
        <v>-25</v>
      </c>
      <c r="T11" s="1" t="str">
        <f aca="false">IF(R11="Pick","No Line",IF(S11="","N/A",IF(S11+I11&gt;0,"Favorite Covered",IF(S11+I11&lt;0,"Underdog Covered","Push"))))</f>
        <v>Underdog Covered</v>
      </c>
      <c r="U11" s="1" t="str">
        <f aca="false">IF(Q11&gt;J11,"Over",IF(Q11&lt;J11,"Under","Push"))</f>
        <v>Push</v>
      </c>
    </row>
    <row r="12" customFormat="false" ht="15" hidden="false" customHeight="false" outlineLevel="0" collapsed="false">
      <c r="A12" s="1" t="s">
        <v>143</v>
      </c>
      <c r="B12" s="1" t="n">
        <v>2010</v>
      </c>
      <c r="C12" s="1" t="s">
        <v>141</v>
      </c>
      <c r="D12" s="1" t="s">
        <v>112</v>
      </c>
      <c r="E12" s="1" t="s">
        <v>53</v>
      </c>
      <c r="F12" s="1" t="n">
        <v>13</v>
      </c>
      <c r="G12" s="1" t="n">
        <v>17</v>
      </c>
      <c r="H12" s="1" t="s">
        <v>54</v>
      </c>
      <c r="I12" s="1" t="n">
        <v>-3</v>
      </c>
      <c r="J12" s="1" t="n">
        <v>39.5</v>
      </c>
      <c r="K12" s="1" t="s">
        <v>153</v>
      </c>
      <c r="L12" s="1" t="b">
        <f aca="false">FALSE()</f>
        <v>0</v>
      </c>
      <c r="M12" s="1" t="str">
        <f aca="false">VLOOKUP(D12,'Team Reference'!$A:$B,2,FALSE())</f>
        <v>LAR</v>
      </c>
      <c r="N12" s="1" t="str">
        <f aca="false">VLOOKUP(E12,'Team Reference'!$A:$B,2,FALSE())</f>
        <v>ARI</v>
      </c>
      <c r="O12" s="1" t="str">
        <f aca="false">IF(F12&gt;G12,M12,IF(G12&gt;F12,N12,"Tie"))</f>
        <v>ARI</v>
      </c>
      <c r="P12" s="1" t="n">
        <f aca="false">F12-G12</f>
        <v>-4</v>
      </c>
      <c r="Q12" s="1" t="n">
        <f aca="false">F12+G12</f>
        <v>30</v>
      </c>
      <c r="R12" s="1" t="str">
        <f aca="false">IF(H12=M12,"Home",IF(H12=N12,"Away",IF(H12="PICK","Pick","N/A")))</f>
        <v>Away</v>
      </c>
      <c r="S12" s="1" t="n">
        <f aca="false">IF(R12="Home",P12,IF(R12="Away",-P12,""))</f>
        <v>4</v>
      </c>
      <c r="T12" s="1" t="str">
        <f aca="false">IF(R12="Pick","No Line",IF(S12="","N/A",IF(S12+I12&gt;0,"Favorite Covered",IF(S12+I12&lt;0,"Underdog Covered","Push"))))</f>
        <v>Favorite Covered</v>
      </c>
      <c r="U12" s="1" t="str">
        <f aca="false">IF(Q12&gt;J12,"Over",IF(Q12&lt;J12,"Under","Push"))</f>
        <v>Under</v>
      </c>
    </row>
    <row r="13" customFormat="false" ht="15" hidden="false" customHeight="false" outlineLevel="0" collapsed="false">
      <c r="A13" s="1" t="s">
        <v>143</v>
      </c>
      <c r="B13" s="1" t="n">
        <v>2010</v>
      </c>
      <c r="C13" s="1" t="s">
        <v>141</v>
      </c>
      <c r="D13" s="1" t="s">
        <v>113</v>
      </c>
      <c r="E13" s="1" t="s">
        <v>67</v>
      </c>
      <c r="F13" s="1" t="n">
        <v>17</v>
      </c>
      <c r="G13" s="1" t="n">
        <v>14</v>
      </c>
      <c r="H13" s="1" t="s">
        <v>114</v>
      </c>
      <c r="I13" s="1" t="n">
        <v>-2.5</v>
      </c>
      <c r="J13" s="1" t="n">
        <v>37</v>
      </c>
      <c r="K13" s="1" t="s">
        <v>154</v>
      </c>
      <c r="L13" s="1" t="b">
        <f aca="false">FALSE()</f>
        <v>0</v>
      </c>
      <c r="M13" s="1" t="str">
        <f aca="false">VLOOKUP(D13,'Team Reference'!$A:$B,2,FALSE())</f>
        <v>TB</v>
      </c>
      <c r="N13" s="1" t="str">
        <f aca="false">VLOOKUP(E13,'Team Reference'!$A:$B,2,FALSE())</f>
        <v>CLE</v>
      </c>
      <c r="O13" s="1" t="str">
        <f aca="false">IF(F13&gt;G13,M13,IF(G13&gt;F13,N13,"Tie"))</f>
        <v>TB</v>
      </c>
      <c r="P13" s="1" t="n">
        <f aca="false">F13-G13</f>
        <v>3</v>
      </c>
      <c r="Q13" s="1" t="n">
        <f aca="false">F13+G13</f>
        <v>31</v>
      </c>
      <c r="R13" s="1" t="str">
        <f aca="false">IF(H13=M13,"Home",IF(H13=N13,"Away",IF(H13="PICK","Pick","N/A")))</f>
        <v>Home</v>
      </c>
      <c r="S13" s="1" t="n">
        <f aca="false">IF(R13="Home",P13,IF(R13="Away",-P13,""))</f>
        <v>3</v>
      </c>
      <c r="T13" s="1" t="str">
        <f aca="false">IF(R13="Pick","No Line",IF(S13="","N/A",IF(S13+I13&gt;0,"Favorite Covered",IF(S13+I13&lt;0,"Underdog Covered","Push"))))</f>
        <v>Favorite Covered</v>
      </c>
      <c r="U13" s="1" t="str">
        <f aca="false">IF(Q13&gt;J13,"Over",IF(Q13&lt;J13,"Under","Push"))</f>
        <v>Under</v>
      </c>
    </row>
    <row r="14" customFormat="false" ht="15" hidden="false" customHeight="false" outlineLevel="0" collapsed="false">
      <c r="A14" s="1" t="s">
        <v>143</v>
      </c>
      <c r="B14" s="1" t="n">
        <v>2010</v>
      </c>
      <c r="C14" s="1" t="s">
        <v>141</v>
      </c>
      <c r="D14" s="1" t="s">
        <v>115</v>
      </c>
      <c r="E14" s="1" t="s">
        <v>101</v>
      </c>
      <c r="F14" s="1" t="n">
        <v>38</v>
      </c>
      <c r="G14" s="1" t="n">
        <v>13</v>
      </c>
      <c r="H14" s="1" t="s">
        <v>116</v>
      </c>
      <c r="I14" s="1" t="n">
        <v>-6.5</v>
      </c>
      <c r="J14" s="1" t="n">
        <v>40</v>
      </c>
      <c r="K14" s="1" t="s">
        <v>155</v>
      </c>
      <c r="L14" s="1" t="b">
        <f aca="false">FALSE()</f>
        <v>0</v>
      </c>
      <c r="M14" s="1" t="str">
        <f aca="false">VLOOKUP(D14,'Team Reference'!$A:$B,2,FALSE())</f>
        <v>TEN</v>
      </c>
      <c r="N14" s="1" t="str">
        <f aca="false">VLOOKUP(E14,'Team Reference'!$A:$B,2,FALSE())</f>
        <v>OAK</v>
      </c>
      <c r="O14" s="1" t="str">
        <f aca="false">IF(F14&gt;G14,M14,IF(G14&gt;F14,N14,"Tie"))</f>
        <v>TEN</v>
      </c>
      <c r="P14" s="1" t="n">
        <f aca="false">F14-G14</f>
        <v>25</v>
      </c>
      <c r="Q14" s="1" t="n">
        <f aca="false">F14+G14</f>
        <v>51</v>
      </c>
      <c r="R14" s="1" t="str">
        <f aca="false">IF(H14=M14,"Home",IF(H14=N14,"Away",IF(H14="PICK","Pick","N/A")))</f>
        <v>Home</v>
      </c>
      <c r="S14" s="1" t="n">
        <f aca="false">IF(R14="Home",P14,IF(R14="Away",-P14,""))</f>
        <v>25</v>
      </c>
      <c r="T14" s="1" t="str">
        <f aca="false">IF(R14="Pick","No Line",IF(S14="","N/A",IF(S14+I14&gt;0,"Favorite Covered",IF(S14+I14&lt;0,"Underdog Covered","Push"))))</f>
        <v>Favorite Covered</v>
      </c>
      <c r="U14" s="1" t="str">
        <f aca="false">IF(Q14&gt;J14,"Over",IF(Q14&lt;J14,"Under","Push"))</f>
        <v>Over</v>
      </c>
    </row>
    <row r="15" customFormat="false" ht="15" hidden="false" customHeight="false" outlineLevel="0" collapsed="false">
      <c r="A15" s="1" t="s">
        <v>143</v>
      </c>
      <c r="B15" s="1" t="n">
        <v>2010</v>
      </c>
      <c r="C15" s="1" t="s">
        <v>141</v>
      </c>
      <c r="D15" s="1" t="s">
        <v>117</v>
      </c>
      <c r="E15" s="1" t="s">
        <v>69</v>
      </c>
      <c r="F15" s="1" t="n">
        <v>13</v>
      </c>
      <c r="G15" s="1" t="n">
        <v>7</v>
      </c>
      <c r="H15" s="1" t="s">
        <v>70</v>
      </c>
      <c r="I15" s="1" t="n">
        <v>-3</v>
      </c>
      <c r="J15" s="1" t="n">
        <v>40</v>
      </c>
      <c r="K15" s="1" t="s">
        <v>156</v>
      </c>
      <c r="L15" s="1" t="b">
        <f aca="false">FALSE()</f>
        <v>0</v>
      </c>
      <c r="M15" s="1" t="str">
        <f aca="false">VLOOKUP(D15,'Team Reference'!$A:$B,2,FALSE())</f>
        <v>WAS</v>
      </c>
      <c r="N15" s="1" t="str">
        <f aca="false">VLOOKUP(E15,'Team Reference'!$A:$B,2,FALSE())</f>
        <v>DAL</v>
      </c>
      <c r="O15" s="1" t="str">
        <f aca="false">IF(F15&gt;G15,M15,IF(G15&gt;F15,N15,"Tie"))</f>
        <v>WAS</v>
      </c>
      <c r="P15" s="1" t="n">
        <f aca="false">F15-G15</f>
        <v>6</v>
      </c>
      <c r="Q15" s="1" t="n">
        <f aca="false">F15+G15</f>
        <v>20</v>
      </c>
      <c r="R15" s="1" t="str">
        <f aca="false">IF(H15=M15,"Home",IF(H15=N15,"Away",IF(H15="PICK","Pick","N/A")))</f>
        <v>Away</v>
      </c>
      <c r="S15" s="1" t="n">
        <f aca="false">IF(R15="Home",P15,IF(R15="Away",-P15,""))</f>
        <v>-6</v>
      </c>
      <c r="T15" s="1" t="str">
        <f aca="false">IF(R15="Pick","No Line",IF(S15="","N/A",IF(S15+I15&gt;0,"Favorite Covered",IF(S15+I15&lt;0,"Underdog Covered","Push"))))</f>
        <v>Underdog Covered</v>
      </c>
      <c r="U15" s="1" t="str">
        <f aca="false">IF(Q15&gt;J15,"Over",IF(Q15&lt;J15,"Under","Push"))</f>
        <v>Under</v>
      </c>
    </row>
    <row r="16" customFormat="false" ht="15" hidden="false" customHeight="false" outlineLevel="0" collapsed="false">
      <c r="A16" s="1" t="s">
        <v>157</v>
      </c>
      <c r="B16" s="1" t="n">
        <v>2010</v>
      </c>
      <c r="C16" s="1" t="s">
        <v>141</v>
      </c>
      <c r="D16" s="1" t="s">
        <v>83</v>
      </c>
      <c r="E16" s="1" t="s">
        <v>107</v>
      </c>
      <c r="F16" s="1" t="n">
        <v>21</v>
      </c>
      <c r="G16" s="1" t="n">
        <v>14</v>
      </c>
      <c r="H16" s="1" t="s">
        <v>86</v>
      </c>
      <c r="I16" s="1" t="n">
        <v>-4</v>
      </c>
      <c r="J16" s="1" t="n">
        <v>45.5</v>
      </c>
      <c r="K16" s="1" t="s">
        <v>158</v>
      </c>
      <c r="L16" s="1" t="b">
        <f aca="false">FALSE()</f>
        <v>0</v>
      </c>
      <c r="M16" s="1" t="str">
        <f aca="false">VLOOKUP(D16,'Team Reference'!$A:$B,2,FALSE())</f>
        <v>KC</v>
      </c>
      <c r="N16" s="1" t="str">
        <f aca="false">VLOOKUP(E16,'Team Reference'!$A:$B,2,FALSE())</f>
        <v>LAC</v>
      </c>
      <c r="O16" s="1" t="str">
        <f aca="false">IF(F16&gt;G16,M16,IF(G16&gt;F16,N16,"Tie"))</f>
        <v>KC</v>
      </c>
      <c r="P16" s="1" t="n">
        <f aca="false">F16-G16</f>
        <v>7</v>
      </c>
      <c r="Q16" s="1" t="n">
        <f aca="false">F16+G16</f>
        <v>35</v>
      </c>
      <c r="R16" s="1" t="str">
        <f aca="false">IF(H16=M16,"Home",IF(H16=N16,"Away",IF(H16="PICK","Pick","N/A")))</f>
        <v>Away</v>
      </c>
      <c r="S16" s="1" t="n">
        <f aca="false">IF(R16="Home",P16,IF(R16="Away",-P16,""))</f>
        <v>-7</v>
      </c>
      <c r="T16" s="1" t="str">
        <f aca="false">IF(R16="Pick","No Line",IF(S16="","N/A",IF(S16+I16&gt;0,"Favorite Covered",IF(S16+I16&lt;0,"Underdog Covered","Push"))))</f>
        <v>Underdog Covered</v>
      </c>
      <c r="U16" s="1" t="str">
        <f aca="false">IF(Q16&gt;J16,"Over",IF(Q16&lt;J16,"Under","Push"))</f>
        <v>Under</v>
      </c>
    </row>
    <row r="17" customFormat="false" ht="15" hidden="false" customHeight="false" outlineLevel="0" collapsed="false">
      <c r="A17" s="1" t="s">
        <v>157</v>
      </c>
      <c r="B17" s="1" t="n">
        <v>2010</v>
      </c>
      <c r="C17" s="1" t="s">
        <v>141</v>
      </c>
      <c r="D17" s="1" t="s">
        <v>99</v>
      </c>
      <c r="E17" s="1" t="s">
        <v>57</v>
      </c>
      <c r="F17" s="1" t="n">
        <v>9</v>
      </c>
      <c r="G17" s="1" t="n">
        <v>10</v>
      </c>
      <c r="H17" s="1" t="s">
        <v>100</v>
      </c>
      <c r="I17" s="1" t="n">
        <v>-1</v>
      </c>
      <c r="J17" s="1" t="n">
        <v>36.5</v>
      </c>
      <c r="K17" s="1" t="s">
        <v>149</v>
      </c>
      <c r="L17" s="1" t="b">
        <f aca="false">FALSE()</f>
        <v>0</v>
      </c>
      <c r="M17" s="1" t="str">
        <f aca="false">VLOOKUP(D17,'Team Reference'!$A:$B,2,FALSE())</f>
        <v>NYJ</v>
      </c>
      <c r="N17" s="1" t="str">
        <f aca="false">VLOOKUP(E17,'Team Reference'!$A:$B,2,FALSE())</f>
        <v>BAL</v>
      </c>
      <c r="O17" s="1" t="str">
        <f aca="false">IF(F17&gt;G17,M17,IF(G17&gt;F17,N17,"Tie"))</f>
        <v>BAL</v>
      </c>
      <c r="P17" s="1" t="n">
        <f aca="false">F17-G17</f>
        <v>-1</v>
      </c>
      <c r="Q17" s="1" t="n">
        <f aca="false">F17+G17</f>
        <v>19</v>
      </c>
      <c r="R17" s="1" t="str">
        <f aca="false">IF(H17=M17,"Home",IF(H17=N17,"Away",IF(H17="PICK","Pick","N/A")))</f>
        <v>Home</v>
      </c>
      <c r="S17" s="1" t="n">
        <f aca="false">IF(R17="Home",P17,IF(R17="Away",-P17,""))</f>
        <v>-1</v>
      </c>
      <c r="T17" s="1" t="str">
        <f aca="false">IF(R17="Pick","No Line",IF(S17="","N/A",IF(S17+I17&gt;0,"Favorite Covered",IF(S17+I17&lt;0,"Underdog Covered","Push"))))</f>
        <v>Underdog Covered</v>
      </c>
      <c r="U17" s="1" t="str">
        <f aca="false">IF(Q17&gt;J17,"Over",IF(Q17&lt;J17,"Under","Push"))</f>
        <v>Under</v>
      </c>
    </row>
    <row r="18" customFormat="false" ht="15" hidden="false" customHeight="false" outlineLevel="0" collapsed="false">
      <c r="A18" s="1" t="s">
        <v>159</v>
      </c>
      <c r="B18" s="1" t="n">
        <v>2010</v>
      </c>
      <c r="C18" s="1" t="s">
        <v>160</v>
      </c>
      <c r="D18" s="1" t="s">
        <v>55</v>
      </c>
      <c r="E18" s="1" t="s">
        <v>53</v>
      </c>
      <c r="F18" s="1" t="n">
        <v>41</v>
      </c>
      <c r="G18" s="1" t="n">
        <v>7</v>
      </c>
      <c r="H18" s="1" t="s">
        <v>56</v>
      </c>
      <c r="I18" s="1" t="n">
        <v>-7</v>
      </c>
      <c r="J18" s="1" t="n">
        <v>43.5</v>
      </c>
      <c r="K18" s="1" t="s">
        <v>161</v>
      </c>
      <c r="L18" s="1" t="b">
        <f aca="false">FALSE()</f>
        <v>0</v>
      </c>
      <c r="M18" s="1" t="str">
        <f aca="false">VLOOKUP(D18,'Team Reference'!$A:$B,2,FALSE())</f>
        <v>ATL</v>
      </c>
      <c r="N18" s="1" t="str">
        <f aca="false">VLOOKUP(E18,'Team Reference'!$A:$B,2,FALSE())</f>
        <v>ARI</v>
      </c>
      <c r="O18" s="1" t="str">
        <f aca="false">IF(F18&gt;G18,M18,IF(G18&gt;F18,N18,"Tie"))</f>
        <v>ATL</v>
      </c>
      <c r="P18" s="1" t="n">
        <f aca="false">F18-G18</f>
        <v>34</v>
      </c>
      <c r="Q18" s="1" t="n">
        <f aca="false">F18+G18</f>
        <v>48</v>
      </c>
      <c r="R18" s="1" t="str">
        <f aca="false">IF(H18=M18,"Home",IF(H18=N18,"Away",IF(H18="PICK","Pick","N/A")))</f>
        <v>Home</v>
      </c>
      <c r="S18" s="1" t="n">
        <f aca="false">IF(R18="Home",P18,IF(R18="Away",-P18,""))</f>
        <v>34</v>
      </c>
      <c r="T18" s="1" t="str">
        <f aca="false">IF(R18="Pick","No Line",IF(S18="","N/A",IF(S18+I18&gt;0,"Favorite Covered",IF(S18+I18&lt;0,"Underdog Covered","Push"))))</f>
        <v>Favorite Covered</v>
      </c>
      <c r="U18" s="1" t="str">
        <f aca="false">IF(Q18&gt;J18,"Over",IF(Q18&lt;J18,"Under","Push"))</f>
        <v>Over</v>
      </c>
    </row>
    <row r="19" customFormat="false" ht="15" hidden="false" customHeight="false" outlineLevel="0" collapsed="false">
      <c r="A19" s="1" t="s">
        <v>159</v>
      </c>
      <c r="B19" s="1" t="n">
        <v>2010</v>
      </c>
      <c r="C19" s="1" t="s">
        <v>160</v>
      </c>
      <c r="D19" s="1" t="s">
        <v>61</v>
      </c>
      <c r="E19" s="1" t="s">
        <v>113</v>
      </c>
      <c r="F19" s="1" t="n">
        <v>7</v>
      </c>
      <c r="G19" s="1" t="n">
        <v>20</v>
      </c>
      <c r="H19" s="1" t="s">
        <v>62</v>
      </c>
      <c r="I19" s="1" t="n">
        <v>-4</v>
      </c>
      <c r="J19" s="1" t="n">
        <v>37.5</v>
      </c>
      <c r="K19" s="1" t="s">
        <v>162</v>
      </c>
      <c r="L19" s="1" t="b">
        <f aca="false">FALSE()</f>
        <v>0</v>
      </c>
      <c r="M19" s="1" t="str">
        <f aca="false">VLOOKUP(D19,'Team Reference'!$A:$B,2,FALSE())</f>
        <v>CAR</v>
      </c>
      <c r="N19" s="1" t="str">
        <f aca="false">VLOOKUP(E19,'Team Reference'!$A:$B,2,FALSE())</f>
        <v>TB</v>
      </c>
      <c r="O19" s="1" t="str">
        <f aca="false">IF(F19&gt;G19,M19,IF(G19&gt;F19,N19,"Tie"))</f>
        <v>TB</v>
      </c>
      <c r="P19" s="1" t="n">
        <f aca="false">F19-G19</f>
        <v>-13</v>
      </c>
      <c r="Q19" s="1" t="n">
        <f aca="false">F19+G19</f>
        <v>27</v>
      </c>
      <c r="R19" s="1" t="str">
        <f aca="false">IF(H19=M19,"Home",IF(H19=N19,"Away",IF(H19="PICK","Pick","N/A")))</f>
        <v>Home</v>
      </c>
      <c r="S19" s="1" t="n">
        <f aca="false">IF(R19="Home",P19,IF(R19="Away",-P19,""))</f>
        <v>-13</v>
      </c>
      <c r="T19" s="1" t="str">
        <f aca="false">IF(R19="Pick","No Line",IF(S19="","N/A",IF(S19+I19&gt;0,"Favorite Covered",IF(S19+I19&lt;0,"Underdog Covered","Push"))))</f>
        <v>Underdog Covered</v>
      </c>
      <c r="U19" s="1" t="str">
        <f aca="false">IF(Q19&gt;J19,"Over",IF(Q19&lt;J19,"Under","Push"))</f>
        <v>Under</v>
      </c>
    </row>
    <row r="20" customFormat="false" ht="15" hidden="false" customHeight="false" outlineLevel="0" collapsed="false">
      <c r="A20" s="1" t="s">
        <v>159</v>
      </c>
      <c r="B20" s="1" t="n">
        <v>2010</v>
      </c>
      <c r="C20" s="1" t="s">
        <v>160</v>
      </c>
      <c r="D20" s="1" t="s">
        <v>65</v>
      </c>
      <c r="E20" s="1" t="s">
        <v>57</v>
      </c>
      <c r="F20" s="1" t="n">
        <v>15</v>
      </c>
      <c r="G20" s="1" t="n">
        <v>10</v>
      </c>
      <c r="H20" s="1" t="s">
        <v>58</v>
      </c>
      <c r="I20" s="1" t="n">
        <v>-3</v>
      </c>
      <c r="J20" s="1" t="n">
        <v>39.5</v>
      </c>
      <c r="K20" s="1" t="s">
        <v>163</v>
      </c>
      <c r="L20" s="1" t="b">
        <f aca="false">FALSE()</f>
        <v>0</v>
      </c>
      <c r="M20" s="1" t="str">
        <f aca="false">VLOOKUP(D20,'Team Reference'!$A:$B,2,FALSE())</f>
        <v>CIN</v>
      </c>
      <c r="N20" s="1" t="str">
        <f aca="false">VLOOKUP(E20,'Team Reference'!$A:$B,2,FALSE())</f>
        <v>BAL</v>
      </c>
      <c r="O20" s="1" t="str">
        <f aca="false">IF(F20&gt;G20,M20,IF(G20&gt;F20,N20,"Tie"))</f>
        <v>CIN</v>
      </c>
      <c r="P20" s="1" t="n">
        <f aca="false">F20-G20</f>
        <v>5</v>
      </c>
      <c r="Q20" s="1" t="n">
        <f aca="false">F20+G20</f>
        <v>25</v>
      </c>
      <c r="R20" s="1" t="str">
        <f aca="false">IF(H20=M20,"Home",IF(H20=N20,"Away",IF(H20="PICK","Pick","N/A")))</f>
        <v>Away</v>
      </c>
      <c r="S20" s="1" t="n">
        <f aca="false">IF(R20="Home",P20,IF(R20="Away",-P20,""))</f>
        <v>-5</v>
      </c>
      <c r="T20" s="1" t="str">
        <f aca="false">IF(R20="Pick","No Line",IF(S20="","N/A",IF(S20+I20&gt;0,"Favorite Covered",IF(S20+I20&lt;0,"Underdog Covered","Push"))))</f>
        <v>Underdog Covered</v>
      </c>
      <c r="U20" s="1" t="str">
        <f aca="false">IF(Q20&gt;J20,"Over",IF(Q20&lt;J20,"Under","Push"))</f>
        <v>Under</v>
      </c>
    </row>
    <row r="21" customFormat="false" ht="15" hidden="false" customHeight="false" outlineLevel="0" collapsed="false">
      <c r="A21" s="1" t="s">
        <v>159</v>
      </c>
      <c r="B21" s="1" t="n">
        <v>2010</v>
      </c>
      <c r="C21" s="1" t="s">
        <v>160</v>
      </c>
      <c r="D21" s="1" t="s">
        <v>67</v>
      </c>
      <c r="E21" s="1" t="s">
        <v>83</v>
      </c>
      <c r="F21" s="1" t="n">
        <v>14</v>
      </c>
      <c r="G21" s="1" t="n">
        <v>16</v>
      </c>
      <c r="H21" s="1" t="s">
        <v>68</v>
      </c>
      <c r="I21" s="1" t="n">
        <v>-3</v>
      </c>
      <c r="J21" s="1" t="n">
        <v>38</v>
      </c>
      <c r="K21" s="1" t="s">
        <v>164</v>
      </c>
      <c r="L21" s="1" t="b">
        <f aca="false">FALSE()</f>
        <v>0</v>
      </c>
      <c r="M21" s="1" t="str">
        <f aca="false">VLOOKUP(D21,'Team Reference'!$A:$B,2,FALSE())</f>
        <v>CLE</v>
      </c>
      <c r="N21" s="1" t="str">
        <f aca="false">VLOOKUP(E21,'Team Reference'!$A:$B,2,FALSE())</f>
        <v>KC</v>
      </c>
      <c r="O21" s="1" t="str">
        <f aca="false">IF(F21&gt;G21,M21,IF(G21&gt;F21,N21,"Tie"))</f>
        <v>KC</v>
      </c>
      <c r="P21" s="1" t="n">
        <f aca="false">F21-G21</f>
        <v>-2</v>
      </c>
      <c r="Q21" s="1" t="n">
        <f aca="false">F21+G21</f>
        <v>30</v>
      </c>
      <c r="R21" s="1" t="str">
        <f aca="false">IF(H21=M21,"Home",IF(H21=N21,"Away",IF(H21="PICK","Pick","N/A")))</f>
        <v>Home</v>
      </c>
      <c r="S21" s="1" t="n">
        <f aca="false">IF(R21="Home",P21,IF(R21="Away",-P21,""))</f>
        <v>-2</v>
      </c>
      <c r="T21" s="1" t="str">
        <f aca="false">IF(R21="Pick","No Line",IF(S21="","N/A",IF(S21+I21&gt;0,"Favorite Covered",IF(S21+I21&lt;0,"Underdog Covered","Push"))))</f>
        <v>Underdog Covered</v>
      </c>
      <c r="U21" s="1" t="str">
        <f aca="false">IF(Q21&gt;J21,"Over",IF(Q21&lt;J21,"Under","Push"))</f>
        <v>Under</v>
      </c>
    </row>
    <row r="22" customFormat="false" ht="15" hidden="false" customHeight="false" outlineLevel="0" collapsed="false">
      <c r="A22" s="1" t="s">
        <v>159</v>
      </c>
      <c r="B22" s="1" t="n">
        <v>2010</v>
      </c>
      <c r="C22" s="1" t="s">
        <v>160</v>
      </c>
      <c r="D22" s="1" t="s">
        <v>69</v>
      </c>
      <c r="E22" s="1" t="s">
        <v>63</v>
      </c>
      <c r="F22" s="1" t="n">
        <v>20</v>
      </c>
      <c r="G22" s="1" t="n">
        <v>27</v>
      </c>
      <c r="H22" s="1" t="s">
        <v>70</v>
      </c>
      <c r="I22" s="1" t="n">
        <v>-7</v>
      </c>
      <c r="J22" s="1" t="n">
        <v>41.5</v>
      </c>
      <c r="K22" s="1" t="s">
        <v>165</v>
      </c>
      <c r="L22" s="1" t="b">
        <f aca="false">FALSE()</f>
        <v>0</v>
      </c>
      <c r="M22" s="1" t="str">
        <f aca="false">VLOOKUP(D22,'Team Reference'!$A:$B,2,FALSE())</f>
        <v>DAL</v>
      </c>
      <c r="N22" s="1" t="str">
        <f aca="false">VLOOKUP(E22,'Team Reference'!$A:$B,2,FALSE())</f>
        <v>CHI</v>
      </c>
      <c r="O22" s="1" t="str">
        <f aca="false">IF(F22&gt;G22,M22,IF(G22&gt;F22,N22,"Tie"))</f>
        <v>CHI</v>
      </c>
      <c r="P22" s="1" t="n">
        <f aca="false">F22-G22</f>
        <v>-7</v>
      </c>
      <c r="Q22" s="1" t="n">
        <f aca="false">F22+G22</f>
        <v>47</v>
      </c>
      <c r="R22" s="1" t="str">
        <f aca="false">IF(H22=M22,"Home",IF(H22=N22,"Away",IF(H22="PICK","Pick","N/A")))</f>
        <v>Home</v>
      </c>
      <c r="S22" s="1" t="n">
        <f aca="false">IF(R22="Home",P22,IF(R22="Away",-P22,""))</f>
        <v>-7</v>
      </c>
      <c r="T22" s="1" t="str">
        <f aca="false">IF(R22="Pick","No Line",IF(S22="","N/A",IF(S22+I22&gt;0,"Favorite Covered",IF(S22+I22&lt;0,"Underdog Covered","Push"))))</f>
        <v>Underdog Covered</v>
      </c>
      <c r="U22" s="1" t="str">
        <f aca="false">IF(Q22&gt;J22,"Over",IF(Q22&lt;J22,"Under","Push"))</f>
        <v>Over</v>
      </c>
    </row>
    <row r="23" customFormat="false" ht="15" hidden="false" customHeight="false" outlineLevel="0" collapsed="false">
      <c r="A23" s="1" t="s">
        <v>159</v>
      </c>
      <c r="B23" s="1" t="n">
        <v>2010</v>
      </c>
      <c r="C23" s="1" t="s">
        <v>160</v>
      </c>
      <c r="D23" s="1" t="s">
        <v>71</v>
      </c>
      <c r="E23" s="1" t="s">
        <v>110</v>
      </c>
      <c r="F23" s="1" t="n">
        <v>31</v>
      </c>
      <c r="G23" s="1" t="n">
        <v>14</v>
      </c>
      <c r="H23" s="1" t="s">
        <v>72</v>
      </c>
      <c r="I23" s="1" t="n">
        <v>-3.5</v>
      </c>
      <c r="J23" s="1" t="n">
        <v>41</v>
      </c>
      <c r="K23" s="1" t="s">
        <v>166</v>
      </c>
      <c r="L23" s="1" t="b">
        <f aca="false">FALSE()</f>
        <v>0</v>
      </c>
      <c r="M23" s="1" t="str">
        <f aca="false">VLOOKUP(D23,'Team Reference'!$A:$B,2,FALSE())</f>
        <v>DEN</v>
      </c>
      <c r="N23" s="1" t="str">
        <f aca="false">VLOOKUP(E23,'Team Reference'!$A:$B,2,FALSE())</f>
        <v>SEA</v>
      </c>
      <c r="O23" s="1" t="str">
        <f aca="false">IF(F23&gt;G23,M23,IF(G23&gt;F23,N23,"Tie"))</f>
        <v>DEN</v>
      </c>
      <c r="P23" s="1" t="n">
        <f aca="false">F23-G23</f>
        <v>17</v>
      </c>
      <c r="Q23" s="1" t="n">
        <f aca="false">F23+G23</f>
        <v>45</v>
      </c>
      <c r="R23" s="1" t="str">
        <f aca="false">IF(H23=M23,"Home",IF(H23=N23,"Away",IF(H23="PICK","Pick","N/A")))</f>
        <v>Home</v>
      </c>
      <c r="S23" s="1" t="n">
        <f aca="false">IF(R23="Home",P23,IF(R23="Away",-P23,""))</f>
        <v>17</v>
      </c>
      <c r="T23" s="1" t="str">
        <f aca="false">IF(R23="Pick","No Line",IF(S23="","N/A",IF(S23+I23&gt;0,"Favorite Covered",IF(S23+I23&lt;0,"Underdog Covered","Push"))))</f>
        <v>Favorite Covered</v>
      </c>
      <c r="U23" s="1" t="str">
        <f aca="false">IF(Q23&gt;J23,"Over",IF(Q23&lt;J23,"Under","Push"))</f>
        <v>Over</v>
      </c>
    </row>
    <row r="24" customFormat="false" ht="15" hidden="false" customHeight="false" outlineLevel="0" collapsed="false">
      <c r="A24" s="1" t="s">
        <v>159</v>
      </c>
      <c r="B24" s="1" t="n">
        <v>2010</v>
      </c>
      <c r="C24" s="1" t="s">
        <v>160</v>
      </c>
      <c r="D24" s="1" t="s">
        <v>73</v>
      </c>
      <c r="E24" s="1" t="s">
        <v>103</v>
      </c>
      <c r="F24" s="1" t="n">
        <v>32</v>
      </c>
      <c r="G24" s="1" t="n">
        <v>35</v>
      </c>
      <c r="H24" s="1" t="s">
        <v>104</v>
      </c>
      <c r="I24" s="1" t="n">
        <v>-6.5</v>
      </c>
      <c r="J24" s="1" t="n">
        <v>41</v>
      </c>
      <c r="K24" s="1" t="s">
        <v>167</v>
      </c>
      <c r="L24" s="1" t="b">
        <f aca="false">FALSE()</f>
        <v>0</v>
      </c>
      <c r="M24" s="1" t="str">
        <f aca="false">VLOOKUP(D24,'Team Reference'!$A:$B,2,FALSE())</f>
        <v>DET</v>
      </c>
      <c r="N24" s="1" t="str">
        <f aca="false">VLOOKUP(E24,'Team Reference'!$A:$B,2,FALSE())</f>
        <v>PHI</v>
      </c>
      <c r="O24" s="1" t="str">
        <f aca="false">IF(F24&gt;G24,M24,IF(G24&gt;F24,N24,"Tie"))</f>
        <v>PHI</v>
      </c>
      <c r="P24" s="1" t="n">
        <f aca="false">F24-G24</f>
        <v>-3</v>
      </c>
      <c r="Q24" s="1" t="n">
        <f aca="false">F24+G24</f>
        <v>67</v>
      </c>
      <c r="R24" s="1" t="str">
        <f aca="false">IF(H24=M24,"Home",IF(H24=N24,"Away",IF(H24="PICK","Pick","N/A")))</f>
        <v>Away</v>
      </c>
      <c r="S24" s="1" t="n">
        <f aca="false">IF(R24="Home",P24,IF(R24="Away",-P24,""))</f>
        <v>3</v>
      </c>
      <c r="T24" s="1" t="str">
        <f aca="false">IF(R24="Pick","No Line",IF(S24="","N/A",IF(S24+I24&gt;0,"Favorite Covered",IF(S24+I24&lt;0,"Underdog Covered","Push"))))</f>
        <v>Underdog Covered</v>
      </c>
      <c r="U24" s="1" t="str">
        <f aca="false">IF(Q24&gt;J24,"Over",IF(Q24&lt;J24,"Under","Push"))</f>
        <v>Over</v>
      </c>
    </row>
    <row r="25" customFormat="false" ht="15" hidden="false" customHeight="false" outlineLevel="0" collapsed="false">
      <c r="A25" s="1" t="s">
        <v>159</v>
      </c>
      <c r="B25" s="1" t="n">
        <v>2010</v>
      </c>
      <c r="C25" s="1" t="s">
        <v>160</v>
      </c>
      <c r="D25" s="1" t="s">
        <v>75</v>
      </c>
      <c r="E25" s="1" t="s">
        <v>59</v>
      </c>
      <c r="F25" s="1" t="n">
        <v>34</v>
      </c>
      <c r="G25" s="1" t="n">
        <v>7</v>
      </c>
      <c r="H25" s="1" t="s">
        <v>76</v>
      </c>
      <c r="I25" s="1" t="n">
        <v>-13</v>
      </c>
      <c r="J25" s="1" t="n">
        <v>43</v>
      </c>
      <c r="K25" s="1" t="s">
        <v>168</v>
      </c>
      <c r="L25" s="1" t="b">
        <f aca="false">FALSE()</f>
        <v>0</v>
      </c>
      <c r="M25" s="1" t="str">
        <f aca="false">VLOOKUP(D25,'Team Reference'!$A:$B,2,FALSE())</f>
        <v>GB</v>
      </c>
      <c r="N25" s="1" t="str">
        <f aca="false">VLOOKUP(E25,'Team Reference'!$A:$B,2,FALSE())</f>
        <v>BUF</v>
      </c>
      <c r="O25" s="1" t="str">
        <f aca="false">IF(F25&gt;G25,M25,IF(G25&gt;F25,N25,"Tie"))</f>
        <v>GB</v>
      </c>
      <c r="P25" s="1" t="n">
        <f aca="false">F25-G25</f>
        <v>27</v>
      </c>
      <c r="Q25" s="1" t="n">
        <f aca="false">F25+G25</f>
        <v>41</v>
      </c>
      <c r="R25" s="1" t="str">
        <f aca="false">IF(H25=M25,"Home",IF(H25=N25,"Away",IF(H25="PICK","Pick","N/A")))</f>
        <v>Home</v>
      </c>
      <c r="S25" s="1" t="n">
        <f aca="false">IF(R25="Home",P25,IF(R25="Away",-P25,""))</f>
        <v>27</v>
      </c>
      <c r="T25" s="1" t="str">
        <f aca="false">IF(R25="Pick","No Line",IF(S25="","N/A",IF(S25+I25&gt;0,"Favorite Covered",IF(S25+I25&lt;0,"Underdog Covered","Push"))))</f>
        <v>Favorite Covered</v>
      </c>
      <c r="U25" s="1" t="str">
        <f aca="false">IF(Q25&gt;J25,"Over",IF(Q25&lt;J25,"Under","Push"))</f>
        <v>Under</v>
      </c>
    </row>
    <row r="26" customFormat="false" ht="15" hidden="false" customHeight="false" outlineLevel="0" collapsed="false">
      <c r="A26" s="1" t="s">
        <v>159</v>
      </c>
      <c r="B26" s="1" t="n">
        <v>2010</v>
      </c>
      <c r="C26" s="1" t="s">
        <v>160</v>
      </c>
      <c r="D26" s="1" t="s">
        <v>79</v>
      </c>
      <c r="E26" s="1" t="s">
        <v>97</v>
      </c>
      <c r="F26" s="1" t="n">
        <v>38</v>
      </c>
      <c r="G26" s="1" t="n">
        <v>14</v>
      </c>
      <c r="H26" s="1" t="s">
        <v>80</v>
      </c>
      <c r="I26" s="1" t="n">
        <v>-4</v>
      </c>
      <c r="J26" s="1" t="n">
        <v>48.5</v>
      </c>
      <c r="K26" s="1" t="s">
        <v>169</v>
      </c>
      <c r="L26" s="1" t="b">
        <f aca="false">FALSE()</f>
        <v>0</v>
      </c>
      <c r="M26" s="1" t="str">
        <f aca="false">VLOOKUP(D26,'Team Reference'!$A:$B,2,FALSE())</f>
        <v>IND</v>
      </c>
      <c r="N26" s="1" t="str">
        <f aca="false">VLOOKUP(E26,'Team Reference'!$A:$B,2,FALSE())</f>
        <v>NYG</v>
      </c>
      <c r="O26" s="1" t="str">
        <f aca="false">IF(F26&gt;G26,M26,IF(G26&gt;F26,N26,"Tie"))</f>
        <v>IND</v>
      </c>
      <c r="P26" s="1" t="n">
        <f aca="false">F26-G26</f>
        <v>24</v>
      </c>
      <c r="Q26" s="1" t="n">
        <f aca="false">F26+G26</f>
        <v>52</v>
      </c>
      <c r="R26" s="1" t="str">
        <f aca="false">IF(H26=M26,"Home",IF(H26=N26,"Away",IF(H26="PICK","Pick","N/A")))</f>
        <v>Home</v>
      </c>
      <c r="S26" s="1" t="n">
        <f aca="false">IF(R26="Home",P26,IF(R26="Away",-P26,""))</f>
        <v>24</v>
      </c>
      <c r="T26" s="1" t="str">
        <f aca="false">IF(R26="Pick","No Line",IF(S26="","N/A",IF(S26+I26&gt;0,"Favorite Covered",IF(S26+I26&lt;0,"Underdog Covered","Push"))))</f>
        <v>Favorite Covered</v>
      </c>
      <c r="U26" s="1" t="str">
        <f aca="false">IF(Q26&gt;J26,"Over",IF(Q26&lt;J26,"Under","Push"))</f>
        <v>Over</v>
      </c>
    </row>
    <row r="27" customFormat="false" ht="15" hidden="false" customHeight="false" outlineLevel="0" collapsed="false">
      <c r="A27" s="1" t="s">
        <v>159</v>
      </c>
      <c r="B27" s="1" t="n">
        <v>2010</v>
      </c>
      <c r="C27" s="1" t="s">
        <v>160</v>
      </c>
      <c r="D27" s="1" t="s">
        <v>91</v>
      </c>
      <c r="E27" s="1" t="s">
        <v>89</v>
      </c>
      <c r="F27" s="1" t="n">
        <v>10</v>
      </c>
      <c r="G27" s="1" t="n">
        <v>14</v>
      </c>
      <c r="H27" s="1" t="s">
        <v>92</v>
      </c>
      <c r="I27" s="1" t="n">
        <v>-6</v>
      </c>
      <c r="J27" s="1" t="n">
        <v>41</v>
      </c>
      <c r="K27" s="1" t="s">
        <v>170</v>
      </c>
      <c r="L27" s="1" t="b">
        <f aca="false">FALSE()</f>
        <v>0</v>
      </c>
      <c r="M27" s="1" t="str">
        <f aca="false">VLOOKUP(D27,'Team Reference'!$A:$B,2,FALSE())</f>
        <v>MIN</v>
      </c>
      <c r="N27" s="1" t="str">
        <f aca="false">VLOOKUP(E27,'Team Reference'!$A:$B,2,FALSE())</f>
        <v>MIA</v>
      </c>
      <c r="O27" s="1" t="str">
        <f aca="false">IF(F27&gt;G27,M27,IF(G27&gt;F27,N27,"Tie"))</f>
        <v>MIA</v>
      </c>
      <c r="P27" s="1" t="n">
        <f aca="false">F27-G27</f>
        <v>-4</v>
      </c>
      <c r="Q27" s="1" t="n">
        <f aca="false">F27+G27</f>
        <v>24</v>
      </c>
      <c r="R27" s="1" t="str">
        <f aca="false">IF(H27=M27,"Home",IF(H27=N27,"Away",IF(H27="PICK","Pick","N/A")))</f>
        <v>Home</v>
      </c>
      <c r="S27" s="1" t="n">
        <f aca="false">IF(R27="Home",P27,IF(R27="Away",-P27,""))</f>
        <v>-4</v>
      </c>
      <c r="T27" s="1" t="str">
        <f aca="false">IF(R27="Pick","No Line",IF(S27="","N/A",IF(S27+I27&gt;0,"Favorite Covered",IF(S27+I27&lt;0,"Underdog Covered","Push"))))</f>
        <v>Underdog Covered</v>
      </c>
      <c r="U27" s="1" t="str">
        <f aca="false">IF(Q27&gt;J27,"Over",IF(Q27&lt;J27,"Under","Push"))</f>
        <v>Under</v>
      </c>
    </row>
    <row r="28" customFormat="false" ht="15" hidden="false" customHeight="false" outlineLevel="0" collapsed="false">
      <c r="A28" s="1" t="s">
        <v>159</v>
      </c>
      <c r="B28" s="1" t="n">
        <v>2010</v>
      </c>
      <c r="C28" s="1" t="s">
        <v>160</v>
      </c>
      <c r="D28" s="1" t="s">
        <v>99</v>
      </c>
      <c r="E28" s="1" t="s">
        <v>93</v>
      </c>
      <c r="F28" s="1" t="n">
        <v>28</v>
      </c>
      <c r="G28" s="1" t="n">
        <v>14</v>
      </c>
      <c r="H28" s="1" t="s">
        <v>94</v>
      </c>
      <c r="I28" s="1" t="n">
        <v>-3</v>
      </c>
      <c r="J28" s="1" t="n">
        <v>39.5</v>
      </c>
      <c r="K28" s="1" t="s">
        <v>149</v>
      </c>
      <c r="L28" s="1" t="b">
        <f aca="false">FALSE()</f>
        <v>0</v>
      </c>
      <c r="M28" s="1" t="str">
        <f aca="false">VLOOKUP(D28,'Team Reference'!$A:$B,2,FALSE())</f>
        <v>NYJ</v>
      </c>
      <c r="N28" s="1" t="str">
        <f aca="false">VLOOKUP(E28,'Team Reference'!$A:$B,2,FALSE())</f>
        <v>NE</v>
      </c>
      <c r="O28" s="1" t="str">
        <f aca="false">IF(F28&gt;G28,M28,IF(G28&gt;F28,N28,"Tie"))</f>
        <v>NYJ</v>
      </c>
      <c r="P28" s="1" t="n">
        <f aca="false">F28-G28</f>
        <v>14</v>
      </c>
      <c r="Q28" s="1" t="n">
        <f aca="false">F28+G28</f>
        <v>42</v>
      </c>
      <c r="R28" s="1" t="str">
        <f aca="false">IF(H28=M28,"Home",IF(H28=N28,"Away",IF(H28="PICK","Pick","N/A")))</f>
        <v>Away</v>
      </c>
      <c r="S28" s="1" t="n">
        <f aca="false">IF(R28="Home",P28,IF(R28="Away",-P28,""))</f>
        <v>-14</v>
      </c>
      <c r="T28" s="1" t="str">
        <f aca="false">IF(R28="Pick","No Line",IF(S28="","N/A",IF(S28+I28&gt;0,"Favorite Covered",IF(S28+I28&lt;0,"Underdog Covered","Push"))))</f>
        <v>Underdog Covered</v>
      </c>
      <c r="U28" s="1" t="str">
        <f aca="false">IF(Q28&gt;J28,"Over",IF(Q28&lt;J28,"Under","Push"))</f>
        <v>Over</v>
      </c>
    </row>
    <row r="29" customFormat="false" ht="15" hidden="false" customHeight="false" outlineLevel="0" collapsed="false">
      <c r="A29" s="1" t="s">
        <v>159</v>
      </c>
      <c r="B29" s="1" t="n">
        <v>2010</v>
      </c>
      <c r="C29" s="1" t="s">
        <v>160</v>
      </c>
      <c r="D29" s="1" t="s">
        <v>101</v>
      </c>
      <c r="E29" s="1" t="s">
        <v>112</v>
      </c>
      <c r="F29" s="1" t="n">
        <v>16</v>
      </c>
      <c r="G29" s="1" t="n">
        <v>14</v>
      </c>
      <c r="H29" s="1" t="s">
        <v>102</v>
      </c>
      <c r="I29" s="1" t="n">
        <v>-3</v>
      </c>
      <c r="J29" s="1" t="n">
        <v>37.5</v>
      </c>
      <c r="K29" s="1" t="s">
        <v>171</v>
      </c>
      <c r="L29" s="1" t="b">
        <f aca="false">FALSE()</f>
        <v>0</v>
      </c>
      <c r="M29" s="1" t="str">
        <f aca="false">VLOOKUP(D29,'Team Reference'!$A:$B,2,FALSE())</f>
        <v>OAK</v>
      </c>
      <c r="N29" s="1" t="str">
        <f aca="false">VLOOKUP(E29,'Team Reference'!$A:$B,2,FALSE())</f>
        <v>LAR</v>
      </c>
      <c r="O29" s="1" t="str">
        <f aca="false">IF(F29&gt;G29,M29,IF(G29&gt;F29,N29,"Tie"))</f>
        <v>OAK</v>
      </c>
      <c r="P29" s="1" t="n">
        <f aca="false">F29-G29</f>
        <v>2</v>
      </c>
      <c r="Q29" s="1" t="n">
        <f aca="false">F29+G29</f>
        <v>30</v>
      </c>
      <c r="R29" s="1" t="str">
        <f aca="false">IF(H29=M29,"Home",IF(H29=N29,"Away",IF(H29="PICK","Pick","N/A")))</f>
        <v>Home</v>
      </c>
      <c r="S29" s="1" t="n">
        <f aca="false">IF(R29="Home",P29,IF(R29="Away",-P29,""))</f>
        <v>2</v>
      </c>
      <c r="T29" s="1" t="str">
        <f aca="false">IF(R29="Pick","No Line",IF(S29="","N/A",IF(S29+I29&gt;0,"Favorite Covered",IF(S29+I29&lt;0,"Underdog Covered","Push"))))</f>
        <v>Underdog Covered</v>
      </c>
      <c r="U29" s="1" t="str">
        <f aca="false">IF(Q29&gt;J29,"Over",IF(Q29&lt;J29,"Under","Push"))</f>
        <v>Under</v>
      </c>
    </row>
    <row r="30" customFormat="false" ht="15" hidden="false" customHeight="false" outlineLevel="0" collapsed="false">
      <c r="A30" s="1" t="s">
        <v>159</v>
      </c>
      <c r="B30" s="1" t="n">
        <v>2010</v>
      </c>
      <c r="C30" s="1" t="s">
        <v>160</v>
      </c>
      <c r="D30" s="1" t="s">
        <v>107</v>
      </c>
      <c r="E30" s="1" t="s">
        <v>81</v>
      </c>
      <c r="F30" s="1" t="n">
        <v>38</v>
      </c>
      <c r="G30" s="1" t="n">
        <v>13</v>
      </c>
      <c r="H30" s="1" t="s">
        <v>86</v>
      </c>
      <c r="I30" s="1" t="n">
        <v>-7</v>
      </c>
      <c r="J30" s="1" t="n">
        <v>45</v>
      </c>
      <c r="K30" s="1" t="s">
        <v>172</v>
      </c>
      <c r="L30" s="1" t="b">
        <f aca="false">FALSE()</f>
        <v>0</v>
      </c>
      <c r="M30" s="1" t="str">
        <f aca="false">VLOOKUP(D30,'Team Reference'!$A:$B,2,FALSE())</f>
        <v>LAC</v>
      </c>
      <c r="N30" s="1" t="str">
        <f aca="false">VLOOKUP(E30,'Team Reference'!$A:$B,2,FALSE())</f>
        <v>JAX</v>
      </c>
      <c r="O30" s="1" t="str">
        <f aca="false">IF(F30&gt;G30,M30,IF(G30&gt;F30,N30,"Tie"))</f>
        <v>LAC</v>
      </c>
      <c r="P30" s="1" t="n">
        <f aca="false">F30-G30</f>
        <v>25</v>
      </c>
      <c r="Q30" s="1" t="n">
        <f aca="false">F30+G30</f>
        <v>51</v>
      </c>
      <c r="R30" s="1" t="str">
        <f aca="false">IF(H30=M30,"Home",IF(H30=N30,"Away",IF(H30="PICK","Pick","N/A")))</f>
        <v>Home</v>
      </c>
      <c r="S30" s="1" t="n">
        <f aca="false">IF(R30="Home",P30,IF(R30="Away",-P30,""))</f>
        <v>25</v>
      </c>
      <c r="T30" s="1" t="str">
        <f aca="false">IF(R30="Pick","No Line",IF(S30="","N/A",IF(S30+I30&gt;0,"Favorite Covered",IF(S30+I30&lt;0,"Underdog Covered","Push"))))</f>
        <v>Favorite Covered</v>
      </c>
      <c r="U30" s="1" t="str">
        <f aca="false">IF(Q30&gt;J30,"Over",IF(Q30&lt;J30,"Under","Push"))</f>
        <v>Over</v>
      </c>
    </row>
    <row r="31" customFormat="false" ht="15" hidden="false" customHeight="false" outlineLevel="0" collapsed="false">
      <c r="A31" s="1" t="s">
        <v>159</v>
      </c>
      <c r="B31" s="1" t="n">
        <v>2010</v>
      </c>
      <c r="C31" s="1" t="s">
        <v>160</v>
      </c>
      <c r="D31" s="1" t="s">
        <v>115</v>
      </c>
      <c r="E31" s="1" t="s">
        <v>105</v>
      </c>
      <c r="F31" s="1" t="n">
        <v>11</v>
      </c>
      <c r="G31" s="1" t="n">
        <v>19</v>
      </c>
      <c r="H31" s="1" t="s">
        <v>116</v>
      </c>
      <c r="I31" s="1" t="n">
        <v>-6</v>
      </c>
      <c r="J31" s="1" t="n">
        <v>37</v>
      </c>
      <c r="K31" s="1" t="s">
        <v>155</v>
      </c>
      <c r="L31" s="1" t="b">
        <f aca="false">FALSE()</f>
        <v>0</v>
      </c>
      <c r="M31" s="1" t="str">
        <f aca="false">VLOOKUP(D31,'Team Reference'!$A:$B,2,FALSE())</f>
        <v>TEN</v>
      </c>
      <c r="N31" s="1" t="str">
        <f aca="false">VLOOKUP(E31,'Team Reference'!$A:$B,2,FALSE())</f>
        <v>PIT</v>
      </c>
      <c r="O31" s="1" t="str">
        <f aca="false">IF(F31&gt;G31,M31,IF(G31&gt;F31,N31,"Tie"))</f>
        <v>PIT</v>
      </c>
      <c r="P31" s="1" t="n">
        <f aca="false">F31-G31</f>
        <v>-8</v>
      </c>
      <c r="Q31" s="1" t="n">
        <f aca="false">F31+G31</f>
        <v>30</v>
      </c>
      <c r="R31" s="1" t="str">
        <f aca="false">IF(H31=M31,"Home",IF(H31=N31,"Away",IF(H31="PICK","Pick","N/A")))</f>
        <v>Home</v>
      </c>
      <c r="S31" s="1" t="n">
        <f aca="false">IF(R31="Home",P31,IF(R31="Away",-P31,""))</f>
        <v>-8</v>
      </c>
      <c r="T31" s="1" t="str">
        <f aca="false">IF(R31="Pick","No Line",IF(S31="","N/A",IF(S31+I31&gt;0,"Favorite Covered",IF(S31+I31&lt;0,"Underdog Covered","Push"))))</f>
        <v>Underdog Covered</v>
      </c>
      <c r="U31" s="1" t="str">
        <f aca="false">IF(Q31&gt;J31,"Over",IF(Q31&lt;J31,"Under","Push"))</f>
        <v>Under</v>
      </c>
    </row>
    <row r="32" customFormat="false" ht="15" hidden="false" customHeight="false" outlineLevel="0" collapsed="false">
      <c r="A32" s="1" t="s">
        <v>159</v>
      </c>
      <c r="B32" s="1" t="n">
        <v>2010</v>
      </c>
      <c r="C32" s="1" t="s">
        <v>160</v>
      </c>
      <c r="D32" s="1" t="s">
        <v>117</v>
      </c>
      <c r="E32" s="1" t="s">
        <v>77</v>
      </c>
      <c r="F32" s="1" t="n">
        <v>27</v>
      </c>
      <c r="G32" s="1" t="n">
        <v>30</v>
      </c>
      <c r="H32" s="1" t="s">
        <v>78</v>
      </c>
      <c r="I32" s="1" t="n">
        <v>-3</v>
      </c>
      <c r="J32" s="1" t="n">
        <v>42.5</v>
      </c>
      <c r="K32" s="1" t="s">
        <v>156</v>
      </c>
      <c r="L32" s="1" t="b">
        <f aca="false">FALSE()</f>
        <v>0</v>
      </c>
      <c r="M32" s="1" t="str">
        <f aca="false">VLOOKUP(D32,'Team Reference'!$A:$B,2,FALSE())</f>
        <v>WAS</v>
      </c>
      <c r="N32" s="1" t="str">
        <f aca="false">VLOOKUP(E32,'Team Reference'!$A:$B,2,FALSE())</f>
        <v>HOU</v>
      </c>
      <c r="O32" s="1" t="str">
        <f aca="false">IF(F32&gt;G32,M32,IF(G32&gt;F32,N32,"Tie"))</f>
        <v>HOU</v>
      </c>
      <c r="P32" s="1" t="n">
        <f aca="false">F32-G32</f>
        <v>-3</v>
      </c>
      <c r="Q32" s="1" t="n">
        <f aca="false">F32+G32</f>
        <v>57</v>
      </c>
      <c r="R32" s="1" t="str">
        <f aca="false">IF(H32=M32,"Home",IF(H32=N32,"Away",IF(H32="PICK","Pick","N/A")))</f>
        <v>Away</v>
      </c>
      <c r="S32" s="1" t="n">
        <f aca="false">IF(R32="Home",P32,IF(R32="Away",-P32,""))</f>
        <v>3</v>
      </c>
      <c r="T32" s="1" t="str">
        <f aca="false">IF(R32="Pick","No Line",IF(S32="","N/A",IF(S32+I32&gt;0,"Favorite Covered",IF(S32+I32&lt;0,"Underdog Covered","Push"))))</f>
        <v>Push</v>
      </c>
      <c r="U32" s="1" t="str">
        <f aca="false">IF(Q32&gt;J32,"Over",IF(Q32&lt;J32,"Under","Push"))</f>
        <v>Over</v>
      </c>
    </row>
    <row r="33" customFormat="false" ht="15" hidden="false" customHeight="false" outlineLevel="0" collapsed="false">
      <c r="A33" s="1" t="s">
        <v>173</v>
      </c>
      <c r="B33" s="1" t="n">
        <v>2010</v>
      </c>
      <c r="C33" s="1" t="s">
        <v>160</v>
      </c>
      <c r="D33" s="1" t="s">
        <v>108</v>
      </c>
      <c r="E33" s="1" t="s">
        <v>95</v>
      </c>
      <c r="F33" s="1" t="n">
        <v>22</v>
      </c>
      <c r="G33" s="1" t="n">
        <v>25</v>
      </c>
      <c r="H33" s="1" t="s">
        <v>96</v>
      </c>
      <c r="I33" s="1" t="n">
        <v>-5</v>
      </c>
      <c r="J33" s="1" t="n">
        <v>43.5</v>
      </c>
      <c r="K33" s="1" t="s">
        <v>174</v>
      </c>
      <c r="L33" s="1" t="b">
        <f aca="false">FALSE()</f>
        <v>0</v>
      </c>
      <c r="M33" s="1" t="str">
        <f aca="false">VLOOKUP(D33,'Team Reference'!$A:$B,2,FALSE())</f>
        <v>SF</v>
      </c>
      <c r="N33" s="1" t="str">
        <f aca="false">VLOOKUP(E33,'Team Reference'!$A:$B,2,FALSE())</f>
        <v>NO</v>
      </c>
      <c r="O33" s="1" t="str">
        <f aca="false">IF(F33&gt;G33,M33,IF(G33&gt;F33,N33,"Tie"))</f>
        <v>NO</v>
      </c>
      <c r="P33" s="1" t="n">
        <f aca="false">F33-G33</f>
        <v>-3</v>
      </c>
      <c r="Q33" s="1" t="n">
        <f aca="false">F33+G33</f>
        <v>47</v>
      </c>
      <c r="R33" s="1" t="str">
        <f aca="false">IF(H33=M33,"Home",IF(H33=N33,"Away",IF(H33="PICK","Pick","N/A")))</f>
        <v>Away</v>
      </c>
      <c r="S33" s="1" t="n">
        <f aca="false">IF(R33="Home",P33,IF(R33="Away",-P33,""))</f>
        <v>3</v>
      </c>
      <c r="T33" s="1" t="str">
        <f aca="false">IF(R33="Pick","No Line",IF(S33="","N/A",IF(S33+I33&gt;0,"Favorite Covered",IF(S33+I33&lt;0,"Underdog Covered","Push"))))</f>
        <v>Underdog Covered</v>
      </c>
      <c r="U33" s="1" t="str">
        <f aca="false">IF(Q33&gt;J33,"Over",IF(Q33&lt;J33,"Under","Push"))</f>
        <v>Over</v>
      </c>
    </row>
    <row r="34" customFormat="false" ht="15" hidden="false" customHeight="false" outlineLevel="0" collapsed="false">
      <c r="A34" s="1" t="s">
        <v>175</v>
      </c>
      <c r="B34" s="1" t="n">
        <v>2010</v>
      </c>
      <c r="C34" s="1" t="s">
        <v>176</v>
      </c>
      <c r="D34" s="1" t="s">
        <v>53</v>
      </c>
      <c r="E34" s="1" t="s">
        <v>101</v>
      </c>
      <c r="F34" s="1" t="n">
        <v>24</v>
      </c>
      <c r="G34" s="1" t="n">
        <v>23</v>
      </c>
      <c r="H34" s="1" t="s">
        <v>54</v>
      </c>
      <c r="I34" s="1" t="n">
        <v>-5.5</v>
      </c>
      <c r="J34" s="1" t="n">
        <v>39</v>
      </c>
      <c r="K34" s="1" t="s">
        <v>177</v>
      </c>
      <c r="L34" s="1" t="b">
        <f aca="false">FALSE()</f>
        <v>0</v>
      </c>
      <c r="M34" s="1" t="str">
        <f aca="false">VLOOKUP(D34,'Team Reference'!$A:$B,2,FALSE())</f>
        <v>ARI</v>
      </c>
      <c r="N34" s="1" t="str">
        <f aca="false">VLOOKUP(E34,'Team Reference'!$A:$B,2,FALSE())</f>
        <v>OAK</v>
      </c>
      <c r="O34" s="1" t="str">
        <f aca="false">IF(F34&gt;G34,M34,IF(G34&gt;F34,N34,"Tie"))</f>
        <v>ARI</v>
      </c>
      <c r="P34" s="1" t="n">
        <f aca="false">F34-G34</f>
        <v>1</v>
      </c>
      <c r="Q34" s="1" t="n">
        <f aca="false">F34+G34</f>
        <v>47</v>
      </c>
      <c r="R34" s="1" t="str">
        <f aca="false">IF(H34=M34,"Home",IF(H34=N34,"Away",IF(H34="PICK","Pick","N/A")))</f>
        <v>Home</v>
      </c>
      <c r="S34" s="1" t="n">
        <f aca="false">IF(R34="Home",P34,IF(R34="Away",-P34,""))</f>
        <v>1</v>
      </c>
      <c r="T34" s="1" t="str">
        <f aca="false">IF(R34="Pick","No Line",IF(S34="","N/A",IF(S34+I34&gt;0,"Favorite Covered",IF(S34+I34&lt;0,"Underdog Covered","Push"))))</f>
        <v>Underdog Covered</v>
      </c>
      <c r="U34" s="1" t="str">
        <f aca="false">IF(Q34&gt;J34,"Over",IF(Q34&lt;J34,"Under","Push"))</f>
        <v>Over</v>
      </c>
    </row>
    <row r="35" customFormat="false" ht="15" hidden="false" customHeight="false" outlineLevel="0" collapsed="false">
      <c r="A35" s="1" t="s">
        <v>175</v>
      </c>
      <c r="B35" s="1" t="n">
        <v>2010</v>
      </c>
      <c r="C35" s="1" t="s">
        <v>176</v>
      </c>
      <c r="D35" s="1" t="s">
        <v>57</v>
      </c>
      <c r="E35" s="1" t="s">
        <v>67</v>
      </c>
      <c r="F35" s="1" t="n">
        <v>24</v>
      </c>
      <c r="G35" s="1" t="n">
        <v>17</v>
      </c>
      <c r="H35" s="1" t="s">
        <v>58</v>
      </c>
      <c r="I35" s="1" t="n">
        <v>-12.5</v>
      </c>
      <c r="J35" s="1" t="n">
        <v>36.5</v>
      </c>
      <c r="K35" s="1" t="s">
        <v>178</v>
      </c>
      <c r="L35" s="1" t="b">
        <f aca="false">FALSE()</f>
        <v>0</v>
      </c>
      <c r="M35" s="1" t="str">
        <f aca="false">VLOOKUP(D35,'Team Reference'!$A:$B,2,FALSE())</f>
        <v>BAL</v>
      </c>
      <c r="N35" s="1" t="str">
        <f aca="false">VLOOKUP(E35,'Team Reference'!$A:$B,2,FALSE())</f>
        <v>CLE</v>
      </c>
      <c r="O35" s="1" t="str">
        <f aca="false">IF(F35&gt;G35,M35,IF(G35&gt;F35,N35,"Tie"))</f>
        <v>BAL</v>
      </c>
      <c r="P35" s="1" t="n">
        <f aca="false">F35-G35</f>
        <v>7</v>
      </c>
      <c r="Q35" s="1" t="n">
        <f aca="false">F35+G35</f>
        <v>41</v>
      </c>
      <c r="R35" s="1" t="str">
        <f aca="false">IF(H35=M35,"Home",IF(H35=N35,"Away",IF(H35="PICK","Pick","N/A")))</f>
        <v>Home</v>
      </c>
      <c r="S35" s="1" t="n">
        <f aca="false">IF(R35="Home",P35,IF(R35="Away",-P35,""))</f>
        <v>7</v>
      </c>
      <c r="T35" s="1" t="str">
        <f aca="false">IF(R35="Pick","No Line",IF(S35="","N/A",IF(S35+I35&gt;0,"Favorite Covered",IF(S35+I35&lt;0,"Underdog Covered","Push"))))</f>
        <v>Underdog Covered</v>
      </c>
      <c r="U35" s="1" t="str">
        <f aca="false">IF(Q35&gt;J35,"Over",IF(Q35&lt;J35,"Under","Push"))</f>
        <v>Over</v>
      </c>
    </row>
    <row r="36" customFormat="false" ht="15" hidden="false" customHeight="false" outlineLevel="0" collapsed="false">
      <c r="A36" s="1" t="s">
        <v>175</v>
      </c>
      <c r="B36" s="1" t="n">
        <v>2010</v>
      </c>
      <c r="C36" s="1" t="s">
        <v>176</v>
      </c>
      <c r="D36" s="1" t="s">
        <v>61</v>
      </c>
      <c r="E36" s="1" t="s">
        <v>65</v>
      </c>
      <c r="F36" s="1" t="n">
        <v>7</v>
      </c>
      <c r="G36" s="1" t="n">
        <v>20</v>
      </c>
      <c r="H36" s="1" t="s">
        <v>66</v>
      </c>
      <c r="I36" s="1" t="n">
        <v>-3.5</v>
      </c>
      <c r="J36" s="1" t="n">
        <v>37</v>
      </c>
      <c r="K36" s="1" t="s">
        <v>162</v>
      </c>
      <c r="L36" s="1" t="b">
        <f aca="false">FALSE()</f>
        <v>0</v>
      </c>
      <c r="M36" s="1" t="str">
        <f aca="false">VLOOKUP(D36,'Team Reference'!$A:$B,2,FALSE())</f>
        <v>CAR</v>
      </c>
      <c r="N36" s="1" t="str">
        <f aca="false">VLOOKUP(E36,'Team Reference'!$A:$B,2,FALSE())</f>
        <v>CIN</v>
      </c>
      <c r="O36" s="1" t="str">
        <f aca="false">IF(F36&gt;G36,M36,IF(G36&gt;F36,N36,"Tie"))</f>
        <v>CIN</v>
      </c>
      <c r="P36" s="1" t="n">
        <f aca="false">F36-G36</f>
        <v>-13</v>
      </c>
      <c r="Q36" s="1" t="n">
        <f aca="false">F36+G36</f>
        <v>27</v>
      </c>
      <c r="R36" s="1" t="str">
        <f aca="false">IF(H36=M36,"Home",IF(H36=N36,"Away",IF(H36="PICK","Pick","N/A")))</f>
        <v>Away</v>
      </c>
      <c r="S36" s="1" t="n">
        <f aca="false">IF(R36="Home",P36,IF(R36="Away",-P36,""))</f>
        <v>13</v>
      </c>
      <c r="T36" s="1" t="str">
        <f aca="false">IF(R36="Pick","No Line",IF(S36="","N/A",IF(S36+I36&gt;0,"Favorite Covered",IF(S36+I36&lt;0,"Underdog Covered","Push"))))</f>
        <v>Favorite Covered</v>
      </c>
      <c r="U36" s="1" t="str">
        <f aca="false">IF(Q36&gt;J36,"Over",IF(Q36&lt;J36,"Under","Push"))</f>
        <v>Under</v>
      </c>
    </row>
    <row r="37" customFormat="false" ht="15" hidden="false" customHeight="false" outlineLevel="0" collapsed="false">
      <c r="A37" s="1" t="s">
        <v>175</v>
      </c>
      <c r="B37" s="1" t="n">
        <v>2010</v>
      </c>
      <c r="C37" s="1" t="s">
        <v>176</v>
      </c>
      <c r="D37" s="1" t="s">
        <v>71</v>
      </c>
      <c r="E37" s="1" t="s">
        <v>79</v>
      </c>
      <c r="F37" s="1" t="n">
        <v>13</v>
      </c>
      <c r="G37" s="1" t="n">
        <v>27</v>
      </c>
      <c r="H37" s="1" t="s">
        <v>80</v>
      </c>
      <c r="I37" s="1" t="n">
        <v>-6</v>
      </c>
      <c r="J37" s="1" t="n">
        <v>47</v>
      </c>
      <c r="K37" s="1" t="s">
        <v>166</v>
      </c>
      <c r="L37" s="1" t="b">
        <f aca="false">FALSE()</f>
        <v>0</v>
      </c>
      <c r="M37" s="1" t="str">
        <f aca="false">VLOOKUP(D37,'Team Reference'!$A:$B,2,FALSE())</f>
        <v>DEN</v>
      </c>
      <c r="N37" s="1" t="str">
        <f aca="false">VLOOKUP(E37,'Team Reference'!$A:$B,2,FALSE())</f>
        <v>IND</v>
      </c>
      <c r="O37" s="1" t="str">
        <f aca="false">IF(F37&gt;G37,M37,IF(G37&gt;F37,N37,"Tie"))</f>
        <v>IND</v>
      </c>
      <c r="P37" s="1" t="n">
        <f aca="false">F37-G37</f>
        <v>-14</v>
      </c>
      <c r="Q37" s="1" t="n">
        <f aca="false">F37+G37</f>
        <v>40</v>
      </c>
      <c r="R37" s="1" t="str">
        <f aca="false">IF(H37=M37,"Home",IF(H37=N37,"Away",IF(H37="PICK","Pick","N/A")))</f>
        <v>Away</v>
      </c>
      <c r="S37" s="1" t="n">
        <f aca="false">IF(R37="Home",P37,IF(R37="Away",-P37,""))</f>
        <v>14</v>
      </c>
      <c r="T37" s="1" t="str">
        <f aca="false">IF(R37="Pick","No Line",IF(S37="","N/A",IF(S37+I37&gt;0,"Favorite Covered",IF(S37+I37&lt;0,"Underdog Covered","Push"))))</f>
        <v>Favorite Covered</v>
      </c>
      <c r="U37" s="1" t="str">
        <f aca="false">IF(Q37&gt;J37,"Over",IF(Q37&lt;J37,"Under","Push"))</f>
        <v>Under</v>
      </c>
    </row>
    <row r="38" customFormat="false" ht="15" hidden="false" customHeight="false" outlineLevel="0" collapsed="false">
      <c r="A38" s="1" t="s">
        <v>175</v>
      </c>
      <c r="B38" s="1" t="n">
        <v>2010</v>
      </c>
      <c r="C38" s="1" t="s">
        <v>176</v>
      </c>
      <c r="D38" s="1" t="s">
        <v>77</v>
      </c>
      <c r="E38" s="1" t="s">
        <v>69</v>
      </c>
      <c r="F38" s="1" t="n">
        <v>13</v>
      </c>
      <c r="G38" s="1" t="n">
        <v>27</v>
      </c>
      <c r="H38" s="1" t="s">
        <v>78</v>
      </c>
      <c r="I38" s="1" t="n">
        <v>-2.5</v>
      </c>
      <c r="J38" s="1" t="n">
        <v>47.5</v>
      </c>
      <c r="K38" s="1" t="s">
        <v>146</v>
      </c>
      <c r="L38" s="1" t="b">
        <f aca="false">FALSE()</f>
        <v>0</v>
      </c>
      <c r="M38" s="1" t="str">
        <f aca="false">VLOOKUP(D38,'Team Reference'!$A:$B,2,FALSE())</f>
        <v>HOU</v>
      </c>
      <c r="N38" s="1" t="str">
        <f aca="false">VLOOKUP(E38,'Team Reference'!$A:$B,2,FALSE())</f>
        <v>DAL</v>
      </c>
      <c r="O38" s="1" t="str">
        <f aca="false">IF(F38&gt;G38,M38,IF(G38&gt;F38,N38,"Tie"))</f>
        <v>DAL</v>
      </c>
      <c r="P38" s="1" t="n">
        <f aca="false">F38-G38</f>
        <v>-14</v>
      </c>
      <c r="Q38" s="1" t="n">
        <f aca="false">F38+G38</f>
        <v>40</v>
      </c>
      <c r="R38" s="1" t="str">
        <f aca="false">IF(H38=M38,"Home",IF(H38=N38,"Away",IF(H38="PICK","Pick","N/A")))</f>
        <v>Home</v>
      </c>
      <c r="S38" s="1" t="n">
        <f aca="false">IF(R38="Home",P38,IF(R38="Away",-P38,""))</f>
        <v>-14</v>
      </c>
      <c r="T38" s="1" t="str">
        <f aca="false">IF(R38="Pick","No Line",IF(S38="","N/A",IF(S38+I38&gt;0,"Favorite Covered",IF(S38+I38&lt;0,"Underdog Covered","Push"))))</f>
        <v>Underdog Covered</v>
      </c>
      <c r="U38" s="1" t="str">
        <f aca="false">IF(Q38&gt;J38,"Over",IF(Q38&lt;J38,"Under","Push"))</f>
        <v>Under</v>
      </c>
    </row>
    <row r="39" customFormat="false" ht="15" hidden="false" customHeight="false" outlineLevel="0" collapsed="false">
      <c r="A39" s="1" t="s">
        <v>175</v>
      </c>
      <c r="B39" s="1" t="n">
        <v>2010</v>
      </c>
      <c r="C39" s="1" t="s">
        <v>176</v>
      </c>
      <c r="D39" s="1" t="s">
        <v>81</v>
      </c>
      <c r="E39" s="1" t="s">
        <v>103</v>
      </c>
      <c r="F39" s="1" t="n">
        <v>3</v>
      </c>
      <c r="G39" s="1" t="n">
        <v>28</v>
      </c>
      <c r="H39" s="1" t="s">
        <v>104</v>
      </c>
      <c r="I39" s="1" t="n">
        <v>-3</v>
      </c>
      <c r="J39" s="1" t="n">
        <v>45</v>
      </c>
      <c r="K39" s="1" t="s">
        <v>147</v>
      </c>
      <c r="L39" s="1" t="b">
        <f aca="false">FALSE()</f>
        <v>0</v>
      </c>
      <c r="M39" s="1" t="str">
        <f aca="false">VLOOKUP(D39,'Team Reference'!$A:$B,2,FALSE())</f>
        <v>JAX</v>
      </c>
      <c r="N39" s="1" t="str">
        <f aca="false">VLOOKUP(E39,'Team Reference'!$A:$B,2,FALSE())</f>
        <v>PHI</v>
      </c>
      <c r="O39" s="1" t="str">
        <f aca="false">IF(F39&gt;G39,M39,IF(G39&gt;F39,N39,"Tie"))</f>
        <v>PHI</v>
      </c>
      <c r="P39" s="1" t="n">
        <f aca="false">F39-G39</f>
        <v>-25</v>
      </c>
      <c r="Q39" s="1" t="n">
        <f aca="false">F39+G39</f>
        <v>31</v>
      </c>
      <c r="R39" s="1" t="str">
        <f aca="false">IF(H39=M39,"Home",IF(H39=N39,"Away",IF(H39="PICK","Pick","N/A")))</f>
        <v>Away</v>
      </c>
      <c r="S39" s="1" t="n">
        <f aca="false">IF(R39="Home",P39,IF(R39="Away",-P39,""))</f>
        <v>25</v>
      </c>
      <c r="T39" s="1" t="str">
        <f aca="false">IF(R39="Pick","No Line",IF(S39="","N/A",IF(S39+I39&gt;0,"Favorite Covered",IF(S39+I39&lt;0,"Underdog Covered","Push"))))</f>
        <v>Favorite Covered</v>
      </c>
      <c r="U39" s="1" t="str">
        <f aca="false">IF(Q39&gt;J39,"Over",IF(Q39&lt;J39,"Under","Push"))</f>
        <v>Under</v>
      </c>
    </row>
    <row r="40" customFormat="false" ht="15" hidden="false" customHeight="false" outlineLevel="0" collapsed="false">
      <c r="A40" s="1" t="s">
        <v>175</v>
      </c>
      <c r="B40" s="1" t="n">
        <v>2010</v>
      </c>
      <c r="C40" s="1" t="s">
        <v>176</v>
      </c>
      <c r="D40" s="1" t="s">
        <v>83</v>
      </c>
      <c r="E40" s="1" t="s">
        <v>108</v>
      </c>
      <c r="F40" s="1" t="n">
        <v>31</v>
      </c>
      <c r="G40" s="1" t="n">
        <v>10</v>
      </c>
      <c r="H40" s="1" t="s">
        <v>109</v>
      </c>
      <c r="I40" s="1" t="n">
        <v>-3</v>
      </c>
      <c r="J40" s="1" t="n">
        <v>38</v>
      </c>
      <c r="K40" s="1" t="s">
        <v>158</v>
      </c>
      <c r="L40" s="1" t="b">
        <f aca="false">FALSE()</f>
        <v>0</v>
      </c>
      <c r="M40" s="1" t="str">
        <f aca="false">VLOOKUP(D40,'Team Reference'!$A:$B,2,FALSE())</f>
        <v>KC</v>
      </c>
      <c r="N40" s="1" t="str">
        <f aca="false">VLOOKUP(E40,'Team Reference'!$A:$B,2,FALSE())</f>
        <v>SF</v>
      </c>
      <c r="O40" s="1" t="str">
        <f aca="false">IF(F40&gt;G40,M40,IF(G40&gt;F40,N40,"Tie"))</f>
        <v>KC</v>
      </c>
      <c r="P40" s="1" t="n">
        <f aca="false">F40-G40</f>
        <v>21</v>
      </c>
      <c r="Q40" s="1" t="n">
        <f aca="false">F40+G40</f>
        <v>41</v>
      </c>
      <c r="R40" s="1" t="str">
        <f aca="false">IF(H40=M40,"Home",IF(H40=N40,"Away",IF(H40="PICK","Pick","N/A")))</f>
        <v>Away</v>
      </c>
      <c r="S40" s="1" t="n">
        <f aca="false">IF(R40="Home",P40,IF(R40="Away",-P40,""))</f>
        <v>-21</v>
      </c>
      <c r="T40" s="1" t="str">
        <f aca="false">IF(R40="Pick","No Line",IF(S40="","N/A",IF(S40+I40&gt;0,"Favorite Covered",IF(S40+I40&lt;0,"Underdog Covered","Push"))))</f>
        <v>Underdog Covered</v>
      </c>
      <c r="U40" s="1" t="str">
        <f aca="false">IF(Q40&gt;J40,"Over",IF(Q40&lt;J40,"Under","Push"))</f>
        <v>Over</v>
      </c>
    </row>
    <row r="41" customFormat="false" ht="15" hidden="false" customHeight="false" outlineLevel="0" collapsed="false">
      <c r="A41" s="1" t="s">
        <v>175</v>
      </c>
      <c r="B41" s="1" t="n">
        <v>2010</v>
      </c>
      <c r="C41" s="1" t="s">
        <v>176</v>
      </c>
      <c r="D41" s="1" t="s">
        <v>89</v>
      </c>
      <c r="E41" s="1" t="s">
        <v>99</v>
      </c>
      <c r="F41" s="1" t="n">
        <v>23</v>
      </c>
      <c r="G41" s="1" t="n">
        <v>31</v>
      </c>
      <c r="H41" s="1" t="s">
        <v>90</v>
      </c>
      <c r="I41" s="1" t="n">
        <v>-2.5</v>
      </c>
      <c r="J41" s="1" t="n">
        <v>36</v>
      </c>
      <c r="K41" s="1" t="s">
        <v>179</v>
      </c>
      <c r="L41" s="1" t="b">
        <f aca="false">FALSE()</f>
        <v>0</v>
      </c>
      <c r="M41" s="1" t="str">
        <f aca="false">VLOOKUP(D41,'Team Reference'!$A:$B,2,FALSE())</f>
        <v>MIA</v>
      </c>
      <c r="N41" s="1" t="str">
        <f aca="false">VLOOKUP(E41,'Team Reference'!$A:$B,2,FALSE())</f>
        <v>NYJ</v>
      </c>
      <c r="O41" s="1" t="str">
        <f aca="false">IF(F41&gt;G41,M41,IF(G41&gt;F41,N41,"Tie"))</f>
        <v>NYJ</v>
      </c>
      <c r="P41" s="1" t="n">
        <f aca="false">F41-G41</f>
        <v>-8</v>
      </c>
      <c r="Q41" s="1" t="n">
        <f aca="false">F41+G41</f>
        <v>54</v>
      </c>
      <c r="R41" s="1" t="str">
        <f aca="false">IF(H41=M41,"Home",IF(H41=N41,"Away",IF(H41="PICK","Pick","N/A")))</f>
        <v>Home</v>
      </c>
      <c r="S41" s="1" t="n">
        <f aca="false">IF(R41="Home",P41,IF(R41="Away",-P41,""))</f>
        <v>-8</v>
      </c>
      <c r="T41" s="1" t="str">
        <f aca="false">IF(R41="Pick","No Line",IF(S41="","N/A",IF(S41+I41&gt;0,"Favorite Covered",IF(S41+I41&lt;0,"Underdog Covered","Push"))))</f>
        <v>Underdog Covered</v>
      </c>
      <c r="U41" s="1" t="str">
        <f aca="false">IF(Q41&gt;J41,"Over",IF(Q41&lt;J41,"Under","Push"))</f>
        <v>Over</v>
      </c>
    </row>
    <row r="42" customFormat="false" ht="15" hidden="false" customHeight="false" outlineLevel="0" collapsed="false">
      <c r="A42" s="1" t="s">
        <v>175</v>
      </c>
      <c r="B42" s="1" t="n">
        <v>2010</v>
      </c>
      <c r="C42" s="1" t="s">
        <v>176</v>
      </c>
      <c r="D42" s="1" t="s">
        <v>91</v>
      </c>
      <c r="E42" s="1" t="s">
        <v>73</v>
      </c>
      <c r="F42" s="1" t="n">
        <v>24</v>
      </c>
      <c r="G42" s="1" t="n">
        <v>10</v>
      </c>
      <c r="H42" s="1" t="s">
        <v>92</v>
      </c>
      <c r="I42" s="1" t="n">
        <v>-13</v>
      </c>
      <c r="J42" s="1" t="n">
        <v>43</v>
      </c>
      <c r="K42" s="1" t="s">
        <v>170</v>
      </c>
      <c r="L42" s="1" t="b">
        <f aca="false">FALSE()</f>
        <v>0</v>
      </c>
      <c r="M42" s="1" t="str">
        <f aca="false">VLOOKUP(D42,'Team Reference'!$A:$B,2,FALSE())</f>
        <v>MIN</v>
      </c>
      <c r="N42" s="1" t="str">
        <f aca="false">VLOOKUP(E42,'Team Reference'!$A:$B,2,FALSE())</f>
        <v>DET</v>
      </c>
      <c r="O42" s="1" t="str">
        <f aca="false">IF(F42&gt;G42,M42,IF(G42&gt;F42,N42,"Tie"))</f>
        <v>MIN</v>
      </c>
      <c r="P42" s="1" t="n">
        <f aca="false">F42-G42</f>
        <v>14</v>
      </c>
      <c r="Q42" s="1" t="n">
        <f aca="false">F42+G42</f>
        <v>34</v>
      </c>
      <c r="R42" s="1" t="str">
        <f aca="false">IF(H42=M42,"Home",IF(H42=N42,"Away",IF(H42="PICK","Pick","N/A")))</f>
        <v>Home</v>
      </c>
      <c r="S42" s="1" t="n">
        <f aca="false">IF(R42="Home",P42,IF(R42="Away",-P42,""))</f>
        <v>14</v>
      </c>
      <c r="T42" s="1" t="str">
        <f aca="false">IF(R42="Pick","No Line",IF(S42="","N/A",IF(S42+I42&gt;0,"Favorite Covered",IF(S42+I42&lt;0,"Underdog Covered","Push"))))</f>
        <v>Favorite Covered</v>
      </c>
      <c r="U42" s="1" t="str">
        <f aca="false">IF(Q42&gt;J42,"Over",IF(Q42&lt;J42,"Under","Push"))</f>
        <v>Under</v>
      </c>
    </row>
    <row r="43" customFormat="false" ht="15" hidden="false" customHeight="false" outlineLevel="0" collapsed="false">
      <c r="A43" s="1" t="s">
        <v>175</v>
      </c>
      <c r="B43" s="1" t="n">
        <v>2010</v>
      </c>
      <c r="C43" s="1" t="s">
        <v>176</v>
      </c>
      <c r="D43" s="1" t="s">
        <v>93</v>
      </c>
      <c r="E43" s="1" t="s">
        <v>59</v>
      </c>
      <c r="F43" s="1" t="n">
        <v>38</v>
      </c>
      <c r="G43" s="1" t="n">
        <v>30</v>
      </c>
      <c r="H43" s="1" t="s">
        <v>94</v>
      </c>
      <c r="I43" s="1" t="n">
        <v>-14.5</v>
      </c>
      <c r="J43" s="1" t="n">
        <v>43</v>
      </c>
      <c r="K43" s="1" t="s">
        <v>148</v>
      </c>
      <c r="L43" s="1" t="b">
        <f aca="false">FALSE()</f>
        <v>0</v>
      </c>
      <c r="M43" s="1" t="str">
        <f aca="false">VLOOKUP(D43,'Team Reference'!$A:$B,2,FALSE())</f>
        <v>NE</v>
      </c>
      <c r="N43" s="1" t="str">
        <f aca="false">VLOOKUP(E43,'Team Reference'!$A:$B,2,FALSE())</f>
        <v>BUF</v>
      </c>
      <c r="O43" s="1" t="str">
        <f aca="false">IF(F43&gt;G43,M43,IF(G43&gt;F43,N43,"Tie"))</f>
        <v>NE</v>
      </c>
      <c r="P43" s="1" t="n">
        <f aca="false">F43-G43</f>
        <v>8</v>
      </c>
      <c r="Q43" s="1" t="n">
        <f aca="false">F43+G43</f>
        <v>68</v>
      </c>
      <c r="R43" s="1" t="str">
        <f aca="false">IF(H43=M43,"Home",IF(H43=N43,"Away",IF(H43="PICK","Pick","N/A")))</f>
        <v>Home</v>
      </c>
      <c r="S43" s="1" t="n">
        <f aca="false">IF(R43="Home",P43,IF(R43="Away",-P43,""))</f>
        <v>8</v>
      </c>
      <c r="T43" s="1" t="str">
        <f aca="false">IF(R43="Pick","No Line",IF(S43="","N/A",IF(S43+I43&gt;0,"Favorite Covered",IF(S43+I43&lt;0,"Underdog Covered","Push"))))</f>
        <v>Underdog Covered</v>
      </c>
      <c r="U43" s="1" t="str">
        <f aca="false">IF(Q43&gt;J43,"Over",IF(Q43&lt;J43,"Under","Push"))</f>
        <v>Over</v>
      </c>
    </row>
    <row r="44" customFormat="false" ht="15" hidden="false" customHeight="false" outlineLevel="0" collapsed="false">
      <c r="A44" s="1" t="s">
        <v>175</v>
      </c>
      <c r="B44" s="1" t="n">
        <v>2010</v>
      </c>
      <c r="C44" s="1" t="s">
        <v>176</v>
      </c>
      <c r="D44" s="1" t="s">
        <v>95</v>
      </c>
      <c r="E44" s="1" t="s">
        <v>55</v>
      </c>
      <c r="F44" s="1" t="n">
        <v>24</v>
      </c>
      <c r="G44" s="1" t="n">
        <v>27</v>
      </c>
      <c r="H44" s="1" t="s">
        <v>96</v>
      </c>
      <c r="I44" s="1" t="n">
        <v>-3</v>
      </c>
      <c r="J44" s="1" t="n">
        <v>49.5</v>
      </c>
      <c r="K44" s="1" t="s">
        <v>142</v>
      </c>
      <c r="L44" s="1" t="b">
        <f aca="false">FALSE()</f>
        <v>0</v>
      </c>
      <c r="M44" s="1" t="str">
        <f aca="false">VLOOKUP(D44,'Team Reference'!$A:$B,2,FALSE())</f>
        <v>NO</v>
      </c>
      <c r="N44" s="1" t="str">
        <f aca="false">VLOOKUP(E44,'Team Reference'!$A:$B,2,FALSE())</f>
        <v>ATL</v>
      </c>
      <c r="O44" s="1" t="str">
        <f aca="false">IF(F44&gt;G44,M44,IF(G44&gt;F44,N44,"Tie"))</f>
        <v>ATL</v>
      </c>
      <c r="P44" s="1" t="n">
        <f aca="false">F44-G44</f>
        <v>-3</v>
      </c>
      <c r="Q44" s="1" t="n">
        <f aca="false">F44+G44</f>
        <v>51</v>
      </c>
      <c r="R44" s="1" t="str">
        <f aca="false">IF(H44=M44,"Home",IF(H44=N44,"Away",IF(H44="PICK","Pick","N/A")))</f>
        <v>Home</v>
      </c>
      <c r="S44" s="1" t="n">
        <f aca="false">IF(R44="Home",P44,IF(R44="Away",-P44,""))</f>
        <v>-3</v>
      </c>
      <c r="T44" s="1" t="str">
        <f aca="false">IF(R44="Pick","No Line",IF(S44="","N/A",IF(S44+I44&gt;0,"Favorite Covered",IF(S44+I44&lt;0,"Underdog Covered","Push"))))</f>
        <v>Underdog Covered</v>
      </c>
      <c r="U44" s="1" t="str">
        <f aca="false">IF(Q44&gt;J44,"Over",IF(Q44&lt;J44,"Under","Push"))</f>
        <v>Over</v>
      </c>
    </row>
    <row r="45" customFormat="false" ht="15" hidden="false" customHeight="false" outlineLevel="0" collapsed="false">
      <c r="A45" s="1" t="s">
        <v>175</v>
      </c>
      <c r="B45" s="1" t="n">
        <v>2010</v>
      </c>
      <c r="C45" s="1" t="s">
        <v>176</v>
      </c>
      <c r="D45" s="1" t="s">
        <v>97</v>
      </c>
      <c r="E45" s="1" t="s">
        <v>115</v>
      </c>
      <c r="F45" s="1" t="n">
        <v>10</v>
      </c>
      <c r="G45" s="1" t="n">
        <v>29</v>
      </c>
      <c r="H45" s="1" t="s">
        <v>98</v>
      </c>
      <c r="I45" s="1" t="n">
        <v>-3</v>
      </c>
      <c r="J45" s="1" t="n">
        <v>43.5</v>
      </c>
      <c r="K45" s="1" t="s">
        <v>149</v>
      </c>
      <c r="L45" s="1" t="b">
        <f aca="false">FALSE()</f>
        <v>0</v>
      </c>
      <c r="M45" s="1" t="str">
        <f aca="false">VLOOKUP(D45,'Team Reference'!$A:$B,2,FALSE())</f>
        <v>NYG</v>
      </c>
      <c r="N45" s="1" t="str">
        <f aca="false">VLOOKUP(E45,'Team Reference'!$A:$B,2,FALSE())</f>
        <v>TEN</v>
      </c>
      <c r="O45" s="1" t="str">
        <f aca="false">IF(F45&gt;G45,M45,IF(G45&gt;F45,N45,"Tie"))</f>
        <v>TEN</v>
      </c>
      <c r="P45" s="1" t="n">
        <f aca="false">F45-G45</f>
        <v>-19</v>
      </c>
      <c r="Q45" s="1" t="n">
        <f aca="false">F45+G45</f>
        <v>39</v>
      </c>
      <c r="R45" s="1" t="str">
        <f aca="false">IF(H45=M45,"Home",IF(H45=N45,"Away",IF(H45="PICK","Pick","N/A")))</f>
        <v>Home</v>
      </c>
      <c r="S45" s="1" t="n">
        <f aca="false">IF(R45="Home",P45,IF(R45="Away",-P45,""))</f>
        <v>-19</v>
      </c>
      <c r="T45" s="1" t="str">
        <f aca="false">IF(R45="Pick","No Line",IF(S45="","N/A",IF(S45+I45&gt;0,"Favorite Covered",IF(S45+I45&lt;0,"Underdog Covered","Push"))))</f>
        <v>Underdog Covered</v>
      </c>
      <c r="U45" s="1" t="str">
        <f aca="false">IF(Q45&gt;J45,"Over",IF(Q45&lt;J45,"Under","Push"))</f>
        <v>Under</v>
      </c>
    </row>
    <row r="46" customFormat="false" ht="15" hidden="false" customHeight="false" outlineLevel="0" collapsed="false">
      <c r="A46" s="1" t="s">
        <v>175</v>
      </c>
      <c r="B46" s="1" t="n">
        <v>2010</v>
      </c>
      <c r="C46" s="1" t="s">
        <v>176</v>
      </c>
      <c r="D46" s="1" t="s">
        <v>110</v>
      </c>
      <c r="E46" s="1" t="s">
        <v>107</v>
      </c>
      <c r="F46" s="1" t="n">
        <v>27</v>
      </c>
      <c r="G46" s="1" t="n">
        <v>20</v>
      </c>
      <c r="H46" s="1" t="s">
        <v>86</v>
      </c>
      <c r="I46" s="1" t="n">
        <v>-4</v>
      </c>
      <c r="J46" s="1" t="n">
        <v>44</v>
      </c>
      <c r="K46" s="1" t="s">
        <v>152</v>
      </c>
      <c r="L46" s="1" t="b">
        <f aca="false">FALSE()</f>
        <v>0</v>
      </c>
      <c r="M46" s="1" t="str">
        <f aca="false">VLOOKUP(D46,'Team Reference'!$A:$B,2,FALSE())</f>
        <v>SEA</v>
      </c>
      <c r="N46" s="1" t="str">
        <f aca="false">VLOOKUP(E46,'Team Reference'!$A:$B,2,FALSE())</f>
        <v>LAC</v>
      </c>
      <c r="O46" s="1" t="str">
        <f aca="false">IF(F46&gt;G46,M46,IF(G46&gt;F46,N46,"Tie"))</f>
        <v>SEA</v>
      </c>
      <c r="P46" s="1" t="n">
        <f aca="false">F46-G46</f>
        <v>7</v>
      </c>
      <c r="Q46" s="1" t="n">
        <f aca="false">F46+G46</f>
        <v>47</v>
      </c>
      <c r="R46" s="1" t="str">
        <f aca="false">IF(H46=M46,"Home",IF(H46=N46,"Away",IF(H46="PICK","Pick","N/A")))</f>
        <v>Away</v>
      </c>
      <c r="S46" s="1" t="n">
        <f aca="false">IF(R46="Home",P46,IF(R46="Away",-P46,""))</f>
        <v>-7</v>
      </c>
      <c r="T46" s="1" t="str">
        <f aca="false">IF(R46="Pick","No Line",IF(S46="","N/A",IF(S46+I46&gt;0,"Favorite Covered",IF(S46+I46&lt;0,"Underdog Covered","Push"))))</f>
        <v>Underdog Covered</v>
      </c>
      <c r="U46" s="1" t="str">
        <f aca="false">IF(Q46&gt;J46,"Over",IF(Q46&lt;J46,"Under","Push"))</f>
        <v>Over</v>
      </c>
    </row>
    <row r="47" customFormat="false" ht="15" hidden="false" customHeight="false" outlineLevel="0" collapsed="false">
      <c r="A47" s="1" t="s">
        <v>175</v>
      </c>
      <c r="B47" s="1" t="n">
        <v>2010</v>
      </c>
      <c r="C47" s="1" t="s">
        <v>176</v>
      </c>
      <c r="D47" s="1" t="s">
        <v>112</v>
      </c>
      <c r="E47" s="1" t="s">
        <v>117</v>
      </c>
      <c r="F47" s="1" t="n">
        <v>30</v>
      </c>
      <c r="G47" s="1" t="n">
        <v>16</v>
      </c>
      <c r="H47" s="1" t="s">
        <v>118</v>
      </c>
      <c r="I47" s="1" t="n">
        <v>-5</v>
      </c>
      <c r="J47" s="1" t="n">
        <v>39</v>
      </c>
      <c r="K47" s="1" t="s">
        <v>153</v>
      </c>
      <c r="L47" s="1" t="b">
        <f aca="false">FALSE()</f>
        <v>0</v>
      </c>
      <c r="M47" s="1" t="str">
        <f aca="false">VLOOKUP(D47,'Team Reference'!$A:$B,2,FALSE())</f>
        <v>LAR</v>
      </c>
      <c r="N47" s="1" t="str">
        <f aca="false">VLOOKUP(E47,'Team Reference'!$A:$B,2,FALSE())</f>
        <v>WAS</v>
      </c>
      <c r="O47" s="1" t="str">
        <f aca="false">IF(F47&gt;G47,M47,IF(G47&gt;F47,N47,"Tie"))</f>
        <v>LAR</v>
      </c>
      <c r="P47" s="1" t="n">
        <f aca="false">F47-G47</f>
        <v>14</v>
      </c>
      <c r="Q47" s="1" t="n">
        <f aca="false">F47+G47</f>
        <v>46</v>
      </c>
      <c r="R47" s="1" t="str">
        <f aca="false">IF(H47=M47,"Home",IF(H47=N47,"Away",IF(H47="PICK","Pick","N/A")))</f>
        <v>Away</v>
      </c>
      <c r="S47" s="1" t="n">
        <f aca="false">IF(R47="Home",P47,IF(R47="Away",-P47,""))</f>
        <v>-14</v>
      </c>
      <c r="T47" s="1" t="str">
        <f aca="false">IF(R47="Pick","No Line",IF(S47="","N/A",IF(S47+I47&gt;0,"Favorite Covered",IF(S47+I47&lt;0,"Underdog Covered","Push"))))</f>
        <v>Underdog Covered</v>
      </c>
      <c r="U47" s="1" t="str">
        <f aca="false">IF(Q47&gt;J47,"Over",IF(Q47&lt;J47,"Under","Push"))</f>
        <v>Over</v>
      </c>
    </row>
    <row r="48" customFormat="false" ht="15" hidden="false" customHeight="false" outlineLevel="0" collapsed="false">
      <c r="A48" s="1" t="s">
        <v>175</v>
      </c>
      <c r="B48" s="1" t="n">
        <v>2010</v>
      </c>
      <c r="C48" s="1" t="s">
        <v>176</v>
      </c>
      <c r="D48" s="1" t="s">
        <v>113</v>
      </c>
      <c r="E48" s="1" t="s">
        <v>105</v>
      </c>
      <c r="F48" s="1" t="n">
        <v>13</v>
      </c>
      <c r="G48" s="1" t="n">
        <v>38</v>
      </c>
      <c r="H48" s="1" t="s">
        <v>106</v>
      </c>
      <c r="I48" s="1" t="n">
        <v>-3</v>
      </c>
      <c r="J48" s="1" t="n">
        <v>33</v>
      </c>
      <c r="K48" s="1" t="s">
        <v>154</v>
      </c>
      <c r="L48" s="1" t="b">
        <f aca="false">FALSE()</f>
        <v>0</v>
      </c>
      <c r="M48" s="1" t="str">
        <f aca="false">VLOOKUP(D48,'Team Reference'!$A:$B,2,FALSE())</f>
        <v>TB</v>
      </c>
      <c r="N48" s="1" t="str">
        <f aca="false">VLOOKUP(E48,'Team Reference'!$A:$B,2,FALSE())</f>
        <v>PIT</v>
      </c>
      <c r="O48" s="1" t="str">
        <f aca="false">IF(F48&gt;G48,M48,IF(G48&gt;F48,N48,"Tie"))</f>
        <v>PIT</v>
      </c>
      <c r="P48" s="1" t="n">
        <f aca="false">F48-G48</f>
        <v>-25</v>
      </c>
      <c r="Q48" s="1" t="n">
        <f aca="false">F48+G48</f>
        <v>51</v>
      </c>
      <c r="R48" s="1" t="str">
        <f aca="false">IF(H48=M48,"Home",IF(H48=N48,"Away",IF(H48="PICK","Pick","N/A")))</f>
        <v>Away</v>
      </c>
      <c r="S48" s="1" t="n">
        <f aca="false">IF(R48="Home",P48,IF(R48="Away",-P48,""))</f>
        <v>25</v>
      </c>
      <c r="T48" s="1" t="str">
        <f aca="false">IF(R48="Pick","No Line",IF(S48="","N/A",IF(S48+I48&gt;0,"Favorite Covered",IF(S48+I48&lt;0,"Underdog Covered","Push"))))</f>
        <v>Favorite Covered</v>
      </c>
      <c r="U48" s="1" t="str">
        <f aca="false">IF(Q48&gt;J48,"Over",IF(Q48&lt;J48,"Under","Push"))</f>
        <v>Over</v>
      </c>
    </row>
    <row r="49" customFormat="false" ht="15" hidden="false" customHeight="false" outlineLevel="0" collapsed="false">
      <c r="A49" s="1" t="s">
        <v>180</v>
      </c>
      <c r="B49" s="1" t="n">
        <v>2010</v>
      </c>
      <c r="C49" s="1" t="s">
        <v>176</v>
      </c>
      <c r="D49" s="1" t="s">
        <v>63</v>
      </c>
      <c r="E49" s="1" t="s">
        <v>75</v>
      </c>
      <c r="F49" s="1" t="n">
        <v>20</v>
      </c>
      <c r="G49" s="1" t="n">
        <v>17</v>
      </c>
      <c r="H49" s="1" t="s">
        <v>76</v>
      </c>
      <c r="I49" s="1" t="n">
        <v>-3</v>
      </c>
      <c r="J49" s="1" t="n">
        <v>46.5</v>
      </c>
      <c r="K49" s="1" t="s">
        <v>145</v>
      </c>
      <c r="L49" s="1" t="b">
        <f aca="false">FALSE()</f>
        <v>0</v>
      </c>
      <c r="M49" s="1" t="str">
        <f aca="false">VLOOKUP(D49,'Team Reference'!$A:$B,2,FALSE())</f>
        <v>CHI</v>
      </c>
      <c r="N49" s="1" t="str">
        <f aca="false">VLOOKUP(E49,'Team Reference'!$A:$B,2,FALSE())</f>
        <v>GB</v>
      </c>
      <c r="O49" s="1" t="str">
        <f aca="false">IF(F49&gt;G49,M49,IF(G49&gt;F49,N49,"Tie"))</f>
        <v>CHI</v>
      </c>
      <c r="P49" s="1" t="n">
        <f aca="false">F49-G49</f>
        <v>3</v>
      </c>
      <c r="Q49" s="1" t="n">
        <f aca="false">F49+G49</f>
        <v>37</v>
      </c>
      <c r="R49" s="1" t="str">
        <f aca="false">IF(H49=M49,"Home",IF(H49=N49,"Away",IF(H49="PICK","Pick","N/A")))</f>
        <v>Away</v>
      </c>
      <c r="S49" s="1" t="n">
        <f aca="false">IF(R49="Home",P49,IF(R49="Away",-P49,""))</f>
        <v>-3</v>
      </c>
      <c r="T49" s="1" t="str">
        <f aca="false">IF(R49="Pick","No Line",IF(S49="","N/A",IF(S49+I49&gt;0,"Favorite Covered",IF(S49+I49&lt;0,"Underdog Covered","Push"))))</f>
        <v>Underdog Covered</v>
      </c>
      <c r="U49" s="1" t="str">
        <f aca="false">IF(Q49&gt;J49,"Over",IF(Q49&lt;J49,"Under","Push"))</f>
        <v>Under</v>
      </c>
    </row>
    <row r="50" customFormat="false" ht="15" hidden="false" customHeight="false" outlineLevel="0" collapsed="false">
      <c r="A50" s="1" t="s">
        <v>181</v>
      </c>
      <c r="B50" s="1" t="n">
        <v>2010</v>
      </c>
      <c r="C50" s="1" t="s">
        <v>182</v>
      </c>
      <c r="D50" s="1" t="s">
        <v>55</v>
      </c>
      <c r="E50" s="1" t="s">
        <v>108</v>
      </c>
      <c r="F50" s="1" t="n">
        <v>16</v>
      </c>
      <c r="G50" s="1" t="n">
        <v>14</v>
      </c>
      <c r="H50" s="1" t="s">
        <v>56</v>
      </c>
      <c r="I50" s="1" t="n">
        <v>-7</v>
      </c>
      <c r="J50" s="1" t="n">
        <v>42.5</v>
      </c>
      <c r="K50" s="1" t="s">
        <v>161</v>
      </c>
      <c r="L50" s="1" t="b">
        <f aca="false">FALSE()</f>
        <v>0</v>
      </c>
      <c r="M50" s="1" t="str">
        <f aca="false">VLOOKUP(D50,'Team Reference'!$A:$B,2,FALSE())</f>
        <v>ATL</v>
      </c>
      <c r="N50" s="1" t="str">
        <f aca="false">VLOOKUP(E50,'Team Reference'!$A:$B,2,FALSE())</f>
        <v>SF</v>
      </c>
      <c r="O50" s="1" t="str">
        <f aca="false">IF(F50&gt;G50,M50,IF(G50&gt;F50,N50,"Tie"))</f>
        <v>ATL</v>
      </c>
      <c r="P50" s="1" t="n">
        <f aca="false">F50-G50</f>
        <v>2</v>
      </c>
      <c r="Q50" s="1" t="n">
        <f aca="false">F50+G50</f>
        <v>30</v>
      </c>
      <c r="R50" s="1" t="str">
        <f aca="false">IF(H50=M50,"Home",IF(H50=N50,"Away",IF(H50="PICK","Pick","N/A")))</f>
        <v>Home</v>
      </c>
      <c r="S50" s="1" t="n">
        <f aca="false">IF(R50="Home",P50,IF(R50="Away",-P50,""))</f>
        <v>2</v>
      </c>
      <c r="T50" s="1" t="str">
        <f aca="false">IF(R50="Pick","No Line",IF(S50="","N/A",IF(S50+I50&gt;0,"Favorite Covered",IF(S50+I50&lt;0,"Underdog Covered","Push"))))</f>
        <v>Underdog Covered</v>
      </c>
      <c r="U50" s="1" t="str">
        <f aca="false">IF(Q50&gt;J50,"Over",IF(Q50&lt;J50,"Under","Push"))</f>
        <v>Under</v>
      </c>
    </row>
    <row r="51" customFormat="false" ht="15" hidden="false" customHeight="false" outlineLevel="0" collapsed="false">
      <c r="A51" s="1" t="s">
        <v>181</v>
      </c>
      <c r="B51" s="1" t="n">
        <v>2010</v>
      </c>
      <c r="C51" s="1" t="s">
        <v>182</v>
      </c>
      <c r="D51" s="1" t="s">
        <v>59</v>
      </c>
      <c r="E51" s="1" t="s">
        <v>99</v>
      </c>
      <c r="F51" s="1" t="n">
        <v>14</v>
      </c>
      <c r="G51" s="1" t="n">
        <v>38</v>
      </c>
      <c r="H51" s="1" t="s">
        <v>100</v>
      </c>
      <c r="I51" s="1" t="n">
        <v>-6</v>
      </c>
      <c r="J51" s="1" t="n">
        <v>37</v>
      </c>
      <c r="K51" s="1" t="s">
        <v>144</v>
      </c>
      <c r="L51" s="1" t="b">
        <f aca="false">FALSE()</f>
        <v>0</v>
      </c>
      <c r="M51" s="1" t="str">
        <f aca="false">VLOOKUP(D51,'Team Reference'!$A:$B,2,FALSE())</f>
        <v>BUF</v>
      </c>
      <c r="N51" s="1" t="str">
        <f aca="false">VLOOKUP(E51,'Team Reference'!$A:$B,2,FALSE())</f>
        <v>NYJ</v>
      </c>
      <c r="O51" s="1" t="str">
        <f aca="false">IF(F51&gt;G51,M51,IF(G51&gt;F51,N51,"Tie"))</f>
        <v>NYJ</v>
      </c>
      <c r="P51" s="1" t="n">
        <f aca="false">F51-G51</f>
        <v>-24</v>
      </c>
      <c r="Q51" s="1" t="n">
        <f aca="false">F51+G51</f>
        <v>52</v>
      </c>
      <c r="R51" s="1" t="str">
        <f aca="false">IF(H51=M51,"Home",IF(H51=N51,"Away",IF(H51="PICK","Pick","N/A")))</f>
        <v>Away</v>
      </c>
      <c r="S51" s="1" t="n">
        <f aca="false">IF(R51="Home",P51,IF(R51="Away",-P51,""))</f>
        <v>24</v>
      </c>
      <c r="T51" s="1" t="str">
        <f aca="false">IF(R51="Pick","No Line",IF(S51="","N/A",IF(S51+I51&gt;0,"Favorite Covered",IF(S51+I51&lt;0,"Underdog Covered","Push"))))</f>
        <v>Favorite Covered</v>
      </c>
      <c r="U51" s="1" t="str">
        <f aca="false">IF(Q51&gt;J51,"Over",IF(Q51&lt;J51,"Under","Push"))</f>
        <v>Over</v>
      </c>
    </row>
    <row r="52" customFormat="false" ht="15" hidden="false" customHeight="false" outlineLevel="0" collapsed="false">
      <c r="A52" s="1" t="s">
        <v>181</v>
      </c>
      <c r="B52" s="1" t="n">
        <v>2010</v>
      </c>
      <c r="C52" s="1" t="s">
        <v>182</v>
      </c>
      <c r="D52" s="1" t="s">
        <v>67</v>
      </c>
      <c r="E52" s="1" t="s">
        <v>65</v>
      </c>
      <c r="F52" s="1" t="n">
        <v>23</v>
      </c>
      <c r="G52" s="1" t="n">
        <v>20</v>
      </c>
      <c r="H52" s="1" t="s">
        <v>66</v>
      </c>
      <c r="I52" s="1" t="n">
        <v>-2.5</v>
      </c>
      <c r="J52" s="1" t="n">
        <v>37</v>
      </c>
      <c r="K52" s="1" t="s">
        <v>164</v>
      </c>
      <c r="L52" s="1" t="b">
        <f aca="false">FALSE()</f>
        <v>0</v>
      </c>
      <c r="M52" s="1" t="str">
        <f aca="false">VLOOKUP(D52,'Team Reference'!$A:$B,2,FALSE())</f>
        <v>CLE</v>
      </c>
      <c r="N52" s="1" t="str">
        <f aca="false">VLOOKUP(E52,'Team Reference'!$A:$B,2,FALSE())</f>
        <v>CIN</v>
      </c>
      <c r="O52" s="1" t="str">
        <f aca="false">IF(F52&gt;G52,M52,IF(G52&gt;F52,N52,"Tie"))</f>
        <v>CLE</v>
      </c>
      <c r="P52" s="1" t="n">
        <f aca="false">F52-G52</f>
        <v>3</v>
      </c>
      <c r="Q52" s="1" t="n">
        <f aca="false">F52+G52</f>
        <v>43</v>
      </c>
      <c r="R52" s="1" t="str">
        <f aca="false">IF(H52=M52,"Home",IF(H52=N52,"Away",IF(H52="PICK","Pick","N/A")))</f>
        <v>Away</v>
      </c>
      <c r="S52" s="1" t="n">
        <f aca="false">IF(R52="Home",P52,IF(R52="Away",-P52,""))</f>
        <v>-3</v>
      </c>
      <c r="T52" s="1" t="str">
        <f aca="false">IF(R52="Pick","No Line",IF(S52="","N/A",IF(S52+I52&gt;0,"Favorite Covered",IF(S52+I52&lt;0,"Underdog Covered","Push"))))</f>
        <v>Underdog Covered</v>
      </c>
      <c r="U52" s="1" t="str">
        <f aca="false">IF(Q52&gt;J52,"Over",IF(Q52&lt;J52,"Under","Push"))</f>
        <v>Over</v>
      </c>
    </row>
    <row r="53" customFormat="false" ht="15" hidden="false" customHeight="false" outlineLevel="0" collapsed="false">
      <c r="A53" s="1" t="s">
        <v>181</v>
      </c>
      <c r="B53" s="1" t="n">
        <v>2010</v>
      </c>
      <c r="C53" s="1" t="s">
        <v>182</v>
      </c>
      <c r="D53" s="1" t="s">
        <v>75</v>
      </c>
      <c r="E53" s="1" t="s">
        <v>73</v>
      </c>
      <c r="F53" s="1" t="n">
        <v>28</v>
      </c>
      <c r="G53" s="1" t="n">
        <v>26</v>
      </c>
      <c r="H53" s="1" t="s">
        <v>76</v>
      </c>
      <c r="I53" s="1" t="n">
        <v>-14.5</v>
      </c>
      <c r="J53" s="1" t="n">
        <v>46</v>
      </c>
      <c r="K53" s="1" t="s">
        <v>168</v>
      </c>
      <c r="L53" s="1" t="b">
        <f aca="false">FALSE()</f>
        <v>0</v>
      </c>
      <c r="M53" s="1" t="str">
        <f aca="false">VLOOKUP(D53,'Team Reference'!$A:$B,2,FALSE())</f>
        <v>GB</v>
      </c>
      <c r="N53" s="1" t="str">
        <f aca="false">VLOOKUP(E53,'Team Reference'!$A:$B,2,FALSE())</f>
        <v>DET</v>
      </c>
      <c r="O53" s="1" t="str">
        <f aca="false">IF(F53&gt;G53,M53,IF(G53&gt;F53,N53,"Tie"))</f>
        <v>GB</v>
      </c>
      <c r="P53" s="1" t="n">
        <f aca="false">F53-G53</f>
        <v>2</v>
      </c>
      <c r="Q53" s="1" t="n">
        <f aca="false">F53+G53</f>
        <v>54</v>
      </c>
      <c r="R53" s="1" t="str">
        <f aca="false">IF(H53=M53,"Home",IF(H53=N53,"Away",IF(H53="PICK","Pick","N/A")))</f>
        <v>Home</v>
      </c>
      <c r="S53" s="1" t="n">
        <f aca="false">IF(R53="Home",P53,IF(R53="Away",-P53,""))</f>
        <v>2</v>
      </c>
      <c r="T53" s="1" t="str">
        <f aca="false">IF(R53="Pick","No Line",IF(S53="","N/A",IF(S53+I53&gt;0,"Favorite Covered",IF(S53+I53&lt;0,"Underdog Covered","Push"))))</f>
        <v>Underdog Covered</v>
      </c>
      <c r="U53" s="1" t="str">
        <f aca="false">IF(Q53&gt;J53,"Over",IF(Q53&lt;J53,"Under","Push"))</f>
        <v>Over</v>
      </c>
    </row>
    <row r="54" customFormat="false" ht="15" hidden="false" customHeight="false" outlineLevel="0" collapsed="false">
      <c r="A54" s="1" t="s">
        <v>181</v>
      </c>
      <c r="B54" s="1" t="n">
        <v>2010</v>
      </c>
      <c r="C54" s="1" t="s">
        <v>182</v>
      </c>
      <c r="D54" s="1" t="s">
        <v>81</v>
      </c>
      <c r="E54" s="1" t="s">
        <v>79</v>
      </c>
      <c r="F54" s="1" t="n">
        <v>31</v>
      </c>
      <c r="G54" s="1" t="n">
        <v>28</v>
      </c>
      <c r="H54" s="1" t="s">
        <v>80</v>
      </c>
      <c r="I54" s="1" t="n">
        <v>-7</v>
      </c>
      <c r="J54" s="1" t="n">
        <v>46</v>
      </c>
      <c r="K54" s="1" t="s">
        <v>147</v>
      </c>
      <c r="L54" s="1" t="b">
        <f aca="false">FALSE()</f>
        <v>0</v>
      </c>
      <c r="M54" s="1" t="str">
        <f aca="false">VLOOKUP(D54,'Team Reference'!$A:$B,2,FALSE())</f>
        <v>JAX</v>
      </c>
      <c r="N54" s="1" t="str">
        <f aca="false">VLOOKUP(E54,'Team Reference'!$A:$B,2,FALSE())</f>
        <v>IND</v>
      </c>
      <c r="O54" s="1" t="str">
        <f aca="false">IF(F54&gt;G54,M54,IF(G54&gt;F54,N54,"Tie"))</f>
        <v>JAX</v>
      </c>
      <c r="P54" s="1" t="n">
        <f aca="false">F54-G54</f>
        <v>3</v>
      </c>
      <c r="Q54" s="1" t="n">
        <f aca="false">F54+G54</f>
        <v>59</v>
      </c>
      <c r="R54" s="1" t="str">
        <f aca="false">IF(H54=M54,"Home",IF(H54=N54,"Away",IF(H54="PICK","Pick","N/A")))</f>
        <v>Away</v>
      </c>
      <c r="S54" s="1" t="n">
        <f aca="false">IF(R54="Home",P54,IF(R54="Away",-P54,""))</f>
        <v>-3</v>
      </c>
      <c r="T54" s="1" t="str">
        <f aca="false">IF(R54="Pick","No Line",IF(S54="","N/A",IF(S54+I54&gt;0,"Favorite Covered",IF(S54+I54&lt;0,"Underdog Covered","Push"))))</f>
        <v>Underdog Covered</v>
      </c>
      <c r="U54" s="1" t="str">
        <f aca="false">IF(Q54&gt;J54,"Over",IF(Q54&lt;J54,"Under","Push"))</f>
        <v>Over</v>
      </c>
    </row>
    <row r="55" customFormat="false" ht="15" hidden="false" customHeight="false" outlineLevel="0" collapsed="false">
      <c r="A55" s="1" t="s">
        <v>181</v>
      </c>
      <c r="B55" s="1" t="n">
        <v>2010</v>
      </c>
      <c r="C55" s="1" t="s">
        <v>182</v>
      </c>
      <c r="D55" s="1" t="s">
        <v>95</v>
      </c>
      <c r="E55" s="1" t="s">
        <v>61</v>
      </c>
      <c r="F55" s="1" t="n">
        <v>16</v>
      </c>
      <c r="G55" s="1" t="n">
        <v>14</v>
      </c>
      <c r="H55" s="1" t="s">
        <v>96</v>
      </c>
      <c r="I55" s="1" t="n">
        <v>-12.5</v>
      </c>
      <c r="J55" s="1" t="n">
        <v>44</v>
      </c>
      <c r="K55" s="1" t="s">
        <v>142</v>
      </c>
      <c r="L55" s="1" t="b">
        <f aca="false">FALSE()</f>
        <v>0</v>
      </c>
      <c r="M55" s="1" t="str">
        <f aca="false">VLOOKUP(D55,'Team Reference'!$A:$B,2,FALSE())</f>
        <v>NO</v>
      </c>
      <c r="N55" s="1" t="str">
        <f aca="false">VLOOKUP(E55,'Team Reference'!$A:$B,2,FALSE())</f>
        <v>CAR</v>
      </c>
      <c r="O55" s="1" t="str">
        <f aca="false">IF(F55&gt;G55,M55,IF(G55&gt;F55,N55,"Tie"))</f>
        <v>NO</v>
      </c>
      <c r="P55" s="1" t="n">
        <f aca="false">F55-G55</f>
        <v>2</v>
      </c>
      <c r="Q55" s="1" t="n">
        <f aca="false">F55+G55</f>
        <v>30</v>
      </c>
      <c r="R55" s="1" t="str">
        <f aca="false">IF(H55=M55,"Home",IF(H55=N55,"Away",IF(H55="PICK","Pick","N/A")))</f>
        <v>Home</v>
      </c>
      <c r="S55" s="1" t="n">
        <f aca="false">IF(R55="Home",P55,IF(R55="Away",-P55,""))</f>
        <v>2</v>
      </c>
      <c r="T55" s="1" t="str">
        <f aca="false">IF(R55="Pick","No Line",IF(S55="","N/A",IF(S55+I55&gt;0,"Favorite Covered",IF(S55+I55&lt;0,"Underdog Covered","Push"))))</f>
        <v>Underdog Covered</v>
      </c>
      <c r="U55" s="1" t="str">
        <f aca="false">IF(Q55&gt;J55,"Over",IF(Q55&lt;J55,"Under","Push"))</f>
        <v>Under</v>
      </c>
    </row>
    <row r="56" customFormat="false" ht="15" hidden="false" customHeight="false" outlineLevel="0" collapsed="false">
      <c r="A56" s="1" t="s">
        <v>181</v>
      </c>
      <c r="B56" s="1" t="n">
        <v>2010</v>
      </c>
      <c r="C56" s="1" t="s">
        <v>182</v>
      </c>
      <c r="D56" s="1" t="s">
        <v>97</v>
      </c>
      <c r="E56" s="1" t="s">
        <v>63</v>
      </c>
      <c r="F56" s="1" t="n">
        <v>17</v>
      </c>
      <c r="G56" s="1" t="n">
        <v>3</v>
      </c>
      <c r="H56" s="1" t="s">
        <v>98</v>
      </c>
      <c r="I56" s="1" t="n">
        <v>-3.5</v>
      </c>
      <c r="J56" s="1" t="n">
        <v>44</v>
      </c>
      <c r="K56" s="1" t="s">
        <v>149</v>
      </c>
      <c r="L56" s="1" t="b">
        <f aca="false">FALSE()</f>
        <v>0</v>
      </c>
      <c r="M56" s="1" t="str">
        <f aca="false">VLOOKUP(D56,'Team Reference'!$A:$B,2,FALSE())</f>
        <v>NYG</v>
      </c>
      <c r="N56" s="1" t="str">
        <f aca="false">VLOOKUP(E56,'Team Reference'!$A:$B,2,FALSE())</f>
        <v>CHI</v>
      </c>
      <c r="O56" s="1" t="str">
        <f aca="false">IF(F56&gt;G56,M56,IF(G56&gt;F56,N56,"Tie"))</f>
        <v>NYG</v>
      </c>
      <c r="P56" s="1" t="n">
        <f aca="false">F56-G56</f>
        <v>14</v>
      </c>
      <c r="Q56" s="1" t="n">
        <f aca="false">F56+G56</f>
        <v>20</v>
      </c>
      <c r="R56" s="1" t="str">
        <f aca="false">IF(H56=M56,"Home",IF(H56=N56,"Away",IF(H56="PICK","Pick","N/A")))</f>
        <v>Home</v>
      </c>
      <c r="S56" s="1" t="n">
        <f aca="false">IF(R56="Home",P56,IF(R56="Away",-P56,""))</f>
        <v>14</v>
      </c>
      <c r="T56" s="1" t="str">
        <f aca="false">IF(R56="Pick","No Line",IF(S56="","N/A",IF(S56+I56&gt;0,"Favorite Covered",IF(S56+I56&lt;0,"Underdog Covered","Push"))))</f>
        <v>Favorite Covered</v>
      </c>
      <c r="U56" s="1" t="str">
        <f aca="false">IF(Q56&gt;J56,"Over",IF(Q56&lt;J56,"Under","Push"))</f>
        <v>Under</v>
      </c>
    </row>
    <row r="57" customFormat="false" ht="15" hidden="false" customHeight="false" outlineLevel="0" collapsed="false">
      <c r="A57" s="1" t="s">
        <v>181</v>
      </c>
      <c r="B57" s="1" t="n">
        <v>2010</v>
      </c>
      <c r="C57" s="1" t="s">
        <v>182</v>
      </c>
      <c r="D57" s="1" t="s">
        <v>101</v>
      </c>
      <c r="E57" s="1" t="s">
        <v>77</v>
      </c>
      <c r="F57" s="1" t="n">
        <v>24</v>
      </c>
      <c r="G57" s="1" t="n">
        <v>31</v>
      </c>
      <c r="H57" s="1" t="s">
        <v>78</v>
      </c>
      <c r="I57" s="1" t="n">
        <v>-3.5</v>
      </c>
      <c r="J57" s="1" t="n">
        <v>44</v>
      </c>
      <c r="K57" s="1" t="s">
        <v>171</v>
      </c>
      <c r="L57" s="1" t="b">
        <f aca="false">FALSE()</f>
        <v>0</v>
      </c>
      <c r="M57" s="1" t="str">
        <f aca="false">VLOOKUP(D57,'Team Reference'!$A:$B,2,FALSE())</f>
        <v>OAK</v>
      </c>
      <c r="N57" s="1" t="str">
        <f aca="false">VLOOKUP(E57,'Team Reference'!$A:$B,2,FALSE())</f>
        <v>HOU</v>
      </c>
      <c r="O57" s="1" t="str">
        <f aca="false">IF(F57&gt;G57,M57,IF(G57&gt;F57,N57,"Tie"))</f>
        <v>HOU</v>
      </c>
      <c r="P57" s="1" t="n">
        <f aca="false">F57-G57</f>
        <v>-7</v>
      </c>
      <c r="Q57" s="1" t="n">
        <f aca="false">F57+G57</f>
        <v>55</v>
      </c>
      <c r="R57" s="1" t="str">
        <f aca="false">IF(H57=M57,"Home",IF(H57=N57,"Away",IF(H57="PICK","Pick","N/A")))</f>
        <v>Away</v>
      </c>
      <c r="S57" s="1" t="n">
        <f aca="false">IF(R57="Home",P57,IF(R57="Away",-P57,""))</f>
        <v>7</v>
      </c>
      <c r="T57" s="1" t="str">
        <f aca="false">IF(R57="Pick","No Line",IF(S57="","N/A",IF(S57+I57&gt;0,"Favorite Covered",IF(S57+I57&lt;0,"Underdog Covered","Push"))))</f>
        <v>Favorite Covered</v>
      </c>
      <c r="U57" s="1" t="str">
        <f aca="false">IF(Q57&gt;J57,"Over",IF(Q57&lt;J57,"Under","Push"))</f>
        <v>Over</v>
      </c>
    </row>
    <row r="58" customFormat="false" ht="15" hidden="false" customHeight="false" outlineLevel="0" collapsed="false">
      <c r="A58" s="1" t="s">
        <v>181</v>
      </c>
      <c r="B58" s="1" t="n">
        <v>2010</v>
      </c>
      <c r="C58" s="1" t="s">
        <v>182</v>
      </c>
      <c r="D58" s="1" t="s">
        <v>103</v>
      </c>
      <c r="E58" s="1" t="s">
        <v>117</v>
      </c>
      <c r="F58" s="1" t="n">
        <v>12</v>
      </c>
      <c r="G58" s="1" t="n">
        <v>17</v>
      </c>
      <c r="H58" s="1" t="s">
        <v>104</v>
      </c>
      <c r="I58" s="1" t="n">
        <v>-5</v>
      </c>
      <c r="J58" s="1" t="n">
        <v>43.5</v>
      </c>
      <c r="K58" s="1" t="s">
        <v>150</v>
      </c>
      <c r="L58" s="1" t="b">
        <f aca="false">FALSE()</f>
        <v>0</v>
      </c>
      <c r="M58" s="1" t="str">
        <f aca="false">VLOOKUP(D58,'Team Reference'!$A:$B,2,FALSE())</f>
        <v>PHI</v>
      </c>
      <c r="N58" s="1" t="str">
        <f aca="false">VLOOKUP(E58,'Team Reference'!$A:$B,2,FALSE())</f>
        <v>WAS</v>
      </c>
      <c r="O58" s="1" t="str">
        <f aca="false">IF(F58&gt;G58,M58,IF(G58&gt;F58,N58,"Tie"))</f>
        <v>WAS</v>
      </c>
      <c r="P58" s="1" t="n">
        <f aca="false">F58-G58</f>
        <v>-5</v>
      </c>
      <c r="Q58" s="1" t="n">
        <f aca="false">F58+G58</f>
        <v>29</v>
      </c>
      <c r="R58" s="1" t="str">
        <f aca="false">IF(H58=M58,"Home",IF(H58=N58,"Away",IF(H58="PICK","Pick","N/A")))</f>
        <v>Home</v>
      </c>
      <c r="S58" s="1" t="n">
        <f aca="false">IF(R58="Home",P58,IF(R58="Away",-P58,""))</f>
        <v>-5</v>
      </c>
      <c r="T58" s="1" t="str">
        <f aca="false">IF(R58="Pick","No Line",IF(S58="","N/A",IF(S58+I58&gt;0,"Favorite Covered",IF(S58+I58&lt;0,"Underdog Covered","Push"))))</f>
        <v>Underdog Covered</v>
      </c>
      <c r="U58" s="1" t="str">
        <f aca="false">IF(Q58&gt;J58,"Over",IF(Q58&lt;J58,"Under","Push"))</f>
        <v>Under</v>
      </c>
    </row>
    <row r="59" customFormat="false" ht="15" hidden="false" customHeight="false" outlineLevel="0" collapsed="false">
      <c r="A59" s="1" t="s">
        <v>181</v>
      </c>
      <c r="B59" s="1" t="n">
        <v>2010</v>
      </c>
      <c r="C59" s="1" t="s">
        <v>182</v>
      </c>
      <c r="D59" s="1" t="s">
        <v>105</v>
      </c>
      <c r="E59" s="1" t="s">
        <v>57</v>
      </c>
      <c r="F59" s="1" t="n">
        <v>14</v>
      </c>
      <c r="G59" s="1" t="n">
        <v>17</v>
      </c>
      <c r="H59" s="1" t="s">
        <v>106</v>
      </c>
      <c r="I59" s="1" t="n">
        <v>-2.5</v>
      </c>
      <c r="J59" s="1" t="n">
        <v>34.5</v>
      </c>
      <c r="K59" s="1" t="s">
        <v>151</v>
      </c>
      <c r="L59" s="1" t="b">
        <f aca="false">FALSE()</f>
        <v>0</v>
      </c>
      <c r="M59" s="1" t="str">
        <f aca="false">VLOOKUP(D59,'Team Reference'!$A:$B,2,FALSE())</f>
        <v>PIT</v>
      </c>
      <c r="N59" s="1" t="str">
        <f aca="false">VLOOKUP(E59,'Team Reference'!$A:$B,2,FALSE())</f>
        <v>BAL</v>
      </c>
      <c r="O59" s="1" t="str">
        <f aca="false">IF(F59&gt;G59,M59,IF(G59&gt;F59,N59,"Tie"))</f>
        <v>BAL</v>
      </c>
      <c r="P59" s="1" t="n">
        <f aca="false">F59-G59</f>
        <v>-3</v>
      </c>
      <c r="Q59" s="1" t="n">
        <f aca="false">F59+G59</f>
        <v>31</v>
      </c>
      <c r="R59" s="1" t="str">
        <f aca="false">IF(H59=M59,"Home",IF(H59=N59,"Away",IF(H59="PICK","Pick","N/A")))</f>
        <v>Home</v>
      </c>
      <c r="S59" s="1" t="n">
        <f aca="false">IF(R59="Home",P59,IF(R59="Away",-P59,""))</f>
        <v>-3</v>
      </c>
      <c r="T59" s="1" t="str">
        <f aca="false">IF(R59="Pick","No Line",IF(S59="","N/A",IF(S59+I59&gt;0,"Favorite Covered",IF(S59+I59&lt;0,"Underdog Covered","Push"))))</f>
        <v>Underdog Covered</v>
      </c>
      <c r="U59" s="1" t="str">
        <f aca="false">IF(Q59&gt;J59,"Over",IF(Q59&lt;J59,"Under","Push"))</f>
        <v>Under</v>
      </c>
    </row>
    <row r="60" customFormat="false" ht="15" hidden="false" customHeight="false" outlineLevel="0" collapsed="false">
      <c r="A60" s="1" t="s">
        <v>181</v>
      </c>
      <c r="B60" s="1" t="n">
        <v>2010</v>
      </c>
      <c r="C60" s="1" t="s">
        <v>182</v>
      </c>
      <c r="D60" s="1" t="s">
        <v>107</v>
      </c>
      <c r="E60" s="1" t="s">
        <v>53</v>
      </c>
      <c r="F60" s="1" t="n">
        <v>41</v>
      </c>
      <c r="G60" s="1" t="n">
        <v>10</v>
      </c>
      <c r="H60" s="1" t="s">
        <v>86</v>
      </c>
      <c r="I60" s="1" t="n">
        <v>-9.5</v>
      </c>
      <c r="J60" s="1" t="n">
        <v>46.5</v>
      </c>
      <c r="K60" s="1" t="s">
        <v>172</v>
      </c>
      <c r="L60" s="1" t="b">
        <f aca="false">FALSE()</f>
        <v>0</v>
      </c>
      <c r="M60" s="1" t="str">
        <f aca="false">VLOOKUP(D60,'Team Reference'!$A:$B,2,FALSE())</f>
        <v>LAC</v>
      </c>
      <c r="N60" s="1" t="str">
        <f aca="false">VLOOKUP(E60,'Team Reference'!$A:$B,2,FALSE())</f>
        <v>ARI</v>
      </c>
      <c r="O60" s="1" t="str">
        <f aca="false">IF(F60&gt;G60,M60,IF(G60&gt;F60,N60,"Tie"))</f>
        <v>LAC</v>
      </c>
      <c r="P60" s="1" t="n">
        <f aca="false">F60-G60</f>
        <v>31</v>
      </c>
      <c r="Q60" s="1" t="n">
        <f aca="false">F60+G60</f>
        <v>51</v>
      </c>
      <c r="R60" s="1" t="str">
        <f aca="false">IF(H60=M60,"Home",IF(H60=N60,"Away",IF(H60="PICK","Pick","N/A")))</f>
        <v>Home</v>
      </c>
      <c r="S60" s="1" t="n">
        <f aca="false">IF(R60="Home",P60,IF(R60="Away",-P60,""))</f>
        <v>31</v>
      </c>
      <c r="T60" s="1" t="str">
        <f aca="false">IF(R60="Pick","No Line",IF(S60="","N/A",IF(S60+I60&gt;0,"Favorite Covered",IF(S60+I60&lt;0,"Underdog Covered","Push"))))</f>
        <v>Favorite Covered</v>
      </c>
      <c r="U60" s="1" t="str">
        <f aca="false">IF(Q60&gt;J60,"Over",IF(Q60&lt;J60,"Under","Push"))</f>
        <v>Over</v>
      </c>
    </row>
    <row r="61" customFormat="false" ht="15" hidden="false" customHeight="false" outlineLevel="0" collapsed="false">
      <c r="A61" s="1" t="s">
        <v>181</v>
      </c>
      <c r="B61" s="1" t="n">
        <v>2010</v>
      </c>
      <c r="C61" s="1" t="s">
        <v>182</v>
      </c>
      <c r="D61" s="1" t="s">
        <v>112</v>
      </c>
      <c r="E61" s="1" t="s">
        <v>110</v>
      </c>
      <c r="F61" s="1" t="n">
        <v>20</v>
      </c>
      <c r="G61" s="1" t="n">
        <v>3</v>
      </c>
      <c r="H61" s="1" t="s">
        <v>111</v>
      </c>
      <c r="I61" s="1" t="n">
        <v>-2</v>
      </c>
      <c r="J61" s="1" t="n">
        <v>40</v>
      </c>
      <c r="K61" s="1" t="s">
        <v>153</v>
      </c>
      <c r="L61" s="1" t="b">
        <f aca="false">FALSE()</f>
        <v>0</v>
      </c>
      <c r="M61" s="1" t="str">
        <f aca="false">VLOOKUP(D61,'Team Reference'!$A:$B,2,FALSE())</f>
        <v>LAR</v>
      </c>
      <c r="N61" s="1" t="str">
        <f aca="false">VLOOKUP(E61,'Team Reference'!$A:$B,2,FALSE())</f>
        <v>SEA</v>
      </c>
      <c r="O61" s="1" t="str">
        <f aca="false">IF(F61&gt;G61,M61,IF(G61&gt;F61,N61,"Tie"))</f>
        <v>LAR</v>
      </c>
      <c r="P61" s="1" t="n">
        <f aca="false">F61-G61</f>
        <v>17</v>
      </c>
      <c r="Q61" s="1" t="n">
        <f aca="false">F61+G61</f>
        <v>23</v>
      </c>
      <c r="R61" s="1" t="str">
        <f aca="false">IF(H61=M61,"Home",IF(H61=N61,"Away",IF(H61="PICK","Pick","N/A")))</f>
        <v>Away</v>
      </c>
      <c r="S61" s="1" t="n">
        <f aca="false">IF(R61="Home",P61,IF(R61="Away",-P61,""))</f>
        <v>-17</v>
      </c>
      <c r="T61" s="1" t="str">
        <f aca="false">IF(R61="Pick","No Line",IF(S61="","N/A",IF(S61+I61&gt;0,"Favorite Covered",IF(S61+I61&lt;0,"Underdog Covered","Push"))))</f>
        <v>Underdog Covered</v>
      </c>
      <c r="U61" s="1" t="str">
        <f aca="false">IF(Q61&gt;J61,"Over",IF(Q61&lt;J61,"Under","Push"))</f>
        <v>Under</v>
      </c>
    </row>
    <row r="62" customFormat="false" ht="15" hidden="false" customHeight="false" outlineLevel="0" collapsed="false">
      <c r="A62" s="1" t="s">
        <v>181</v>
      </c>
      <c r="B62" s="1" t="n">
        <v>2010</v>
      </c>
      <c r="C62" s="1" t="s">
        <v>182</v>
      </c>
      <c r="D62" s="1" t="s">
        <v>115</v>
      </c>
      <c r="E62" s="1" t="s">
        <v>71</v>
      </c>
      <c r="F62" s="1" t="n">
        <v>20</v>
      </c>
      <c r="G62" s="1" t="n">
        <v>26</v>
      </c>
      <c r="H62" s="1" t="s">
        <v>116</v>
      </c>
      <c r="I62" s="1" t="n">
        <v>-6.5</v>
      </c>
      <c r="J62" s="1" t="n">
        <v>43.5</v>
      </c>
      <c r="K62" s="1" t="s">
        <v>155</v>
      </c>
      <c r="L62" s="1" t="b">
        <f aca="false">FALSE()</f>
        <v>0</v>
      </c>
      <c r="M62" s="1" t="str">
        <f aca="false">VLOOKUP(D62,'Team Reference'!$A:$B,2,FALSE())</f>
        <v>TEN</v>
      </c>
      <c r="N62" s="1" t="str">
        <f aca="false">VLOOKUP(E62,'Team Reference'!$A:$B,2,FALSE())</f>
        <v>DEN</v>
      </c>
      <c r="O62" s="1" t="str">
        <f aca="false">IF(F62&gt;G62,M62,IF(G62&gt;F62,N62,"Tie"))</f>
        <v>DEN</v>
      </c>
      <c r="P62" s="1" t="n">
        <f aca="false">F62-G62</f>
        <v>-6</v>
      </c>
      <c r="Q62" s="1" t="n">
        <f aca="false">F62+G62</f>
        <v>46</v>
      </c>
      <c r="R62" s="1" t="str">
        <f aca="false">IF(H62=M62,"Home",IF(H62=N62,"Away",IF(H62="PICK","Pick","N/A")))</f>
        <v>Home</v>
      </c>
      <c r="S62" s="1" t="n">
        <f aca="false">IF(R62="Home",P62,IF(R62="Away",-P62,""))</f>
        <v>-6</v>
      </c>
      <c r="T62" s="1" t="str">
        <f aca="false">IF(R62="Pick","No Line",IF(S62="","N/A",IF(S62+I62&gt;0,"Favorite Covered",IF(S62+I62&lt;0,"Underdog Covered","Push"))))</f>
        <v>Underdog Covered</v>
      </c>
      <c r="U62" s="1" t="str">
        <f aca="false">IF(Q62&gt;J62,"Over",IF(Q62&lt;J62,"Under","Push"))</f>
        <v>Over</v>
      </c>
    </row>
    <row r="63" customFormat="false" ht="15" hidden="false" customHeight="false" outlineLevel="0" collapsed="false">
      <c r="A63" s="1" t="s">
        <v>183</v>
      </c>
      <c r="B63" s="1" t="n">
        <v>2010</v>
      </c>
      <c r="C63" s="1" t="s">
        <v>182</v>
      </c>
      <c r="D63" s="1" t="s">
        <v>89</v>
      </c>
      <c r="E63" s="1" t="s">
        <v>93</v>
      </c>
      <c r="F63" s="1" t="n">
        <v>14</v>
      </c>
      <c r="G63" s="1" t="n">
        <v>41</v>
      </c>
      <c r="H63" s="1" t="s">
        <v>94</v>
      </c>
      <c r="I63" s="1" t="n">
        <v>-1</v>
      </c>
      <c r="J63" s="1" t="n">
        <v>48</v>
      </c>
      <c r="K63" s="1" t="s">
        <v>179</v>
      </c>
      <c r="L63" s="1" t="b">
        <f aca="false">FALSE()</f>
        <v>0</v>
      </c>
      <c r="M63" s="1" t="str">
        <f aca="false">VLOOKUP(D63,'Team Reference'!$A:$B,2,FALSE())</f>
        <v>MIA</v>
      </c>
      <c r="N63" s="1" t="str">
        <f aca="false">VLOOKUP(E63,'Team Reference'!$A:$B,2,FALSE())</f>
        <v>NE</v>
      </c>
      <c r="O63" s="1" t="str">
        <f aca="false">IF(F63&gt;G63,M63,IF(G63&gt;F63,N63,"Tie"))</f>
        <v>NE</v>
      </c>
      <c r="P63" s="1" t="n">
        <f aca="false">F63-G63</f>
        <v>-27</v>
      </c>
      <c r="Q63" s="1" t="n">
        <f aca="false">F63+G63</f>
        <v>55</v>
      </c>
      <c r="R63" s="1" t="str">
        <f aca="false">IF(H63=M63,"Home",IF(H63=N63,"Away",IF(H63="PICK","Pick","N/A")))</f>
        <v>Away</v>
      </c>
      <c r="S63" s="1" t="n">
        <f aca="false">IF(R63="Home",P63,IF(R63="Away",-P63,""))</f>
        <v>27</v>
      </c>
      <c r="T63" s="1" t="str">
        <f aca="false">IF(R63="Pick","No Line",IF(S63="","N/A",IF(S63+I63&gt;0,"Favorite Covered",IF(S63+I63&lt;0,"Underdog Covered","Push"))))</f>
        <v>Favorite Covered</v>
      </c>
      <c r="U63" s="1" t="str">
        <f aca="false">IF(Q63&gt;J63,"Over",IF(Q63&lt;J63,"Under","Push"))</f>
        <v>Over</v>
      </c>
    </row>
    <row r="64" customFormat="false" ht="15" hidden="false" customHeight="false" outlineLevel="0" collapsed="false">
      <c r="A64" s="1" t="s">
        <v>184</v>
      </c>
      <c r="B64" s="1" t="n">
        <v>2010</v>
      </c>
      <c r="C64" s="1" t="s">
        <v>185</v>
      </c>
      <c r="D64" s="1" t="s">
        <v>53</v>
      </c>
      <c r="E64" s="1" t="s">
        <v>95</v>
      </c>
      <c r="F64" s="1" t="n">
        <v>30</v>
      </c>
      <c r="G64" s="1" t="n">
        <v>20</v>
      </c>
      <c r="H64" s="1" t="s">
        <v>96</v>
      </c>
      <c r="I64" s="1" t="n">
        <v>-7</v>
      </c>
      <c r="J64" s="1" t="n">
        <v>45.5</v>
      </c>
      <c r="K64" s="1" t="s">
        <v>177</v>
      </c>
      <c r="L64" s="1" t="b">
        <f aca="false">FALSE()</f>
        <v>0</v>
      </c>
      <c r="M64" s="1" t="str">
        <f aca="false">VLOOKUP(D64,'Team Reference'!$A:$B,2,FALSE())</f>
        <v>ARI</v>
      </c>
      <c r="N64" s="1" t="str">
        <f aca="false">VLOOKUP(E64,'Team Reference'!$A:$B,2,FALSE())</f>
        <v>NO</v>
      </c>
      <c r="O64" s="1" t="str">
        <f aca="false">IF(F64&gt;G64,M64,IF(G64&gt;F64,N64,"Tie"))</f>
        <v>ARI</v>
      </c>
      <c r="P64" s="1" t="n">
        <f aca="false">F64-G64</f>
        <v>10</v>
      </c>
      <c r="Q64" s="1" t="n">
        <f aca="false">F64+G64</f>
        <v>50</v>
      </c>
      <c r="R64" s="1" t="str">
        <f aca="false">IF(H64=M64,"Home",IF(H64=N64,"Away",IF(H64="PICK","Pick","N/A")))</f>
        <v>Away</v>
      </c>
      <c r="S64" s="1" t="n">
        <f aca="false">IF(R64="Home",P64,IF(R64="Away",-P64,""))</f>
        <v>-10</v>
      </c>
      <c r="T64" s="1" t="str">
        <f aca="false">IF(R64="Pick","No Line",IF(S64="","N/A",IF(S64+I64&gt;0,"Favorite Covered",IF(S64+I64&lt;0,"Underdog Covered","Push"))))</f>
        <v>Underdog Covered</v>
      </c>
      <c r="U64" s="1" t="str">
        <f aca="false">IF(Q64&gt;J64,"Over",IF(Q64&lt;J64,"Under","Push"))</f>
        <v>Over</v>
      </c>
    </row>
    <row r="65" customFormat="false" ht="15" hidden="false" customHeight="false" outlineLevel="0" collapsed="false">
      <c r="A65" s="1" t="s">
        <v>184</v>
      </c>
      <c r="B65" s="1" t="n">
        <v>2010</v>
      </c>
      <c r="C65" s="1" t="s">
        <v>185</v>
      </c>
      <c r="D65" s="1" t="s">
        <v>57</v>
      </c>
      <c r="E65" s="1" t="s">
        <v>71</v>
      </c>
      <c r="F65" s="1" t="n">
        <v>31</v>
      </c>
      <c r="G65" s="1" t="n">
        <v>17</v>
      </c>
      <c r="H65" s="1" t="s">
        <v>58</v>
      </c>
      <c r="I65" s="1" t="n">
        <v>-8</v>
      </c>
      <c r="J65" s="1" t="n">
        <v>39.5</v>
      </c>
      <c r="K65" s="1" t="s">
        <v>178</v>
      </c>
      <c r="L65" s="1" t="b">
        <f aca="false">FALSE()</f>
        <v>0</v>
      </c>
      <c r="M65" s="1" t="str">
        <f aca="false">VLOOKUP(D65,'Team Reference'!$A:$B,2,FALSE())</f>
        <v>BAL</v>
      </c>
      <c r="N65" s="1" t="str">
        <f aca="false">VLOOKUP(E65,'Team Reference'!$A:$B,2,FALSE())</f>
        <v>DEN</v>
      </c>
      <c r="O65" s="1" t="str">
        <f aca="false">IF(F65&gt;G65,M65,IF(G65&gt;F65,N65,"Tie"))</f>
        <v>BAL</v>
      </c>
      <c r="P65" s="1" t="n">
        <f aca="false">F65-G65</f>
        <v>14</v>
      </c>
      <c r="Q65" s="1" t="n">
        <f aca="false">F65+G65</f>
        <v>48</v>
      </c>
      <c r="R65" s="1" t="str">
        <f aca="false">IF(H65=M65,"Home",IF(H65=N65,"Away",IF(H65="PICK","Pick","N/A")))</f>
        <v>Home</v>
      </c>
      <c r="S65" s="1" t="n">
        <f aca="false">IF(R65="Home",P65,IF(R65="Away",-P65,""))</f>
        <v>14</v>
      </c>
      <c r="T65" s="1" t="str">
        <f aca="false">IF(R65="Pick","No Line",IF(S65="","N/A",IF(S65+I65&gt;0,"Favorite Covered",IF(S65+I65&lt;0,"Underdog Covered","Push"))))</f>
        <v>Favorite Covered</v>
      </c>
      <c r="U65" s="1" t="str">
        <f aca="false">IF(Q65&gt;J65,"Over",IF(Q65&lt;J65,"Under","Push"))</f>
        <v>Over</v>
      </c>
    </row>
    <row r="66" customFormat="false" ht="15" hidden="false" customHeight="false" outlineLevel="0" collapsed="false">
      <c r="A66" s="1" t="s">
        <v>184</v>
      </c>
      <c r="B66" s="1" t="n">
        <v>2010</v>
      </c>
      <c r="C66" s="1" t="s">
        <v>185</v>
      </c>
      <c r="D66" s="1" t="s">
        <v>59</v>
      </c>
      <c r="E66" s="1" t="s">
        <v>81</v>
      </c>
      <c r="F66" s="1" t="n">
        <v>26</v>
      </c>
      <c r="G66" s="1" t="n">
        <v>36</v>
      </c>
      <c r="H66" s="1" t="s">
        <v>60</v>
      </c>
      <c r="I66" s="1" t="n">
        <v>-2.5</v>
      </c>
      <c r="J66" s="1" t="n">
        <v>41.5</v>
      </c>
      <c r="K66" s="1" t="s">
        <v>144</v>
      </c>
      <c r="L66" s="1" t="b">
        <f aca="false">FALSE()</f>
        <v>0</v>
      </c>
      <c r="M66" s="1" t="str">
        <f aca="false">VLOOKUP(D66,'Team Reference'!$A:$B,2,FALSE())</f>
        <v>BUF</v>
      </c>
      <c r="N66" s="1" t="str">
        <f aca="false">VLOOKUP(E66,'Team Reference'!$A:$B,2,FALSE())</f>
        <v>JAX</v>
      </c>
      <c r="O66" s="1" t="str">
        <f aca="false">IF(F66&gt;G66,M66,IF(G66&gt;F66,N66,"Tie"))</f>
        <v>JAX</v>
      </c>
      <c r="P66" s="1" t="n">
        <f aca="false">F66-G66</f>
        <v>-10</v>
      </c>
      <c r="Q66" s="1" t="n">
        <f aca="false">F66+G66</f>
        <v>62</v>
      </c>
      <c r="R66" s="1" t="str">
        <f aca="false">IF(H66=M66,"Home",IF(H66=N66,"Away",IF(H66="PICK","Pick","N/A")))</f>
        <v>Home</v>
      </c>
      <c r="S66" s="1" t="n">
        <f aca="false">IF(R66="Home",P66,IF(R66="Away",-P66,""))</f>
        <v>-10</v>
      </c>
      <c r="T66" s="1" t="str">
        <f aca="false">IF(R66="Pick","No Line",IF(S66="","N/A",IF(S66+I66&gt;0,"Favorite Covered",IF(S66+I66&lt;0,"Underdog Covered","Push"))))</f>
        <v>Underdog Covered</v>
      </c>
      <c r="U66" s="1" t="str">
        <f aca="false">IF(Q66&gt;J66,"Over",IF(Q66&lt;J66,"Under","Push"))</f>
        <v>Over</v>
      </c>
    </row>
    <row r="67" customFormat="false" ht="15" hidden="false" customHeight="false" outlineLevel="0" collapsed="false">
      <c r="A67" s="1" t="s">
        <v>184</v>
      </c>
      <c r="B67" s="1" t="n">
        <v>2010</v>
      </c>
      <c r="C67" s="1" t="s">
        <v>185</v>
      </c>
      <c r="D67" s="1" t="s">
        <v>61</v>
      </c>
      <c r="E67" s="1" t="s">
        <v>63</v>
      </c>
      <c r="F67" s="1" t="n">
        <v>6</v>
      </c>
      <c r="G67" s="1" t="n">
        <v>23</v>
      </c>
      <c r="H67" s="1" t="s">
        <v>62</v>
      </c>
      <c r="I67" s="1" t="n">
        <v>-3</v>
      </c>
      <c r="J67" s="1" t="n">
        <v>33</v>
      </c>
      <c r="K67" s="1" t="s">
        <v>162</v>
      </c>
      <c r="L67" s="1" t="b">
        <f aca="false">FALSE()</f>
        <v>0</v>
      </c>
      <c r="M67" s="1" t="str">
        <f aca="false">VLOOKUP(D67,'Team Reference'!$A:$B,2,FALSE())</f>
        <v>CAR</v>
      </c>
      <c r="N67" s="1" t="str">
        <f aca="false">VLOOKUP(E67,'Team Reference'!$A:$B,2,FALSE())</f>
        <v>CHI</v>
      </c>
      <c r="O67" s="1" t="str">
        <f aca="false">IF(F67&gt;G67,M67,IF(G67&gt;F67,N67,"Tie"))</f>
        <v>CHI</v>
      </c>
      <c r="P67" s="1" t="n">
        <f aca="false">F67-G67</f>
        <v>-17</v>
      </c>
      <c r="Q67" s="1" t="n">
        <f aca="false">F67+G67</f>
        <v>29</v>
      </c>
      <c r="R67" s="1" t="str">
        <f aca="false">IF(H67=M67,"Home",IF(H67=N67,"Away",IF(H67="PICK","Pick","N/A")))</f>
        <v>Home</v>
      </c>
      <c r="S67" s="1" t="n">
        <f aca="false">IF(R67="Home",P67,IF(R67="Away",-P67,""))</f>
        <v>-17</v>
      </c>
      <c r="T67" s="1" t="str">
        <f aca="false">IF(R67="Pick","No Line",IF(S67="","N/A",IF(S67+I67&gt;0,"Favorite Covered",IF(S67+I67&lt;0,"Underdog Covered","Push"))))</f>
        <v>Underdog Covered</v>
      </c>
      <c r="U67" s="1" t="str">
        <f aca="false">IF(Q67&gt;J67,"Over",IF(Q67&lt;J67,"Under","Push"))</f>
        <v>Under</v>
      </c>
    </row>
    <row r="68" customFormat="false" ht="15" hidden="false" customHeight="false" outlineLevel="0" collapsed="false">
      <c r="A68" s="1" t="s">
        <v>184</v>
      </c>
      <c r="B68" s="1" t="n">
        <v>2010</v>
      </c>
      <c r="C68" s="1" t="s">
        <v>185</v>
      </c>
      <c r="D68" s="1" t="s">
        <v>65</v>
      </c>
      <c r="E68" s="1" t="s">
        <v>113</v>
      </c>
      <c r="F68" s="1" t="n">
        <v>21</v>
      </c>
      <c r="G68" s="1" t="n">
        <v>24</v>
      </c>
      <c r="H68" s="1" t="s">
        <v>66</v>
      </c>
      <c r="I68" s="1" t="n">
        <v>-7</v>
      </c>
      <c r="J68" s="1" t="n">
        <v>38.5</v>
      </c>
      <c r="K68" s="1" t="s">
        <v>163</v>
      </c>
      <c r="L68" s="1" t="b">
        <f aca="false">FALSE()</f>
        <v>0</v>
      </c>
      <c r="M68" s="1" t="str">
        <f aca="false">VLOOKUP(D68,'Team Reference'!$A:$B,2,FALSE())</f>
        <v>CIN</v>
      </c>
      <c r="N68" s="1" t="str">
        <f aca="false">VLOOKUP(E68,'Team Reference'!$A:$B,2,FALSE())</f>
        <v>TB</v>
      </c>
      <c r="O68" s="1" t="str">
        <f aca="false">IF(F68&gt;G68,M68,IF(G68&gt;F68,N68,"Tie"))</f>
        <v>TB</v>
      </c>
      <c r="P68" s="1" t="n">
        <f aca="false">F68-G68</f>
        <v>-3</v>
      </c>
      <c r="Q68" s="1" t="n">
        <f aca="false">F68+G68</f>
        <v>45</v>
      </c>
      <c r="R68" s="1" t="str">
        <f aca="false">IF(H68=M68,"Home",IF(H68=N68,"Away",IF(H68="PICK","Pick","N/A")))</f>
        <v>Home</v>
      </c>
      <c r="S68" s="1" t="n">
        <f aca="false">IF(R68="Home",P68,IF(R68="Away",-P68,""))</f>
        <v>-3</v>
      </c>
      <c r="T68" s="1" t="str">
        <f aca="false">IF(R68="Pick","No Line",IF(S68="","N/A",IF(S68+I68&gt;0,"Favorite Covered",IF(S68+I68&lt;0,"Underdog Covered","Push"))))</f>
        <v>Underdog Covered</v>
      </c>
      <c r="U68" s="1" t="str">
        <f aca="false">IF(Q68&gt;J68,"Over",IF(Q68&lt;J68,"Under","Push"))</f>
        <v>Over</v>
      </c>
    </row>
    <row r="69" customFormat="false" ht="15" hidden="false" customHeight="false" outlineLevel="0" collapsed="false">
      <c r="A69" s="1" t="s">
        <v>184</v>
      </c>
      <c r="B69" s="1" t="n">
        <v>2010</v>
      </c>
      <c r="C69" s="1" t="s">
        <v>185</v>
      </c>
      <c r="D69" s="1" t="s">
        <v>67</v>
      </c>
      <c r="E69" s="1" t="s">
        <v>55</v>
      </c>
      <c r="F69" s="1" t="n">
        <v>10</v>
      </c>
      <c r="G69" s="1" t="n">
        <v>20</v>
      </c>
      <c r="H69" s="1" t="s">
        <v>56</v>
      </c>
      <c r="I69" s="1" t="n">
        <v>-3</v>
      </c>
      <c r="J69" s="1" t="n">
        <v>41.5</v>
      </c>
      <c r="K69" s="1" t="s">
        <v>164</v>
      </c>
      <c r="L69" s="1" t="b">
        <f aca="false">FALSE()</f>
        <v>0</v>
      </c>
      <c r="M69" s="1" t="str">
        <f aca="false">VLOOKUP(D69,'Team Reference'!$A:$B,2,FALSE())</f>
        <v>CLE</v>
      </c>
      <c r="N69" s="1" t="str">
        <f aca="false">VLOOKUP(E69,'Team Reference'!$A:$B,2,FALSE())</f>
        <v>ATL</v>
      </c>
      <c r="O69" s="1" t="str">
        <f aca="false">IF(F69&gt;G69,M69,IF(G69&gt;F69,N69,"Tie"))</f>
        <v>ATL</v>
      </c>
      <c r="P69" s="1" t="n">
        <f aca="false">F69-G69</f>
        <v>-10</v>
      </c>
      <c r="Q69" s="1" t="n">
        <f aca="false">F69+G69</f>
        <v>30</v>
      </c>
      <c r="R69" s="1" t="str">
        <f aca="false">IF(H69=M69,"Home",IF(H69=N69,"Away",IF(H69="PICK","Pick","N/A")))</f>
        <v>Away</v>
      </c>
      <c r="S69" s="1" t="n">
        <f aca="false">IF(R69="Home",P69,IF(R69="Away",-P69,""))</f>
        <v>10</v>
      </c>
      <c r="T69" s="1" t="str">
        <f aca="false">IF(R69="Pick","No Line",IF(S69="","N/A",IF(S69+I69&gt;0,"Favorite Covered",IF(S69+I69&lt;0,"Underdog Covered","Push"))))</f>
        <v>Favorite Covered</v>
      </c>
      <c r="U69" s="1" t="str">
        <f aca="false">IF(Q69&gt;J69,"Over",IF(Q69&lt;J69,"Under","Push"))</f>
        <v>Under</v>
      </c>
    </row>
    <row r="70" customFormat="false" ht="15" hidden="false" customHeight="false" outlineLevel="0" collapsed="false">
      <c r="A70" s="1" t="s">
        <v>184</v>
      </c>
      <c r="B70" s="1" t="n">
        <v>2010</v>
      </c>
      <c r="C70" s="1" t="s">
        <v>185</v>
      </c>
      <c r="D70" s="1" t="s">
        <v>69</v>
      </c>
      <c r="E70" s="1" t="s">
        <v>115</v>
      </c>
      <c r="F70" s="1" t="n">
        <v>27</v>
      </c>
      <c r="G70" s="1" t="n">
        <v>34</v>
      </c>
      <c r="H70" s="1" t="s">
        <v>70</v>
      </c>
      <c r="I70" s="1" t="n">
        <v>-7</v>
      </c>
      <c r="J70" s="1" t="n">
        <v>43</v>
      </c>
      <c r="K70" s="1" t="s">
        <v>165</v>
      </c>
      <c r="L70" s="1" t="b">
        <f aca="false">FALSE()</f>
        <v>0</v>
      </c>
      <c r="M70" s="1" t="str">
        <f aca="false">VLOOKUP(D70,'Team Reference'!$A:$B,2,FALSE())</f>
        <v>DAL</v>
      </c>
      <c r="N70" s="1" t="str">
        <f aca="false">VLOOKUP(E70,'Team Reference'!$A:$B,2,FALSE())</f>
        <v>TEN</v>
      </c>
      <c r="O70" s="1" t="str">
        <f aca="false">IF(F70&gt;G70,M70,IF(G70&gt;F70,N70,"Tie"))</f>
        <v>TEN</v>
      </c>
      <c r="P70" s="1" t="n">
        <f aca="false">F70-G70</f>
        <v>-7</v>
      </c>
      <c r="Q70" s="1" t="n">
        <f aca="false">F70+G70</f>
        <v>61</v>
      </c>
      <c r="R70" s="1" t="str">
        <f aca="false">IF(H70=M70,"Home",IF(H70=N70,"Away",IF(H70="PICK","Pick","N/A")))</f>
        <v>Home</v>
      </c>
      <c r="S70" s="1" t="n">
        <f aca="false">IF(R70="Home",P70,IF(R70="Away",-P70,""))</f>
        <v>-7</v>
      </c>
      <c r="T70" s="1" t="str">
        <f aca="false">IF(R70="Pick","No Line",IF(S70="","N/A",IF(S70+I70&gt;0,"Favorite Covered",IF(S70+I70&lt;0,"Underdog Covered","Push"))))</f>
        <v>Underdog Covered</v>
      </c>
      <c r="U70" s="1" t="str">
        <f aca="false">IF(Q70&gt;J70,"Over",IF(Q70&lt;J70,"Under","Push"))</f>
        <v>Over</v>
      </c>
    </row>
    <row r="71" customFormat="false" ht="15" hidden="false" customHeight="false" outlineLevel="0" collapsed="false">
      <c r="A71" s="1" t="s">
        <v>184</v>
      </c>
      <c r="B71" s="1" t="n">
        <v>2010</v>
      </c>
      <c r="C71" s="1" t="s">
        <v>185</v>
      </c>
      <c r="D71" s="1" t="s">
        <v>73</v>
      </c>
      <c r="E71" s="1" t="s">
        <v>112</v>
      </c>
      <c r="F71" s="1" t="n">
        <v>44</v>
      </c>
      <c r="G71" s="1" t="n">
        <v>6</v>
      </c>
      <c r="H71" s="1" t="s">
        <v>74</v>
      </c>
      <c r="I71" s="1" t="n">
        <v>-3</v>
      </c>
      <c r="J71" s="1" t="n">
        <v>42.5</v>
      </c>
      <c r="K71" s="1" t="s">
        <v>167</v>
      </c>
      <c r="L71" s="1" t="b">
        <f aca="false">FALSE()</f>
        <v>0</v>
      </c>
      <c r="M71" s="1" t="str">
        <f aca="false">VLOOKUP(D71,'Team Reference'!$A:$B,2,FALSE())</f>
        <v>DET</v>
      </c>
      <c r="N71" s="1" t="str">
        <f aca="false">VLOOKUP(E71,'Team Reference'!$A:$B,2,FALSE())</f>
        <v>LAR</v>
      </c>
      <c r="O71" s="1" t="str">
        <f aca="false">IF(F71&gt;G71,M71,IF(G71&gt;F71,N71,"Tie"))</f>
        <v>DET</v>
      </c>
      <c r="P71" s="1" t="n">
        <f aca="false">F71-G71</f>
        <v>38</v>
      </c>
      <c r="Q71" s="1" t="n">
        <f aca="false">F71+G71</f>
        <v>50</v>
      </c>
      <c r="R71" s="1" t="str">
        <f aca="false">IF(H71=M71,"Home",IF(H71=N71,"Away",IF(H71="PICK","Pick","N/A")))</f>
        <v>Home</v>
      </c>
      <c r="S71" s="1" t="n">
        <f aca="false">IF(R71="Home",P71,IF(R71="Away",-P71,""))</f>
        <v>38</v>
      </c>
      <c r="T71" s="1" t="str">
        <f aca="false">IF(R71="Pick","No Line",IF(S71="","N/A",IF(S71+I71&gt;0,"Favorite Covered",IF(S71+I71&lt;0,"Underdog Covered","Push"))))</f>
        <v>Favorite Covered</v>
      </c>
      <c r="U71" s="1" t="str">
        <f aca="false">IF(Q71&gt;J71,"Over",IF(Q71&lt;J71,"Under","Push"))</f>
        <v>Over</v>
      </c>
    </row>
    <row r="72" customFormat="false" ht="15" hidden="false" customHeight="false" outlineLevel="0" collapsed="false">
      <c r="A72" s="1" t="s">
        <v>184</v>
      </c>
      <c r="B72" s="1" t="n">
        <v>2010</v>
      </c>
      <c r="C72" s="1" t="s">
        <v>185</v>
      </c>
      <c r="D72" s="1" t="s">
        <v>77</v>
      </c>
      <c r="E72" s="1" t="s">
        <v>97</v>
      </c>
      <c r="F72" s="1" t="n">
        <v>10</v>
      </c>
      <c r="G72" s="1" t="n">
        <v>34</v>
      </c>
      <c r="H72" s="1" t="s">
        <v>78</v>
      </c>
      <c r="I72" s="1" t="n">
        <v>-3</v>
      </c>
      <c r="J72" s="1" t="n">
        <v>48.5</v>
      </c>
      <c r="K72" s="1" t="s">
        <v>146</v>
      </c>
      <c r="L72" s="1" t="b">
        <f aca="false">FALSE()</f>
        <v>0</v>
      </c>
      <c r="M72" s="1" t="str">
        <f aca="false">VLOOKUP(D72,'Team Reference'!$A:$B,2,FALSE())</f>
        <v>HOU</v>
      </c>
      <c r="N72" s="1" t="str">
        <f aca="false">VLOOKUP(E72,'Team Reference'!$A:$B,2,FALSE())</f>
        <v>NYG</v>
      </c>
      <c r="O72" s="1" t="str">
        <f aca="false">IF(F72&gt;G72,M72,IF(G72&gt;F72,N72,"Tie"))</f>
        <v>NYG</v>
      </c>
      <c r="P72" s="1" t="n">
        <f aca="false">F72-G72</f>
        <v>-24</v>
      </c>
      <c r="Q72" s="1" t="n">
        <f aca="false">F72+G72</f>
        <v>44</v>
      </c>
      <c r="R72" s="1" t="str">
        <f aca="false">IF(H72=M72,"Home",IF(H72=N72,"Away",IF(H72="PICK","Pick","N/A")))</f>
        <v>Home</v>
      </c>
      <c r="S72" s="1" t="n">
        <f aca="false">IF(R72="Home",P72,IF(R72="Away",-P72,""))</f>
        <v>-24</v>
      </c>
      <c r="T72" s="1" t="str">
        <f aca="false">IF(R72="Pick","No Line",IF(S72="","N/A",IF(S72+I72&gt;0,"Favorite Covered",IF(S72+I72&lt;0,"Underdog Covered","Push"))))</f>
        <v>Underdog Covered</v>
      </c>
      <c r="U72" s="1" t="str">
        <f aca="false">IF(Q72&gt;J72,"Over",IF(Q72&lt;J72,"Under","Push"))</f>
        <v>Under</v>
      </c>
    </row>
    <row r="73" customFormat="false" ht="15" hidden="false" customHeight="false" outlineLevel="0" collapsed="false">
      <c r="A73" s="1" t="s">
        <v>184</v>
      </c>
      <c r="B73" s="1" t="n">
        <v>2010</v>
      </c>
      <c r="C73" s="1" t="s">
        <v>185</v>
      </c>
      <c r="D73" s="1" t="s">
        <v>79</v>
      </c>
      <c r="E73" s="1" t="s">
        <v>83</v>
      </c>
      <c r="F73" s="1" t="n">
        <v>19</v>
      </c>
      <c r="G73" s="1" t="n">
        <v>9</v>
      </c>
      <c r="H73" s="1" t="s">
        <v>80</v>
      </c>
      <c r="I73" s="1" t="n">
        <v>-7.5</v>
      </c>
      <c r="J73" s="1" t="n">
        <v>46.5</v>
      </c>
      <c r="K73" s="1" t="s">
        <v>169</v>
      </c>
      <c r="L73" s="1" t="b">
        <f aca="false">FALSE()</f>
        <v>0</v>
      </c>
      <c r="M73" s="1" t="str">
        <f aca="false">VLOOKUP(D73,'Team Reference'!$A:$B,2,FALSE())</f>
        <v>IND</v>
      </c>
      <c r="N73" s="1" t="str">
        <f aca="false">VLOOKUP(E73,'Team Reference'!$A:$B,2,FALSE())</f>
        <v>KC</v>
      </c>
      <c r="O73" s="1" t="str">
        <f aca="false">IF(F73&gt;G73,M73,IF(G73&gt;F73,N73,"Tie"))</f>
        <v>IND</v>
      </c>
      <c r="P73" s="1" t="n">
        <f aca="false">F73-G73</f>
        <v>10</v>
      </c>
      <c r="Q73" s="1" t="n">
        <f aca="false">F73+G73</f>
        <v>28</v>
      </c>
      <c r="R73" s="1" t="str">
        <f aca="false">IF(H73=M73,"Home",IF(H73=N73,"Away",IF(H73="PICK","Pick","N/A")))</f>
        <v>Home</v>
      </c>
      <c r="S73" s="1" t="n">
        <f aca="false">IF(R73="Home",P73,IF(R73="Away",-P73,""))</f>
        <v>10</v>
      </c>
      <c r="T73" s="1" t="str">
        <f aca="false">IF(R73="Pick","No Line",IF(S73="","N/A",IF(S73+I73&gt;0,"Favorite Covered",IF(S73+I73&lt;0,"Underdog Covered","Push"))))</f>
        <v>Favorite Covered</v>
      </c>
      <c r="U73" s="1" t="str">
        <f aca="false">IF(Q73&gt;J73,"Over",IF(Q73&lt;J73,"Under","Push"))</f>
        <v>Under</v>
      </c>
    </row>
    <row r="74" customFormat="false" ht="15" hidden="false" customHeight="false" outlineLevel="0" collapsed="false">
      <c r="A74" s="1" t="s">
        <v>184</v>
      </c>
      <c r="B74" s="1" t="n">
        <v>2010</v>
      </c>
      <c r="C74" s="1" t="s">
        <v>185</v>
      </c>
      <c r="D74" s="1" t="s">
        <v>101</v>
      </c>
      <c r="E74" s="1" t="s">
        <v>107</v>
      </c>
      <c r="F74" s="1" t="n">
        <v>35</v>
      </c>
      <c r="G74" s="1" t="n">
        <v>27</v>
      </c>
      <c r="H74" s="1" t="s">
        <v>86</v>
      </c>
      <c r="I74" s="1" t="n">
        <v>-7</v>
      </c>
      <c r="J74" s="1" t="n">
        <v>44</v>
      </c>
      <c r="K74" s="1" t="s">
        <v>171</v>
      </c>
      <c r="L74" s="1" t="b">
        <f aca="false">FALSE()</f>
        <v>0</v>
      </c>
      <c r="M74" s="1" t="str">
        <f aca="false">VLOOKUP(D74,'Team Reference'!$A:$B,2,FALSE())</f>
        <v>OAK</v>
      </c>
      <c r="N74" s="1" t="str">
        <f aca="false">VLOOKUP(E74,'Team Reference'!$A:$B,2,FALSE())</f>
        <v>LAC</v>
      </c>
      <c r="O74" s="1" t="str">
        <f aca="false">IF(F74&gt;G74,M74,IF(G74&gt;F74,N74,"Tie"))</f>
        <v>OAK</v>
      </c>
      <c r="P74" s="1" t="n">
        <f aca="false">F74-G74</f>
        <v>8</v>
      </c>
      <c r="Q74" s="1" t="n">
        <f aca="false">F74+G74</f>
        <v>62</v>
      </c>
      <c r="R74" s="1" t="str">
        <f aca="false">IF(H74=M74,"Home",IF(H74=N74,"Away",IF(H74="PICK","Pick","N/A")))</f>
        <v>Away</v>
      </c>
      <c r="S74" s="1" t="n">
        <f aca="false">IF(R74="Home",P74,IF(R74="Away",-P74,""))</f>
        <v>-8</v>
      </c>
      <c r="T74" s="1" t="str">
        <f aca="false">IF(R74="Pick","No Line",IF(S74="","N/A",IF(S74+I74&gt;0,"Favorite Covered",IF(S74+I74&lt;0,"Underdog Covered","Push"))))</f>
        <v>Underdog Covered</v>
      </c>
      <c r="U74" s="1" t="str">
        <f aca="false">IF(Q74&gt;J74,"Over",IF(Q74&lt;J74,"Under","Push"))</f>
        <v>Over</v>
      </c>
    </row>
    <row r="75" customFormat="false" ht="15" hidden="false" customHeight="false" outlineLevel="0" collapsed="false">
      <c r="A75" s="1" t="s">
        <v>184</v>
      </c>
      <c r="B75" s="1" t="n">
        <v>2010</v>
      </c>
      <c r="C75" s="1" t="s">
        <v>185</v>
      </c>
      <c r="D75" s="1" t="s">
        <v>108</v>
      </c>
      <c r="E75" s="1" t="s">
        <v>103</v>
      </c>
      <c r="F75" s="1" t="n">
        <v>24</v>
      </c>
      <c r="G75" s="1" t="n">
        <v>27</v>
      </c>
      <c r="H75" s="1" t="s">
        <v>109</v>
      </c>
      <c r="I75" s="1" t="n">
        <v>-3</v>
      </c>
      <c r="J75" s="1" t="n">
        <v>38.5</v>
      </c>
      <c r="K75" s="1" t="s">
        <v>174</v>
      </c>
      <c r="L75" s="1" t="b">
        <f aca="false">FALSE()</f>
        <v>0</v>
      </c>
      <c r="M75" s="1" t="str">
        <f aca="false">VLOOKUP(D75,'Team Reference'!$A:$B,2,FALSE())</f>
        <v>SF</v>
      </c>
      <c r="N75" s="1" t="str">
        <f aca="false">VLOOKUP(E75,'Team Reference'!$A:$B,2,FALSE())</f>
        <v>PHI</v>
      </c>
      <c r="O75" s="1" t="str">
        <f aca="false">IF(F75&gt;G75,M75,IF(G75&gt;F75,N75,"Tie"))</f>
        <v>PHI</v>
      </c>
      <c r="P75" s="1" t="n">
        <f aca="false">F75-G75</f>
        <v>-3</v>
      </c>
      <c r="Q75" s="1" t="n">
        <f aca="false">F75+G75</f>
        <v>51</v>
      </c>
      <c r="R75" s="1" t="str">
        <f aca="false">IF(H75=M75,"Home",IF(H75=N75,"Away",IF(H75="PICK","Pick","N/A")))</f>
        <v>Home</v>
      </c>
      <c r="S75" s="1" t="n">
        <f aca="false">IF(R75="Home",P75,IF(R75="Away",-P75,""))</f>
        <v>-3</v>
      </c>
      <c r="T75" s="1" t="str">
        <f aca="false">IF(R75="Pick","No Line",IF(S75="","N/A",IF(S75+I75&gt;0,"Favorite Covered",IF(S75+I75&lt;0,"Underdog Covered","Push"))))</f>
        <v>Underdog Covered</v>
      </c>
      <c r="U75" s="1" t="str">
        <f aca="false">IF(Q75&gt;J75,"Over",IF(Q75&lt;J75,"Under","Push"))</f>
        <v>Over</v>
      </c>
    </row>
    <row r="76" customFormat="false" ht="15" hidden="false" customHeight="false" outlineLevel="0" collapsed="false">
      <c r="A76" s="1" t="s">
        <v>184</v>
      </c>
      <c r="B76" s="1" t="n">
        <v>2010</v>
      </c>
      <c r="C76" s="1" t="s">
        <v>185</v>
      </c>
      <c r="D76" s="1" t="s">
        <v>117</v>
      </c>
      <c r="E76" s="1" t="s">
        <v>75</v>
      </c>
      <c r="F76" s="1" t="n">
        <v>16</v>
      </c>
      <c r="G76" s="1" t="n">
        <v>13</v>
      </c>
      <c r="H76" s="1" t="s">
        <v>76</v>
      </c>
      <c r="I76" s="1" t="n">
        <v>-3</v>
      </c>
      <c r="J76" s="1" t="n">
        <v>45.5</v>
      </c>
      <c r="K76" s="1" t="s">
        <v>156</v>
      </c>
      <c r="L76" s="1" t="b">
        <f aca="false">FALSE()</f>
        <v>0</v>
      </c>
      <c r="M76" s="1" t="str">
        <f aca="false">VLOOKUP(D76,'Team Reference'!$A:$B,2,FALSE())</f>
        <v>WAS</v>
      </c>
      <c r="N76" s="1" t="str">
        <f aca="false">VLOOKUP(E76,'Team Reference'!$A:$B,2,FALSE())</f>
        <v>GB</v>
      </c>
      <c r="O76" s="1" t="str">
        <f aca="false">IF(F76&gt;G76,M76,IF(G76&gt;F76,N76,"Tie"))</f>
        <v>WAS</v>
      </c>
      <c r="P76" s="1" t="n">
        <f aca="false">F76-G76</f>
        <v>3</v>
      </c>
      <c r="Q76" s="1" t="n">
        <f aca="false">F76+G76</f>
        <v>29</v>
      </c>
      <c r="R76" s="1" t="str">
        <f aca="false">IF(H76=M76,"Home",IF(H76=N76,"Away",IF(H76="PICK","Pick","N/A")))</f>
        <v>Away</v>
      </c>
      <c r="S76" s="1" t="n">
        <f aca="false">IF(R76="Home",P76,IF(R76="Away",-P76,""))</f>
        <v>-3</v>
      </c>
      <c r="T76" s="1" t="str">
        <f aca="false">IF(R76="Pick","No Line",IF(S76="","N/A",IF(S76+I76&gt;0,"Favorite Covered",IF(S76+I76&lt;0,"Underdog Covered","Push"))))</f>
        <v>Underdog Covered</v>
      </c>
      <c r="U76" s="1" t="str">
        <f aca="false">IF(Q76&gt;J76,"Over",IF(Q76&lt;J76,"Under","Push"))</f>
        <v>Under</v>
      </c>
    </row>
    <row r="77" customFormat="false" ht="15" hidden="false" customHeight="false" outlineLevel="0" collapsed="false">
      <c r="A77" s="1" t="s">
        <v>186</v>
      </c>
      <c r="B77" s="1" t="n">
        <v>2010</v>
      </c>
      <c r="C77" s="1" t="s">
        <v>185</v>
      </c>
      <c r="D77" s="1" t="s">
        <v>99</v>
      </c>
      <c r="E77" s="1" t="s">
        <v>91</v>
      </c>
      <c r="F77" s="1" t="n">
        <v>29</v>
      </c>
      <c r="G77" s="1" t="n">
        <v>20</v>
      </c>
      <c r="H77" s="1" t="s">
        <v>100</v>
      </c>
      <c r="I77" s="1" t="n">
        <v>-4.5</v>
      </c>
      <c r="J77" s="1" t="n">
        <v>40</v>
      </c>
      <c r="K77" s="1" t="s">
        <v>149</v>
      </c>
      <c r="L77" s="1" t="b">
        <f aca="false">FALSE()</f>
        <v>0</v>
      </c>
      <c r="M77" s="1" t="str">
        <f aca="false">VLOOKUP(D77,'Team Reference'!$A:$B,2,FALSE())</f>
        <v>NYJ</v>
      </c>
      <c r="N77" s="1" t="str">
        <f aca="false">VLOOKUP(E77,'Team Reference'!$A:$B,2,FALSE())</f>
        <v>MIN</v>
      </c>
      <c r="O77" s="1" t="str">
        <f aca="false">IF(F77&gt;G77,M77,IF(G77&gt;F77,N77,"Tie"))</f>
        <v>NYJ</v>
      </c>
      <c r="P77" s="1" t="n">
        <f aca="false">F77-G77</f>
        <v>9</v>
      </c>
      <c r="Q77" s="1" t="n">
        <f aca="false">F77+G77</f>
        <v>49</v>
      </c>
      <c r="R77" s="1" t="str">
        <f aca="false">IF(H77=M77,"Home",IF(H77=N77,"Away",IF(H77="PICK","Pick","N/A")))</f>
        <v>Home</v>
      </c>
      <c r="S77" s="1" t="n">
        <f aca="false">IF(R77="Home",P77,IF(R77="Away",-P77,""))</f>
        <v>9</v>
      </c>
      <c r="T77" s="1" t="str">
        <f aca="false">IF(R77="Pick","No Line",IF(S77="","N/A",IF(S77+I77&gt;0,"Favorite Covered",IF(S77+I77&lt;0,"Underdog Covered","Push"))))</f>
        <v>Favorite Covered</v>
      </c>
      <c r="U77" s="1" t="str">
        <f aca="false">IF(Q77&gt;J77,"Over",IF(Q77&lt;J77,"Under","Push"))</f>
        <v>Over</v>
      </c>
    </row>
    <row r="78" customFormat="false" ht="15" hidden="false" customHeight="false" outlineLevel="0" collapsed="false">
      <c r="A78" s="1" t="s">
        <v>187</v>
      </c>
      <c r="B78" s="1" t="n">
        <v>2010</v>
      </c>
      <c r="C78" s="1" t="s">
        <v>188</v>
      </c>
      <c r="D78" s="1" t="s">
        <v>63</v>
      </c>
      <c r="E78" s="1" t="s">
        <v>110</v>
      </c>
      <c r="F78" s="1" t="n">
        <v>20</v>
      </c>
      <c r="G78" s="1" t="n">
        <v>23</v>
      </c>
      <c r="H78" s="1" t="s">
        <v>64</v>
      </c>
      <c r="I78" s="1" t="n">
        <v>-6</v>
      </c>
      <c r="J78" s="1" t="n">
        <v>38</v>
      </c>
      <c r="K78" s="1" t="s">
        <v>145</v>
      </c>
      <c r="L78" s="1" t="b">
        <f aca="false">FALSE()</f>
        <v>0</v>
      </c>
      <c r="M78" s="1" t="str">
        <f aca="false">VLOOKUP(D78,'Team Reference'!$A:$B,2,FALSE())</f>
        <v>CHI</v>
      </c>
      <c r="N78" s="1" t="str">
        <f aca="false">VLOOKUP(E78,'Team Reference'!$A:$B,2,FALSE())</f>
        <v>SEA</v>
      </c>
      <c r="O78" s="1" t="str">
        <f aca="false">IF(F78&gt;G78,M78,IF(G78&gt;F78,N78,"Tie"))</f>
        <v>SEA</v>
      </c>
      <c r="P78" s="1" t="n">
        <f aca="false">F78-G78</f>
        <v>-3</v>
      </c>
      <c r="Q78" s="1" t="n">
        <f aca="false">F78+G78</f>
        <v>43</v>
      </c>
      <c r="R78" s="1" t="str">
        <f aca="false">IF(H78=M78,"Home",IF(H78=N78,"Away",IF(H78="PICK","Pick","N/A")))</f>
        <v>Home</v>
      </c>
      <c r="S78" s="1" t="n">
        <f aca="false">IF(R78="Home",P78,IF(R78="Away",-P78,""))</f>
        <v>-3</v>
      </c>
      <c r="T78" s="1" t="str">
        <f aca="false">IF(R78="Pick","No Line",IF(S78="","N/A",IF(S78+I78&gt;0,"Favorite Covered",IF(S78+I78&lt;0,"Underdog Covered","Push"))))</f>
        <v>Underdog Covered</v>
      </c>
      <c r="U78" s="1" t="str">
        <f aca="false">IF(Q78&gt;J78,"Over",IF(Q78&lt;J78,"Under","Push"))</f>
        <v>Over</v>
      </c>
    </row>
    <row r="79" customFormat="false" ht="15" hidden="false" customHeight="false" outlineLevel="0" collapsed="false">
      <c r="A79" s="1" t="s">
        <v>187</v>
      </c>
      <c r="B79" s="1" t="n">
        <v>2010</v>
      </c>
      <c r="C79" s="1" t="s">
        <v>188</v>
      </c>
      <c r="D79" s="1" t="s">
        <v>71</v>
      </c>
      <c r="E79" s="1" t="s">
        <v>99</v>
      </c>
      <c r="F79" s="1" t="n">
        <v>20</v>
      </c>
      <c r="G79" s="1" t="n">
        <v>24</v>
      </c>
      <c r="H79" s="1" t="s">
        <v>100</v>
      </c>
      <c r="I79" s="1" t="n">
        <v>-3.5</v>
      </c>
      <c r="J79" s="1" t="n">
        <v>43</v>
      </c>
      <c r="K79" s="1" t="s">
        <v>166</v>
      </c>
      <c r="L79" s="1" t="b">
        <f aca="false">FALSE()</f>
        <v>0</v>
      </c>
      <c r="M79" s="1" t="str">
        <f aca="false">VLOOKUP(D79,'Team Reference'!$A:$B,2,FALSE())</f>
        <v>DEN</v>
      </c>
      <c r="N79" s="1" t="str">
        <f aca="false">VLOOKUP(E79,'Team Reference'!$A:$B,2,FALSE())</f>
        <v>NYJ</v>
      </c>
      <c r="O79" s="1" t="str">
        <f aca="false">IF(F79&gt;G79,M79,IF(G79&gt;F79,N79,"Tie"))</f>
        <v>NYJ</v>
      </c>
      <c r="P79" s="1" t="n">
        <f aca="false">F79-G79</f>
        <v>-4</v>
      </c>
      <c r="Q79" s="1" t="n">
        <f aca="false">F79+G79</f>
        <v>44</v>
      </c>
      <c r="R79" s="1" t="str">
        <f aca="false">IF(H79=M79,"Home",IF(H79=N79,"Away",IF(H79="PICK","Pick","N/A")))</f>
        <v>Away</v>
      </c>
      <c r="S79" s="1" t="n">
        <f aca="false">IF(R79="Home",P79,IF(R79="Away",-P79,""))</f>
        <v>4</v>
      </c>
      <c r="T79" s="1" t="str">
        <f aca="false">IF(R79="Pick","No Line",IF(S79="","N/A",IF(S79+I79&gt;0,"Favorite Covered",IF(S79+I79&lt;0,"Underdog Covered","Push"))))</f>
        <v>Favorite Covered</v>
      </c>
      <c r="U79" s="1" t="str">
        <f aca="false">IF(Q79&gt;J79,"Over",IF(Q79&lt;J79,"Under","Push"))</f>
        <v>Over</v>
      </c>
    </row>
    <row r="80" customFormat="false" ht="15" hidden="false" customHeight="false" outlineLevel="0" collapsed="false">
      <c r="A80" s="1" t="s">
        <v>187</v>
      </c>
      <c r="B80" s="1" t="n">
        <v>2010</v>
      </c>
      <c r="C80" s="1" t="s">
        <v>188</v>
      </c>
      <c r="D80" s="1" t="s">
        <v>75</v>
      </c>
      <c r="E80" s="1" t="s">
        <v>89</v>
      </c>
      <c r="F80" s="1" t="n">
        <v>20</v>
      </c>
      <c r="G80" s="1" t="n">
        <v>23</v>
      </c>
      <c r="H80" s="1" t="s">
        <v>76</v>
      </c>
      <c r="I80" s="1" t="n">
        <v>-3</v>
      </c>
      <c r="J80" s="1" t="n">
        <v>44</v>
      </c>
      <c r="K80" s="1" t="s">
        <v>168</v>
      </c>
      <c r="L80" s="1" t="b">
        <f aca="false">FALSE()</f>
        <v>0</v>
      </c>
      <c r="M80" s="1" t="str">
        <f aca="false">VLOOKUP(D80,'Team Reference'!$A:$B,2,FALSE())</f>
        <v>GB</v>
      </c>
      <c r="N80" s="1" t="str">
        <f aca="false">VLOOKUP(E80,'Team Reference'!$A:$B,2,FALSE())</f>
        <v>MIA</v>
      </c>
      <c r="O80" s="1" t="str">
        <f aca="false">IF(F80&gt;G80,M80,IF(G80&gt;F80,N80,"Tie"))</f>
        <v>MIA</v>
      </c>
      <c r="P80" s="1" t="n">
        <f aca="false">F80-G80</f>
        <v>-3</v>
      </c>
      <c r="Q80" s="1" t="n">
        <f aca="false">F80+G80</f>
        <v>43</v>
      </c>
      <c r="R80" s="1" t="str">
        <f aca="false">IF(H80=M80,"Home",IF(H80=N80,"Away",IF(H80="PICK","Pick","N/A")))</f>
        <v>Home</v>
      </c>
      <c r="S80" s="1" t="n">
        <f aca="false">IF(R80="Home",P80,IF(R80="Away",-P80,""))</f>
        <v>-3</v>
      </c>
      <c r="T80" s="1" t="str">
        <f aca="false">IF(R80="Pick","No Line",IF(S80="","N/A",IF(S80+I80&gt;0,"Favorite Covered",IF(S80+I80&lt;0,"Underdog Covered","Push"))))</f>
        <v>Underdog Covered</v>
      </c>
      <c r="U80" s="1" t="str">
        <f aca="false">IF(Q80&gt;J80,"Over",IF(Q80&lt;J80,"Under","Push"))</f>
        <v>Under</v>
      </c>
    </row>
    <row r="81" customFormat="false" ht="15" hidden="false" customHeight="false" outlineLevel="0" collapsed="false">
      <c r="A81" s="1" t="s">
        <v>187</v>
      </c>
      <c r="B81" s="1" t="n">
        <v>2010</v>
      </c>
      <c r="C81" s="1" t="s">
        <v>188</v>
      </c>
      <c r="D81" s="1" t="s">
        <v>77</v>
      </c>
      <c r="E81" s="1" t="s">
        <v>83</v>
      </c>
      <c r="F81" s="1" t="n">
        <v>35</v>
      </c>
      <c r="G81" s="1" t="n">
        <v>31</v>
      </c>
      <c r="H81" s="1" t="s">
        <v>78</v>
      </c>
      <c r="I81" s="1" t="n">
        <v>-4.5</v>
      </c>
      <c r="J81" s="1" t="n">
        <v>46</v>
      </c>
      <c r="K81" s="1" t="s">
        <v>146</v>
      </c>
      <c r="L81" s="1" t="b">
        <f aca="false">FALSE()</f>
        <v>0</v>
      </c>
      <c r="M81" s="1" t="str">
        <f aca="false">VLOOKUP(D81,'Team Reference'!$A:$B,2,FALSE())</f>
        <v>HOU</v>
      </c>
      <c r="N81" s="1" t="str">
        <f aca="false">VLOOKUP(E81,'Team Reference'!$A:$B,2,FALSE())</f>
        <v>KC</v>
      </c>
      <c r="O81" s="1" t="str">
        <f aca="false">IF(F81&gt;G81,M81,IF(G81&gt;F81,N81,"Tie"))</f>
        <v>HOU</v>
      </c>
      <c r="P81" s="1" t="n">
        <f aca="false">F81-G81</f>
        <v>4</v>
      </c>
      <c r="Q81" s="1" t="n">
        <f aca="false">F81+G81</f>
        <v>66</v>
      </c>
      <c r="R81" s="1" t="str">
        <f aca="false">IF(H81=M81,"Home",IF(H81=N81,"Away",IF(H81="PICK","Pick","N/A")))</f>
        <v>Home</v>
      </c>
      <c r="S81" s="1" t="n">
        <f aca="false">IF(R81="Home",P81,IF(R81="Away",-P81,""))</f>
        <v>4</v>
      </c>
      <c r="T81" s="1" t="str">
        <f aca="false">IF(R81="Pick","No Line",IF(S81="","N/A",IF(S81+I81&gt;0,"Favorite Covered",IF(S81+I81&lt;0,"Underdog Covered","Push"))))</f>
        <v>Underdog Covered</v>
      </c>
      <c r="U81" s="1" t="str">
        <f aca="false">IF(Q81&gt;J81,"Over",IF(Q81&lt;J81,"Under","Push"))</f>
        <v>Over</v>
      </c>
    </row>
    <row r="82" customFormat="false" ht="15" hidden="false" customHeight="false" outlineLevel="0" collapsed="false">
      <c r="A82" s="1" t="s">
        <v>187</v>
      </c>
      <c r="B82" s="1" t="n">
        <v>2010</v>
      </c>
      <c r="C82" s="1" t="s">
        <v>188</v>
      </c>
      <c r="D82" s="1" t="s">
        <v>91</v>
      </c>
      <c r="E82" s="1" t="s">
        <v>69</v>
      </c>
      <c r="F82" s="1" t="n">
        <v>24</v>
      </c>
      <c r="G82" s="1" t="n">
        <v>21</v>
      </c>
      <c r="H82" s="1" t="s">
        <v>92</v>
      </c>
      <c r="I82" s="1" t="n">
        <v>-1.5</v>
      </c>
      <c r="J82" s="1" t="n">
        <v>44</v>
      </c>
      <c r="K82" s="1" t="s">
        <v>170</v>
      </c>
      <c r="L82" s="1" t="b">
        <f aca="false">FALSE()</f>
        <v>0</v>
      </c>
      <c r="M82" s="1" t="str">
        <f aca="false">VLOOKUP(D82,'Team Reference'!$A:$B,2,FALSE())</f>
        <v>MIN</v>
      </c>
      <c r="N82" s="1" t="str">
        <f aca="false">VLOOKUP(E82,'Team Reference'!$A:$B,2,FALSE())</f>
        <v>DAL</v>
      </c>
      <c r="O82" s="1" t="str">
        <f aca="false">IF(F82&gt;G82,M82,IF(G82&gt;F82,N82,"Tie"))</f>
        <v>MIN</v>
      </c>
      <c r="P82" s="1" t="n">
        <f aca="false">F82-G82</f>
        <v>3</v>
      </c>
      <c r="Q82" s="1" t="n">
        <f aca="false">F82+G82</f>
        <v>45</v>
      </c>
      <c r="R82" s="1" t="str">
        <f aca="false">IF(H82=M82,"Home",IF(H82=N82,"Away",IF(H82="PICK","Pick","N/A")))</f>
        <v>Home</v>
      </c>
      <c r="S82" s="1" t="n">
        <f aca="false">IF(R82="Home",P82,IF(R82="Away",-P82,""))</f>
        <v>3</v>
      </c>
      <c r="T82" s="1" t="str">
        <f aca="false">IF(R82="Pick","No Line",IF(S82="","N/A",IF(S82+I82&gt;0,"Favorite Covered",IF(S82+I82&lt;0,"Underdog Covered","Push"))))</f>
        <v>Favorite Covered</v>
      </c>
      <c r="U82" s="1" t="str">
        <f aca="false">IF(Q82&gt;J82,"Over",IF(Q82&lt;J82,"Under","Push"))</f>
        <v>Over</v>
      </c>
    </row>
    <row r="83" customFormat="false" ht="15" hidden="false" customHeight="false" outlineLevel="0" collapsed="false">
      <c r="A83" s="1" t="s">
        <v>187</v>
      </c>
      <c r="B83" s="1" t="n">
        <v>2010</v>
      </c>
      <c r="C83" s="1" t="s">
        <v>188</v>
      </c>
      <c r="D83" s="1" t="s">
        <v>93</v>
      </c>
      <c r="E83" s="1" t="s">
        <v>57</v>
      </c>
      <c r="F83" s="1" t="n">
        <v>23</v>
      </c>
      <c r="G83" s="1" t="n">
        <v>20</v>
      </c>
      <c r="H83" s="1" t="s">
        <v>94</v>
      </c>
      <c r="I83" s="1" t="n">
        <v>-3</v>
      </c>
      <c r="J83" s="1" t="n">
        <v>44.5</v>
      </c>
      <c r="K83" s="1" t="s">
        <v>148</v>
      </c>
      <c r="L83" s="1" t="b">
        <f aca="false">FALSE()</f>
        <v>0</v>
      </c>
      <c r="M83" s="1" t="str">
        <f aca="false">VLOOKUP(D83,'Team Reference'!$A:$B,2,FALSE())</f>
        <v>NE</v>
      </c>
      <c r="N83" s="1" t="str">
        <f aca="false">VLOOKUP(E83,'Team Reference'!$A:$B,2,FALSE())</f>
        <v>BAL</v>
      </c>
      <c r="O83" s="1" t="str">
        <f aca="false">IF(F83&gt;G83,M83,IF(G83&gt;F83,N83,"Tie"))</f>
        <v>NE</v>
      </c>
      <c r="P83" s="1" t="n">
        <f aca="false">F83-G83</f>
        <v>3</v>
      </c>
      <c r="Q83" s="1" t="n">
        <f aca="false">F83+G83</f>
        <v>43</v>
      </c>
      <c r="R83" s="1" t="str">
        <f aca="false">IF(H83=M83,"Home",IF(H83=N83,"Away",IF(H83="PICK","Pick","N/A")))</f>
        <v>Home</v>
      </c>
      <c r="S83" s="1" t="n">
        <f aca="false">IF(R83="Home",P83,IF(R83="Away",-P83,""))</f>
        <v>3</v>
      </c>
      <c r="T83" s="1" t="str">
        <f aca="false">IF(R83="Pick","No Line",IF(S83="","N/A",IF(S83+I83&gt;0,"Favorite Covered",IF(S83+I83&lt;0,"Underdog Covered","Push"))))</f>
        <v>Push</v>
      </c>
      <c r="U83" s="1" t="str">
        <f aca="false">IF(Q83&gt;J83,"Over",IF(Q83&lt;J83,"Under","Push"))</f>
        <v>Under</v>
      </c>
    </row>
    <row r="84" customFormat="false" ht="15" hidden="false" customHeight="false" outlineLevel="0" collapsed="false">
      <c r="A84" s="1" t="s">
        <v>187</v>
      </c>
      <c r="B84" s="1" t="n">
        <v>2010</v>
      </c>
      <c r="C84" s="1" t="s">
        <v>188</v>
      </c>
      <c r="D84" s="1" t="s">
        <v>97</v>
      </c>
      <c r="E84" s="1" t="s">
        <v>73</v>
      </c>
      <c r="F84" s="1" t="n">
        <v>28</v>
      </c>
      <c r="G84" s="1" t="n">
        <v>20</v>
      </c>
      <c r="H84" s="1" t="s">
        <v>98</v>
      </c>
      <c r="I84" s="1" t="n">
        <v>-10</v>
      </c>
      <c r="J84" s="1" t="n">
        <v>45.5</v>
      </c>
      <c r="K84" s="1" t="s">
        <v>149</v>
      </c>
      <c r="L84" s="1" t="b">
        <f aca="false">FALSE()</f>
        <v>0</v>
      </c>
      <c r="M84" s="1" t="str">
        <f aca="false">VLOOKUP(D84,'Team Reference'!$A:$B,2,FALSE())</f>
        <v>NYG</v>
      </c>
      <c r="N84" s="1" t="str">
        <f aca="false">VLOOKUP(E84,'Team Reference'!$A:$B,2,FALSE())</f>
        <v>DET</v>
      </c>
      <c r="O84" s="1" t="str">
        <f aca="false">IF(F84&gt;G84,M84,IF(G84&gt;F84,N84,"Tie"))</f>
        <v>NYG</v>
      </c>
      <c r="P84" s="1" t="n">
        <f aca="false">F84-G84</f>
        <v>8</v>
      </c>
      <c r="Q84" s="1" t="n">
        <f aca="false">F84+G84</f>
        <v>48</v>
      </c>
      <c r="R84" s="1" t="str">
        <f aca="false">IF(H84=M84,"Home",IF(H84=N84,"Away",IF(H84="PICK","Pick","N/A")))</f>
        <v>Home</v>
      </c>
      <c r="S84" s="1" t="n">
        <f aca="false">IF(R84="Home",P84,IF(R84="Away",-P84,""))</f>
        <v>8</v>
      </c>
      <c r="T84" s="1" t="str">
        <f aca="false">IF(R84="Pick","No Line",IF(S84="","N/A",IF(S84+I84&gt;0,"Favorite Covered",IF(S84+I84&lt;0,"Underdog Covered","Push"))))</f>
        <v>Underdog Covered</v>
      </c>
      <c r="U84" s="1" t="str">
        <f aca="false">IF(Q84&gt;J84,"Over",IF(Q84&lt;J84,"Under","Push"))</f>
        <v>Over</v>
      </c>
    </row>
    <row r="85" customFormat="false" ht="15" hidden="false" customHeight="false" outlineLevel="0" collapsed="false">
      <c r="A85" s="1" t="s">
        <v>187</v>
      </c>
      <c r="B85" s="1" t="n">
        <v>2010</v>
      </c>
      <c r="C85" s="1" t="s">
        <v>188</v>
      </c>
      <c r="D85" s="1" t="s">
        <v>103</v>
      </c>
      <c r="E85" s="1" t="s">
        <v>55</v>
      </c>
      <c r="F85" s="1" t="n">
        <v>31</v>
      </c>
      <c r="G85" s="1" t="n">
        <v>17</v>
      </c>
      <c r="H85" s="1" t="s">
        <v>104</v>
      </c>
      <c r="I85" s="1" t="n">
        <v>-1.5</v>
      </c>
      <c r="J85" s="1" t="n">
        <v>43</v>
      </c>
      <c r="K85" s="1" t="s">
        <v>150</v>
      </c>
      <c r="L85" s="1" t="b">
        <f aca="false">FALSE()</f>
        <v>0</v>
      </c>
      <c r="M85" s="1" t="str">
        <f aca="false">VLOOKUP(D85,'Team Reference'!$A:$B,2,FALSE())</f>
        <v>PHI</v>
      </c>
      <c r="N85" s="1" t="str">
        <f aca="false">VLOOKUP(E85,'Team Reference'!$A:$B,2,FALSE())</f>
        <v>ATL</v>
      </c>
      <c r="O85" s="1" t="str">
        <f aca="false">IF(F85&gt;G85,M85,IF(G85&gt;F85,N85,"Tie"))</f>
        <v>PHI</v>
      </c>
      <c r="P85" s="1" t="n">
        <f aca="false">F85-G85</f>
        <v>14</v>
      </c>
      <c r="Q85" s="1" t="n">
        <f aca="false">F85+G85</f>
        <v>48</v>
      </c>
      <c r="R85" s="1" t="str">
        <f aca="false">IF(H85=M85,"Home",IF(H85=N85,"Away",IF(H85="PICK","Pick","N/A")))</f>
        <v>Home</v>
      </c>
      <c r="S85" s="1" t="n">
        <f aca="false">IF(R85="Home",P85,IF(R85="Away",-P85,""))</f>
        <v>14</v>
      </c>
      <c r="T85" s="1" t="str">
        <f aca="false">IF(R85="Pick","No Line",IF(S85="","N/A",IF(S85+I85&gt;0,"Favorite Covered",IF(S85+I85&lt;0,"Underdog Covered","Push"))))</f>
        <v>Favorite Covered</v>
      </c>
      <c r="U85" s="1" t="str">
        <f aca="false">IF(Q85&gt;J85,"Over",IF(Q85&lt;J85,"Under","Push"))</f>
        <v>Over</v>
      </c>
    </row>
    <row r="86" customFormat="false" ht="15" hidden="false" customHeight="false" outlineLevel="0" collapsed="false">
      <c r="A86" s="1" t="s">
        <v>187</v>
      </c>
      <c r="B86" s="1" t="n">
        <v>2010</v>
      </c>
      <c r="C86" s="1" t="s">
        <v>188</v>
      </c>
      <c r="D86" s="1" t="s">
        <v>105</v>
      </c>
      <c r="E86" s="1" t="s">
        <v>67</v>
      </c>
      <c r="F86" s="1" t="n">
        <v>28</v>
      </c>
      <c r="G86" s="1" t="n">
        <v>10</v>
      </c>
      <c r="H86" s="1" t="s">
        <v>106</v>
      </c>
      <c r="I86" s="1" t="n">
        <v>-14</v>
      </c>
      <c r="J86" s="1" t="n">
        <v>37.5</v>
      </c>
      <c r="K86" s="1" t="s">
        <v>151</v>
      </c>
      <c r="L86" s="1" t="b">
        <f aca="false">FALSE()</f>
        <v>0</v>
      </c>
      <c r="M86" s="1" t="str">
        <f aca="false">VLOOKUP(D86,'Team Reference'!$A:$B,2,FALSE())</f>
        <v>PIT</v>
      </c>
      <c r="N86" s="1" t="str">
        <f aca="false">VLOOKUP(E86,'Team Reference'!$A:$B,2,FALSE())</f>
        <v>CLE</v>
      </c>
      <c r="O86" s="1" t="str">
        <f aca="false">IF(F86&gt;G86,M86,IF(G86&gt;F86,N86,"Tie"))</f>
        <v>PIT</v>
      </c>
      <c r="P86" s="1" t="n">
        <f aca="false">F86-G86</f>
        <v>18</v>
      </c>
      <c r="Q86" s="1" t="n">
        <f aca="false">F86+G86</f>
        <v>38</v>
      </c>
      <c r="R86" s="1" t="str">
        <f aca="false">IF(H86=M86,"Home",IF(H86=N86,"Away",IF(H86="PICK","Pick","N/A")))</f>
        <v>Home</v>
      </c>
      <c r="S86" s="1" t="n">
        <f aca="false">IF(R86="Home",P86,IF(R86="Away",-P86,""))</f>
        <v>18</v>
      </c>
      <c r="T86" s="1" t="str">
        <f aca="false">IF(R86="Pick","No Line",IF(S86="","N/A",IF(S86+I86&gt;0,"Favorite Covered",IF(S86+I86&lt;0,"Underdog Covered","Push"))))</f>
        <v>Favorite Covered</v>
      </c>
      <c r="U86" s="1" t="str">
        <f aca="false">IF(Q86&gt;J86,"Over",IF(Q86&lt;J86,"Under","Push"))</f>
        <v>Over</v>
      </c>
    </row>
    <row r="87" customFormat="false" ht="15" hidden="false" customHeight="false" outlineLevel="0" collapsed="false">
      <c r="A87" s="1" t="s">
        <v>187</v>
      </c>
      <c r="B87" s="1" t="n">
        <v>2010</v>
      </c>
      <c r="C87" s="1" t="s">
        <v>188</v>
      </c>
      <c r="D87" s="1" t="s">
        <v>108</v>
      </c>
      <c r="E87" s="1" t="s">
        <v>101</v>
      </c>
      <c r="F87" s="1" t="n">
        <v>17</v>
      </c>
      <c r="G87" s="1" t="n">
        <v>9</v>
      </c>
      <c r="H87" s="1" t="s">
        <v>109</v>
      </c>
      <c r="I87" s="1" t="n">
        <v>-7</v>
      </c>
      <c r="J87" s="1" t="n">
        <v>41</v>
      </c>
      <c r="K87" s="1" t="s">
        <v>174</v>
      </c>
      <c r="L87" s="1" t="b">
        <f aca="false">FALSE()</f>
        <v>0</v>
      </c>
      <c r="M87" s="1" t="str">
        <f aca="false">VLOOKUP(D87,'Team Reference'!$A:$B,2,FALSE())</f>
        <v>SF</v>
      </c>
      <c r="N87" s="1" t="str">
        <f aca="false">VLOOKUP(E87,'Team Reference'!$A:$B,2,FALSE())</f>
        <v>OAK</v>
      </c>
      <c r="O87" s="1" t="str">
        <f aca="false">IF(F87&gt;G87,M87,IF(G87&gt;F87,N87,"Tie"))</f>
        <v>SF</v>
      </c>
      <c r="P87" s="1" t="n">
        <f aca="false">F87-G87</f>
        <v>8</v>
      </c>
      <c r="Q87" s="1" t="n">
        <f aca="false">F87+G87</f>
        <v>26</v>
      </c>
      <c r="R87" s="1" t="str">
        <f aca="false">IF(H87=M87,"Home",IF(H87=N87,"Away",IF(H87="PICK","Pick","N/A")))</f>
        <v>Home</v>
      </c>
      <c r="S87" s="1" t="n">
        <f aca="false">IF(R87="Home",P87,IF(R87="Away",-P87,""))</f>
        <v>8</v>
      </c>
      <c r="T87" s="1" t="str">
        <f aca="false">IF(R87="Pick","No Line",IF(S87="","N/A",IF(S87+I87&gt;0,"Favorite Covered",IF(S87+I87&lt;0,"Underdog Covered","Push"))))</f>
        <v>Favorite Covered</v>
      </c>
      <c r="U87" s="1" t="str">
        <f aca="false">IF(Q87&gt;J87,"Over",IF(Q87&lt;J87,"Under","Push"))</f>
        <v>Under</v>
      </c>
    </row>
    <row r="88" customFormat="false" ht="15" hidden="false" customHeight="false" outlineLevel="0" collapsed="false">
      <c r="A88" s="1" t="s">
        <v>187</v>
      </c>
      <c r="B88" s="1" t="n">
        <v>2010</v>
      </c>
      <c r="C88" s="1" t="s">
        <v>188</v>
      </c>
      <c r="D88" s="1" t="s">
        <v>112</v>
      </c>
      <c r="E88" s="1" t="s">
        <v>107</v>
      </c>
      <c r="F88" s="1" t="n">
        <v>20</v>
      </c>
      <c r="G88" s="1" t="n">
        <v>17</v>
      </c>
      <c r="H88" s="1" t="s">
        <v>86</v>
      </c>
      <c r="I88" s="1" t="n">
        <v>-8.5</v>
      </c>
      <c r="J88" s="1" t="n">
        <v>45</v>
      </c>
      <c r="K88" s="1" t="s">
        <v>153</v>
      </c>
      <c r="L88" s="1" t="b">
        <f aca="false">FALSE()</f>
        <v>0</v>
      </c>
      <c r="M88" s="1" t="str">
        <f aca="false">VLOOKUP(D88,'Team Reference'!$A:$B,2,FALSE())</f>
        <v>LAR</v>
      </c>
      <c r="N88" s="1" t="str">
        <f aca="false">VLOOKUP(E88,'Team Reference'!$A:$B,2,FALSE())</f>
        <v>LAC</v>
      </c>
      <c r="O88" s="1" t="str">
        <f aca="false">IF(F88&gt;G88,M88,IF(G88&gt;F88,N88,"Tie"))</f>
        <v>LAR</v>
      </c>
      <c r="P88" s="1" t="n">
        <f aca="false">F88-G88</f>
        <v>3</v>
      </c>
      <c r="Q88" s="1" t="n">
        <f aca="false">F88+G88</f>
        <v>37</v>
      </c>
      <c r="R88" s="1" t="str">
        <f aca="false">IF(H88=M88,"Home",IF(H88=N88,"Away",IF(H88="PICK","Pick","N/A")))</f>
        <v>Away</v>
      </c>
      <c r="S88" s="1" t="n">
        <f aca="false">IF(R88="Home",P88,IF(R88="Away",-P88,""))</f>
        <v>-3</v>
      </c>
      <c r="T88" s="1" t="str">
        <f aca="false">IF(R88="Pick","No Line",IF(S88="","N/A",IF(S88+I88&gt;0,"Favorite Covered",IF(S88+I88&lt;0,"Underdog Covered","Push"))))</f>
        <v>Underdog Covered</v>
      </c>
      <c r="U88" s="1" t="str">
        <f aca="false">IF(Q88&gt;J88,"Over",IF(Q88&lt;J88,"Under","Push"))</f>
        <v>Under</v>
      </c>
    </row>
    <row r="89" customFormat="false" ht="15" hidden="false" customHeight="false" outlineLevel="0" collapsed="false">
      <c r="A89" s="1" t="s">
        <v>187</v>
      </c>
      <c r="B89" s="1" t="n">
        <v>2010</v>
      </c>
      <c r="C89" s="1" t="s">
        <v>188</v>
      </c>
      <c r="D89" s="1" t="s">
        <v>113</v>
      </c>
      <c r="E89" s="1" t="s">
        <v>95</v>
      </c>
      <c r="F89" s="1" t="n">
        <v>6</v>
      </c>
      <c r="G89" s="1" t="n">
        <v>31</v>
      </c>
      <c r="H89" s="1" t="s">
        <v>96</v>
      </c>
      <c r="I89" s="1" t="n">
        <v>-5.5</v>
      </c>
      <c r="J89" s="1" t="n">
        <v>44</v>
      </c>
      <c r="K89" s="1" t="s">
        <v>154</v>
      </c>
      <c r="L89" s="1" t="b">
        <f aca="false">FALSE()</f>
        <v>0</v>
      </c>
      <c r="M89" s="1" t="str">
        <f aca="false">VLOOKUP(D89,'Team Reference'!$A:$B,2,FALSE())</f>
        <v>TB</v>
      </c>
      <c r="N89" s="1" t="str">
        <f aca="false">VLOOKUP(E89,'Team Reference'!$A:$B,2,FALSE())</f>
        <v>NO</v>
      </c>
      <c r="O89" s="1" t="str">
        <f aca="false">IF(F89&gt;G89,M89,IF(G89&gt;F89,N89,"Tie"))</f>
        <v>NO</v>
      </c>
      <c r="P89" s="1" t="n">
        <f aca="false">F89-G89</f>
        <v>-25</v>
      </c>
      <c r="Q89" s="1" t="n">
        <f aca="false">F89+G89</f>
        <v>37</v>
      </c>
      <c r="R89" s="1" t="str">
        <f aca="false">IF(H89=M89,"Home",IF(H89=N89,"Away",IF(H89="PICK","Pick","N/A")))</f>
        <v>Away</v>
      </c>
      <c r="S89" s="1" t="n">
        <f aca="false">IF(R89="Home",P89,IF(R89="Away",-P89,""))</f>
        <v>25</v>
      </c>
      <c r="T89" s="1" t="str">
        <f aca="false">IF(R89="Pick","No Line",IF(S89="","N/A",IF(S89+I89&gt;0,"Favorite Covered",IF(S89+I89&lt;0,"Underdog Covered","Push"))))</f>
        <v>Favorite Covered</v>
      </c>
      <c r="U89" s="1" t="str">
        <f aca="false">IF(Q89&gt;J89,"Over",IF(Q89&lt;J89,"Under","Push"))</f>
        <v>Under</v>
      </c>
    </row>
    <row r="90" customFormat="false" ht="15" hidden="false" customHeight="false" outlineLevel="0" collapsed="false">
      <c r="A90" s="1" t="s">
        <v>187</v>
      </c>
      <c r="B90" s="1" t="n">
        <v>2010</v>
      </c>
      <c r="C90" s="1" t="s">
        <v>188</v>
      </c>
      <c r="D90" s="1" t="s">
        <v>117</v>
      </c>
      <c r="E90" s="1" t="s">
        <v>79</v>
      </c>
      <c r="F90" s="1" t="n">
        <v>24</v>
      </c>
      <c r="G90" s="1" t="n">
        <v>27</v>
      </c>
      <c r="H90" s="1" t="s">
        <v>80</v>
      </c>
      <c r="I90" s="1" t="n">
        <v>-3</v>
      </c>
      <c r="J90" s="1" t="n">
        <v>45</v>
      </c>
      <c r="K90" s="1" t="s">
        <v>156</v>
      </c>
      <c r="L90" s="1" t="b">
        <f aca="false">FALSE()</f>
        <v>0</v>
      </c>
      <c r="M90" s="1" t="str">
        <f aca="false">VLOOKUP(D90,'Team Reference'!$A:$B,2,FALSE())</f>
        <v>WAS</v>
      </c>
      <c r="N90" s="1" t="str">
        <f aca="false">VLOOKUP(E90,'Team Reference'!$A:$B,2,FALSE())</f>
        <v>IND</v>
      </c>
      <c r="O90" s="1" t="str">
        <f aca="false">IF(F90&gt;G90,M90,IF(G90&gt;F90,N90,"Tie"))</f>
        <v>IND</v>
      </c>
      <c r="P90" s="1" t="n">
        <f aca="false">F90-G90</f>
        <v>-3</v>
      </c>
      <c r="Q90" s="1" t="n">
        <f aca="false">F90+G90</f>
        <v>51</v>
      </c>
      <c r="R90" s="1" t="str">
        <f aca="false">IF(H90=M90,"Home",IF(H90=N90,"Away",IF(H90="PICK","Pick","N/A")))</f>
        <v>Away</v>
      </c>
      <c r="S90" s="1" t="n">
        <f aca="false">IF(R90="Home",P90,IF(R90="Away",-P90,""))</f>
        <v>3</v>
      </c>
      <c r="T90" s="1" t="str">
        <f aca="false">IF(R90="Pick","No Line",IF(S90="","N/A",IF(S90+I90&gt;0,"Favorite Covered",IF(S90+I90&lt;0,"Underdog Covered","Push"))))</f>
        <v>Push</v>
      </c>
      <c r="U90" s="1" t="str">
        <f aca="false">IF(Q90&gt;J90,"Over",IF(Q90&lt;J90,"Under","Push"))</f>
        <v>Over</v>
      </c>
    </row>
    <row r="91" customFormat="false" ht="15" hidden="false" customHeight="false" outlineLevel="0" collapsed="false">
      <c r="A91" s="1" t="s">
        <v>189</v>
      </c>
      <c r="B91" s="1" t="n">
        <v>2010</v>
      </c>
      <c r="C91" s="1" t="s">
        <v>188</v>
      </c>
      <c r="D91" s="1" t="s">
        <v>81</v>
      </c>
      <c r="E91" s="1" t="s">
        <v>115</v>
      </c>
      <c r="F91" s="1" t="n">
        <v>3</v>
      </c>
      <c r="G91" s="1" t="n">
        <v>30</v>
      </c>
      <c r="H91" s="1" t="s">
        <v>116</v>
      </c>
      <c r="I91" s="1" t="n">
        <v>-3</v>
      </c>
      <c r="J91" s="1" t="n">
        <v>43.5</v>
      </c>
      <c r="K91" s="1" t="s">
        <v>147</v>
      </c>
      <c r="L91" s="1" t="b">
        <f aca="false">FALSE()</f>
        <v>0</v>
      </c>
      <c r="M91" s="1" t="str">
        <f aca="false">VLOOKUP(D91,'Team Reference'!$A:$B,2,FALSE())</f>
        <v>JAX</v>
      </c>
      <c r="N91" s="1" t="str">
        <f aca="false">VLOOKUP(E91,'Team Reference'!$A:$B,2,FALSE())</f>
        <v>TEN</v>
      </c>
      <c r="O91" s="1" t="str">
        <f aca="false">IF(F91&gt;G91,M91,IF(G91&gt;F91,N91,"Tie"))</f>
        <v>TEN</v>
      </c>
      <c r="P91" s="1" t="n">
        <f aca="false">F91-G91</f>
        <v>-27</v>
      </c>
      <c r="Q91" s="1" t="n">
        <f aca="false">F91+G91</f>
        <v>33</v>
      </c>
      <c r="R91" s="1" t="str">
        <f aca="false">IF(H91=M91,"Home",IF(H91=N91,"Away",IF(H91="PICK","Pick","N/A")))</f>
        <v>Away</v>
      </c>
      <c r="S91" s="1" t="n">
        <f aca="false">IF(R91="Home",P91,IF(R91="Away",-P91,""))</f>
        <v>27</v>
      </c>
      <c r="T91" s="1" t="str">
        <f aca="false">IF(R91="Pick","No Line",IF(S91="","N/A",IF(S91+I91&gt;0,"Favorite Covered",IF(S91+I91&lt;0,"Underdog Covered","Push"))))</f>
        <v>Favorite Covered</v>
      </c>
      <c r="U91" s="1" t="str">
        <f aca="false">IF(Q91&gt;J91,"Over",IF(Q91&lt;J91,"Under","Push"))</f>
        <v>Under</v>
      </c>
    </row>
    <row r="92" customFormat="false" ht="15" hidden="false" customHeight="false" outlineLevel="0" collapsed="false">
      <c r="A92" s="1" t="s">
        <v>190</v>
      </c>
      <c r="B92" s="1" t="n">
        <v>2010</v>
      </c>
      <c r="C92" s="1" t="s">
        <v>191</v>
      </c>
      <c r="D92" s="1" t="s">
        <v>55</v>
      </c>
      <c r="E92" s="1" t="s">
        <v>65</v>
      </c>
      <c r="F92" s="1" t="n">
        <v>39</v>
      </c>
      <c r="G92" s="1" t="n">
        <v>32</v>
      </c>
      <c r="H92" s="1" t="s">
        <v>56</v>
      </c>
      <c r="I92" s="1" t="n">
        <v>-3.5</v>
      </c>
      <c r="J92" s="1" t="n">
        <v>43</v>
      </c>
      <c r="K92" s="1" t="s">
        <v>161</v>
      </c>
      <c r="L92" s="1" t="b">
        <f aca="false">FALSE()</f>
        <v>0</v>
      </c>
      <c r="M92" s="1" t="str">
        <f aca="false">VLOOKUP(D92,'Team Reference'!$A:$B,2,FALSE())</f>
        <v>ATL</v>
      </c>
      <c r="N92" s="1" t="str">
        <f aca="false">VLOOKUP(E92,'Team Reference'!$A:$B,2,FALSE())</f>
        <v>CIN</v>
      </c>
      <c r="O92" s="1" t="str">
        <f aca="false">IF(F92&gt;G92,M92,IF(G92&gt;F92,N92,"Tie"))</f>
        <v>ATL</v>
      </c>
      <c r="P92" s="1" t="n">
        <f aca="false">F92-G92</f>
        <v>7</v>
      </c>
      <c r="Q92" s="1" t="n">
        <f aca="false">F92+G92</f>
        <v>71</v>
      </c>
      <c r="R92" s="1" t="str">
        <f aca="false">IF(H92=M92,"Home",IF(H92=N92,"Away",IF(H92="PICK","Pick","N/A")))</f>
        <v>Home</v>
      </c>
      <c r="S92" s="1" t="n">
        <f aca="false">IF(R92="Home",P92,IF(R92="Away",-P92,""))</f>
        <v>7</v>
      </c>
      <c r="T92" s="1" t="str">
        <f aca="false">IF(R92="Pick","No Line",IF(S92="","N/A",IF(S92+I92&gt;0,"Favorite Covered",IF(S92+I92&lt;0,"Underdog Covered","Push"))))</f>
        <v>Favorite Covered</v>
      </c>
      <c r="U92" s="1" t="str">
        <f aca="false">IF(Q92&gt;J92,"Over",IF(Q92&lt;J92,"Under","Push"))</f>
        <v>Over</v>
      </c>
    </row>
    <row r="93" customFormat="false" ht="15" hidden="false" customHeight="false" outlineLevel="0" collapsed="false">
      <c r="A93" s="1" t="s">
        <v>190</v>
      </c>
      <c r="B93" s="1" t="n">
        <v>2010</v>
      </c>
      <c r="C93" s="1" t="s">
        <v>191</v>
      </c>
      <c r="D93" s="1" t="s">
        <v>57</v>
      </c>
      <c r="E93" s="1" t="s">
        <v>59</v>
      </c>
      <c r="F93" s="1" t="n">
        <v>37</v>
      </c>
      <c r="G93" s="1" t="n">
        <v>34</v>
      </c>
      <c r="H93" s="1" t="s">
        <v>58</v>
      </c>
      <c r="I93" s="1" t="n">
        <v>-12.5</v>
      </c>
      <c r="J93" s="1" t="n">
        <v>40</v>
      </c>
      <c r="K93" s="1" t="s">
        <v>178</v>
      </c>
      <c r="L93" s="1" t="b">
        <f aca="false">FALSE()</f>
        <v>0</v>
      </c>
      <c r="M93" s="1" t="str">
        <f aca="false">VLOOKUP(D93,'Team Reference'!$A:$B,2,FALSE())</f>
        <v>BAL</v>
      </c>
      <c r="N93" s="1" t="str">
        <f aca="false">VLOOKUP(E93,'Team Reference'!$A:$B,2,FALSE())</f>
        <v>BUF</v>
      </c>
      <c r="O93" s="1" t="str">
        <f aca="false">IF(F93&gt;G93,M93,IF(G93&gt;F93,N93,"Tie"))</f>
        <v>BAL</v>
      </c>
      <c r="P93" s="1" t="n">
        <f aca="false">F93-G93</f>
        <v>3</v>
      </c>
      <c r="Q93" s="1" t="n">
        <f aca="false">F93+G93</f>
        <v>71</v>
      </c>
      <c r="R93" s="1" t="str">
        <f aca="false">IF(H93=M93,"Home",IF(H93=N93,"Away",IF(H93="PICK","Pick","N/A")))</f>
        <v>Home</v>
      </c>
      <c r="S93" s="1" t="n">
        <f aca="false">IF(R93="Home",P93,IF(R93="Away",-P93,""))</f>
        <v>3</v>
      </c>
      <c r="T93" s="1" t="str">
        <f aca="false">IF(R93="Pick","No Line",IF(S93="","N/A",IF(S93+I93&gt;0,"Favorite Covered",IF(S93+I93&lt;0,"Underdog Covered","Push"))))</f>
        <v>Underdog Covered</v>
      </c>
      <c r="U93" s="1" t="str">
        <f aca="false">IF(Q93&gt;J93,"Over",IF(Q93&lt;J93,"Under","Push"))</f>
        <v>Over</v>
      </c>
    </row>
    <row r="94" customFormat="false" ht="15" hidden="false" customHeight="false" outlineLevel="0" collapsed="false">
      <c r="A94" s="1" t="s">
        <v>190</v>
      </c>
      <c r="B94" s="1" t="n">
        <v>2010</v>
      </c>
      <c r="C94" s="1" t="s">
        <v>191</v>
      </c>
      <c r="D94" s="1" t="s">
        <v>61</v>
      </c>
      <c r="E94" s="1" t="s">
        <v>108</v>
      </c>
      <c r="F94" s="1" t="n">
        <v>23</v>
      </c>
      <c r="G94" s="1" t="n">
        <v>20</v>
      </c>
      <c r="H94" s="1" t="s">
        <v>109</v>
      </c>
      <c r="I94" s="1" t="n">
        <v>-2.5</v>
      </c>
      <c r="J94" s="1" t="n">
        <v>35.5</v>
      </c>
      <c r="K94" s="1" t="s">
        <v>162</v>
      </c>
      <c r="L94" s="1" t="b">
        <f aca="false">FALSE()</f>
        <v>0</v>
      </c>
      <c r="M94" s="1" t="str">
        <f aca="false">VLOOKUP(D94,'Team Reference'!$A:$B,2,FALSE())</f>
        <v>CAR</v>
      </c>
      <c r="N94" s="1" t="str">
        <f aca="false">VLOOKUP(E94,'Team Reference'!$A:$B,2,FALSE())</f>
        <v>SF</v>
      </c>
      <c r="O94" s="1" t="str">
        <f aca="false">IF(F94&gt;G94,M94,IF(G94&gt;F94,N94,"Tie"))</f>
        <v>CAR</v>
      </c>
      <c r="P94" s="1" t="n">
        <f aca="false">F94-G94</f>
        <v>3</v>
      </c>
      <c r="Q94" s="1" t="n">
        <f aca="false">F94+G94</f>
        <v>43</v>
      </c>
      <c r="R94" s="1" t="str">
        <f aca="false">IF(H94=M94,"Home",IF(H94=N94,"Away",IF(H94="PICK","Pick","N/A")))</f>
        <v>Away</v>
      </c>
      <c r="S94" s="1" t="n">
        <f aca="false">IF(R94="Home",P94,IF(R94="Away",-P94,""))</f>
        <v>-3</v>
      </c>
      <c r="T94" s="1" t="str">
        <f aca="false">IF(R94="Pick","No Line",IF(S94="","N/A",IF(S94+I94&gt;0,"Favorite Covered",IF(S94+I94&lt;0,"Underdog Covered","Push"))))</f>
        <v>Underdog Covered</v>
      </c>
      <c r="U94" s="1" t="str">
        <f aca="false">IF(Q94&gt;J94,"Over",IF(Q94&lt;J94,"Under","Push"))</f>
        <v>Over</v>
      </c>
    </row>
    <row r="95" customFormat="false" ht="15" hidden="false" customHeight="false" outlineLevel="0" collapsed="false">
      <c r="A95" s="1" t="s">
        <v>190</v>
      </c>
      <c r="B95" s="1" t="n">
        <v>2010</v>
      </c>
      <c r="C95" s="1" t="s">
        <v>191</v>
      </c>
      <c r="D95" s="1" t="s">
        <v>63</v>
      </c>
      <c r="E95" s="1" t="s">
        <v>117</v>
      </c>
      <c r="F95" s="1" t="n">
        <v>14</v>
      </c>
      <c r="G95" s="1" t="n">
        <v>17</v>
      </c>
      <c r="H95" s="1" t="s">
        <v>64</v>
      </c>
      <c r="I95" s="1" t="n">
        <v>-3</v>
      </c>
      <c r="J95" s="1" t="n">
        <v>40</v>
      </c>
      <c r="K95" s="1" t="s">
        <v>145</v>
      </c>
      <c r="L95" s="1" t="b">
        <f aca="false">FALSE()</f>
        <v>0</v>
      </c>
      <c r="M95" s="1" t="str">
        <f aca="false">VLOOKUP(D95,'Team Reference'!$A:$B,2,FALSE())</f>
        <v>CHI</v>
      </c>
      <c r="N95" s="1" t="str">
        <f aca="false">VLOOKUP(E95,'Team Reference'!$A:$B,2,FALSE())</f>
        <v>WAS</v>
      </c>
      <c r="O95" s="1" t="str">
        <f aca="false">IF(F95&gt;G95,M95,IF(G95&gt;F95,N95,"Tie"))</f>
        <v>WAS</v>
      </c>
      <c r="P95" s="1" t="n">
        <f aca="false">F95-G95</f>
        <v>-3</v>
      </c>
      <c r="Q95" s="1" t="n">
        <f aca="false">F95+G95</f>
        <v>31</v>
      </c>
      <c r="R95" s="1" t="str">
        <f aca="false">IF(H95=M95,"Home",IF(H95=N95,"Away",IF(H95="PICK","Pick","N/A")))</f>
        <v>Home</v>
      </c>
      <c r="S95" s="1" t="n">
        <f aca="false">IF(R95="Home",P95,IF(R95="Away",-P95,""))</f>
        <v>-3</v>
      </c>
      <c r="T95" s="1" t="str">
        <f aca="false">IF(R95="Pick","No Line",IF(S95="","N/A",IF(S95+I95&gt;0,"Favorite Covered",IF(S95+I95&lt;0,"Underdog Covered","Push"))))</f>
        <v>Underdog Covered</v>
      </c>
      <c r="U95" s="1" t="str">
        <f aca="false">IF(Q95&gt;J95,"Over",IF(Q95&lt;J95,"Under","Push"))</f>
        <v>Under</v>
      </c>
    </row>
    <row r="96" customFormat="false" ht="15" hidden="false" customHeight="false" outlineLevel="0" collapsed="false">
      <c r="A96" s="1" t="s">
        <v>190</v>
      </c>
      <c r="B96" s="1" t="n">
        <v>2010</v>
      </c>
      <c r="C96" s="1" t="s">
        <v>191</v>
      </c>
      <c r="D96" s="1" t="s">
        <v>71</v>
      </c>
      <c r="E96" s="1" t="s">
        <v>101</v>
      </c>
      <c r="F96" s="1" t="n">
        <v>14</v>
      </c>
      <c r="G96" s="1" t="n">
        <v>59</v>
      </c>
      <c r="H96" s="1" t="s">
        <v>72</v>
      </c>
      <c r="I96" s="1" t="n">
        <v>-7</v>
      </c>
      <c r="J96" s="1" t="n">
        <v>43</v>
      </c>
      <c r="K96" s="1" t="s">
        <v>166</v>
      </c>
      <c r="L96" s="1" t="b">
        <f aca="false">FALSE()</f>
        <v>0</v>
      </c>
      <c r="M96" s="1" t="str">
        <f aca="false">VLOOKUP(D96,'Team Reference'!$A:$B,2,FALSE())</f>
        <v>DEN</v>
      </c>
      <c r="N96" s="1" t="str">
        <f aca="false">VLOOKUP(E96,'Team Reference'!$A:$B,2,FALSE())</f>
        <v>OAK</v>
      </c>
      <c r="O96" s="1" t="str">
        <f aca="false">IF(F96&gt;G96,M96,IF(G96&gt;F96,N96,"Tie"))</f>
        <v>OAK</v>
      </c>
      <c r="P96" s="1" t="n">
        <f aca="false">F96-G96</f>
        <v>-45</v>
      </c>
      <c r="Q96" s="1" t="n">
        <f aca="false">F96+G96</f>
        <v>73</v>
      </c>
      <c r="R96" s="1" t="str">
        <f aca="false">IF(H96=M96,"Home",IF(H96=N96,"Away",IF(H96="PICK","Pick","N/A")))</f>
        <v>Home</v>
      </c>
      <c r="S96" s="1" t="n">
        <f aca="false">IF(R96="Home",P96,IF(R96="Away",-P96,""))</f>
        <v>-45</v>
      </c>
      <c r="T96" s="1" t="str">
        <f aca="false">IF(R96="Pick","No Line",IF(S96="","N/A",IF(S96+I96&gt;0,"Favorite Covered",IF(S96+I96&lt;0,"Underdog Covered","Push"))))</f>
        <v>Underdog Covered</v>
      </c>
      <c r="U96" s="1" t="str">
        <f aca="false">IF(Q96&gt;J96,"Over",IF(Q96&lt;J96,"Under","Push"))</f>
        <v>Over</v>
      </c>
    </row>
    <row r="97" customFormat="false" ht="15" hidden="false" customHeight="false" outlineLevel="0" collapsed="false">
      <c r="A97" s="1" t="s">
        <v>190</v>
      </c>
      <c r="B97" s="1" t="n">
        <v>2010</v>
      </c>
      <c r="C97" s="1" t="s">
        <v>191</v>
      </c>
      <c r="D97" s="1" t="s">
        <v>75</v>
      </c>
      <c r="E97" s="1" t="s">
        <v>91</v>
      </c>
      <c r="F97" s="1" t="n">
        <v>28</v>
      </c>
      <c r="G97" s="1" t="n">
        <v>24</v>
      </c>
      <c r="H97" s="1" t="s">
        <v>76</v>
      </c>
      <c r="I97" s="1" t="n">
        <v>-2.5</v>
      </c>
      <c r="J97" s="1" t="n">
        <v>44.5</v>
      </c>
      <c r="K97" s="1" t="s">
        <v>168</v>
      </c>
      <c r="L97" s="1" t="b">
        <f aca="false">FALSE()</f>
        <v>0</v>
      </c>
      <c r="M97" s="1" t="str">
        <f aca="false">VLOOKUP(D97,'Team Reference'!$A:$B,2,FALSE())</f>
        <v>GB</v>
      </c>
      <c r="N97" s="1" t="str">
        <f aca="false">VLOOKUP(E97,'Team Reference'!$A:$B,2,FALSE())</f>
        <v>MIN</v>
      </c>
      <c r="O97" s="1" t="str">
        <f aca="false">IF(F97&gt;G97,M97,IF(G97&gt;F97,N97,"Tie"))</f>
        <v>GB</v>
      </c>
      <c r="P97" s="1" t="n">
        <f aca="false">F97-G97</f>
        <v>4</v>
      </c>
      <c r="Q97" s="1" t="n">
        <f aca="false">F97+G97</f>
        <v>52</v>
      </c>
      <c r="R97" s="1" t="str">
        <f aca="false">IF(H97=M97,"Home",IF(H97=N97,"Away",IF(H97="PICK","Pick","N/A")))</f>
        <v>Home</v>
      </c>
      <c r="S97" s="1" t="n">
        <f aca="false">IF(R97="Home",P97,IF(R97="Away",-P97,""))</f>
        <v>4</v>
      </c>
      <c r="T97" s="1" t="str">
        <f aca="false">IF(R97="Pick","No Line",IF(S97="","N/A",IF(S97+I97&gt;0,"Favorite Covered",IF(S97+I97&lt;0,"Underdog Covered","Push"))))</f>
        <v>Favorite Covered</v>
      </c>
      <c r="U97" s="1" t="str">
        <f aca="false">IF(Q97&gt;J97,"Over",IF(Q97&lt;J97,"Under","Push"))</f>
        <v>Over</v>
      </c>
    </row>
    <row r="98" customFormat="false" ht="15" hidden="false" customHeight="false" outlineLevel="0" collapsed="false">
      <c r="A98" s="1" t="s">
        <v>190</v>
      </c>
      <c r="B98" s="1" t="n">
        <v>2010</v>
      </c>
      <c r="C98" s="1" t="s">
        <v>191</v>
      </c>
      <c r="D98" s="1" t="s">
        <v>83</v>
      </c>
      <c r="E98" s="1" t="s">
        <v>81</v>
      </c>
      <c r="F98" s="1" t="n">
        <v>42</v>
      </c>
      <c r="G98" s="1" t="n">
        <v>20</v>
      </c>
      <c r="H98" s="1" t="s">
        <v>84</v>
      </c>
      <c r="I98" s="1" t="n">
        <v>-9</v>
      </c>
      <c r="J98" s="1" t="n">
        <v>39</v>
      </c>
      <c r="K98" s="1" t="s">
        <v>158</v>
      </c>
      <c r="L98" s="1" t="b">
        <f aca="false">FALSE()</f>
        <v>0</v>
      </c>
      <c r="M98" s="1" t="str">
        <f aca="false">VLOOKUP(D98,'Team Reference'!$A:$B,2,FALSE())</f>
        <v>KC</v>
      </c>
      <c r="N98" s="1" t="str">
        <f aca="false">VLOOKUP(E98,'Team Reference'!$A:$B,2,FALSE())</f>
        <v>JAX</v>
      </c>
      <c r="O98" s="1" t="str">
        <f aca="false">IF(F98&gt;G98,M98,IF(G98&gt;F98,N98,"Tie"))</f>
        <v>KC</v>
      </c>
      <c r="P98" s="1" t="n">
        <f aca="false">F98-G98</f>
        <v>22</v>
      </c>
      <c r="Q98" s="1" t="n">
        <f aca="false">F98+G98</f>
        <v>62</v>
      </c>
      <c r="R98" s="1" t="str">
        <f aca="false">IF(H98=M98,"Home",IF(H98=N98,"Away",IF(H98="PICK","Pick","N/A")))</f>
        <v>Home</v>
      </c>
      <c r="S98" s="1" t="n">
        <f aca="false">IF(R98="Home",P98,IF(R98="Away",-P98,""))</f>
        <v>22</v>
      </c>
      <c r="T98" s="1" t="str">
        <f aca="false">IF(R98="Pick","No Line",IF(S98="","N/A",IF(S98+I98&gt;0,"Favorite Covered",IF(S98+I98&lt;0,"Underdog Covered","Push"))))</f>
        <v>Favorite Covered</v>
      </c>
      <c r="U98" s="1" t="str">
        <f aca="false">IF(Q98&gt;J98,"Over",IF(Q98&lt;J98,"Under","Push"))</f>
        <v>Over</v>
      </c>
    </row>
    <row r="99" customFormat="false" ht="15" hidden="false" customHeight="false" outlineLevel="0" collapsed="false">
      <c r="A99" s="1" t="s">
        <v>190</v>
      </c>
      <c r="B99" s="1" t="n">
        <v>2010</v>
      </c>
      <c r="C99" s="1" t="s">
        <v>191</v>
      </c>
      <c r="D99" s="1" t="s">
        <v>89</v>
      </c>
      <c r="E99" s="1" t="s">
        <v>105</v>
      </c>
      <c r="F99" s="1" t="n">
        <v>22</v>
      </c>
      <c r="G99" s="1" t="n">
        <v>23</v>
      </c>
      <c r="H99" s="1" t="s">
        <v>106</v>
      </c>
      <c r="I99" s="1" t="n">
        <v>-3</v>
      </c>
      <c r="J99" s="1" t="n">
        <v>40.5</v>
      </c>
      <c r="K99" s="1" t="s">
        <v>179</v>
      </c>
      <c r="L99" s="1" t="b">
        <f aca="false">FALSE()</f>
        <v>0</v>
      </c>
      <c r="M99" s="1" t="str">
        <f aca="false">VLOOKUP(D99,'Team Reference'!$A:$B,2,FALSE())</f>
        <v>MIA</v>
      </c>
      <c r="N99" s="1" t="str">
        <f aca="false">VLOOKUP(E99,'Team Reference'!$A:$B,2,FALSE())</f>
        <v>PIT</v>
      </c>
      <c r="O99" s="1" t="str">
        <f aca="false">IF(F99&gt;G99,M99,IF(G99&gt;F99,N99,"Tie"))</f>
        <v>PIT</v>
      </c>
      <c r="P99" s="1" t="n">
        <f aca="false">F99-G99</f>
        <v>-1</v>
      </c>
      <c r="Q99" s="1" t="n">
        <f aca="false">F99+G99</f>
        <v>45</v>
      </c>
      <c r="R99" s="1" t="str">
        <f aca="false">IF(H99=M99,"Home",IF(H99=N99,"Away",IF(H99="PICK","Pick","N/A")))</f>
        <v>Away</v>
      </c>
      <c r="S99" s="1" t="n">
        <f aca="false">IF(R99="Home",P99,IF(R99="Away",-P99,""))</f>
        <v>1</v>
      </c>
      <c r="T99" s="1" t="str">
        <f aca="false">IF(R99="Pick","No Line",IF(S99="","N/A",IF(S99+I99&gt;0,"Favorite Covered",IF(S99+I99&lt;0,"Underdog Covered","Push"))))</f>
        <v>Underdog Covered</v>
      </c>
      <c r="U99" s="1" t="str">
        <f aca="false">IF(Q99&gt;J99,"Over",IF(Q99&lt;J99,"Under","Push"))</f>
        <v>Over</v>
      </c>
    </row>
    <row r="100" customFormat="false" ht="15" hidden="false" customHeight="false" outlineLevel="0" collapsed="false">
      <c r="A100" s="1" t="s">
        <v>190</v>
      </c>
      <c r="B100" s="1" t="n">
        <v>2010</v>
      </c>
      <c r="C100" s="1" t="s">
        <v>191</v>
      </c>
      <c r="D100" s="1" t="s">
        <v>95</v>
      </c>
      <c r="E100" s="1" t="s">
        <v>67</v>
      </c>
      <c r="F100" s="1" t="n">
        <v>17</v>
      </c>
      <c r="G100" s="1" t="n">
        <v>30</v>
      </c>
      <c r="H100" s="1" t="s">
        <v>96</v>
      </c>
      <c r="I100" s="1" t="n">
        <v>-12.5</v>
      </c>
      <c r="J100" s="1" t="n">
        <v>44</v>
      </c>
      <c r="K100" s="1" t="s">
        <v>142</v>
      </c>
      <c r="L100" s="1" t="b">
        <f aca="false">FALSE()</f>
        <v>0</v>
      </c>
      <c r="M100" s="1" t="str">
        <f aca="false">VLOOKUP(D100,'Team Reference'!$A:$B,2,FALSE())</f>
        <v>NO</v>
      </c>
      <c r="N100" s="1" t="str">
        <f aca="false">VLOOKUP(E100,'Team Reference'!$A:$B,2,FALSE())</f>
        <v>CLE</v>
      </c>
      <c r="O100" s="1" t="str">
        <f aca="false">IF(F100&gt;G100,M100,IF(G100&gt;F100,N100,"Tie"))</f>
        <v>CLE</v>
      </c>
      <c r="P100" s="1" t="n">
        <f aca="false">F100-G100</f>
        <v>-13</v>
      </c>
      <c r="Q100" s="1" t="n">
        <f aca="false">F100+G100</f>
        <v>47</v>
      </c>
      <c r="R100" s="1" t="str">
        <f aca="false">IF(H100=M100,"Home",IF(H100=N100,"Away",IF(H100="PICK","Pick","N/A")))</f>
        <v>Home</v>
      </c>
      <c r="S100" s="1" t="n">
        <f aca="false">IF(R100="Home",P100,IF(R100="Away",-P100,""))</f>
        <v>-13</v>
      </c>
      <c r="T100" s="1" t="str">
        <f aca="false">IF(R100="Pick","No Line",IF(S100="","N/A",IF(S100+I100&gt;0,"Favorite Covered",IF(S100+I100&lt;0,"Underdog Covered","Push"))))</f>
        <v>Underdog Covered</v>
      </c>
      <c r="U100" s="1" t="str">
        <f aca="false">IF(Q100&gt;J100,"Over",IF(Q100&lt;J100,"Under","Push"))</f>
        <v>Over</v>
      </c>
    </row>
    <row r="101" customFormat="false" ht="15" hidden="false" customHeight="false" outlineLevel="0" collapsed="false">
      <c r="A101" s="1" t="s">
        <v>190</v>
      </c>
      <c r="B101" s="1" t="n">
        <v>2010</v>
      </c>
      <c r="C101" s="1" t="s">
        <v>191</v>
      </c>
      <c r="D101" s="1" t="s">
        <v>107</v>
      </c>
      <c r="E101" s="1" t="s">
        <v>93</v>
      </c>
      <c r="F101" s="1" t="n">
        <v>20</v>
      </c>
      <c r="G101" s="1" t="n">
        <v>23</v>
      </c>
      <c r="H101" s="1" t="s">
        <v>86</v>
      </c>
      <c r="I101" s="1" t="n">
        <v>-1.5</v>
      </c>
      <c r="J101" s="1" t="n">
        <v>49.5</v>
      </c>
      <c r="K101" s="1" t="s">
        <v>172</v>
      </c>
      <c r="L101" s="1" t="b">
        <f aca="false">FALSE()</f>
        <v>0</v>
      </c>
      <c r="M101" s="1" t="str">
        <f aca="false">VLOOKUP(D101,'Team Reference'!$A:$B,2,FALSE())</f>
        <v>LAC</v>
      </c>
      <c r="N101" s="1" t="str">
        <f aca="false">VLOOKUP(E101,'Team Reference'!$A:$B,2,FALSE())</f>
        <v>NE</v>
      </c>
      <c r="O101" s="1" t="str">
        <f aca="false">IF(F101&gt;G101,M101,IF(G101&gt;F101,N101,"Tie"))</f>
        <v>NE</v>
      </c>
      <c r="P101" s="1" t="n">
        <f aca="false">F101-G101</f>
        <v>-3</v>
      </c>
      <c r="Q101" s="1" t="n">
        <f aca="false">F101+G101</f>
        <v>43</v>
      </c>
      <c r="R101" s="1" t="str">
        <f aca="false">IF(H101=M101,"Home",IF(H101=N101,"Away",IF(H101="PICK","Pick","N/A")))</f>
        <v>Home</v>
      </c>
      <c r="S101" s="1" t="n">
        <f aca="false">IF(R101="Home",P101,IF(R101="Away",-P101,""))</f>
        <v>-3</v>
      </c>
      <c r="T101" s="1" t="str">
        <f aca="false">IF(R101="Pick","No Line",IF(S101="","N/A",IF(S101+I101&gt;0,"Favorite Covered",IF(S101+I101&lt;0,"Underdog Covered","Push"))))</f>
        <v>Underdog Covered</v>
      </c>
      <c r="U101" s="1" t="str">
        <f aca="false">IF(Q101&gt;J101,"Over",IF(Q101&lt;J101,"Under","Push"))</f>
        <v>Under</v>
      </c>
    </row>
    <row r="102" customFormat="false" ht="15" hidden="false" customHeight="false" outlineLevel="0" collapsed="false">
      <c r="A102" s="1" t="s">
        <v>190</v>
      </c>
      <c r="B102" s="1" t="n">
        <v>2010</v>
      </c>
      <c r="C102" s="1" t="s">
        <v>191</v>
      </c>
      <c r="D102" s="1" t="s">
        <v>110</v>
      </c>
      <c r="E102" s="1" t="s">
        <v>53</v>
      </c>
      <c r="F102" s="1" t="n">
        <v>22</v>
      </c>
      <c r="G102" s="1" t="n">
        <v>10</v>
      </c>
      <c r="H102" s="1" t="s">
        <v>111</v>
      </c>
      <c r="I102" s="1" t="n">
        <v>-6.5</v>
      </c>
      <c r="J102" s="1" t="n">
        <v>40.5</v>
      </c>
      <c r="K102" s="1" t="s">
        <v>152</v>
      </c>
      <c r="L102" s="1" t="b">
        <f aca="false">FALSE()</f>
        <v>0</v>
      </c>
      <c r="M102" s="1" t="str">
        <f aca="false">VLOOKUP(D102,'Team Reference'!$A:$B,2,FALSE())</f>
        <v>SEA</v>
      </c>
      <c r="N102" s="1" t="str">
        <f aca="false">VLOOKUP(E102,'Team Reference'!$A:$B,2,FALSE())</f>
        <v>ARI</v>
      </c>
      <c r="O102" s="1" t="str">
        <f aca="false">IF(F102&gt;G102,M102,IF(G102&gt;F102,N102,"Tie"))</f>
        <v>SEA</v>
      </c>
      <c r="P102" s="1" t="n">
        <f aca="false">F102-G102</f>
        <v>12</v>
      </c>
      <c r="Q102" s="1" t="n">
        <f aca="false">F102+G102</f>
        <v>32</v>
      </c>
      <c r="R102" s="1" t="str">
        <f aca="false">IF(H102=M102,"Home",IF(H102=N102,"Away",IF(H102="PICK","Pick","N/A")))</f>
        <v>Home</v>
      </c>
      <c r="S102" s="1" t="n">
        <f aca="false">IF(R102="Home",P102,IF(R102="Away",-P102,""))</f>
        <v>12</v>
      </c>
      <c r="T102" s="1" t="str">
        <f aca="false">IF(R102="Pick","No Line",IF(S102="","N/A",IF(S102+I102&gt;0,"Favorite Covered",IF(S102+I102&lt;0,"Underdog Covered","Push"))))</f>
        <v>Favorite Covered</v>
      </c>
      <c r="U102" s="1" t="str">
        <f aca="false">IF(Q102&gt;J102,"Over",IF(Q102&lt;J102,"Under","Push"))</f>
        <v>Under</v>
      </c>
    </row>
    <row r="103" customFormat="false" ht="15" hidden="false" customHeight="false" outlineLevel="0" collapsed="false">
      <c r="A103" s="1" t="s">
        <v>190</v>
      </c>
      <c r="B103" s="1" t="n">
        <v>2010</v>
      </c>
      <c r="C103" s="1" t="s">
        <v>191</v>
      </c>
      <c r="D103" s="1" t="s">
        <v>113</v>
      </c>
      <c r="E103" s="1" t="s">
        <v>112</v>
      </c>
      <c r="F103" s="1" t="n">
        <v>18</v>
      </c>
      <c r="G103" s="1" t="n">
        <v>17</v>
      </c>
      <c r="H103" s="1" t="s">
        <v>114</v>
      </c>
      <c r="I103" s="1" t="n">
        <v>-3</v>
      </c>
      <c r="J103" s="1" t="n">
        <v>39</v>
      </c>
      <c r="K103" s="1" t="s">
        <v>154</v>
      </c>
      <c r="L103" s="1" t="b">
        <f aca="false">FALSE()</f>
        <v>0</v>
      </c>
      <c r="M103" s="1" t="str">
        <f aca="false">VLOOKUP(D103,'Team Reference'!$A:$B,2,FALSE())</f>
        <v>TB</v>
      </c>
      <c r="N103" s="1" t="str">
        <f aca="false">VLOOKUP(E103,'Team Reference'!$A:$B,2,FALSE())</f>
        <v>LAR</v>
      </c>
      <c r="O103" s="1" t="str">
        <f aca="false">IF(F103&gt;G103,M103,IF(G103&gt;F103,N103,"Tie"))</f>
        <v>TB</v>
      </c>
      <c r="P103" s="1" t="n">
        <f aca="false">F103-G103</f>
        <v>1</v>
      </c>
      <c r="Q103" s="1" t="n">
        <f aca="false">F103+G103</f>
        <v>35</v>
      </c>
      <c r="R103" s="1" t="str">
        <f aca="false">IF(H103=M103,"Home",IF(H103=N103,"Away",IF(H103="PICK","Pick","N/A")))</f>
        <v>Home</v>
      </c>
      <c r="S103" s="1" t="n">
        <f aca="false">IF(R103="Home",P103,IF(R103="Away",-P103,""))</f>
        <v>1</v>
      </c>
      <c r="T103" s="1" t="str">
        <f aca="false">IF(R103="Pick","No Line",IF(S103="","N/A",IF(S103+I103&gt;0,"Favorite Covered",IF(S103+I103&lt;0,"Underdog Covered","Push"))))</f>
        <v>Underdog Covered</v>
      </c>
      <c r="U103" s="1" t="str">
        <f aca="false">IF(Q103&gt;J103,"Over",IF(Q103&lt;J103,"Under","Push"))</f>
        <v>Under</v>
      </c>
    </row>
    <row r="104" customFormat="false" ht="15" hidden="false" customHeight="false" outlineLevel="0" collapsed="false">
      <c r="A104" s="1" t="s">
        <v>190</v>
      </c>
      <c r="B104" s="1" t="n">
        <v>2010</v>
      </c>
      <c r="C104" s="1" t="s">
        <v>191</v>
      </c>
      <c r="D104" s="1" t="s">
        <v>115</v>
      </c>
      <c r="E104" s="1" t="s">
        <v>103</v>
      </c>
      <c r="F104" s="1" t="n">
        <v>37</v>
      </c>
      <c r="G104" s="1" t="n">
        <v>19</v>
      </c>
      <c r="H104" s="1" t="s">
        <v>116</v>
      </c>
      <c r="I104" s="1" t="n">
        <v>-3</v>
      </c>
      <c r="J104" s="1" t="n">
        <v>42</v>
      </c>
      <c r="K104" s="1" t="s">
        <v>155</v>
      </c>
      <c r="L104" s="1" t="b">
        <f aca="false">FALSE()</f>
        <v>0</v>
      </c>
      <c r="M104" s="1" t="str">
        <f aca="false">VLOOKUP(D104,'Team Reference'!$A:$B,2,FALSE())</f>
        <v>TEN</v>
      </c>
      <c r="N104" s="1" t="str">
        <f aca="false">VLOOKUP(E104,'Team Reference'!$A:$B,2,FALSE())</f>
        <v>PHI</v>
      </c>
      <c r="O104" s="1" t="str">
        <f aca="false">IF(F104&gt;G104,M104,IF(G104&gt;F104,N104,"Tie"))</f>
        <v>TEN</v>
      </c>
      <c r="P104" s="1" t="n">
        <f aca="false">F104-G104</f>
        <v>18</v>
      </c>
      <c r="Q104" s="1" t="n">
        <f aca="false">F104+G104</f>
        <v>56</v>
      </c>
      <c r="R104" s="1" t="str">
        <f aca="false">IF(H104=M104,"Home",IF(H104=N104,"Away",IF(H104="PICK","Pick","N/A")))</f>
        <v>Home</v>
      </c>
      <c r="S104" s="1" t="n">
        <f aca="false">IF(R104="Home",P104,IF(R104="Away",-P104,""))</f>
        <v>18</v>
      </c>
      <c r="T104" s="1" t="str">
        <f aca="false">IF(R104="Pick","No Line",IF(S104="","N/A",IF(S104+I104&gt;0,"Favorite Covered",IF(S104+I104&lt;0,"Underdog Covered","Push"))))</f>
        <v>Favorite Covered</v>
      </c>
      <c r="U104" s="1" t="str">
        <f aca="false">IF(Q104&gt;J104,"Over",IF(Q104&lt;J104,"Under","Push"))</f>
        <v>Over</v>
      </c>
    </row>
    <row r="105" customFormat="false" ht="15" hidden="false" customHeight="false" outlineLevel="0" collapsed="false">
      <c r="A105" s="1" t="s">
        <v>192</v>
      </c>
      <c r="B105" s="1" t="n">
        <v>2010</v>
      </c>
      <c r="C105" s="1" t="s">
        <v>191</v>
      </c>
      <c r="D105" s="1" t="s">
        <v>69</v>
      </c>
      <c r="E105" s="1" t="s">
        <v>97</v>
      </c>
      <c r="F105" s="1" t="n">
        <v>35</v>
      </c>
      <c r="G105" s="1" t="n">
        <v>41</v>
      </c>
      <c r="H105" s="1" t="s">
        <v>70</v>
      </c>
      <c r="I105" s="1" t="n">
        <v>-3.5</v>
      </c>
      <c r="J105" s="1" t="n">
        <v>45.5</v>
      </c>
      <c r="K105" s="1" t="s">
        <v>165</v>
      </c>
      <c r="L105" s="1" t="b">
        <f aca="false">FALSE()</f>
        <v>0</v>
      </c>
      <c r="M105" s="1" t="str">
        <f aca="false">VLOOKUP(D105,'Team Reference'!$A:$B,2,FALSE())</f>
        <v>DAL</v>
      </c>
      <c r="N105" s="1" t="str">
        <f aca="false">VLOOKUP(E105,'Team Reference'!$A:$B,2,FALSE())</f>
        <v>NYG</v>
      </c>
      <c r="O105" s="1" t="str">
        <f aca="false">IF(F105&gt;G105,M105,IF(G105&gt;F105,N105,"Tie"))</f>
        <v>NYG</v>
      </c>
      <c r="P105" s="1" t="n">
        <f aca="false">F105-G105</f>
        <v>-6</v>
      </c>
      <c r="Q105" s="1" t="n">
        <f aca="false">F105+G105</f>
        <v>76</v>
      </c>
      <c r="R105" s="1" t="str">
        <f aca="false">IF(H105=M105,"Home",IF(H105=N105,"Away",IF(H105="PICK","Pick","N/A")))</f>
        <v>Home</v>
      </c>
      <c r="S105" s="1" t="n">
        <f aca="false">IF(R105="Home",P105,IF(R105="Away",-P105,""))</f>
        <v>-6</v>
      </c>
      <c r="T105" s="1" t="str">
        <f aca="false">IF(R105="Pick","No Line",IF(S105="","N/A",IF(S105+I105&gt;0,"Favorite Covered",IF(S105+I105&lt;0,"Underdog Covered","Push"))))</f>
        <v>Underdog Covered</v>
      </c>
      <c r="U105" s="1" t="str">
        <f aca="false">IF(Q105&gt;J105,"Over",IF(Q105&lt;J105,"Under","Push"))</f>
        <v>Over</v>
      </c>
    </row>
    <row r="106" customFormat="false" ht="15" hidden="false" customHeight="false" outlineLevel="0" collapsed="false">
      <c r="A106" s="1" t="s">
        <v>193</v>
      </c>
      <c r="B106" s="1" t="n">
        <v>2010</v>
      </c>
      <c r="C106" s="1" t="s">
        <v>194</v>
      </c>
      <c r="D106" s="1" t="s">
        <v>53</v>
      </c>
      <c r="E106" s="1" t="s">
        <v>113</v>
      </c>
      <c r="F106" s="1" t="n">
        <v>35</v>
      </c>
      <c r="G106" s="1" t="n">
        <v>38</v>
      </c>
      <c r="H106" s="1" t="s">
        <v>54</v>
      </c>
      <c r="I106" s="1" t="n">
        <v>-3</v>
      </c>
      <c r="J106" s="1" t="n">
        <v>38</v>
      </c>
      <c r="K106" s="1" t="s">
        <v>177</v>
      </c>
      <c r="L106" s="1" t="b">
        <f aca="false">FALSE()</f>
        <v>0</v>
      </c>
      <c r="M106" s="1" t="str">
        <f aca="false">VLOOKUP(D106,'Team Reference'!$A:$B,2,FALSE())</f>
        <v>ARI</v>
      </c>
      <c r="N106" s="1" t="str">
        <f aca="false">VLOOKUP(E106,'Team Reference'!$A:$B,2,FALSE())</f>
        <v>TB</v>
      </c>
      <c r="O106" s="1" t="str">
        <f aca="false">IF(F106&gt;G106,M106,IF(G106&gt;F106,N106,"Tie"))</f>
        <v>TB</v>
      </c>
      <c r="P106" s="1" t="n">
        <f aca="false">F106-G106</f>
        <v>-3</v>
      </c>
      <c r="Q106" s="1" t="n">
        <f aca="false">F106+G106</f>
        <v>73</v>
      </c>
      <c r="R106" s="1" t="str">
        <f aca="false">IF(H106=M106,"Home",IF(H106=N106,"Away",IF(H106="PICK","Pick","N/A")))</f>
        <v>Home</v>
      </c>
      <c r="S106" s="1" t="n">
        <f aca="false">IF(R106="Home",P106,IF(R106="Away",-P106,""))</f>
        <v>-3</v>
      </c>
      <c r="T106" s="1" t="str">
        <f aca="false">IF(R106="Pick","No Line",IF(S106="","N/A",IF(S106+I106&gt;0,"Favorite Covered",IF(S106+I106&lt;0,"Underdog Covered","Push"))))</f>
        <v>Underdog Covered</v>
      </c>
      <c r="U106" s="1" t="str">
        <f aca="false">IF(Q106&gt;J106,"Over",IF(Q106&lt;J106,"Under","Push"))</f>
        <v>Over</v>
      </c>
    </row>
    <row r="107" customFormat="false" ht="15" hidden="false" customHeight="false" outlineLevel="0" collapsed="false">
      <c r="A107" s="1" t="s">
        <v>193</v>
      </c>
      <c r="B107" s="1" t="n">
        <v>2010</v>
      </c>
      <c r="C107" s="1" t="s">
        <v>194</v>
      </c>
      <c r="D107" s="1" t="s">
        <v>65</v>
      </c>
      <c r="E107" s="1" t="s">
        <v>89</v>
      </c>
      <c r="F107" s="1" t="n">
        <v>14</v>
      </c>
      <c r="G107" s="1" t="n">
        <v>22</v>
      </c>
      <c r="H107" s="1" t="s">
        <v>66</v>
      </c>
      <c r="I107" s="1" t="n">
        <v>-1</v>
      </c>
      <c r="J107" s="1" t="n">
        <v>44</v>
      </c>
      <c r="K107" s="1" t="s">
        <v>163</v>
      </c>
      <c r="L107" s="1" t="b">
        <f aca="false">FALSE()</f>
        <v>0</v>
      </c>
      <c r="M107" s="1" t="str">
        <f aca="false">VLOOKUP(D107,'Team Reference'!$A:$B,2,FALSE())</f>
        <v>CIN</v>
      </c>
      <c r="N107" s="1" t="str">
        <f aca="false">VLOOKUP(E107,'Team Reference'!$A:$B,2,FALSE())</f>
        <v>MIA</v>
      </c>
      <c r="O107" s="1" t="str">
        <f aca="false">IF(F107&gt;G107,M107,IF(G107&gt;F107,N107,"Tie"))</f>
        <v>MIA</v>
      </c>
      <c r="P107" s="1" t="n">
        <f aca="false">F107-G107</f>
        <v>-8</v>
      </c>
      <c r="Q107" s="1" t="n">
        <f aca="false">F107+G107</f>
        <v>36</v>
      </c>
      <c r="R107" s="1" t="str">
        <f aca="false">IF(H107=M107,"Home",IF(H107=N107,"Away",IF(H107="PICK","Pick","N/A")))</f>
        <v>Home</v>
      </c>
      <c r="S107" s="1" t="n">
        <f aca="false">IF(R107="Home",P107,IF(R107="Away",-P107,""))</f>
        <v>-8</v>
      </c>
      <c r="T107" s="1" t="str">
        <f aca="false">IF(R107="Pick","No Line",IF(S107="","N/A",IF(S107+I107&gt;0,"Favorite Covered",IF(S107+I107&lt;0,"Underdog Covered","Push"))))</f>
        <v>Underdog Covered</v>
      </c>
      <c r="U107" s="1" t="str">
        <f aca="false">IF(Q107&gt;J107,"Over",IF(Q107&lt;J107,"Under","Push"))</f>
        <v>Under</v>
      </c>
    </row>
    <row r="108" customFormat="false" ht="15" hidden="false" customHeight="false" outlineLevel="0" collapsed="false">
      <c r="A108" s="1" t="s">
        <v>193</v>
      </c>
      <c r="B108" s="1" t="n">
        <v>2010</v>
      </c>
      <c r="C108" s="1" t="s">
        <v>194</v>
      </c>
      <c r="D108" s="1" t="s">
        <v>69</v>
      </c>
      <c r="E108" s="1" t="s">
        <v>81</v>
      </c>
      <c r="F108" s="1" t="n">
        <v>17</v>
      </c>
      <c r="G108" s="1" t="n">
        <v>35</v>
      </c>
      <c r="H108" s="1" t="s">
        <v>70</v>
      </c>
      <c r="I108" s="1" t="n">
        <v>-6.5</v>
      </c>
      <c r="J108" s="1" t="n">
        <v>44</v>
      </c>
      <c r="K108" s="1" t="s">
        <v>165</v>
      </c>
      <c r="L108" s="1" t="b">
        <f aca="false">FALSE()</f>
        <v>0</v>
      </c>
      <c r="M108" s="1" t="str">
        <f aca="false">VLOOKUP(D108,'Team Reference'!$A:$B,2,FALSE())</f>
        <v>DAL</v>
      </c>
      <c r="N108" s="1" t="str">
        <f aca="false">VLOOKUP(E108,'Team Reference'!$A:$B,2,FALSE())</f>
        <v>JAX</v>
      </c>
      <c r="O108" s="1" t="str">
        <f aca="false">IF(F108&gt;G108,M108,IF(G108&gt;F108,N108,"Tie"))</f>
        <v>JAX</v>
      </c>
      <c r="P108" s="1" t="n">
        <f aca="false">F108-G108</f>
        <v>-18</v>
      </c>
      <c r="Q108" s="1" t="n">
        <f aca="false">F108+G108</f>
        <v>52</v>
      </c>
      <c r="R108" s="1" t="str">
        <f aca="false">IF(H108=M108,"Home",IF(H108=N108,"Away",IF(H108="PICK","Pick","N/A")))</f>
        <v>Home</v>
      </c>
      <c r="S108" s="1" t="n">
        <f aca="false">IF(R108="Home",P108,IF(R108="Away",-P108,""))</f>
        <v>-18</v>
      </c>
      <c r="T108" s="1" t="str">
        <f aca="false">IF(R108="Pick","No Line",IF(S108="","N/A",IF(S108+I108&gt;0,"Favorite Covered",IF(S108+I108&lt;0,"Underdog Covered","Push"))))</f>
        <v>Underdog Covered</v>
      </c>
      <c r="U108" s="1" t="str">
        <f aca="false">IF(Q108&gt;J108,"Over",IF(Q108&lt;J108,"Under","Push"))</f>
        <v>Over</v>
      </c>
    </row>
    <row r="109" customFormat="false" ht="15" hidden="false" customHeight="false" outlineLevel="0" collapsed="false">
      <c r="A109" s="1" t="s">
        <v>193</v>
      </c>
      <c r="B109" s="1" t="n">
        <v>2010</v>
      </c>
      <c r="C109" s="1" t="s">
        <v>194</v>
      </c>
      <c r="D109" s="1" t="s">
        <v>73</v>
      </c>
      <c r="E109" s="1" t="s">
        <v>117</v>
      </c>
      <c r="F109" s="1" t="n">
        <v>37</v>
      </c>
      <c r="G109" s="1" t="n">
        <v>25</v>
      </c>
      <c r="H109" s="1" t="s">
        <v>74</v>
      </c>
      <c r="I109" s="1" t="n">
        <v>-3</v>
      </c>
      <c r="J109" s="1" t="n">
        <v>45</v>
      </c>
      <c r="K109" s="1" t="s">
        <v>167</v>
      </c>
      <c r="L109" s="1" t="b">
        <f aca="false">FALSE()</f>
        <v>0</v>
      </c>
      <c r="M109" s="1" t="str">
        <f aca="false">VLOOKUP(D109,'Team Reference'!$A:$B,2,FALSE())</f>
        <v>DET</v>
      </c>
      <c r="N109" s="1" t="str">
        <f aca="false">VLOOKUP(E109,'Team Reference'!$A:$B,2,FALSE())</f>
        <v>WAS</v>
      </c>
      <c r="O109" s="1" t="str">
        <f aca="false">IF(F109&gt;G109,M109,IF(G109&gt;F109,N109,"Tie"))</f>
        <v>DET</v>
      </c>
      <c r="P109" s="1" t="n">
        <f aca="false">F109-G109</f>
        <v>12</v>
      </c>
      <c r="Q109" s="1" t="n">
        <f aca="false">F109+G109</f>
        <v>62</v>
      </c>
      <c r="R109" s="1" t="str">
        <f aca="false">IF(H109=M109,"Home",IF(H109=N109,"Away",IF(H109="PICK","Pick","N/A")))</f>
        <v>Home</v>
      </c>
      <c r="S109" s="1" t="n">
        <f aca="false">IF(R109="Home",P109,IF(R109="Away",-P109,""))</f>
        <v>12</v>
      </c>
      <c r="T109" s="1" t="str">
        <f aca="false">IF(R109="Pick","No Line",IF(S109="","N/A",IF(S109+I109&gt;0,"Favorite Covered",IF(S109+I109&lt;0,"Underdog Covered","Push"))))</f>
        <v>Favorite Covered</v>
      </c>
      <c r="U109" s="1" t="str">
        <f aca="false">IF(Q109&gt;J109,"Over",IF(Q109&lt;J109,"Under","Push"))</f>
        <v>Over</v>
      </c>
    </row>
    <row r="110" customFormat="false" ht="15" hidden="false" customHeight="false" outlineLevel="0" collapsed="false">
      <c r="A110" s="1" t="s">
        <v>193</v>
      </c>
      <c r="B110" s="1" t="n">
        <v>2010</v>
      </c>
      <c r="C110" s="1" t="s">
        <v>194</v>
      </c>
      <c r="D110" s="1" t="s">
        <v>83</v>
      </c>
      <c r="E110" s="1" t="s">
        <v>59</v>
      </c>
      <c r="F110" s="1" t="n">
        <v>13</v>
      </c>
      <c r="G110" s="1" t="n">
        <v>10</v>
      </c>
      <c r="H110" s="1" t="s">
        <v>84</v>
      </c>
      <c r="I110" s="1" t="n">
        <v>-7</v>
      </c>
      <c r="J110" s="1" t="n">
        <v>46</v>
      </c>
      <c r="K110" s="1" t="s">
        <v>158</v>
      </c>
      <c r="L110" s="1" t="b">
        <f aca="false">FALSE()</f>
        <v>0</v>
      </c>
      <c r="M110" s="1" t="str">
        <f aca="false">VLOOKUP(D110,'Team Reference'!$A:$B,2,FALSE())</f>
        <v>KC</v>
      </c>
      <c r="N110" s="1" t="str">
        <f aca="false">VLOOKUP(E110,'Team Reference'!$A:$B,2,FALSE())</f>
        <v>BUF</v>
      </c>
      <c r="O110" s="1" t="str">
        <f aca="false">IF(F110&gt;G110,M110,IF(G110&gt;F110,N110,"Tie"))</f>
        <v>KC</v>
      </c>
      <c r="P110" s="1" t="n">
        <f aca="false">F110-G110</f>
        <v>3</v>
      </c>
      <c r="Q110" s="1" t="n">
        <f aca="false">F110+G110</f>
        <v>23</v>
      </c>
      <c r="R110" s="1" t="str">
        <f aca="false">IF(H110=M110,"Home",IF(H110=N110,"Away",IF(H110="PICK","Pick","N/A")))</f>
        <v>Home</v>
      </c>
      <c r="S110" s="1" t="n">
        <f aca="false">IF(R110="Home",P110,IF(R110="Away",-P110,""))</f>
        <v>3</v>
      </c>
      <c r="T110" s="1" t="str">
        <f aca="false">IF(R110="Pick","No Line",IF(S110="","N/A",IF(S110+I110&gt;0,"Favorite Covered",IF(S110+I110&lt;0,"Underdog Covered","Push"))))</f>
        <v>Underdog Covered</v>
      </c>
      <c r="U110" s="1" t="str">
        <f aca="false">IF(Q110&gt;J110,"Over",IF(Q110&lt;J110,"Under","Push"))</f>
        <v>Under</v>
      </c>
    </row>
    <row r="111" customFormat="false" ht="15" hidden="false" customHeight="false" outlineLevel="0" collapsed="false">
      <c r="A111" s="1" t="s">
        <v>193</v>
      </c>
      <c r="B111" s="1" t="n">
        <v>2010</v>
      </c>
      <c r="C111" s="1" t="s">
        <v>194</v>
      </c>
      <c r="D111" s="1" t="s">
        <v>93</v>
      </c>
      <c r="E111" s="1" t="s">
        <v>91</v>
      </c>
      <c r="F111" s="1" t="n">
        <v>28</v>
      </c>
      <c r="G111" s="1" t="n">
        <v>18</v>
      </c>
      <c r="H111" s="1" t="s">
        <v>94</v>
      </c>
      <c r="I111" s="1" t="n">
        <v>-5.5</v>
      </c>
      <c r="J111" s="1" t="n">
        <v>45</v>
      </c>
      <c r="K111" s="1" t="s">
        <v>148</v>
      </c>
      <c r="L111" s="1" t="b">
        <f aca="false">FALSE()</f>
        <v>0</v>
      </c>
      <c r="M111" s="1" t="str">
        <f aca="false">VLOOKUP(D111,'Team Reference'!$A:$B,2,FALSE())</f>
        <v>NE</v>
      </c>
      <c r="N111" s="1" t="str">
        <f aca="false">VLOOKUP(E111,'Team Reference'!$A:$B,2,FALSE())</f>
        <v>MIN</v>
      </c>
      <c r="O111" s="1" t="str">
        <f aca="false">IF(F111&gt;G111,M111,IF(G111&gt;F111,N111,"Tie"))</f>
        <v>NE</v>
      </c>
      <c r="P111" s="1" t="n">
        <f aca="false">F111-G111</f>
        <v>10</v>
      </c>
      <c r="Q111" s="1" t="n">
        <f aca="false">F111+G111</f>
        <v>46</v>
      </c>
      <c r="R111" s="1" t="str">
        <f aca="false">IF(H111=M111,"Home",IF(H111=N111,"Away",IF(H111="PICK","Pick","N/A")))</f>
        <v>Home</v>
      </c>
      <c r="S111" s="1" t="n">
        <f aca="false">IF(R111="Home",P111,IF(R111="Away",-P111,""))</f>
        <v>10</v>
      </c>
      <c r="T111" s="1" t="str">
        <f aca="false">IF(R111="Pick","No Line",IF(S111="","N/A",IF(S111+I111&gt;0,"Favorite Covered",IF(S111+I111&lt;0,"Underdog Covered","Push"))))</f>
        <v>Favorite Covered</v>
      </c>
      <c r="U111" s="1" t="str">
        <f aca="false">IF(Q111&gt;J111,"Over",IF(Q111&lt;J111,"Under","Push"))</f>
        <v>Over</v>
      </c>
    </row>
    <row r="112" customFormat="false" ht="15" hidden="false" customHeight="false" outlineLevel="0" collapsed="false">
      <c r="A112" s="1" t="s">
        <v>193</v>
      </c>
      <c r="B112" s="1" t="n">
        <v>2010</v>
      </c>
      <c r="C112" s="1" t="s">
        <v>194</v>
      </c>
      <c r="D112" s="1" t="s">
        <v>95</v>
      </c>
      <c r="E112" s="1" t="s">
        <v>105</v>
      </c>
      <c r="F112" s="1" t="n">
        <v>20</v>
      </c>
      <c r="G112" s="1" t="n">
        <v>10</v>
      </c>
      <c r="H112" s="1" t="s">
        <v>96</v>
      </c>
      <c r="I112" s="1" t="n">
        <v>-1</v>
      </c>
      <c r="J112" s="1" t="n">
        <v>45.5</v>
      </c>
      <c r="K112" s="1" t="s">
        <v>142</v>
      </c>
      <c r="L112" s="1" t="b">
        <f aca="false">FALSE()</f>
        <v>0</v>
      </c>
      <c r="M112" s="1" t="str">
        <f aca="false">VLOOKUP(D112,'Team Reference'!$A:$B,2,FALSE())</f>
        <v>NO</v>
      </c>
      <c r="N112" s="1" t="str">
        <f aca="false">VLOOKUP(E112,'Team Reference'!$A:$B,2,FALSE())</f>
        <v>PIT</v>
      </c>
      <c r="O112" s="1" t="str">
        <f aca="false">IF(F112&gt;G112,M112,IF(G112&gt;F112,N112,"Tie"))</f>
        <v>NO</v>
      </c>
      <c r="P112" s="1" t="n">
        <f aca="false">F112-G112</f>
        <v>10</v>
      </c>
      <c r="Q112" s="1" t="n">
        <f aca="false">F112+G112</f>
        <v>30</v>
      </c>
      <c r="R112" s="1" t="str">
        <f aca="false">IF(H112=M112,"Home",IF(H112=N112,"Away",IF(H112="PICK","Pick","N/A")))</f>
        <v>Home</v>
      </c>
      <c r="S112" s="1" t="n">
        <f aca="false">IF(R112="Home",P112,IF(R112="Away",-P112,""))</f>
        <v>10</v>
      </c>
      <c r="T112" s="1" t="str">
        <f aca="false">IF(R112="Pick","No Line",IF(S112="","N/A",IF(S112+I112&gt;0,"Favorite Covered",IF(S112+I112&lt;0,"Underdog Covered","Push"))))</f>
        <v>Favorite Covered</v>
      </c>
      <c r="U112" s="1" t="str">
        <f aca="false">IF(Q112&gt;J112,"Over",IF(Q112&lt;J112,"Under","Push"))</f>
        <v>Under</v>
      </c>
    </row>
    <row r="113" customFormat="false" ht="15" hidden="false" customHeight="false" outlineLevel="0" collapsed="false">
      <c r="A113" s="1" t="s">
        <v>193</v>
      </c>
      <c r="B113" s="1" t="n">
        <v>2010</v>
      </c>
      <c r="C113" s="1" t="s">
        <v>194</v>
      </c>
      <c r="D113" s="1" t="s">
        <v>99</v>
      </c>
      <c r="E113" s="1" t="s">
        <v>75</v>
      </c>
      <c r="F113" s="1" t="n">
        <v>0</v>
      </c>
      <c r="G113" s="1" t="n">
        <v>9</v>
      </c>
      <c r="H113" s="1" t="s">
        <v>100</v>
      </c>
      <c r="I113" s="1" t="n">
        <v>-6</v>
      </c>
      <c r="J113" s="1" t="n">
        <v>42</v>
      </c>
      <c r="K113" s="1" t="s">
        <v>149</v>
      </c>
      <c r="L113" s="1" t="b">
        <f aca="false">FALSE()</f>
        <v>0</v>
      </c>
      <c r="M113" s="1" t="str">
        <f aca="false">VLOOKUP(D113,'Team Reference'!$A:$B,2,FALSE())</f>
        <v>NYJ</v>
      </c>
      <c r="N113" s="1" t="str">
        <f aca="false">VLOOKUP(E113,'Team Reference'!$A:$B,2,FALSE())</f>
        <v>GB</v>
      </c>
      <c r="O113" s="1" t="str">
        <f aca="false">IF(F113&gt;G113,M113,IF(G113&gt;F113,N113,"Tie"))</f>
        <v>GB</v>
      </c>
      <c r="P113" s="1" t="n">
        <f aca="false">F113-G113</f>
        <v>-9</v>
      </c>
      <c r="Q113" s="1" t="n">
        <f aca="false">F113+G113</f>
        <v>9</v>
      </c>
      <c r="R113" s="1" t="str">
        <f aca="false">IF(H113=M113,"Home",IF(H113=N113,"Away",IF(H113="PICK","Pick","N/A")))</f>
        <v>Home</v>
      </c>
      <c r="S113" s="1" t="n">
        <f aca="false">IF(R113="Home",P113,IF(R113="Away",-P113,""))</f>
        <v>-9</v>
      </c>
      <c r="T113" s="1" t="str">
        <f aca="false">IF(R113="Pick","No Line",IF(S113="","N/A",IF(S113+I113&gt;0,"Favorite Covered",IF(S113+I113&lt;0,"Underdog Covered","Push"))))</f>
        <v>Underdog Covered</v>
      </c>
      <c r="U113" s="1" t="str">
        <f aca="false">IF(Q113&gt;J113,"Over",IF(Q113&lt;J113,"Under","Push"))</f>
        <v>Under</v>
      </c>
    </row>
    <row r="114" customFormat="false" ht="15" hidden="false" customHeight="false" outlineLevel="0" collapsed="false">
      <c r="A114" s="1" t="s">
        <v>193</v>
      </c>
      <c r="B114" s="1" t="n">
        <v>2010</v>
      </c>
      <c r="C114" s="1" t="s">
        <v>194</v>
      </c>
      <c r="D114" s="1" t="s">
        <v>101</v>
      </c>
      <c r="E114" s="1" t="s">
        <v>110</v>
      </c>
      <c r="F114" s="1" t="n">
        <v>33</v>
      </c>
      <c r="G114" s="1" t="n">
        <v>3</v>
      </c>
      <c r="H114" s="1" t="s">
        <v>102</v>
      </c>
      <c r="I114" s="1" t="n">
        <v>-2</v>
      </c>
      <c r="J114" s="1" t="n">
        <v>40.5</v>
      </c>
      <c r="K114" s="1" t="s">
        <v>171</v>
      </c>
      <c r="L114" s="1" t="b">
        <f aca="false">FALSE()</f>
        <v>0</v>
      </c>
      <c r="M114" s="1" t="str">
        <f aca="false">VLOOKUP(D114,'Team Reference'!$A:$B,2,FALSE())</f>
        <v>OAK</v>
      </c>
      <c r="N114" s="1" t="str">
        <f aca="false">VLOOKUP(E114,'Team Reference'!$A:$B,2,FALSE())</f>
        <v>SEA</v>
      </c>
      <c r="O114" s="1" t="str">
        <f aca="false">IF(F114&gt;G114,M114,IF(G114&gt;F114,N114,"Tie"))</f>
        <v>OAK</v>
      </c>
      <c r="P114" s="1" t="n">
        <f aca="false">F114-G114</f>
        <v>30</v>
      </c>
      <c r="Q114" s="1" t="n">
        <f aca="false">F114+G114</f>
        <v>36</v>
      </c>
      <c r="R114" s="1" t="str">
        <f aca="false">IF(H114=M114,"Home",IF(H114=N114,"Away",IF(H114="PICK","Pick","N/A")))</f>
        <v>Home</v>
      </c>
      <c r="S114" s="1" t="n">
        <f aca="false">IF(R114="Home",P114,IF(R114="Away",-P114,""))</f>
        <v>30</v>
      </c>
      <c r="T114" s="1" t="str">
        <f aca="false">IF(R114="Pick","No Line",IF(S114="","N/A",IF(S114+I114&gt;0,"Favorite Covered",IF(S114+I114&lt;0,"Underdog Covered","Push"))))</f>
        <v>Favorite Covered</v>
      </c>
      <c r="U114" s="1" t="str">
        <f aca="false">IF(Q114&gt;J114,"Over",IF(Q114&lt;J114,"Under","Push"))</f>
        <v>Under</v>
      </c>
    </row>
    <row r="115" customFormat="false" ht="15" hidden="false" customHeight="false" outlineLevel="0" collapsed="false">
      <c r="A115" s="1" t="s">
        <v>193</v>
      </c>
      <c r="B115" s="1" t="n">
        <v>2010</v>
      </c>
      <c r="C115" s="1" t="s">
        <v>194</v>
      </c>
      <c r="D115" s="1" t="s">
        <v>107</v>
      </c>
      <c r="E115" s="1" t="s">
        <v>115</v>
      </c>
      <c r="F115" s="1" t="n">
        <v>33</v>
      </c>
      <c r="G115" s="1" t="n">
        <v>25</v>
      </c>
      <c r="H115" s="1" t="s">
        <v>86</v>
      </c>
      <c r="I115" s="1" t="n">
        <v>-6</v>
      </c>
      <c r="J115" s="1" t="n">
        <v>45</v>
      </c>
      <c r="K115" s="1" t="s">
        <v>172</v>
      </c>
      <c r="L115" s="1" t="b">
        <f aca="false">FALSE()</f>
        <v>0</v>
      </c>
      <c r="M115" s="1" t="str">
        <f aca="false">VLOOKUP(D115,'Team Reference'!$A:$B,2,FALSE())</f>
        <v>LAC</v>
      </c>
      <c r="N115" s="1" t="str">
        <f aca="false">VLOOKUP(E115,'Team Reference'!$A:$B,2,FALSE())</f>
        <v>TEN</v>
      </c>
      <c r="O115" s="1" t="str">
        <f aca="false">IF(F115&gt;G115,M115,IF(G115&gt;F115,N115,"Tie"))</f>
        <v>LAC</v>
      </c>
      <c r="P115" s="1" t="n">
        <f aca="false">F115-G115</f>
        <v>8</v>
      </c>
      <c r="Q115" s="1" t="n">
        <f aca="false">F115+G115</f>
        <v>58</v>
      </c>
      <c r="R115" s="1" t="str">
        <f aca="false">IF(H115=M115,"Home",IF(H115=N115,"Away",IF(H115="PICK","Pick","N/A")))</f>
        <v>Home</v>
      </c>
      <c r="S115" s="1" t="n">
        <f aca="false">IF(R115="Home",P115,IF(R115="Away",-P115,""))</f>
        <v>8</v>
      </c>
      <c r="T115" s="1" t="str">
        <f aca="false">IF(R115="Pick","No Line",IF(S115="","N/A",IF(S115+I115&gt;0,"Favorite Covered",IF(S115+I115&lt;0,"Underdog Covered","Push"))))</f>
        <v>Favorite Covered</v>
      </c>
      <c r="U115" s="1" t="str">
        <f aca="false">IF(Q115&gt;J115,"Over",IF(Q115&lt;J115,"Under","Push"))</f>
        <v>Over</v>
      </c>
    </row>
    <row r="116" customFormat="false" ht="15" hidden="false" customHeight="false" outlineLevel="0" collapsed="false">
      <c r="A116" s="1" t="s">
        <v>193</v>
      </c>
      <c r="B116" s="1" t="n">
        <v>2010</v>
      </c>
      <c r="C116" s="1" t="s">
        <v>194</v>
      </c>
      <c r="D116" s="1" t="s">
        <v>108</v>
      </c>
      <c r="E116" s="1" t="s">
        <v>71</v>
      </c>
      <c r="F116" s="1" t="n">
        <v>24</v>
      </c>
      <c r="G116" s="1" t="n">
        <v>16</v>
      </c>
      <c r="H116" s="1" t="s">
        <v>109</v>
      </c>
      <c r="I116" s="1" t="n">
        <v>-2.5</v>
      </c>
      <c r="J116" s="1" t="n">
        <v>41.5</v>
      </c>
      <c r="K116" s="1" t="s">
        <v>195</v>
      </c>
      <c r="L116" s="1" t="b">
        <f aca="false">FALSE()</f>
        <v>0</v>
      </c>
      <c r="M116" s="1" t="str">
        <f aca="false">VLOOKUP(D116,'Team Reference'!$A:$B,2,FALSE())</f>
        <v>SF</v>
      </c>
      <c r="N116" s="1" t="str">
        <f aca="false">VLOOKUP(E116,'Team Reference'!$A:$B,2,FALSE())</f>
        <v>DEN</v>
      </c>
      <c r="O116" s="1" t="str">
        <f aca="false">IF(F116&gt;G116,M116,IF(G116&gt;F116,N116,"Tie"))</f>
        <v>SF</v>
      </c>
      <c r="P116" s="1" t="n">
        <f aca="false">F116-G116</f>
        <v>8</v>
      </c>
      <c r="Q116" s="1" t="n">
        <f aca="false">F116+G116</f>
        <v>40</v>
      </c>
      <c r="R116" s="1" t="str">
        <f aca="false">IF(H116=M116,"Home",IF(H116=N116,"Away",IF(H116="PICK","Pick","N/A")))</f>
        <v>Home</v>
      </c>
      <c r="S116" s="1" t="n">
        <f aca="false">IF(R116="Home",P116,IF(R116="Away",-P116,""))</f>
        <v>8</v>
      </c>
      <c r="T116" s="1" t="str">
        <f aca="false">IF(R116="Pick","No Line",IF(S116="","N/A",IF(S116+I116&gt;0,"Favorite Covered",IF(S116+I116&lt;0,"Underdog Covered","Push"))))</f>
        <v>Favorite Covered</v>
      </c>
      <c r="U116" s="1" t="str">
        <f aca="false">IF(Q116&gt;J116,"Over",IF(Q116&lt;J116,"Under","Push"))</f>
        <v>Under</v>
      </c>
    </row>
    <row r="117" customFormat="false" ht="15" hidden="false" customHeight="false" outlineLevel="0" collapsed="false">
      <c r="A117" s="1" t="s">
        <v>193</v>
      </c>
      <c r="B117" s="1" t="n">
        <v>2010</v>
      </c>
      <c r="C117" s="1" t="s">
        <v>194</v>
      </c>
      <c r="D117" s="1" t="s">
        <v>112</v>
      </c>
      <c r="E117" s="1" t="s">
        <v>61</v>
      </c>
      <c r="F117" s="1" t="n">
        <v>20</v>
      </c>
      <c r="G117" s="1" t="n">
        <v>10</v>
      </c>
      <c r="H117" s="1" t="s">
        <v>88</v>
      </c>
      <c r="I117" s="1" t="n">
        <v>-2.5</v>
      </c>
      <c r="J117" s="1" t="n">
        <v>37</v>
      </c>
      <c r="K117" s="1" t="s">
        <v>153</v>
      </c>
      <c r="L117" s="1" t="b">
        <f aca="false">FALSE()</f>
        <v>0</v>
      </c>
      <c r="M117" s="1" t="str">
        <f aca="false">VLOOKUP(D117,'Team Reference'!$A:$B,2,FALSE())</f>
        <v>LAR</v>
      </c>
      <c r="N117" s="1" t="str">
        <f aca="false">VLOOKUP(E117,'Team Reference'!$A:$B,2,FALSE())</f>
        <v>CAR</v>
      </c>
      <c r="O117" s="1" t="str">
        <f aca="false">IF(F117&gt;G117,M117,IF(G117&gt;F117,N117,"Tie"))</f>
        <v>LAR</v>
      </c>
      <c r="P117" s="1" t="n">
        <f aca="false">F117-G117</f>
        <v>10</v>
      </c>
      <c r="Q117" s="1" t="n">
        <f aca="false">F117+G117</f>
        <v>30</v>
      </c>
      <c r="R117" s="1" t="str">
        <f aca="false">IF(H117=M117,"Home",IF(H117=N117,"Away",IF(H117="PICK","Pick","N/A")))</f>
        <v>Home</v>
      </c>
      <c r="S117" s="1" t="n">
        <f aca="false">IF(R117="Home",P117,IF(R117="Away",-P117,""))</f>
        <v>10</v>
      </c>
      <c r="T117" s="1" t="str">
        <f aca="false">IF(R117="Pick","No Line",IF(S117="","N/A",IF(S117+I117&gt;0,"Favorite Covered",IF(S117+I117&lt;0,"Underdog Covered","Push"))))</f>
        <v>Favorite Covered</v>
      </c>
      <c r="U117" s="1" t="str">
        <f aca="false">IF(Q117&gt;J117,"Over",IF(Q117&lt;J117,"Under","Push"))</f>
        <v>Under</v>
      </c>
    </row>
    <row r="118" customFormat="false" ht="15" hidden="false" customHeight="false" outlineLevel="0" collapsed="false">
      <c r="A118" s="1" t="s">
        <v>196</v>
      </c>
      <c r="B118" s="1" t="n">
        <v>2010</v>
      </c>
      <c r="C118" s="1" t="s">
        <v>194</v>
      </c>
      <c r="D118" s="1" t="s">
        <v>79</v>
      </c>
      <c r="E118" s="1" t="s">
        <v>77</v>
      </c>
      <c r="F118" s="1" t="n">
        <v>30</v>
      </c>
      <c r="G118" s="1" t="n">
        <v>17</v>
      </c>
      <c r="H118" s="1" t="s">
        <v>80</v>
      </c>
      <c r="I118" s="1" t="n">
        <v>-5.5</v>
      </c>
      <c r="J118" s="1" t="n">
        <v>51</v>
      </c>
      <c r="K118" s="1" t="s">
        <v>169</v>
      </c>
      <c r="L118" s="1" t="b">
        <f aca="false">FALSE()</f>
        <v>0</v>
      </c>
      <c r="M118" s="1" t="str">
        <f aca="false">VLOOKUP(D118,'Team Reference'!$A:$B,2,FALSE())</f>
        <v>IND</v>
      </c>
      <c r="N118" s="1" t="str">
        <f aca="false">VLOOKUP(E118,'Team Reference'!$A:$B,2,FALSE())</f>
        <v>HOU</v>
      </c>
      <c r="O118" s="1" t="str">
        <f aca="false">IF(F118&gt;G118,M118,IF(G118&gt;F118,N118,"Tie"))</f>
        <v>IND</v>
      </c>
      <c r="P118" s="1" t="n">
        <f aca="false">F118-G118</f>
        <v>13</v>
      </c>
      <c r="Q118" s="1" t="n">
        <f aca="false">F118+G118</f>
        <v>47</v>
      </c>
      <c r="R118" s="1" t="str">
        <f aca="false">IF(H118=M118,"Home",IF(H118=N118,"Away",IF(H118="PICK","Pick","N/A")))</f>
        <v>Home</v>
      </c>
      <c r="S118" s="1" t="n">
        <f aca="false">IF(R118="Home",P118,IF(R118="Away",-P118,""))</f>
        <v>13</v>
      </c>
      <c r="T118" s="1" t="str">
        <f aca="false">IF(R118="Pick","No Line",IF(S118="","N/A",IF(S118+I118&gt;0,"Favorite Covered",IF(S118+I118&lt;0,"Underdog Covered","Push"))))</f>
        <v>Favorite Covered</v>
      </c>
      <c r="U118" s="1" t="str">
        <f aca="false">IF(Q118&gt;J118,"Over",IF(Q118&lt;J118,"Under","Push"))</f>
        <v>Under</v>
      </c>
    </row>
    <row r="119" customFormat="false" ht="15" hidden="false" customHeight="false" outlineLevel="0" collapsed="false">
      <c r="A119" s="1" t="s">
        <v>197</v>
      </c>
      <c r="B119" s="1" t="n">
        <v>2010</v>
      </c>
      <c r="C119" s="1" t="s">
        <v>198</v>
      </c>
      <c r="D119" s="1" t="s">
        <v>55</v>
      </c>
      <c r="E119" s="1" t="s">
        <v>113</v>
      </c>
      <c r="F119" s="1" t="n">
        <v>27</v>
      </c>
      <c r="G119" s="1" t="n">
        <v>21</v>
      </c>
      <c r="H119" s="1" t="s">
        <v>56</v>
      </c>
      <c r="I119" s="1" t="n">
        <v>-9</v>
      </c>
      <c r="J119" s="1" t="n">
        <v>45.5</v>
      </c>
      <c r="K119" s="1" t="s">
        <v>161</v>
      </c>
      <c r="L119" s="1" t="b">
        <f aca="false">FALSE()</f>
        <v>0</v>
      </c>
      <c r="M119" s="1" t="str">
        <f aca="false">VLOOKUP(D119,'Team Reference'!$A:$B,2,FALSE())</f>
        <v>ATL</v>
      </c>
      <c r="N119" s="1" t="str">
        <f aca="false">VLOOKUP(E119,'Team Reference'!$A:$B,2,FALSE())</f>
        <v>TB</v>
      </c>
      <c r="O119" s="1" t="str">
        <f aca="false">IF(F119&gt;G119,M119,IF(G119&gt;F119,N119,"Tie"))</f>
        <v>ATL</v>
      </c>
      <c r="P119" s="1" t="n">
        <f aca="false">F119-G119</f>
        <v>6</v>
      </c>
      <c r="Q119" s="1" t="n">
        <f aca="false">F119+G119</f>
        <v>48</v>
      </c>
      <c r="R119" s="1" t="str">
        <f aca="false">IF(H119=M119,"Home",IF(H119=N119,"Away",IF(H119="PICK","Pick","N/A")))</f>
        <v>Home</v>
      </c>
      <c r="S119" s="1" t="n">
        <f aca="false">IF(R119="Home",P119,IF(R119="Away",-P119,""))</f>
        <v>6</v>
      </c>
      <c r="T119" s="1" t="str">
        <f aca="false">IF(R119="Pick","No Line",IF(S119="","N/A",IF(S119+I119&gt;0,"Favorite Covered",IF(S119+I119&lt;0,"Underdog Covered","Push"))))</f>
        <v>Underdog Covered</v>
      </c>
      <c r="U119" s="1" t="str">
        <f aca="false">IF(Q119&gt;J119,"Over",IF(Q119&lt;J119,"Under","Push"))</f>
        <v>Over</v>
      </c>
    </row>
    <row r="120" customFormat="false" ht="15" hidden="false" customHeight="false" outlineLevel="0" collapsed="false">
      <c r="A120" s="1" t="s">
        <v>197</v>
      </c>
      <c r="B120" s="1" t="n">
        <v>2010</v>
      </c>
      <c r="C120" s="1" t="s">
        <v>198</v>
      </c>
      <c r="D120" s="1" t="s">
        <v>57</v>
      </c>
      <c r="E120" s="1" t="s">
        <v>89</v>
      </c>
      <c r="F120" s="1" t="n">
        <v>26</v>
      </c>
      <c r="G120" s="1" t="n">
        <v>10</v>
      </c>
      <c r="H120" s="1" t="s">
        <v>58</v>
      </c>
      <c r="I120" s="1" t="n">
        <v>-5</v>
      </c>
      <c r="J120" s="1" t="n">
        <v>41</v>
      </c>
      <c r="K120" s="1" t="s">
        <v>178</v>
      </c>
      <c r="L120" s="1" t="b">
        <f aca="false">FALSE()</f>
        <v>0</v>
      </c>
      <c r="M120" s="1" t="str">
        <f aca="false">VLOOKUP(D120,'Team Reference'!$A:$B,2,FALSE())</f>
        <v>BAL</v>
      </c>
      <c r="N120" s="1" t="str">
        <f aca="false">VLOOKUP(E120,'Team Reference'!$A:$B,2,FALSE())</f>
        <v>MIA</v>
      </c>
      <c r="O120" s="1" t="str">
        <f aca="false">IF(F120&gt;G120,M120,IF(G120&gt;F120,N120,"Tie"))</f>
        <v>BAL</v>
      </c>
      <c r="P120" s="1" t="n">
        <f aca="false">F120-G120</f>
        <v>16</v>
      </c>
      <c r="Q120" s="1" t="n">
        <f aca="false">F120+G120</f>
        <v>36</v>
      </c>
      <c r="R120" s="1" t="str">
        <f aca="false">IF(H120=M120,"Home",IF(H120=N120,"Away",IF(H120="PICK","Pick","N/A")))</f>
        <v>Home</v>
      </c>
      <c r="S120" s="1" t="n">
        <f aca="false">IF(R120="Home",P120,IF(R120="Away",-P120,""))</f>
        <v>16</v>
      </c>
      <c r="T120" s="1" t="str">
        <f aca="false">IF(R120="Pick","No Line",IF(S120="","N/A",IF(S120+I120&gt;0,"Favorite Covered",IF(S120+I120&lt;0,"Underdog Covered","Push"))))</f>
        <v>Favorite Covered</v>
      </c>
      <c r="U120" s="1" t="str">
        <f aca="false">IF(Q120&gt;J120,"Over",IF(Q120&lt;J120,"Under","Push"))</f>
        <v>Under</v>
      </c>
    </row>
    <row r="121" customFormat="false" ht="15" hidden="false" customHeight="false" outlineLevel="0" collapsed="false">
      <c r="A121" s="1" t="s">
        <v>197</v>
      </c>
      <c r="B121" s="1" t="n">
        <v>2010</v>
      </c>
      <c r="C121" s="1" t="s">
        <v>198</v>
      </c>
      <c r="D121" s="1" t="s">
        <v>59</v>
      </c>
      <c r="E121" s="1" t="s">
        <v>63</v>
      </c>
      <c r="F121" s="1" t="n">
        <v>19</v>
      </c>
      <c r="G121" s="1" t="n">
        <v>22</v>
      </c>
      <c r="H121" s="1" t="s">
        <v>64</v>
      </c>
      <c r="I121" s="1" t="n">
        <v>-3</v>
      </c>
      <c r="J121" s="1" t="n">
        <v>41.5</v>
      </c>
      <c r="K121" s="1" t="s">
        <v>199</v>
      </c>
      <c r="L121" s="1" t="b">
        <f aca="false">FALSE()</f>
        <v>0</v>
      </c>
      <c r="M121" s="1" t="str">
        <f aca="false">VLOOKUP(D121,'Team Reference'!$A:$B,2,FALSE())</f>
        <v>BUF</v>
      </c>
      <c r="N121" s="1" t="str">
        <f aca="false">VLOOKUP(E121,'Team Reference'!$A:$B,2,FALSE())</f>
        <v>CHI</v>
      </c>
      <c r="O121" s="1" t="str">
        <f aca="false">IF(F121&gt;G121,M121,IF(G121&gt;F121,N121,"Tie"))</f>
        <v>CHI</v>
      </c>
      <c r="P121" s="1" t="n">
        <f aca="false">F121-G121</f>
        <v>-3</v>
      </c>
      <c r="Q121" s="1" t="n">
        <f aca="false">F121+G121</f>
        <v>41</v>
      </c>
      <c r="R121" s="1" t="str">
        <f aca="false">IF(H121=M121,"Home",IF(H121=N121,"Away",IF(H121="PICK","Pick","N/A")))</f>
        <v>Away</v>
      </c>
      <c r="S121" s="1" t="n">
        <f aca="false">IF(R121="Home",P121,IF(R121="Away",-P121,""))</f>
        <v>3</v>
      </c>
      <c r="T121" s="1" t="str">
        <f aca="false">IF(R121="Pick","No Line",IF(S121="","N/A",IF(S121+I121&gt;0,"Favorite Covered",IF(S121+I121&lt;0,"Underdog Covered","Push"))))</f>
        <v>Push</v>
      </c>
      <c r="U121" s="1" t="str">
        <f aca="false">IF(Q121&gt;J121,"Over",IF(Q121&lt;J121,"Under","Push"))</f>
        <v>Under</v>
      </c>
    </row>
    <row r="122" customFormat="false" ht="15" hidden="false" customHeight="false" outlineLevel="0" collapsed="false">
      <c r="A122" s="1" t="s">
        <v>197</v>
      </c>
      <c r="B122" s="1" t="n">
        <v>2010</v>
      </c>
      <c r="C122" s="1" t="s">
        <v>198</v>
      </c>
      <c r="D122" s="1" t="s">
        <v>61</v>
      </c>
      <c r="E122" s="1" t="s">
        <v>95</v>
      </c>
      <c r="F122" s="1" t="n">
        <v>3</v>
      </c>
      <c r="G122" s="1" t="n">
        <v>34</v>
      </c>
      <c r="H122" s="1" t="s">
        <v>96</v>
      </c>
      <c r="I122" s="1" t="n">
        <v>-6.5</v>
      </c>
      <c r="J122" s="1" t="n">
        <v>40.5</v>
      </c>
      <c r="K122" s="1" t="s">
        <v>162</v>
      </c>
      <c r="L122" s="1" t="b">
        <f aca="false">FALSE()</f>
        <v>0</v>
      </c>
      <c r="M122" s="1" t="str">
        <f aca="false">VLOOKUP(D122,'Team Reference'!$A:$B,2,FALSE())</f>
        <v>CAR</v>
      </c>
      <c r="N122" s="1" t="str">
        <f aca="false">VLOOKUP(E122,'Team Reference'!$A:$B,2,FALSE())</f>
        <v>NO</v>
      </c>
      <c r="O122" s="1" t="str">
        <f aca="false">IF(F122&gt;G122,M122,IF(G122&gt;F122,N122,"Tie"))</f>
        <v>NO</v>
      </c>
      <c r="P122" s="1" t="n">
        <f aca="false">F122-G122</f>
        <v>-31</v>
      </c>
      <c r="Q122" s="1" t="n">
        <f aca="false">F122+G122</f>
        <v>37</v>
      </c>
      <c r="R122" s="1" t="str">
        <f aca="false">IF(H122=M122,"Home",IF(H122=N122,"Away",IF(H122="PICK","Pick","N/A")))</f>
        <v>Away</v>
      </c>
      <c r="S122" s="1" t="n">
        <f aca="false">IF(R122="Home",P122,IF(R122="Away",-P122,""))</f>
        <v>31</v>
      </c>
      <c r="T122" s="1" t="str">
        <f aca="false">IF(R122="Pick","No Line",IF(S122="","N/A",IF(S122+I122&gt;0,"Favorite Covered",IF(S122+I122&lt;0,"Underdog Covered","Push"))))</f>
        <v>Favorite Covered</v>
      </c>
      <c r="U122" s="1" t="str">
        <f aca="false">IF(Q122&gt;J122,"Over",IF(Q122&lt;J122,"Under","Push"))</f>
        <v>Under</v>
      </c>
    </row>
    <row r="123" customFormat="false" ht="15" hidden="false" customHeight="false" outlineLevel="0" collapsed="false">
      <c r="A123" s="1" t="s">
        <v>197</v>
      </c>
      <c r="B123" s="1" t="n">
        <v>2010</v>
      </c>
      <c r="C123" s="1" t="s">
        <v>198</v>
      </c>
      <c r="D123" s="1" t="s">
        <v>67</v>
      </c>
      <c r="E123" s="1" t="s">
        <v>93</v>
      </c>
      <c r="F123" s="1" t="n">
        <v>34</v>
      </c>
      <c r="G123" s="1" t="n">
        <v>14</v>
      </c>
      <c r="H123" s="1" t="s">
        <v>94</v>
      </c>
      <c r="I123" s="1" t="n">
        <v>-4</v>
      </c>
      <c r="J123" s="1" t="n">
        <v>43.5</v>
      </c>
      <c r="K123" s="1" t="s">
        <v>164</v>
      </c>
      <c r="L123" s="1" t="b">
        <f aca="false">FALSE()</f>
        <v>0</v>
      </c>
      <c r="M123" s="1" t="str">
        <f aca="false">VLOOKUP(D123,'Team Reference'!$A:$B,2,FALSE())</f>
        <v>CLE</v>
      </c>
      <c r="N123" s="1" t="str">
        <f aca="false">VLOOKUP(E123,'Team Reference'!$A:$B,2,FALSE())</f>
        <v>NE</v>
      </c>
      <c r="O123" s="1" t="str">
        <f aca="false">IF(F123&gt;G123,M123,IF(G123&gt;F123,N123,"Tie"))</f>
        <v>CLE</v>
      </c>
      <c r="P123" s="1" t="n">
        <f aca="false">F123-G123</f>
        <v>20</v>
      </c>
      <c r="Q123" s="1" t="n">
        <f aca="false">F123+G123</f>
        <v>48</v>
      </c>
      <c r="R123" s="1" t="str">
        <f aca="false">IF(H123=M123,"Home",IF(H123=N123,"Away",IF(H123="PICK","Pick","N/A")))</f>
        <v>Away</v>
      </c>
      <c r="S123" s="1" t="n">
        <f aca="false">IF(R123="Home",P123,IF(R123="Away",-P123,""))</f>
        <v>-20</v>
      </c>
      <c r="T123" s="1" t="str">
        <f aca="false">IF(R123="Pick","No Line",IF(S123="","N/A",IF(S123+I123&gt;0,"Favorite Covered",IF(S123+I123&lt;0,"Underdog Covered","Push"))))</f>
        <v>Underdog Covered</v>
      </c>
      <c r="U123" s="1" t="str">
        <f aca="false">IF(Q123&gt;J123,"Over",IF(Q123&lt;J123,"Under","Push"))</f>
        <v>Over</v>
      </c>
    </row>
    <row r="124" customFormat="false" ht="15" hidden="false" customHeight="false" outlineLevel="0" collapsed="false">
      <c r="A124" s="1" t="s">
        <v>197</v>
      </c>
      <c r="B124" s="1" t="n">
        <v>2010</v>
      </c>
      <c r="C124" s="1" t="s">
        <v>198</v>
      </c>
      <c r="D124" s="1" t="s">
        <v>73</v>
      </c>
      <c r="E124" s="1" t="s">
        <v>99</v>
      </c>
      <c r="F124" s="1" t="n">
        <v>20</v>
      </c>
      <c r="G124" s="1" t="n">
        <v>23</v>
      </c>
      <c r="H124" s="1" t="s">
        <v>100</v>
      </c>
      <c r="I124" s="1" t="n">
        <v>-5.5</v>
      </c>
      <c r="J124" s="1" t="n">
        <v>42</v>
      </c>
      <c r="K124" s="1" t="s">
        <v>167</v>
      </c>
      <c r="L124" s="1" t="b">
        <f aca="false">FALSE()</f>
        <v>0</v>
      </c>
      <c r="M124" s="1" t="str">
        <f aca="false">VLOOKUP(D124,'Team Reference'!$A:$B,2,FALSE())</f>
        <v>DET</v>
      </c>
      <c r="N124" s="1" t="str">
        <f aca="false">VLOOKUP(E124,'Team Reference'!$A:$B,2,FALSE())</f>
        <v>NYJ</v>
      </c>
      <c r="O124" s="1" t="str">
        <f aca="false">IF(F124&gt;G124,M124,IF(G124&gt;F124,N124,"Tie"))</f>
        <v>NYJ</v>
      </c>
      <c r="P124" s="1" t="n">
        <f aca="false">F124-G124</f>
        <v>-3</v>
      </c>
      <c r="Q124" s="1" t="n">
        <f aca="false">F124+G124</f>
        <v>43</v>
      </c>
      <c r="R124" s="1" t="str">
        <f aca="false">IF(H124=M124,"Home",IF(H124=N124,"Away",IF(H124="PICK","Pick","N/A")))</f>
        <v>Away</v>
      </c>
      <c r="S124" s="1" t="n">
        <f aca="false">IF(R124="Home",P124,IF(R124="Away",-P124,""))</f>
        <v>3</v>
      </c>
      <c r="T124" s="1" t="str">
        <f aca="false">IF(R124="Pick","No Line",IF(S124="","N/A",IF(S124+I124&gt;0,"Favorite Covered",IF(S124+I124&lt;0,"Underdog Covered","Push"))))</f>
        <v>Underdog Covered</v>
      </c>
      <c r="U124" s="1" t="str">
        <f aca="false">IF(Q124&gt;J124,"Over",IF(Q124&lt;J124,"Under","Push"))</f>
        <v>Over</v>
      </c>
    </row>
    <row r="125" customFormat="false" ht="15" hidden="false" customHeight="false" outlineLevel="0" collapsed="false">
      <c r="A125" s="1" t="s">
        <v>197</v>
      </c>
      <c r="B125" s="1" t="n">
        <v>2010</v>
      </c>
      <c r="C125" s="1" t="s">
        <v>198</v>
      </c>
      <c r="D125" s="1" t="s">
        <v>75</v>
      </c>
      <c r="E125" s="1" t="s">
        <v>69</v>
      </c>
      <c r="F125" s="1" t="n">
        <v>45</v>
      </c>
      <c r="G125" s="1" t="n">
        <v>7</v>
      </c>
      <c r="H125" s="1" t="s">
        <v>76</v>
      </c>
      <c r="I125" s="1" t="n">
        <v>-7</v>
      </c>
      <c r="J125" s="1" t="n">
        <v>45.5</v>
      </c>
      <c r="K125" s="1" t="s">
        <v>168</v>
      </c>
      <c r="L125" s="1" t="b">
        <f aca="false">FALSE()</f>
        <v>0</v>
      </c>
      <c r="M125" s="1" t="str">
        <f aca="false">VLOOKUP(D125,'Team Reference'!$A:$B,2,FALSE())</f>
        <v>GB</v>
      </c>
      <c r="N125" s="1" t="str">
        <f aca="false">VLOOKUP(E125,'Team Reference'!$A:$B,2,FALSE())</f>
        <v>DAL</v>
      </c>
      <c r="O125" s="1" t="str">
        <f aca="false">IF(F125&gt;G125,M125,IF(G125&gt;F125,N125,"Tie"))</f>
        <v>GB</v>
      </c>
      <c r="P125" s="1" t="n">
        <f aca="false">F125-G125</f>
        <v>38</v>
      </c>
      <c r="Q125" s="1" t="n">
        <f aca="false">F125+G125</f>
        <v>52</v>
      </c>
      <c r="R125" s="1" t="str">
        <f aca="false">IF(H125=M125,"Home",IF(H125=N125,"Away",IF(H125="PICK","Pick","N/A")))</f>
        <v>Home</v>
      </c>
      <c r="S125" s="1" t="n">
        <f aca="false">IF(R125="Home",P125,IF(R125="Away",-P125,""))</f>
        <v>38</v>
      </c>
      <c r="T125" s="1" t="str">
        <f aca="false">IF(R125="Pick","No Line",IF(S125="","N/A",IF(S125+I125&gt;0,"Favorite Covered",IF(S125+I125&lt;0,"Underdog Covered","Push"))))</f>
        <v>Favorite Covered</v>
      </c>
      <c r="U125" s="1" t="str">
        <f aca="false">IF(Q125&gt;J125,"Over",IF(Q125&lt;J125,"Under","Push"))</f>
        <v>Over</v>
      </c>
    </row>
    <row r="126" customFormat="false" ht="15" hidden="false" customHeight="false" outlineLevel="0" collapsed="false">
      <c r="A126" s="1" t="s">
        <v>197</v>
      </c>
      <c r="B126" s="1" t="n">
        <v>2010</v>
      </c>
      <c r="C126" s="1" t="s">
        <v>198</v>
      </c>
      <c r="D126" s="1" t="s">
        <v>77</v>
      </c>
      <c r="E126" s="1" t="s">
        <v>107</v>
      </c>
      <c r="F126" s="1" t="n">
        <v>23</v>
      </c>
      <c r="G126" s="1" t="n">
        <v>29</v>
      </c>
      <c r="H126" s="1" t="s">
        <v>86</v>
      </c>
      <c r="I126" s="1" t="n">
        <v>-3</v>
      </c>
      <c r="J126" s="1" t="n">
        <v>49.5</v>
      </c>
      <c r="K126" s="1" t="s">
        <v>146</v>
      </c>
      <c r="L126" s="1" t="b">
        <f aca="false">FALSE()</f>
        <v>0</v>
      </c>
      <c r="M126" s="1" t="str">
        <f aca="false">VLOOKUP(D126,'Team Reference'!$A:$B,2,FALSE())</f>
        <v>HOU</v>
      </c>
      <c r="N126" s="1" t="str">
        <f aca="false">VLOOKUP(E126,'Team Reference'!$A:$B,2,FALSE())</f>
        <v>LAC</v>
      </c>
      <c r="O126" s="1" t="str">
        <f aca="false">IF(F126&gt;G126,M126,IF(G126&gt;F126,N126,"Tie"))</f>
        <v>LAC</v>
      </c>
      <c r="P126" s="1" t="n">
        <f aca="false">F126-G126</f>
        <v>-6</v>
      </c>
      <c r="Q126" s="1" t="n">
        <f aca="false">F126+G126</f>
        <v>52</v>
      </c>
      <c r="R126" s="1" t="str">
        <f aca="false">IF(H126=M126,"Home",IF(H126=N126,"Away",IF(H126="PICK","Pick","N/A")))</f>
        <v>Away</v>
      </c>
      <c r="S126" s="1" t="n">
        <f aca="false">IF(R126="Home",P126,IF(R126="Away",-P126,""))</f>
        <v>6</v>
      </c>
      <c r="T126" s="1" t="str">
        <f aca="false">IF(R126="Pick","No Line",IF(S126="","N/A",IF(S126+I126&gt;0,"Favorite Covered",IF(S126+I126&lt;0,"Underdog Covered","Push"))))</f>
        <v>Favorite Covered</v>
      </c>
      <c r="U126" s="1" t="str">
        <f aca="false">IF(Q126&gt;J126,"Over",IF(Q126&lt;J126,"Under","Push"))</f>
        <v>Over</v>
      </c>
    </row>
    <row r="127" customFormat="false" ht="15" hidden="false" customHeight="false" outlineLevel="0" collapsed="false">
      <c r="A127" s="1" t="s">
        <v>197</v>
      </c>
      <c r="B127" s="1" t="n">
        <v>2010</v>
      </c>
      <c r="C127" s="1" t="s">
        <v>198</v>
      </c>
      <c r="D127" s="1" t="s">
        <v>91</v>
      </c>
      <c r="E127" s="1" t="s">
        <v>53</v>
      </c>
      <c r="F127" s="1" t="n">
        <v>27</v>
      </c>
      <c r="G127" s="1" t="n">
        <v>24</v>
      </c>
      <c r="H127" s="1" t="s">
        <v>92</v>
      </c>
      <c r="I127" s="1" t="n">
        <v>-7.5</v>
      </c>
      <c r="J127" s="1" t="n">
        <v>42.5</v>
      </c>
      <c r="K127" s="1" t="s">
        <v>170</v>
      </c>
      <c r="L127" s="1" t="b">
        <f aca="false">FALSE()</f>
        <v>0</v>
      </c>
      <c r="M127" s="1" t="str">
        <f aca="false">VLOOKUP(D127,'Team Reference'!$A:$B,2,FALSE())</f>
        <v>MIN</v>
      </c>
      <c r="N127" s="1" t="str">
        <f aca="false">VLOOKUP(E127,'Team Reference'!$A:$B,2,FALSE())</f>
        <v>ARI</v>
      </c>
      <c r="O127" s="1" t="str">
        <f aca="false">IF(F127&gt;G127,M127,IF(G127&gt;F127,N127,"Tie"))</f>
        <v>MIN</v>
      </c>
      <c r="P127" s="1" t="n">
        <f aca="false">F127-G127</f>
        <v>3</v>
      </c>
      <c r="Q127" s="1" t="n">
        <f aca="false">F127+G127</f>
        <v>51</v>
      </c>
      <c r="R127" s="1" t="str">
        <f aca="false">IF(H127=M127,"Home",IF(H127=N127,"Away",IF(H127="PICK","Pick","N/A")))</f>
        <v>Home</v>
      </c>
      <c r="S127" s="1" t="n">
        <f aca="false">IF(R127="Home",P127,IF(R127="Away",-P127,""))</f>
        <v>3</v>
      </c>
      <c r="T127" s="1" t="str">
        <f aca="false">IF(R127="Pick","No Line",IF(S127="","N/A",IF(S127+I127&gt;0,"Favorite Covered",IF(S127+I127&lt;0,"Underdog Covered","Push"))))</f>
        <v>Underdog Covered</v>
      </c>
      <c r="U127" s="1" t="str">
        <f aca="false">IF(Q127&gt;J127,"Over",IF(Q127&lt;J127,"Under","Push"))</f>
        <v>Over</v>
      </c>
    </row>
    <row r="128" customFormat="false" ht="15" hidden="false" customHeight="false" outlineLevel="0" collapsed="false">
      <c r="A128" s="1" t="s">
        <v>197</v>
      </c>
      <c r="B128" s="1" t="n">
        <v>2010</v>
      </c>
      <c r="C128" s="1" t="s">
        <v>198</v>
      </c>
      <c r="D128" s="1" t="s">
        <v>101</v>
      </c>
      <c r="E128" s="1" t="s">
        <v>83</v>
      </c>
      <c r="F128" s="1" t="n">
        <v>23</v>
      </c>
      <c r="G128" s="1" t="n">
        <v>20</v>
      </c>
      <c r="H128" s="1" t="s">
        <v>200</v>
      </c>
      <c r="I128" s="1" t="n">
        <v>0</v>
      </c>
      <c r="J128" s="1" t="n">
        <v>41</v>
      </c>
      <c r="K128" s="1" t="s">
        <v>171</v>
      </c>
      <c r="L128" s="1" t="b">
        <f aca="false">FALSE()</f>
        <v>0</v>
      </c>
      <c r="M128" s="1" t="str">
        <f aca="false">VLOOKUP(D128,'Team Reference'!$A:$B,2,FALSE())</f>
        <v>OAK</v>
      </c>
      <c r="N128" s="1" t="str">
        <f aca="false">VLOOKUP(E128,'Team Reference'!$A:$B,2,FALSE())</f>
        <v>KC</v>
      </c>
      <c r="O128" s="1" t="str">
        <f aca="false">IF(F128&gt;G128,M128,IF(G128&gt;F128,N128,"Tie"))</f>
        <v>OAK</v>
      </c>
      <c r="P128" s="1" t="n">
        <f aca="false">F128-G128</f>
        <v>3</v>
      </c>
      <c r="Q128" s="1" t="n">
        <f aca="false">F128+G128</f>
        <v>43</v>
      </c>
      <c r="R128" s="1" t="str">
        <f aca="false">IF(H128=M128,"Home",IF(H128=N128,"Away",IF(H128="PICK","Pick","N/A")))</f>
        <v>Pick</v>
      </c>
      <c r="S128" s="1" t="str">
        <f aca="false">IF(R128="Home",P128,IF(R128="Away",-P128,""))</f>
        <v/>
      </c>
      <c r="T128" s="1" t="str">
        <f aca="false">IF(R128="Pick","No Line",IF(S128="","N/A",IF(S128+I128&gt;0,"Favorite Covered",IF(S128+I128&lt;0,"Underdog Covered","Push"))))</f>
        <v>No Line</v>
      </c>
      <c r="U128" s="1" t="str">
        <f aca="false">IF(Q128&gt;J128,"Over",IF(Q128&lt;J128,"Under","Push"))</f>
        <v>Over</v>
      </c>
    </row>
    <row r="129" customFormat="false" ht="15" hidden="false" customHeight="false" outlineLevel="0" collapsed="false">
      <c r="A129" s="1" t="s">
        <v>197</v>
      </c>
      <c r="B129" s="1" t="n">
        <v>2010</v>
      </c>
      <c r="C129" s="1" t="s">
        <v>198</v>
      </c>
      <c r="D129" s="1" t="s">
        <v>103</v>
      </c>
      <c r="E129" s="1" t="s">
        <v>79</v>
      </c>
      <c r="F129" s="1" t="n">
        <v>26</v>
      </c>
      <c r="G129" s="1" t="n">
        <v>24</v>
      </c>
      <c r="H129" s="1" t="s">
        <v>104</v>
      </c>
      <c r="I129" s="1" t="n">
        <v>-3</v>
      </c>
      <c r="J129" s="1" t="n">
        <v>47</v>
      </c>
      <c r="K129" s="1" t="s">
        <v>150</v>
      </c>
      <c r="L129" s="1" t="b">
        <f aca="false">FALSE()</f>
        <v>0</v>
      </c>
      <c r="M129" s="1" t="str">
        <f aca="false">VLOOKUP(D129,'Team Reference'!$A:$B,2,FALSE())</f>
        <v>PHI</v>
      </c>
      <c r="N129" s="1" t="str">
        <f aca="false">VLOOKUP(E129,'Team Reference'!$A:$B,2,FALSE())</f>
        <v>IND</v>
      </c>
      <c r="O129" s="1" t="str">
        <f aca="false">IF(F129&gt;G129,M129,IF(G129&gt;F129,N129,"Tie"))</f>
        <v>PHI</v>
      </c>
      <c r="P129" s="1" t="n">
        <f aca="false">F129-G129</f>
        <v>2</v>
      </c>
      <c r="Q129" s="1" t="n">
        <f aca="false">F129+G129</f>
        <v>50</v>
      </c>
      <c r="R129" s="1" t="str">
        <f aca="false">IF(H129=M129,"Home",IF(H129=N129,"Away",IF(H129="PICK","Pick","N/A")))</f>
        <v>Home</v>
      </c>
      <c r="S129" s="1" t="n">
        <f aca="false">IF(R129="Home",P129,IF(R129="Away",-P129,""))</f>
        <v>2</v>
      </c>
      <c r="T129" s="1" t="str">
        <f aca="false">IF(R129="Pick","No Line",IF(S129="","N/A",IF(S129+I129&gt;0,"Favorite Covered",IF(S129+I129&lt;0,"Underdog Covered","Push"))))</f>
        <v>Underdog Covered</v>
      </c>
      <c r="U129" s="1" t="str">
        <f aca="false">IF(Q129&gt;J129,"Over",IF(Q129&lt;J129,"Under","Push"))</f>
        <v>Over</v>
      </c>
    </row>
    <row r="130" customFormat="false" ht="15" hidden="false" customHeight="false" outlineLevel="0" collapsed="false">
      <c r="A130" s="1" t="s">
        <v>197</v>
      </c>
      <c r="B130" s="1" t="n">
        <v>2010</v>
      </c>
      <c r="C130" s="1" t="s">
        <v>198</v>
      </c>
      <c r="D130" s="1" t="s">
        <v>110</v>
      </c>
      <c r="E130" s="1" t="s">
        <v>97</v>
      </c>
      <c r="F130" s="1" t="n">
        <v>7</v>
      </c>
      <c r="G130" s="1" t="n">
        <v>41</v>
      </c>
      <c r="H130" s="1" t="s">
        <v>98</v>
      </c>
      <c r="I130" s="1" t="n">
        <v>-7.5</v>
      </c>
      <c r="J130" s="1" t="n">
        <v>40.5</v>
      </c>
      <c r="K130" s="1" t="s">
        <v>152</v>
      </c>
      <c r="L130" s="1" t="b">
        <f aca="false">FALSE()</f>
        <v>0</v>
      </c>
      <c r="M130" s="1" t="str">
        <f aca="false">VLOOKUP(D130,'Team Reference'!$A:$B,2,FALSE())</f>
        <v>SEA</v>
      </c>
      <c r="N130" s="1" t="str">
        <f aca="false">VLOOKUP(E130,'Team Reference'!$A:$B,2,FALSE())</f>
        <v>NYG</v>
      </c>
      <c r="O130" s="1" t="str">
        <f aca="false">IF(F130&gt;G130,M130,IF(G130&gt;F130,N130,"Tie"))</f>
        <v>NYG</v>
      </c>
      <c r="P130" s="1" t="n">
        <f aca="false">F130-G130</f>
        <v>-34</v>
      </c>
      <c r="Q130" s="1" t="n">
        <f aca="false">F130+G130</f>
        <v>48</v>
      </c>
      <c r="R130" s="1" t="str">
        <f aca="false">IF(H130=M130,"Home",IF(H130=N130,"Away",IF(H130="PICK","Pick","N/A")))</f>
        <v>Away</v>
      </c>
      <c r="S130" s="1" t="n">
        <f aca="false">IF(R130="Home",P130,IF(R130="Away",-P130,""))</f>
        <v>34</v>
      </c>
      <c r="T130" s="1" t="str">
        <f aca="false">IF(R130="Pick","No Line",IF(S130="","N/A",IF(S130+I130&gt;0,"Favorite Covered",IF(S130+I130&lt;0,"Underdog Covered","Push"))))</f>
        <v>Favorite Covered</v>
      </c>
      <c r="U130" s="1" t="str">
        <f aca="false">IF(Q130&gt;J130,"Over",IF(Q130&lt;J130,"Under","Push"))</f>
        <v>Over</v>
      </c>
    </row>
    <row r="131" customFormat="false" ht="15" hidden="false" customHeight="false" outlineLevel="0" collapsed="false">
      <c r="A131" s="1" t="s">
        <v>201</v>
      </c>
      <c r="B131" s="1" t="n">
        <v>2010</v>
      </c>
      <c r="C131" s="1" t="s">
        <v>198</v>
      </c>
      <c r="D131" s="1" t="s">
        <v>65</v>
      </c>
      <c r="E131" s="1" t="s">
        <v>105</v>
      </c>
      <c r="F131" s="1" t="n">
        <v>21</v>
      </c>
      <c r="G131" s="1" t="n">
        <v>27</v>
      </c>
      <c r="H131" s="1" t="s">
        <v>106</v>
      </c>
      <c r="I131" s="1" t="n">
        <v>-5.5</v>
      </c>
      <c r="J131" s="1" t="n">
        <v>41.5</v>
      </c>
      <c r="K131" s="1" t="s">
        <v>163</v>
      </c>
      <c r="L131" s="1" t="b">
        <f aca="false">FALSE()</f>
        <v>0</v>
      </c>
      <c r="M131" s="1" t="str">
        <f aca="false">VLOOKUP(D131,'Team Reference'!$A:$B,2,FALSE())</f>
        <v>CIN</v>
      </c>
      <c r="N131" s="1" t="str">
        <f aca="false">VLOOKUP(E131,'Team Reference'!$A:$B,2,FALSE())</f>
        <v>PIT</v>
      </c>
      <c r="O131" s="1" t="str">
        <f aca="false">IF(F131&gt;G131,M131,IF(G131&gt;F131,N131,"Tie"))</f>
        <v>PIT</v>
      </c>
      <c r="P131" s="1" t="n">
        <f aca="false">F131-G131</f>
        <v>-6</v>
      </c>
      <c r="Q131" s="1" t="n">
        <f aca="false">F131+G131</f>
        <v>48</v>
      </c>
      <c r="R131" s="1" t="str">
        <f aca="false">IF(H131=M131,"Home",IF(H131=N131,"Away",IF(H131="PICK","Pick","N/A")))</f>
        <v>Away</v>
      </c>
      <c r="S131" s="1" t="n">
        <f aca="false">IF(R131="Home",P131,IF(R131="Away",-P131,""))</f>
        <v>6</v>
      </c>
      <c r="T131" s="1" t="str">
        <f aca="false">IF(R131="Pick","No Line",IF(S131="","N/A",IF(S131+I131&gt;0,"Favorite Covered",IF(S131+I131&lt;0,"Underdog Covered","Push"))))</f>
        <v>Favorite Covered</v>
      </c>
      <c r="U131" s="1" t="str">
        <f aca="false">IF(Q131&gt;J131,"Over",IF(Q131&lt;J131,"Under","Push"))</f>
        <v>Over</v>
      </c>
    </row>
    <row r="132" customFormat="false" ht="15" hidden="false" customHeight="false" outlineLevel="0" collapsed="false">
      <c r="A132" s="1" t="s">
        <v>202</v>
      </c>
      <c r="B132" s="1" t="n">
        <v>2010</v>
      </c>
      <c r="C132" s="1" t="s">
        <v>203</v>
      </c>
      <c r="D132" s="1" t="s">
        <v>55</v>
      </c>
      <c r="E132" s="1" t="s">
        <v>57</v>
      </c>
      <c r="F132" s="1" t="n">
        <v>26</v>
      </c>
      <c r="G132" s="1" t="n">
        <v>21</v>
      </c>
      <c r="H132" s="1" t="s">
        <v>56</v>
      </c>
      <c r="I132" s="1" t="n">
        <v>-1</v>
      </c>
      <c r="J132" s="1" t="n">
        <v>44</v>
      </c>
      <c r="K132" s="1" t="s">
        <v>161</v>
      </c>
      <c r="L132" s="1" t="b">
        <f aca="false">FALSE()</f>
        <v>0</v>
      </c>
      <c r="M132" s="1" t="str">
        <f aca="false">VLOOKUP(D132,'Team Reference'!$A:$B,2,FALSE())</f>
        <v>ATL</v>
      </c>
      <c r="N132" s="1" t="str">
        <f aca="false">VLOOKUP(E132,'Team Reference'!$A:$B,2,FALSE())</f>
        <v>BAL</v>
      </c>
      <c r="O132" s="1" t="str">
        <f aca="false">IF(F132&gt;G132,M132,IF(G132&gt;F132,N132,"Tie"))</f>
        <v>ATL</v>
      </c>
      <c r="P132" s="1" t="n">
        <f aca="false">F132-G132</f>
        <v>5</v>
      </c>
      <c r="Q132" s="1" t="n">
        <f aca="false">F132+G132</f>
        <v>47</v>
      </c>
      <c r="R132" s="1" t="str">
        <f aca="false">IF(H132=M132,"Home",IF(H132=N132,"Away",IF(H132="PICK","Pick","N/A")))</f>
        <v>Home</v>
      </c>
      <c r="S132" s="1" t="n">
        <f aca="false">IF(R132="Home",P132,IF(R132="Away",-P132,""))</f>
        <v>5</v>
      </c>
      <c r="T132" s="1" t="str">
        <f aca="false">IF(R132="Pick","No Line",IF(S132="","N/A",IF(S132+I132&gt;0,"Favorite Covered",IF(S132+I132&lt;0,"Underdog Covered","Push"))))</f>
        <v>Favorite Covered</v>
      </c>
      <c r="U132" s="1" t="str">
        <f aca="false">IF(Q132&gt;J132,"Over",IF(Q132&lt;J132,"Under","Push"))</f>
        <v>Over</v>
      </c>
    </row>
    <row r="133" customFormat="false" ht="15" hidden="false" customHeight="false" outlineLevel="0" collapsed="false">
      <c r="A133" s="1" t="s">
        <v>204</v>
      </c>
      <c r="B133" s="1" t="n">
        <v>2010</v>
      </c>
      <c r="C133" s="1" t="s">
        <v>203</v>
      </c>
      <c r="D133" s="1" t="s">
        <v>53</v>
      </c>
      <c r="E133" s="1" t="s">
        <v>110</v>
      </c>
      <c r="F133" s="1" t="n">
        <v>18</v>
      </c>
      <c r="G133" s="1" t="n">
        <v>36</v>
      </c>
      <c r="H133" s="1" t="s">
        <v>54</v>
      </c>
      <c r="I133" s="1" t="n">
        <v>-4</v>
      </c>
      <c r="J133" s="1" t="n">
        <v>41.5</v>
      </c>
      <c r="K133" s="1" t="s">
        <v>177</v>
      </c>
      <c r="L133" s="1" t="b">
        <f aca="false">FALSE()</f>
        <v>0</v>
      </c>
      <c r="M133" s="1" t="str">
        <f aca="false">VLOOKUP(D133,'Team Reference'!$A:$B,2,FALSE())</f>
        <v>ARI</v>
      </c>
      <c r="N133" s="1" t="str">
        <f aca="false">VLOOKUP(E133,'Team Reference'!$A:$B,2,FALSE())</f>
        <v>SEA</v>
      </c>
      <c r="O133" s="1" t="str">
        <f aca="false">IF(F133&gt;G133,M133,IF(G133&gt;F133,N133,"Tie"))</f>
        <v>SEA</v>
      </c>
      <c r="P133" s="1" t="n">
        <f aca="false">F133-G133</f>
        <v>-18</v>
      </c>
      <c r="Q133" s="1" t="n">
        <f aca="false">F133+G133</f>
        <v>54</v>
      </c>
      <c r="R133" s="1" t="str">
        <f aca="false">IF(H133=M133,"Home",IF(H133=N133,"Away",IF(H133="PICK","Pick","N/A")))</f>
        <v>Home</v>
      </c>
      <c r="S133" s="1" t="n">
        <f aca="false">IF(R133="Home",P133,IF(R133="Away",-P133,""))</f>
        <v>-18</v>
      </c>
      <c r="T133" s="1" t="str">
        <f aca="false">IF(R133="Pick","No Line",IF(S133="","N/A",IF(S133+I133&gt;0,"Favorite Covered",IF(S133+I133&lt;0,"Underdog Covered","Push"))))</f>
        <v>Underdog Covered</v>
      </c>
      <c r="U133" s="1" t="str">
        <f aca="false">IF(Q133&gt;J133,"Over",IF(Q133&lt;J133,"Under","Push"))</f>
        <v>Over</v>
      </c>
    </row>
    <row r="134" customFormat="false" ht="15" hidden="false" customHeight="false" outlineLevel="0" collapsed="false">
      <c r="A134" s="1" t="s">
        <v>204</v>
      </c>
      <c r="B134" s="1" t="n">
        <v>2010</v>
      </c>
      <c r="C134" s="1" t="s">
        <v>203</v>
      </c>
      <c r="D134" s="1" t="s">
        <v>59</v>
      </c>
      <c r="E134" s="1" t="s">
        <v>73</v>
      </c>
      <c r="F134" s="1" t="n">
        <v>14</v>
      </c>
      <c r="G134" s="1" t="n">
        <v>12</v>
      </c>
      <c r="H134" s="1" t="s">
        <v>60</v>
      </c>
      <c r="I134" s="1" t="n">
        <v>-1.5</v>
      </c>
      <c r="J134" s="1" t="n">
        <v>45</v>
      </c>
      <c r="K134" s="1" t="s">
        <v>144</v>
      </c>
      <c r="L134" s="1" t="b">
        <f aca="false">FALSE()</f>
        <v>0</v>
      </c>
      <c r="M134" s="1" t="str">
        <f aca="false">VLOOKUP(D134,'Team Reference'!$A:$B,2,FALSE())</f>
        <v>BUF</v>
      </c>
      <c r="N134" s="1" t="str">
        <f aca="false">VLOOKUP(E134,'Team Reference'!$A:$B,2,FALSE())</f>
        <v>DET</v>
      </c>
      <c r="O134" s="1" t="str">
        <f aca="false">IF(F134&gt;G134,M134,IF(G134&gt;F134,N134,"Tie"))</f>
        <v>BUF</v>
      </c>
      <c r="P134" s="1" t="n">
        <f aca="false">F134-G134</f>
        <v>2</v>
      </c>
      <c r="Q134" s="1" t="n">
        <f aca="false">F134+G134</f>
        <v>26</v>
      </c>
      <c r="R134" s="1" t="str">
        <f aca="false">IF(H134=M134,"Home",IF(H134=N134,"Away",IF(H134="PICK","Pick","N/A")))</f>
        <v>Home</v>
      </c>
      <c r="S134" s="1" t="n">
        <f aca="false">IF(R134="Home",P134,IF(R134="Away",-P134,""))</f>
        <v>2</v>
      </c>
      <c r="T134" s="1" t="str">
        <f aca="false">IF(R134="Pick","No Line",IF(S134="","N/A",IF(S134+I134&gt;0,"Favorite Covered",IF(S134+I134&lt;0,"Underdog Covered","Push"))))</f>
        <v>Favorite Covered</v>
      </c>
      <c r="U134" s="1" t="str">
        <f aca="false">IF(Q134&gt;J134,"Over",IF(Q134&lt;J134,"Under","Push"))</f>
        <v>Under</v>
      </c>
    </row>
    <row r="135" customFormat="false" ht="15" hidden="false" customHeight="false" outlineLevel="0" collapsed="false">
      <c r="A135" s="1" t="s">
        <v>204</v>
      </c>
      <c r="B135" s="1" t="n">
        <v>2010</v>
      </c>
      <c r="C135" s="1" t="s">
        <v>203</v>
      </c>
      <c r="D135" s="1" t="s">
        <v>63</v>
      </c>
      <c r="E135" s="1" t="s">
        <v>91</v>
      </c>
      <c r="F135" s="1" t="n">
        <v>27</v>
      </c>
      <c r="G135" s="1" t="n">
        <v>13</v>
      </c>
      <c r="H135" s="1" t="s">
        <v>92</v>
      </c>
      <c r="I135" s="1" t="n">
        <v>-1</v>
      </c>
      <c r="J135" s="1" t="n">
        <v>41.5</v>
      </c>
      <c r="K135" s="1" t="s">
        <v>145</v>
      </c>
      <c r="L135" s="1" t="b">
        <f aca="false">FALSE()</f>
        <v>0</v>
      </c>
      <c r="M135" s="1" t="str">
        <f aca="false">VLOOKUP(D135,'Team Reference'!$A:$B,2,FALSE())</f>
        <v>CHI</v>
      </c>
      <c r="N135" s="1" t="str">
        <f aca="false">VLOOKUP(E135,'Team Reference'!$A:$B,2,FALSE())</f>
        <v>MIN</v>
      </c>
      <c r="O135" s="1" t="str">
        <f aca="false">IF(F135&gt;G135,M135,IF(G135&gt;F135,N135,"Tie"))</f>
        <v>CHI</v>
      </c>
      <c r="P135" s="1" t="n">
        <f aca="false">F135-G135</f>
        <v>14</v>
      </c>
      <c r="Q135" s="1" t="n">
        <f aca="false">F135+G135</f>
        <v>40</v>
      </c>
      <c r="R135" s="1" t="str">
        <f aca="false">IF(H135=M135,"Home",IF(H135=N135,"Away",IF(H135="PICK","Pick","N/A")))</f>
        <v>Away</v>
      </c>
      <c r="S135" s="1" t="n">
        <f aca="false">IF(R135="Home",P135,IF(R135="Away",-P135,""))</f>
        <v>-14</v>
      </c>
      <c r="T135" s="1" t="str">
        <f aca="false">IF(R135="Pick","No Line",IF(S135="","N/A",IF(S135+I135&gt;0,"Favorite Covered",IF(S135+I135&lt;0,"Underdog Covered","Push"))))</f>
        <v>Underdog Covered</v>
      </c>
      <c r="U135" s="1" t="str">
        <f aca="false">IF(Q135&gt;J135,"Over",IF(Q135&lt;J135,"Under","Push"))</f>
        <v>Under</v>
      </c>
    </row>
    <row r="136" customFormat="false" ht="15" hidden="false" customHeight="false" outlineLevel="0" collapsed="false">
      <c r="A136" s="1" t="s">
        <v>204</v>
      </c>
      <c r="B136" s="1" t="n">
        <v>2010</v>
      </c>
      <c r="C136" s="1" t="s">
        <v>203</v>
      </c>
      <c r="D136" s="1" t="s">
        <v>67</v>
      </c>
      <c r="E136" s="1" t="s">
        <v>99</v>
      </c>
      <c r="F136" s="1" t="n">
        <v>20</v>
      </c>
      <c r="G136" s="1" t="n">
        <v>26</v>
      </c>
      <c r="H136" s="1" t="s">
        <v>100</v>
      </c>
      <c r="I136" s="1" t="n">
        <v>-3.5</v>
      </c>
      <c r="J136" s="1" t="n">
        <v>37</v>
      </c>
      <c r="K136" s="1" t="s">
        <v>164</v>
      </c>
      <c r="L136" s="1" t="b">
        <f aca="false">FALSE()</f>
        <v>0</v>
      </c>
      <c r="M136" s="1" t="str">
        <f aca="false">VLOOKUP(D136,'Team Reference'!$A:$B,2,FALSE())</f>
        <v>CLE</v>
      </c>
      <c r="N136" s="1" t="str">
        <f aca="false">VLOOKUP(E136,'Team Reference'!$A:$B,2,FALSE())</f>
        <v>NYJ</v>
      </c>
      <c r="O136" s="1" t="str">
        <f aca="false">IF(F136&gt;G136,M136,IF(G136&gt;F136,N136,"Tie"))</f>
        <v>NYJ</v>
      </c>
      <c r="P136" s="1" t="n">
        <f aca="false">F136-G136</f>
        <v>-6</v>
      </c>
      <c r="Q136" s="1" t="n">
        <f aca="false">F136+G136</f>
        <v>46</v>
      </c>
      <c r="R136" s="1" t="str">
        <f aca="false">IF(H136=M136,"Home",IF(H136=N136,"Away",IF(H136="PICK","Pick","N/A")))</f>
        <v>Away</v>
      </c>
      <c r="S136" s="1" t="n">
        <f aca="false">IF(R136="Home",P136,IF(R136="Away",-P136,""))</f>
        <v>6</v>
      </c>
      <c r="T136" s="1" t="str">
        <f aca="false">IF(R136="Pick","No Line",IF(S136="","N/A",IF(S136+I136&gt;0,"Favorite Covered",IF(S136+I136&lt;0,"Underdog Covered","Push"))))</f>
        <v>Favorite Covered</v>
      </c>
      <c r="U136" s="1" t="str">
        <f aca="false">IF(Q136&gt;J136,"Over",IF(Q136&lt;J136,"Under","Push"))</f>
        <v>Over</v>
      </c>
    </row>
    <row r="137" customFormat="false" ht="15" hidden="false" customHeight="false" outlineLevel="0" collapsed="false">
      <c r="A137" s="1" t="s">
        <v>204</v>
      </c>
      <c r="B137" s="1" t="n">
        <v>2010</v>
      </c>
      <c r="C137" s="1" t="s">
        <v>203</v>
      </c>
      <c r="D137" s="1" t="s">
        <v>71</v>
      </c>
      <c r="E137" s="1" t="s">
        <v>83</v>
      </c>
      <c r="F137" s="1" t="n">
        <v>49</v>
      </c>
      <c r="G137" s="1" t="n">
        <v>29</v>
      </c>
      <c r="H137" s="1" t="s">
        <v>84</v>
      </c>
      <c r="I137" s="1" t="n">
        <v>-1</v>
      </c>
      <c r="J137" s="1" t="n">
        <v>44.5</v>
      </c>
      <c r="K137" s="1" t="s">
        <v>166</v>
      </c>
      <c r="L137" s="1" t="b">
        <f aca="false">FALSE()</f>
        <v>0</v>
      </c>
      <c r="M137" s="1" t="str">
        <f aca="false">VLOOKUP(D137,'Team Reference'!$A:$B,2,FALSE())</f>
        <v>DEN</v>
      </c>
      <c r="N137" s="1" t="str">
        <f aca="false">VLOOKUP(E137,'Team Reference'!$A:$B,2,FALSE())</f>
        <v>KC</v>
      </c>
      <c r="O137" s="1" t="str">
        <f aca="false">IF(F137&gt;G137,M137,IF(G137&gt;F137,N137,"Tie"))</f>
        <v>DEN</v>
      </c>
      <c r="P137" s="1" t="n">
        <f aca="false">F137-G137</f>
        <v>20</v>
      </c>
      <c r="Q137" s="1" t="n">
        <f aca="false">F137+G137</f>
        <v>78</v>
      </c>
      <c r="R137" s="1" t="str">
        <f aca="false">IF(H137=M137,"Home",IF(H137=N137,"Away",IF(H137="PICK","Pick","N/A")))</f>
        <v>Away</v>
      </c>
      <c r="S137" s="1" t="n">
        <f aca="false">IF(R137="Home",P137,IF(R137="Away",-P137,""))</f>
        <v>-20</v>
      </c>
      <c r="T137" s="1" t="str">
        <f aca="false">IF(R137="Pick","No Line",IF(S137="","N/A",IF(S137+I137&gt;0,"Favorite Covered",IF(S137+I137&lt;0,"Underdog Covered","Push"))))</f>
        <v>Underdog Covered</v>
      </c>
      <c r="U137" s="1" t="str">
        <f aca="false">IF(Q137&gt;J137,"Over",IF(Q137&lt;J137,"Under","Push"))</f>
        <v>Over</v>
      </c>
    </row>
    <row r="138" customFormat="false" ht="15" hidden="false" customHeight="false" outlineLevel="0" collapsed="false">
      <c r="A138" s="1" t="s">
        <v>204</v>
      </c>
      <c r="B138" s="1" t="n">
        <v>2010</v>
      </c>
      <c r="C138" s="1" t="s">
        <v>203</v>
      </c>
      <c r="D138" s="1" t="s">
        <v>79</v>
      </c>
      <c r="E138" s="1" t="s">
        <v>65</v>
      </c>
      <c r="F138" s="1" t="n">
        <v>23</v>
      </c>
      <c r="G138" s="1" t="n">
        <v>17</v>
      </c>
      <c r="H138" s="1" t="s">
        <v>80</v>
      </c>
      <c r="I138" s="1" t="n">
        <v>-7</v>
      </c>
      <c r="J138" s="1" t="n">
        <v>47</v>
      </c>
      <c r="K138" s="1" t="s">
        <v>169</v>
      </c>
      <c r="L138" s="1" t="b">
        <f aca="false">FALSE()</f>
        <v>0</v>
      </c>
      <c r="M138" s="1" t="str">
        <f aca="false">VLOOKUP(D138,'Team Reference'!$A:$B,2,FALSE())</f>
        <v>IND</v>
      </c>
      <c r="N138" s="1" t="str">
        <f aca="false">VLOOKUP(E138,'Team Reference'!$A:$B,2,FALSE())</f>
        <v>CIN</v>
      </c>
      <c r="O138" s="1" t="str">
        <f aca="false">IF(F138&gt;G138,M138,IF(G138&gt;F138,N138,"Tie"))</f>
        <v>IND</v>
      </c>
      <c r="P138" s="1" t="n">
        <f aca="false">F138-G138</f>
        <v>6</v>
      </c>
      <c r="Q138" s="1" t="n">
        <f aca="false">F138+G138</f>
        <v>40</v>
      </c>
      <c r="R138" s="1" t="str">
        <f aca="false">IF(H138=M138,"Home",IF(H138=N138,"Away",IF(H138="PICK","Pick","N/A")))</f>
        <v>Home</v>
      </c>
      <c r="S138" s="1" t="n">
        <f aca="false">IF(R138="Home",P138,IF(R138="Away",-P138,""))</f>
        <v>6</v>
      </c>
      <c r="T138" s="1" t="str">
        <f aca="false">IF(R138="Pick","No Line",IF(S138="","N/A",IF(S138+I138&gt;0,"Favorite Covered",IF(S138+I138&lt;0,"Underdog Covered","Push"))))</f>
        <v>Underdog Covered</v>
      </c>
      <c r="U138" s="1" t="str">
        <f aca="false">IF(Q138&gt;J138,"Over",IF(Q138&lt;J138,"Under","Push"))</f>
        <v>Under</v>
      </c>
    </row>
    <row r="139" customFormat="false" ht="15" hidden="false" customHeight="false" outlineLevel="0" collapsed="false">
      <c r="A139" s="1" t="s">
        <v>204</v>
      </c>
      <c r="B139" s="1" t="n">
        <v>2010</v>
      </c>
      <c r="C139" s="1" t="s">
        <v>203</v>
      </c>
      <c r="D139" s="1" t="s">
        <v>81</v>
      </c>
      <c r="E139" s="1" t="s">
        <v>77</v>
      </c>
      <c r="F139" s="1" t="n">
        <v>31</v>
      </c>
      <c r="G139" s="1" t="n">
        <v>24</v>
      </c>
      <c r="H139" s="1" t="s">
        <v>200</v>
      </c>
      <c r="I139" s="1" t="n">
        <v>0</v>
      </c>
      <c r="J139" s="1" t="n">
        <v>48.5</v>
      </c>
      <c r="K139" s="1" t="s">
        <v>147</v>
      </c>
      <c r="L139" s="1" t="b">
        <f aca="false">FALSE()</f>
        <v>0</v>
      </c>
      <c r="M139" s="1" t="str">
        <f aca="false">VLOOKUP(D139,'Team Reference'!$A:$B,2,FALSE())</f>
        <v>JAX</v>
      </c>
      <c r="N139" s="1" t="str">
        <f aca="false">VLOOKUP(E139,'Team Reference'!$A:$B,2,FALSE())</f>
        <v>HOU</v>
      </c>
      <c r="O139" s="1" t="str">
        <f aca="false">IF(F139&gt;G139,M139,IF(G139&gt;F139,N139,"Tie"))</f>
        <v>JAX</v>
      </c>
      <c r="P139" s="1" t="n">
        <f aca="false">F139-G139</f>
        <v>7</v>
      </c>
      <c r="Q139" s="1" t="n">
        <f aca="false">F139+G139</f>
        <v>55</v>
      </c>
      <c r="R139" s="1" t="str">
        <f aca="false">IF(H139=M139,"Home",IF(H139=N139,"Away",IF(H139="PICK","Pick","N/A")))</f>
        <v>Pick</v>
      </c>
      <c r="S139" s="1" t="str">
        <f aca="false">IF(R139="Home",P139,IF(R139="Away",-P139,""))</f>
        <v/>
      </c>
      <c r="T139" s="1" t="str">
        <f aca="false">IF(R139="Pick","No Line",IF(S139="","N/A",IF(S139+I139&gt;0,"Favorite Covered",IF(S139+I139&lt;0,"Underdog Covered","Push"))))</f>
        <v>No Line</v>
      </c>
      <c r="U139" s="1" t="str">
        <f aca="false">IF(Q139&gt;J139,"Over",IF(Q139&lt;J139,"Under","Push"))</f>
        <v>Over</v>
      </c>
    </row>
    <row r="140" customFormat="false" ht="15" hidden="false" customHeight="false" outlineLevel="0" collapsed="false">
      <c r="A140" s="1" t="s">
        <v>204</v>
      </c>
      <c r="B140" s="1" t="n">
        <v>2010</v>
      </c>
      <c r="C140" s="1" t="s">
        <v>203</v>
      </c>
      <c r="D140" s="1" t="s">
        <v>89</v>
      </c>
      <c r="E140" s="1" t="s">
        <v>115</v>
      </c>
      <c r="F140" s="1" t="n">
        <v>29</v>
      </c>
      <c r="G140" s="1" t="n">
        <v>17</v>
      </c>
      <c r="H140" s="1" t="s">
        <v>90</v>
      </c>
      <c r="I140" s="1" t="n">
        <v>-1</v>
      </c>
      <c r="J140" s="1" t="n">
        <v>43</v>
      </c>
      <c r="K140" s="1" t="s">
        <v>179</v>
      </c>
      <c r="L140" s="1" t="b">
        <f aca="false">FALSE()</f>
        <v>0</v>
      </c>
      <c r="M140" s="1" t="str">
        <f aca="false">VLOOKUP(D140,'Team Reference'!$A:$B,2,FALSE())</f>
        <v>MIA</v>
      </c>
      <c r="N140" s="1" t="str">
        <f aca="false">VLOOKUP(E140,'Team Reference'!$A:$B,2,FALSE())</f>
        <v>TEN</v>
      </c>
      <c r="O140" s="1" t="str">
        <f aca="false">IF(F140&gt;G140,M140,IF(G140&gt;F140,N140,"Tie"))</f>
        <v>MIA</v>
      </c>
      <c r="P140" s="1" t="n">
        <f aca="false">F140-G140</f>
        <v>12</v>
      </c>
      <c r="Q140" s="1" t="n">
        <f aca="false">F140+G140</f>
        <v>46</v>
      </c>
      <c r="R140" s="1" t="str">
        <f aca="false">IF(H140=M140,"Home",IF(H140=N140,"Away",IF(H140="PICK","Pick","N/A")))</f>
        <v>Home</v>
      </c>
      <c r="S140" s="1" t="n">
        <f aca="false">IF(R140="Home",P140,IF(R140="Away",-P140,""))</f>
        <v>12</v>
      </c>
      <c r="T140" s="1" t="str">
        <f aca="false">IF(R140="Pick","No Line",IF(S140="","N/A",IF(S140+I140&gt;0,"Favorite Covered",IF(S140+I140&lt;0,"Underdog Covered","Push"))))</f>
        <v>Favorite Covered</v>
      </c>
      <c r="U140" s="1" t="str">
        <f aca="false">IF(Q140&gt;J140,"Over",IF(Q140&lt;J140,"Under","Push"))</f>
        <v>Over</v>
      </c>
    </row>
    <row r="141" customFormat="false" ht="15" hidden="false" customHeight="false" outlineLevel="0" collapsed="false">
      <c r="A141" s="1" t="s">
        <v>204</v>
      </c>
      <c r="B141" s="1" t="n">
        <v>2010</v>
      </c>
      <c r="C141" s="1" t="s">
        <v>203</v>
      </c>
      <c r="D141" s="1" t="s">
        <v>97</v>
      </c>
      <c r="E141" s="1" t="s">
        <v>69</v>
      </c>
      <c r="F141" s="1" t="n">
        <v>20</v>
      </c>
      <c r="G141" s="1" t="n">
        <v>33</v>
      </c>
      <c r="H141" s="1" t="s">
        <v>98</v>
      </c>
      <c r="I141" s="1" t="n">
        <v>-12.5</v>
      </c>
      <c r="J141" s="1" t="n">
        <v>46.5</v>
      </c>
      <c r="K141" s="1" t="s">
        <v>149</v>
      </c>
      <c r="L141" s="1" t="b">
        <f aca="false">FALSE()</f>
        <v>0</v>
      </c>
      <c r="M141" s="1" t="str">
        <f aca="false">VLOOKUP(D141,'Team Reference'!$A:$B,2,FALSE())</f>
        <v>NYG</v>
      </c>
      <c r="N141" s="1" t="str">
        <f aca="false">VLOOKUP(E141,'Team Reference'!$A:$B,2,FALSE())</f>
        <v>DAL</v>
      </c>
      <c r="O141" s="1" t="str">
        <f aca="false">IF(F141&gt;G141,M141,IF(G141&gt;F141,N141,"Tie"))</f>
        <v>DAL</v>
      </c>
      <c r="P141" s="1" t="n">
        <f aca="false">F141-G141</f>
        <v>-13</v>
      </c>
      <c r="Q141" s="1" t="n">
        <f aca="false">F141+G141</f>
        <v>53</v>
      </c>
      <c r="R141" s="1" t="str">
        <f aca="false">IF(H141=M141,"Home",IF(H141=N141,"Away",IF(H141="PICK","Pick","N/A")))</f>
        <v>Home</v>
      </c>
      <c r="S141" s="1" t="n">
        <f aca="false">IF(R141="Home",P141,IF(R141="Away",-P141,""))</f>
        <v>-13</v>
      </c>
      <c r="T141" s="1" t="str">
        <f aca="false">IF(R141="Pick","No Line",IF(S141="","N/A",IF(S141+I141&gt;0,"Favorite Covered",IF(S141+I141&lt;0,"Underdog Covered","Push"))))</f>
        <v>Underdog Covered</v>
      </c>
      <c r="U141" s="1" t="str">
        <f aca="false">IF(Q141&gt;J141,"Over",IF(Q141&lt;J141,"Under","Push"))</f>
        <v>Over</v>
      </c>
    </row>
    <row r="142" customFormat="false" ht="15" hidden="false" customHeight="false" outlineLevel="0" collapsed="false">
      <c r="A142" s="1" t="s">
        <v>204</v>
      </c>
      <c r="B142" s="1" t="n">
        <v>2010</v>
      </c>
      <c r="C142" s="1" t="s">
        <v>203</v>
      </c>
      <c r="D142" s="1" t="s">
        <v>105</v>
      </c>
      <c r="E142" s="1" t="s">
        <v>93</v>
      </c>
      <c r="F142" s="1" t="n">
        <v>26</v>
      </c>
      <c r="G142" s="1" t="n">
        <v>39</v>
      </c>
      <c r="H142" s="1" t="s">
        <v>106</v>
      </c>
      <c r="I142" s="1" t="n">
        <v>-4.5</v>
      </c>
      <c r="J142" s="1" t="n">
        <v>45</v>
      </c>
      <c r="K142" s="1" t="s">
        <v>151</v>
      </c>
      <c r="L142" s="1" t="b">
        <f aca="false">FALSE()</f>
        <v>0</v>
      </c>
      <c r="M142" s="1" t="str">
        <f aca="false">VLOOKUP(D142,'Team Reference'!$A:$B,2,FALSE())</f>
        <v>PIT</v>
      </c>
      <c r="N142" s="1" t="str">
        <f aca="false">VLOOKUP(E142,'Team Reference'!$A:$B,2,FALSE())</f>
        <v>NE</v>
      </c>
      <c r="O142" s="1" t="str">
        <f aca="false">IF(F142&gt;G142,M142,IF(G142&gt;F142,N142,"Tie"))</f>
        <v>NE</v>
      </c>
      <c r="P142" s="1" t="n">
        <f aca="false">F142-G142</f>
        <v>-13</v>
      </c>
      <c r="Q142" s="1" t="n">
        <f aca="false">F142+G142</f>
        <v>65</v>
      </c>
      <c r="R142" s="1" t="str">
        <f aca="false">IF(H142=M142,"Home",IF(H142=N142,"Away",IF(H142="PICK","Pick","N/A")))</f>
        <v>Home</v>
      </c>
      <c r="S142" s="1" t="n">
        <f aca="false">IF(R142="Home",P142,IF(R142="Away",-P142,""))</f>
        <v>-13</v>
      </c>
      <c r="T142" s="1" t="str">
        <f aca="false">IF(R142="Pick","No Line",IF(S142="","N/A",IF(S142+I142&gt;0,"Favorite Covered",IF(S142+I142&lt;0,"Underdog Covered","Push"))))</f>
        <v>Underdog Covered</v>
      </c>
      <c r="U142" s="1" t="str">
        <f aca="false">IF(Q142&gt;J142,"Over",IF(Q142&lt;J142,"Under","Push"))</f>
        <v>Over</v>
      </c>
    </row>
    <row r="143" customFormat="false" ht="15" hidden="false" customHeight="false" outlineLevel="0" collapsed="false">
      <c r="A143" s="1" t="s">
        <v>204</v>
      </c>
      <c r="B143" s="1" t="n">
        <v>2010</v>
      </c>
      <c r="C143" s="1" t="s">
        <v>203</v>
      </c>
      <c r="D143" s="1" t="s">
        <v>108</v>
      </c>
      <c r="E143" s="1" t="s">
        <v>112</v>
      </c>
      <c r="F143" s="1" t="n">
        <v>23</v>
      </c>
      <c r="G143" s="1" t="n">
        <v>20</v>
      </c>
      <c r="H143" s="1" t="s">
        <v>109</v>
      </c>
      <c r="I143" s="1" t="n">
        <v>-4.5</v>
      </c>
      <c r="J143" s="1" t="n">
        <v>39</v>
      </c>
      <c r="K143" s="1" t="s">
        <v>174</v>
      </c>
      <c r="L143" s="1" t="b">
        <f aca="false">FALSE()</f>
        <v>0</v>
      </c>
      <c r="M143" s="1" t="str">
        <f aca="false">VLOOKUP(D143,'Team Reference'!$A:$B,2,FALSE())</f>
        <v>SF</v>
      </c>
      <c r="N143" s="1" t="str">
        <f aca="false">VLOOKUP(E143,'Team Reference'!$A:$B,2,FALSE())</f>
        <v>LAR</v>
      </c>
      <c r="O143" s="1" t="str">
        <f aca="false">IF(F143&gt;G143,M143,IF(G143&gt;F143,N143,"Tie"))</f>
        <v>SF</v>
      </c>
      <c r="P143" s="1" t="n">
        <f aca="false">F143-G143</f>
        <v>3</v>
      </c>
      <c r="Q143" s="1" t="n">
        <f aca="false">F143+G143</f>
        <v>43</v>
      </c>
      <c r="R143" s="1" t="str">
        <f aca="false">IF(H143=M143,"Home",IF(H143=N143,"Away",IF(H143="PICK","Pick","N/A")))</f>
        <v>Home</v>
      </c>
      <c r="S143" s="1" t="n">
        <f aca="false">IF(R143="Home",P143,IF(R143="Away",-P143,""))</f>
        <v>3</v>
      </c>
      <c r="T143" s="1" t="str">
        <f aca="false">IF(R143="Pick","No Line",IF(S143="","N/A",IF(S143+I143&gt;0,"Favorite Covered",IF(S143+I143&lt;0,"Underdog Covered","Push"))))</f>
        <v>Underdog Covered</v>
      </c>
      <c r="U143" s="1" t="str">
        <f aca="false">IF(Q143&gt;J143,"Over",IF(Q143&lt;J143,"Under","Push"))</f>
        <v>Over</v>
      </c>
    </row>
    <row r="144" customFormat="false" ht="15" hidden="false" customHeight="false" outlineLevel="0" collapsed="false">
      <c r="A144" s="1" t="s">
        <v>204</v>
      </c>
      <c r="B144" s="1" t="n">
        <v>2010</v>
      </c>
      <c r="C144" s="1" t="s">
        <v>203</v>
      </c>
      <c r="D144" s="1" t="s">
        <v>113</v>
      </c>
      <c r="E144" s="1" t="s">
        <v>61</v>
      </c>
      <c r="F144" s="1" t="n">
        <v>31</v>
      </c>
      <c r="G144" s="1" t="n">
        <v>16</v>
      </c>
      <c r="H144" s="1" t="s">
        <v>114</v>
      </c>
      <c r="I144" s="1" t="n">
        <v>-7</v>
      </c>
      <c r="J144" s="1" t="n">
        <v>37</v>
      </c>
      <c r="K144" s="1" t="s">
        <v>154</v>
      </c>
      <c r="L144" s="1" t="b">
        <f aca="false">FALSE()</f>
        <v>0</v>
      </c>
      <c r="M144" s="1" t="str">
        <f aca="false">VLOOKUP(D144,'Team Reference'!$A:$B,2,FALSE())</f>
        <v>TB</v>
      </c>
      <c r="N144" s="1" t="str">
        <f aca="false">VLOOKUP(E144,'Team Reference'!$A:$B,2,FALSE())</f>
        <v>CAR</v>
      </c>
      <c r="O144" s="1" t="str">
        <f aca="false">IF(F144&gt;G144,M144,IF(G144&gt;F144,N144,"Tie"))</f>
        <v>TB</v>
      </c>
      <c r="P144" s="1" t="n">
        <f aca="false">F144-G144</f>
        <v>15</v>
      </c>
      <c r="Q144" s="1" t="n">
        <f aca="false">F144+G144</f>
        <v>47</v>
      </c>
      <c r="R144" s="1" t="str">
        <f aca="false">IF(H144=M144,"Home",IF(H144=N144,"Away",IF(H144="PICK","Pick","N/A")))</f>
        <v>Home</v>
      </c>
      <c r="S144" s="1" t="n">
        <f aca="false">IF(R144="Home",P144,IF(R144="Away",-P144,""))</f>
        <v>15</v>
      </c>
      <c r="T144" s="1" t="str">
        <f aca="false">IF(R144="Pick","No Line",IF(S144="","N/A",IF(S144+I144&gt;0,"Favorite Covered",IF(S144+I144&lt;0,"Underdog Covered","Push"))))</f>
        <v>Favorite Covered</v>
      </c>
      <c r="U144" s="1" t="str">
        <f aca="false">IF(Q144&gt;J144,"Over",IF(Q144&lt;J144,"Under","Push"))</f>
        <v>Over</v>
      </c>
    </row>
    <row r="145" customFormat="false" ht="15" hidden="false" customHeight="false" outlineLevel="0" collapsed="false">
      <c r="A145" s="1" t="s">
        <v>205</v>
      </c>
      <c r="B145" s="1" t="n">
        <v>2010</v>
      </c>
      <c r="C145" s="1" t="s">
        <v>203</v>
      </c>
      <c r="D145" s="1" t="s">
        <v>117</v>
      </c>
      <c r="E145" s="1" t="s">
        <v>103</v>
      </c>
      <c r="F145" s="1" t="n">
        <v>28</v>
      </c>
      <c r="G145" s="1" t="n">
        <v>59</v>
      </c>
      <c r="H145" s="1" t="s">
        <v>104</v>
      </c>
      <c r="I145" s="1" t="n">
        <v>-3.5</v>
      </c>
      <c r="J145" s="1" t="n">
        <v>43.5</v>
      </c>
      <c r="K145" s="1" t="s">
        <v>156</v>
      </c>
      <c r="L145" s="1" t="b">
        <f aca="false">FALSE()</f>
        <v>0</v>
      </c>
      <c r="M145" s="1" t="str">
        <f aca="false">VLOOKUP(D145,'Team Reference'!$A:$B,2,FALSE())</f>
        <v>WAS</v>
      </c>
      <c r="N145" s="1" t="str">
        <f aca="false">VLOOKUP(E145,'Team Reference'!$A:$B,2,FALSE())</f>
        <v>PHI</v>
      </c>
      <c r="O145" s="1" t="str">
        <f aca="false">IF(F145&gt;G145,M145,IF(G145&gt;F145,N145,"Tie"))</f>
        <v>PHI</v>
      </c>
      <c r="P145" s="1" t="n">
        <f aca="false">F145-G145</f>
        <v>-31</v>
      </c>
      <c r="Q145" s="1" t="n">
        <f aca="false">F145+G145</f>
        <v>87</v>
      </c>
      <c r="R145" s="1" t="str">
        <f aca="false">IF(H145=M145,"Home",IF(H145=N145,"Away",IF(H145="PICK","Pick","N/A")))</f>
        <v>Away</v>
      </c>
      <c r="S145" s="1" t="n">
        <f aca="false">IF(R145="Home",P145,IF(R145="Away",-P145,""))</f>
        <v>31</v>
      </c>
      <c r="T145" s="1" t="str">
        <f aca="false">IF(R145="Pick","No Line",IF(S145="","N/A",IF(S145+I145&gt;0,"Favorite Covered",IF(S145+I145&lt;0,"Underdog Covered","Push"))))</f>
        <v>Favorite Covered</v>
      </c>
      <c r="U145" s="1" t="str">
        <f aca="false">IF(Q145&gt;J145,"Over",IF(Q145&lt;J145,"Under","Push"))</f>
        <v>Over</v>
      </c>
    </row>
    <row r="146" customFormat="false" ht="15" hidden="false" customHeight="false" outlineLevel="0" collapsed="false">
      <c r="A146" s="1" t="s">
        <v>206</v>
      </c>
      <c r="B146" s="1" t="n">
        <v>2010</v>
      </c>
      <c r="C146" s="1" t="s">
        <v>207</v>
      </c>
      <c r="D146" s="1" t="s">
        <v>89</v>
      </c>
      <c r="E146" s="1" t="s">
        <v>63</v>
      </c>
      <c r="F146" s="1" t="n">
        <v>0</v>
      </c>
      <c r="G146" s="1" t="n">
        <v>16</v>
      </c>
      <c r="H146" s="1" t="s">
        <v>90</v>
      </c>
      <c r="I146" s="1" t="n">
        <v>-2</v>
      </c>
      <c r="J146" s="1" t="n">
        <v>40</v>
      </c>
      <c r="K146" s="1" t="s">
        <v>179</v>
      </c>
      <c r="L146" s="1" t="b">
        <f aca="false">FALSE()</f>
        <v>0</v>
      </c>
      <c r="M146" s="1" t="str">
        <f aca="false">VLOOKUP(D146,'Team Reference'!$A:$B,2,FALSE())</f>
        <v>MIA</v>
      </c>
      <c r="N146" s="1" t="str">
        <f aca="false">VLOOKUP(E146,'Team Reference'!$A:$B,2,FALSE())</f>
        <v>CHI</v>
      </c>
      <c r="O146" s="1" t="str">
        <f aca="false">IF(F146&gt;G146,M146,IF(G146&gt;F146,N146,"Tie"))</f>
        <v>CHI</v>
      </c>
      <c r="P146" s="1" t="n">
        <f aca="false">F146-G146</f>
        <v>-16</v>
      </c>
      <c r="Q146" s="1" t="n">
        <f aca="false">F146+G146</f>
        <v>16</v>
      </c>
      <c r="R146" s="1" t="str">
        <f aca="false">IF(H146=M146,"Home",IF(H146=N146,"Away",IF(H146="PICK","Pick","N/A")))</f>
        <v>Home</v>
      </c>
      <c r="S146" s="1" t="n">
        <f aca="false">IF(R146="Home",P146,IF(R146="Away",-P146,""))</f>
        <v>-16</v>
      </c>
      <c r="T146" s="1" t="str">
        <f aca="false">IF(R146="Pick","No Line",IF(S146="","N/A",IF(S146+I146&gt;0,"Favorite Covered",IF(S146+I146&lt;0,"Underdog Covered","Push"))))</f>
        <v>Underdog Covered</v>
      </c>
      <c r="U146" s="1" t="str">
        <f aca="false">IF(Q146&gt;J146,"Over",IF(Q146&lt;J146,"Under","Push"))</f>
        <v>Under</v>
      </c>
    </row>
    <row r="147" customFormat="false" ht="15" hidden="false" customHeight="false" outlineLevel="0" collapsed="false">
      <c r="A147" s="1" t="s">
        <v>208</v>
      </c>
      <c r="B147" s="1" t="n">
        <v>2010</v>
      </c>
      <c r="C147" s="1" t="s">
        <v>207</v>
      </c>
      <c r="D147" s="1" t="s">
        <v>61</v>
      </c>
      <c r="E147" s="1" t="s">
        <v>57</v>
      </c>
      <c r="F147" s="1" t="n">
        <v>13</v>
      </c>
      <c r="G147" s="1" t="n">
        <v>37</v>
      </c>
      <c r="H147" s="1" t="s">
        <v>58</v>
      </c>
      <c r="I147" s="1" t="n">
        <v>-13.5</v>
      </c>
      <c r="J147" s="1" t="n">
        <v>37</v>
      </c>
      <c r="K147" s="1" t="s">
        <v>162</v>
      </c>
      <c r="L147" s="1" t="b">
        <f aca="false">FALSE()</f>
        <v>0</v>
      </c>
      <c r="M147" s="1" t="str">
        <f aca="false">VLOOKUP(D147,'Team Reference'!$A:$B,2,FALSE())</f>
        <v>CAR</v>
      </c>
      <c r="N147" s="1" t="str">
        <f aca="false">VLOOKUP(E147,'Team Reference'!$A:$B,2,FALSE())</f>
        <v>BAL</v>
      </c>
      <c r="O147" s="1" t="str">
        <f aca="false">IF(F147&gt;G147,M147,IF(G147&gt;F147,N147,"Tie"))</f>
        <v>BAL</v>
      </c>
      <c r="P147" s="1" t="n">
        <f aca="false">F147-G147</f>
        <v>-24</v>
      </c>
      <c r="Q147" s="1" t="n">
        <f aca="false">F147+G147</f>
        <v>50</v>
      </c>
      <c r="R147" s="1" t="str">
        <f aca="false">IF(H147=M147,"Home",IF(H147=N147,"Away",IF(H147="PICK","Pick","N/A")))</f>
        <v>Away</v>
      </c>
      <c r="S147" s="1" t="n">
        <f aca="false">IF(R147="Home",P147,IF(R147="Away",-P147,""))</f>
        <v>24</v>
      </c>
      <c r="T147" s="1" t="str">
        <f aca="false">IF(R147="Pick","No Line",IF(S147="","N/A",IF(S147+I147&gt;0,"Favorite Covered",IF(S147+I147&lt;0,"Underdog Covered","Push"))))</f>
        <v>Favorite Covered</v>
      </c>
      <c r="U147" s="1" t="str">
        <f aca="false">IF(Q147&gt;J147,"Over",IF(Q147&lt;J147,"Under","Push"))</f>
        <v>Over</v>
      </c>
    </row>
    <row r="148" customFormat="false" ht="15" hidden="false" customHeight="false" outlineLevel="0" collapsed="false">
      <c r="A148" s="1" t="s">
        <v>208</v>
      </c>
      <c r="B148" s="1" t="n">
        <v>2010</v>
      </c>
      <c r="C148" s="1" t="s">
        <v>207</v>
      </c>
      <c r="D148" s="1" t="s">
        <v>65</v>
      </c>
      <c r="E148" s="1" t="s">
        <v>59</v>
      </c>
      <c r="F148" s="1" t="n">
        <v>31</v>
      </c>
      <c r="G148" s="1" t="n">
        <v>49</v>
      </c>
      <c r="H148" s="1" t="s">
        <v>66</v>
      </c>
      <c r="I148" s="1" t="n">
        <v>-4</v>
      </c>
      <c r="J148" s="1" t="n">
        <v>41</v>
      </c>
      <c r="K148" s="1" t="s">
        <v>163</v>
      </c>
      <c r="L148" s="1" t="b">
        <f aca="false">FALSE()</f>
        <v>0</v>
      </c>
      <c r="M148" s="1" t="str">
        <f aca="false">VLOOKUP(D148,'Team Reference'!$A:$B,2,FALSE())</f>
        <v>CIN</v>
      </c>
      <c r="N148" s="1" t="str">
        <f aca="false">VLOOKUP(E148,'Team Reference'!$A:$B,2,FALSE())</f>
        <v>BUF</v>
      </c>
      <c r="O148" s="1" t="str">
        <f aca="false">IF(F148&gt;G148,M148,IF(G148&gt;F148,N148,"Tie"))</f>
        <v>BUF</v>
      </c>
      <c r="P148" s="1" t="n">
        <f aca="false">F148-G148</f>
        <v>-18</v>
      </c>
      <c r="Q148" s="1" t="n">
        <f aca="false">F148+G148</f>
        <v>80</v>
      </c>
      <c r="R148" s="1" t="str">
        <f aca="false">IF(H148=M148,"Home",IF(H148=N148,"Away",IF(H148="PICK","Pick","N/A")))</f>
        <v>Home</v>
      </c>
      <c r="S148" s="1" t="n">
        <f aca="false">IF(R148="Home",P148,IF(R148="Away",-P148,""))</f>
        <v>-18</v>
      </c>
      <c r="T148" s="1" t="str">
        <f aca="false">IF(R148="Pick","No Line",IF(S148="","N/A",IF(S148+I148&gt;0,"Favorite Covered",IF(S148+I148&lt;0,"Underdog Covered","Push"))))</f>
        <v>Underdog Covered</v>
      </c>
      <c r="U148" s="1" t="str">
        <f aca="false">IF(Q148&gt;J148,"Over",IF(Q148&lt;J148,"Under","Push"))</f>
        <v>Over</v>
      </c>
    </row>
    <row r="149" customFormat="false" ht="15" hidden="false" customHeight="false" outlineLevel="0" collapsed="false">
      <c r="A149" s="1" t="s">
        <v>208</v>
      </c>
      <c r="B149" s="1" t="n">
        <v>2010</v>
      </c>
      <c r="C149" s="1" t="s">
        <v>207</v>
      </c>
      <c r="D149" s="1" t="s">
        <v>69</v>
      </c>
      <c r="E149" s="1" t="s">
        <v>73</v>
      </c>
      <c r="F149" s="1" t="n">
        <v>35</v>
      </c>
      <c r="G149" s="1" t="n">
        <v>19</v>
      </c>
      <c r="H149" s="1" t="s">
        <v>70</v>
      </c>
      <c r="I149" s="1" t="n">
        <v>-7</v>
      </c>
      <c r="J149" s="1" t="n">
        <v>44.5</v>
      </c>
      <c r="K149" s="1" t="s">
        <v>165</v>
      </c>
      <c r="L149" s="1" t="b">
        <f aca="false">FALSE()</f>
        <v>0</v>
      </c>
      <c r="M149" s="1" t="str">
        <f aca="false">VLOOKUP(D149,'Team Reference'!$A:$B,2,FALSE())</f>
        <v>DAL</v>
      </c>
      <c r="N149" s="1" t="str">
        <f aca="false">VLOOKUP(E149,'Team Reference'!$A:$B,2,FALSE())</f>
        <v>DET</v>
      </c>
      <c r="O149" s="1" t="str">
        <f aca="false">IF(F149&gt;G149,M149,IF(G149&gt;F149,N149,"Tie"))</f>
        <v>DAL</v>
      </c>
      <c r="P149" s="1" t="n">
        <f aca="false">F149-G149</f>
        <v>16</v>
      </c>
      <c r="Q149" s="1" t="n">
        <f aca="false">F149+G149</f>
        <v>54</v>
      </c>
      <c r="R149" s="1" t="str">
        <f aca="false">IF(H149=M149,"Home",IF(H149=N149,"Away",IF(H149="PICK","Pick","N/A")))</f>
        <v>Home</v>
      </c>
      <c r="S149" s="1" t="n">
        <f aca="false">IF(R149="Home",P149,IF(R149="Away",-P149,""))</f>
        <v>16</v>
      </c>
      <c r="T149" s="1" t="str">
        <f aca="false">IF(R149="Pick","No Line",IF(S149="","N/A",IF(S149+I149&gt;0,"Favorite Covered",IF(S149+I149&lt;0,"Underdog Covered","Push"))))</f>
        <v>Favorite Covered</v>
      </c>
      <c r="U149" s="1" t="str">
        <f aca="false">IF(Q149&gt;J149,"Over",IF(Q149&lt;J149,"Under","Push"))</f>
        <v>Over</v>
      </c>
    </row>
    <row r="150" customFormat="false" ht="15" hidden="false" customHeight="false" outlineLevel="0" collapsed="false">
      <c r="A150" s="1" t="s">
        <v>208</v>
      </c>
      <c r="B150" s="1" t="n">
        <v>2010</v>
      </c>
      <c r="C150" s="1" t="s">
        <v>207</v>
      </c>
      <c r="D150" s="1" t="s">
        <v>81</v>
      </c>
      <c r="E150" s="1" t="s">
        <v>67</v>
      </c>
      <c r="F150" s="1" t="n">
        <v>24</v>
      </c>
      <c r="G150" s="1" t="n">
        <v>20</v>
      </c>
      <c r="H150" s="1" t="s">
        <v>82</v>
      </c>
      <c r="I150" s="1" t="n">
        <v>-2.5</v>
      </c>
      <c r="J150" s="1" t="n">
        <v>43</v>
      </c>
      <c r="K150" s="1" t="s">
        <v>147</v>
      </c>
      <c r="L150" s="1" t="b">
        <f aca="false">FALSE()</f>
        <v>0</v>
      </c>
      <c r="M150" s="1" t="str">
        <f aca="false">VLOOKUP(D150,'Team Reference'!$A:$B,2,FALSE())</f>
        <v>JAX</v>
      </c>
      <c r="N150" s="1" t="str">
        <f aca="false">VLOOKUP(E150,'Team Reference'!$A:$B,2,FALSE())</f>
        <v>CLE</v>
      </c>
      <c r="O150" s="1" t="str">
        <f aca="false">IF(F150&gt;G150,M150,IF(G150&gt;F150,N150,"Tie"))</f>
        <v>JAX</v>
      </c>
      <c r="P150" s="1" t="n">
        <f aca="false">F150-G150</f>
        <v>4</v>
      </c>
      <c r="Q150" s="1" t="n">
        <f aca="false">F150+G150</f>
        <v>44</v>
      </c>
      <c r="R150" s="1" t="str">
        <f aca="false">IF(H150=M150,"Home",IF(H150=N150,"Away",IF(H150="PICK","Pick","N/A")))</f>
        <v>Home</v>
      </c>
      <c r="S150" s="1" t="n">
        <f aca="false">IF(R150="Home",P150,IF(R150="Away",-P150,""))</f>
        <v>4</v>
      </c>
      <c r="T150" s="1" t="str">
        <f aca="false">IF(R150="Pick","No Line",IF(S150="","N/A",IF(S150+I150&gt;0,"Favorite Covered",IF(S150+I150&lt;0,"Underdog Covered","Push"))))</f>
        <v>Favorite Covered</v>
      </c>
      <c r="U150" s="1" t="str">
        <f aca="false">IF(Q150&gt;J150,"Over",IF(Q150&lt;J150,"Under","Push"))</f>
        <v>Over</v>
      </c>
    </row>
    <row r="151" customFormat="false" ht="15" hidden="false" customHeight="false" outlineLevel="0" collapsed="false">
      <c r="A151" s="1" t="s">
        <v>208</v>
      </c>
      <c r="B151" s="1" t="n">
        <v>2010</v>
      </c>
      <c r="C151" s="1" t="s">
        <v>207</v>
      </c>
      <c r="D151" s="1" t="s">
        <v>83</v>
      </c>
      <c r="E151" s="1" t="s">
        <v>53</v>
      </c>
      <c r="F151" s="1" t="n">
        <v>31</v>
      </c>
      <c r="G151" s="1" t="n">
        <v>13</v>
      </c>
      <c r="H151" s="1" t="s">
        <v>84</v>
      </c>
      <c r="I151" s="1" t="n">
        <v>-7</v>
      </c>
      <c r="J151" s="1" t="n">
        <v>45</v>
      </c>
      <c r="K151" s="1" t="s">
        <v>158</v>
      </c>
      <c r="L151" s="1" t="b">
        <f aca="false">FALSE()</f>
        <v>0</v>
      </c>
      <c r="M151" s="1" t="str">
        <f aca="false">VLOOKUP(D151,'Team Reference'!$A:$B,2,FALSE())</f>
        <v>KC</v>
      </c>
      <c r="N151" s="1" t="str">
        <f aca="false">VLOOKUP(E151,'Team Reference'!$A:$B,2,FALSE())</f>
        <v>ARI</v>
      </c>
      <c r="O151" s="1" t="str">
        <f aca="false">IF(F151&gt;G151,M151,IF(G151&gt;F151,N151,"Tie"))</f>
        <v>KC</v>
      </c>
      <c r="P151" s="1" t="n">
        <f aca="false">F151-G151</f>
        <v>18</v>
      </c>
      <c r="Q151" s="1" t="n">
        <f aca="false">F151+G151</f>
        <v>44</v>
      </c>
      <c r="R151" s="1" t="str">
        <f aca="false">IF(H151=M151,"Home",IF(H151=N151,"Away",IF(H151="PICK","Pick","N/A")))</f>
        <v>Home</v>
      </c>
      <c r="S151" s="1" t="n">
        <f aca="false">IF(R151="Home",P151,IF(R151="Away",-P151,""))</f>
        <v>18</v>
      </c>
      <c r="T151" s="1" t="str">
        <f aca="false">IF(R151="Pick","No Line",IF(S151="","N/A",IF(S151+I151&gt;0,"Favorite Covered",IF(S151+I151&lt;0,"Underdog Covered","Push"))))</f>
        <v>Favorite Covered</v>
      </c>
      <c r="U151" s="1" t="str">
        <f aca="false">IF(Q151&gt;J151,"Over",IF(Q151&lt;J151,"Under","Push"))</f>
        <v>Under</v>
      </c>
    </row>
    <row r="152" customFormat="false" ht="15" hidden="false" customHeight="false" outlineLevel="0" collapsed="false">
      <c r="A152" s="1" t="s">
        <v>208</v>
      </c>
      <c r="B152" s="1" t="n">
        <v>2010</v>
      </c>
      <c r="C152" s="1" t="s">
        <v>207</v>
      </c>
      <c r="D152" s="1" t="s">
        <v>91</v>
      </c>
      <c r="E152" s="1" t="s">
        <v>75</v>
      </c>
      <c r="F152" s="1" t="n">
        <v>3</v>
      </c>
      <c r="G152" s="1" t="n">
        <v>31</v>
      </c>
      <c r="H152" s="1" t="s">
        <v>76</v>
      </c>
      <c r="I152" s="1" t="n">
        <v>-3</v>
      </c>
      <c r="J152" s="1" t="n">
        <v>45</v>
      </c>
      <c r="K152" s="1" t="s">
        <v>170</v>
      </c>
      <c r="L152" s="1" t="b">
        <f aca="false">FALSE()</f>
        <v>0</v>
      </c>
      <c r="M152" s="1" t="str">
        <f aca="false">VLOOKUP(D152,'Team Reference'!$A:$B,2,FALSE())</f>
        <v>MIN</v>
      </c>
      <c r="N152" s="1" t="str">
        <f aca="false">VLOOKUP(E152,'Team Reference'!$A:$B,2,FALSE())</f>
        <v>GB</v>
      </c>
      <c r="O152" s="1" t="str">
        <f aca="false">IF(F152&gt;G152,M152,IF(G152&gt;F152,N152,"Tie"))</f>
        <v>GB</v>
      </c>
      <c r="P152" s="1" t="n">
        <f aca="false">F152-G152</f>
        <v>-28</v>
      </c>
      <c r="Q152" s="1" t="n">
        <f aca="false">F152+G152</f>
        <v>34</v>
      </c>
      <c r="R152" s="1" t="str">
        <f aca="false">IF(H152=M152,"Home",IF(H152=N152,"Away",IF(H152="PICK","Pick","N/A")))</f>
        <v>Away</v>
      </c>
      <c r="S152" s="1" t="n">
        <f aca="false">IF(R152="Home",P152,IF(R152="Away",-P152,""))</f>
        <v>28</v>
      </c>
      <c r="T152" s="1" t="str">
        <f aca="false">IF(R152="Pick","No Line",IF(S152="","N/A",IF(S152+I152&gt;0,"Favorite Covered",IF(S152+I152&lt;0,"Underdog Covered","Push"))))</f>
        <v>Favorite Covered</v>
      </c>
      <c r="U152" s="1" t="str">
        <f aca="false">IF(Q152&gt;J152,"Over",IF(Q152&lt;J152,"Under","Push"))</f>
        <v>Under</v>
      </c>
    </row>
    <row r="153" customFormat="false" ht="15" hidden="false" customHeight="false" outlineLevel="0" collapsed="false">
      <c r="A153" s="1" t="s">
        <v>208</v>
      </c>
      <c r="B153" s="1" t="n">
        <v>2010</v>
      </c>
      <c r="C153" s="1" t="s">
        <v>207</v>
      </c>
      <c r="D153" s="1" t="s">
        <v>93</v>
      </c>
      <c r="E153" s="1" t="s">
        <v>79</v>
      </c>
      <c r="F153" s="1" t="n">
        <v>31</v>
      </c>
      <c r="G153" s="1" t="n">
        <v>28</v>
      </c>
      <c r="H153" s="1" t="s">
        <v>94</v>
      </c>
      <c r="I153" s="1" t="n">
        <v>-4.5</v>
      </c>
      <c r="J153" s="1" t="n">
        <v>50</v>
      </c>
      <c r="K153" s="1" t="s">
        <v>148</v>
      </c>
      <c r="L153" s="1" t="b">
        <f aca="false">FALSE()</f>
        <v>0</v>
      </c>
      <c r="M153" s="1" t="str">
        <f aca="false">VLOOKUP(D153,'Team Reference'!$A:$B,2,FALSE())</f>
        <v>NE</v>
      </c>
      <c r="N153" s="1" t="str">
        <f aca="false">VLOOKUP(E153,'Team Reference'!$A:$B,2,FALSE())</f>
        <v>IND</v>
      </c>
      <c r="O153" s="1" t="str">
        <f aca="false">IF(F153&gt;G153,M153,IF(G153&gt;F153,N153,"Tie"))</f>
        <v>NE</v>
      </c>
      <c r="P153" s="1" t="n">
        <f aca="false">F153-G153</f>
        <v>3</v>
      </c>
      <c r="Q153" s="1" t="n">
        <f aca="false">F153+G153</f>
        <v>59</v>
      </c>
      <c r="R153" s="1" t="str">
        <f aca="false">IF(H153=M153,"Home",IF(H153=N153,"Away",IF(H153="PICK","Pick","N/A")))</f>
        <v>Home</v>
      </c>
      <c r="S153" s="1" t="n">
        <f aca="false">IF(R153="Home",P153,IF(R153="Away",-P153,""))</f>
        <v>3</v>
      </c>
      <c r="T153" s="1" t="str">
        <f aca="false">IF(R153="Pick","No Line",IF(S153="","N/A",IF(S153+I153&gt;0,"Favorite Covered",IF(S153+I153&lt;0,"Underdog Covered","Push"))))</f>
        <v>Underdog Covered</v>
      </c>
      <c r="U153" s="1" t="str">
        <f aca="false">IF(Q153&gt;J153,"Over",IF(Q153&lt;J153,"Under","Push"))</f>
        <v>Over</v>
      </c>
    </row>
    <row r="154" customFormat="false" ht="15" hidden="false" customHeight="false" outlineLevel="0" collapsed="false">
      <c r="A154" s="1" t="s">
        <v>208</v>
      </c>
      <c r="B154" s="1" t="n">
        <v>2010</v>
      </c>
      <c r="C154" s="1" t="s">
        <v>207</v>
      </c>
      <c r="D154" s="1" t="s">
        <v>95</v>
      </c>
      <c r="E154" s="1" t="s">
        <v>110</v>
      </c>
      <c r="F154" s="1" t="n">
        <v>34</v>
      </c>
      <c r="G154" s="1" t="n">
        <v>19</v>
      </c>
      <c r="H154" s="1" t="s">
        <v>96</v>
      </c>
      <c r="I154" s="1" t="n">
        <v>-11</v>
      </c>
      <c r="J154" s="1" t="n">
        <v>45</v>
      </c>
      <c r="K154" s="1" t="s">
        <v>142</v>
      </c>
      <c r="L154" s="1" t="b">
        <f aca="false">FALSE()</f>
        <v>0</v>
      </c>
      <c r="M154" s="1" t="str">
        <f aca="false">VLOOKUP(D154,'Team Reference'!$A:$B,2,FALSE())</f>
        <v>NO</v>
      </c>
      <c r="N154" s="1" t="str">
        <f aca="false">VLOOKUP(E154,'Team Reference'!$A:$B,2,FALSE())</f>
        <v>SEA</v>
      </c>
      <c r="O154" s="1" t="str">
        <f aca="false">IF(F154&gt;G154,M154,IF(G154&gt;F154,N154,"Tie"))</f>
        <v>NO</v>
      </c>
      <c r="P154" s="1" t="n">
        <f aca="false">F154-G154</f>
        <v>15</v>
      </c>
      <c r="Q154" s="1" t="n">
        <f aca="false">F154+G154</f>
        <v>53</v>
      </c>
      <c r="R154" s="1" t="str">
        <f aca="false">IF(H154=M154,"Home",IF(H154=N154,"Away",IF(H154="PICK","Pick","N/A")))</f>
        <v>Home</v>
      </c>
      <c r="S154" s="1" t="n">
        <f aca="false">IF(R154="Home",P154,IF(R154="Away",-P154,""))</f>
        <v>15</v>
      </c>
      <c r="T154" s="1" t="str">
        <f aca="false">IF(R154="Pick","No Line",IF(S154="","N/A",IF(S154+I154&gt;0,"Favorite Covered",IF(S154+I154&lt;0,"Underdog Covered","Push"))))</f>
        <v>Favorite Covered</v>
      </c>
      <c r="U154" s="1" t="str">
        <f aca="false">IF(Q154&gt;J154,"Over",IF(Q154&lt;J154,"Under","Push"))</f>
        <v>Over</v>
      </c>
    </row>
    <row r="155" customFormat="false" ht="15" hidden="false" customHeight="false" outlineLevel="0" collapsed="false">
      <c r="A155" s="1" t="s">
        <v>208</v>
      </c>
      <c r="B155" s="1" t="n">
        <v>2010</v>
      </c>
      <c r="C155" s="1" t="s">
        <v>207</v>
      </c>
      <c r="D155" s="1" t="s">
        <v>99</v>
      </c>
      <c r="E155" s="1" t="s">
        <v>77</v>
      </c>
      <c r="F155" s="1" t="n">
        <v>30</v>
      </c>
      <c r="G155" s="1" t="n">
        <v>27</v>
      </c>
      <c r="H155" s="1" t="s">
        <v>100</v>
      </c>
      <c r="I155" s="1" t="n">
        <v>-6.5</v>
      </c>
      <c r="J155" s="1" t="n">
        <v>46</v>
      </c>
      <c r="K155" s="1" t="s">
        <v>149</v>
      </c>
      <c r="L155" s="1" t="b">
        <f aca="false">FALSE()</f>
        <v>0</v>
      </c>
      <c r="M155" s="1" t="str">
        <f aca="false">VLOOKUP(D155,'Team Reference'!$A:$B,2,FALSE())</f>
        <v>NYJ</v>
      </c>
      <c r="N155" s="1" t="str">
        <f aca="false">VLOOKUP(E155,'Team Reference'!$A:$B,2,FALSE())</f>
        <v>HOU</v>
      </c>
      <c r="O155" s="1" t="str">
        <f aca="false">IF(F155&gt;G155,M155,IF(G155&gt;F155,N155,"Tie"))</f>
        <v>NYJ</v>
      </c>
      <c r="P155" s="1" t="n">
        <f aca="false">F155-G155</f>
        <v>3</v>
      </c>
      <c r="Q155" s="1" t="n">
        <f aca="false">F155+G155</f>
        <v>57</v>
      </c>
      <c r="R155" s="1" t="str">
        <f aca="false">IF(H155=M155,"Home",IF(H155=N155,"Away",IF(H155="PICK","Pick","N/A")))</f>
        <v>Home</v>
      </c>
      <c r="S155" s="1" t="n">
        <f aca="false">IF(R155="Home",P155,IF(R155="Away",-P155,""))</f>
        <v>3</v>
      </c>
      <c r="T155" s="1" t="str">
        <f aca="false">IF(R155="Pick","No Line",IF(S155="","N/A",IF(S155+I155&gt;0,"Favorite Covered",IF(S155+I155&lt;0,"Underdog Covered","Push"))))</f>
        <v>Underdog Covered</v>
      </c>
      <c r="U155" s="1" t="str">
        <f aca="false">IF(Q155&gt;J155,"Over",IF(Q155&lt;J155,"Under","Push"))</f>
        <v>Over</v>
      </c>
    </row>
    <row r="156" customFormat="false" ht="15" hidden="false" customHeight="false" outlineLevel="0" collapsed="false">
      <c r="A156" s="1" t="s">
        <v>208</v>
      </c>
      <c r="B156" s="1" t="n">
        <v>2010</v>
      </c>
      <c r="C156" s="1" t="s">
        <v>207</v>
      </c>
      <c r="D156" s="1" t="s">
        <v>103</v>
      </c>
      <c r="E156" s="1" t="s">
        <v>97</v>
      </c>
      <c r="F156" s="1" t="n">
        <v>27</v>
      </c>
      <c r="G156" s="1" t="n">
        <v>17</v>
      </c>
      <c r="H156" s="1" t="s">
        <v>104</v>
      </c>
      <c r="I156" s="1" t="n">
        <v>-3.5</v>
      </c>
      <c r="J156" s="1" t="n">
        <v>48</v>
      </c>
      <c r="K156" s="1" t="s">
        <v>150</v>
      </c>
      <c r="L156" s="1" t="b">
        <f aca="false">FALSE()</f>
        <v>0</v>
      </c>
      <c r="M156" s="1" t="str">
        <f aca="false">VLOOKUP(D156,'Team Reference'!$A:$B,2,FALSE())</f>
        <v>PHI</v>
      </c>
      <c r="N156" s="1" t="str">
        <f aca="false">VLOOKUP(E156,'Team Reference'!$A:$B,2,FALSE())</f>
        <v>NYG</v>
      </c>
      <c r="O156" s="1" t="str">
        <f aca="false">IF(F156&gt;G156,M156,IF(G156&gt;F156,N156,"Tie"))</f>
        <v>PHI</v>
      </c>
      <c r="P156" s="1" t="n">
        <f aca="false">F156-G156</f>
        <v>10</v>
      </c>
      <c r="Q156" s="1" t="n">
        <f aca="false">F156+G156</f>
        <v>44</v>
      </c>
      <c r="R156" s="1" t="str">
        <f aca="false">IF(H156=M156,"Home",IF(H156=N156,"Away",IF(H156="PICK","Pick","N/A")))</f>
        <v>Home</v>
      </c>
      <c r="S156" s="1" t="n">
        <f aca="false">IF(R156="Home",P156,IF(R156="Away",-P156,""))</f>
        <v>10</v>
      </c>
      <c r="T156" s="1" t="str">
        <f aca="false">IF(R156="Pick","No Line",IF(S156="","N/A",IF(S156+I156&gt;0,"Favorite Covered",IF(S156+I156&lt;0,"Underdog Covered","Push"))))</f>
        <v>Favorite Covered</v>
      </c>
      <c r="U156" s="1" t="str">
        <f aca="false">IF(Q156&gt;J156,"Over",IF(Q156&lt;J156,"Under","Push"))</f>
        <v>Under</v>
      </c>
    </row>
    <row r="157" customFormat="false" ht="15" hidden="false" customHeight="false" outlineLevel="0" collapsed="false">
      <c r="A157" s="1" t="s">
        <v>208</v>
      </c>
      <c r="B157" s="1" t="n">
        <v>2010</v>
      </c>
      <c r="C157" s="1" t="s">
        <v>207</v>
      </c>
      <c r="D157" s="1" t="s">
        <v>105</v>
      </c>
      <c r="E157" s="1" t="s">
        <v>101</v>
      </c>
      <c r="F157" s="1" t="n">
        <v>35</v>
      </c>
      <c r="G157" s="1" t="n">
        <v>3</v>
      </c>
      <c r="H157" s="1" t="s">
        <v>106</v>
      </c>
      <c r="I157" s="1" t="n">
        <v>-7</v>
      </c>
      <c r="J157" s="1" t="n">
        <v>41</v>
      </c>
      <c r="K157" s="1" t="s">
        <v>151</v>
      </c>
      <c r="L157" s="1" t="b">
        <f aca="false">FALSE()</f>
        <v>0</v>
      </c>
      <c r="M157" s="1" t="str">
        <f aca="false">VLOOKUP(D157,'Team Reference'!$A:$B,2,FALSE())</f>
        <v>PIT</v>
      </c>
      <c r="N157" s="1" t="str">
        <f aca="false">VLOOKUP(E157,'Team Reference'!$A:$B,2,FALSE())</f>
        <v>OAK</v>
      </c>
      <c r="O157" s="1" t="str">
        <f aca="false">IF(F157&gt;G157,M157,IF(G157&gt;F157,N157,"Tie"))</f>
        <v>PIT</v>
      </c>
      <c r="P157" s="1" t="n">
        <f aca="false">F157-G157</f>
        <v>32</v>
      </c>
      <c r="Q157" s="1" t="n">
        <f aca="false">F157+G157</f>
        <v>38</v>
      </c>
      <c r="R157" s="1" t="str">
        <f aca="false">IF(H157=M157,"Home",IF(H157=N157,"Away",IF(H157="PICK","Pick","N/A")))</f>
        <v>Home</v>
      </c>
      <c r="S157" s="1" t="n">
        <f aca="false">IF(R157="Home",P157,IF(R157="Away",-P157,""))</f>
        <v>32</v>
      </c>
      <c r="T157" s="1" t="str">
        <f aca="false">IF(R157="Pick","No Line",IF(S157="","N/A",IF(S157+I157&gt;0,"Favorite Covered",IF(S157+I157&lt;0,"Underdog Covered","Push"))))</f>
        <v>Favorite Covered</v>
      </c>
      <c r="U157" s="1" t="str">
        <f aca="false">IF(Q157&gt;J157,"Over",IF(Q157&lt;J157,"Under","Push"))</f>
        <v>Under</v>
      </c>
    </row>
    <row r="158" customFormat="false" ht="15" hidden="false" customHeight="false" outlineLevel="0" collapsed="false">
      <c r="A158" s="1" t="s">
        <v>208</v>
      </c>
      <c r="B158" s="1" t="n">
        <v>2010</v>
      </c>
      <c r="C158" s="1" t="s">
        <v>207</v>
      </c>
      <c r="D158" s="1" t="s">
        <v>108</v>
      </c>
      <c r="E158" s="1" t="s">
        <v>113</v>
      </c>
      <c r="F158" s="1" t="n">
        <v>0</v>
      </c>
      <c r="G158" s="1" t="n">
        <v>21</v>
      </c>
      <c r="H158" s="1" t="s">
        <v>109</v>
      </c>
      <c r="I158" s="1" t="n">
        <v>-3.5</v>
      </c>
      <c r="J158" s="1" t="n">
        <v>41.5</v>
      </c>
      <c r="K158" s="1" t="s">
        <v>174</v>
      </c>
      <c r="L158" s="1" t="b">
        <f aca="false">FALSE()</f>
        <v>0</v>
      </c>
      <c r="M158" s="1" t="str">
        <f aca="false">VLOOKUP(D158,'Team Reference'!$A:$B,2,FALSE())</f>
        <v>SF</v>
      </c>
      <c r="N158" s="1" t="str">
        <f aca="false">VLOOKUP(E158,'Team Reference'!$A:$B,2,FALSE())</f>
        <v>TB</v>
      </c>
      <c r="O158" s="1" t="str">
        <f aca="false">IF(F158&gt;G158,M158,IF(G158&gt;F158,N158,"Tie"))</f>
        <v>TB</v>
      </c>
      <c r="P158" s="1" t="n">
        <f aca="false">F158-G158</f>
        <v>-21</v>
      </c>
      <c r="Q158" s="1" t="n">
        <f aca="false">F158+G158</f>
        <v>21</v>
      </c>
      <c r="R158" s="1" t="str">
        <f aca="false">IF(H158=M158,"Home",IF(H158=N158,"Away",IF(H158="PICK","Pick","N/A")))</f>
        <v>Home</v>
      </c>
      <c r="S158" s="1" t="n">
        <f aca="false">IF(R158="Home",P158,IF(R158="Away",-P158,""))</f>
        <v>-21</v>
      </c>
      <c r="T158" s="1" t="str">
        <f aca="false">IF(R158="Pick","No Line",IF(S158="","N/A",IF(S158+I158&gt;0,"Favorite Covered",IF(S158+I158&lt;0,"Underdog Covered","Push"))))</f>
        <v>Underdog Covered</v>
      </c>
      <c r="U158" s="1" t="str">
        <f aca="false">IF(Q158&gt;J158,"Over",IF(Q158&lt;J158,"Under","Push"))</f>
        <v>Under</v>
      </c>
    </row>
    <row r="159" customFormat="false" ht="15" hidden="false" customHeight="false" outlineLevel="0" collapsed="false">
      <c r="A159" s="1" t="s">
        <v>208</v>
      </c>
      <c r="B159" s="1" t="n">
        <v>2010</v>
      </c>
      <c r="C159" s="1" t="s">
        <v>207</v>
      </c>
      <c r="D159" s="1" t="s">
        <v>112</v>
      </c>
      <c r="E159" s="1" t="s">
        <v>55</v>
      </c>
      <c r="F159" s="1" t="n">
        <v>17</v>
      </c>
      <c r="G159" s="1" t="n">
        <v>34</v>
      </c>
      <c r="H159" s="1" t="s">
        <v>56</v>
      </c>
      <c r="I159" s="1" t="n">
        <v>-3.5</v>
      </c>
      <c r="J159" s="1" t="n">
        <v>43.5</v>
      </c>
      <c r="K159" s="1" t="s">
        <v>153</v>
      </c>
      <c r="L159" s="1" t="b">
        <f aca="false">FALSE()</f>
        <v>0</v>
      </c>
      <c r="M159" s="1" t="str">
        <f aca="false">VLOOKUP(D159,'Team Reference'!$A:$B,2,FALSE())</f>
        <v>LAR</v>
      </c>
      <c r="N159" s="1" t="str">
        <f aca="false">VLOOKUP(E159,'Team Reference'!$A:$B,2,FALSE())</f>
        <v>ATL</v>
      </c>
      <c r="O159" s="1" t="str">
        <f aca="false">IF(F159&gt;G159,M159,IF(G159&gt;F159,N159,"Tie"))</f>
        <v>ATL</v>
      </c>
      <c r="P159" s="1" t="n">
        <f aca="false">F159-G159</f>
        <v>-17</v>
      </c>
      <c r="Q159" s="1" t="n">
        <f aca="false">F159+G159</f>
        <v>51</v>
      </c>
      <c r="R159" s="1" t="str">
        <f aca="false">IF(H159=M159,"Home",IF(H159=N159,"Away",IF(H159="PICK","Pick","N/A")))</f>
        <v>Away</v>
      </c>
      <c r="S159" s="1" t="n">
        <f aca="false">IF(R159="Home",P159,IF(R159="Away",-P159,""))</f>
        <v>17</v>
      </c>
      <c r="T159" s="1" t="str">
        <f aca="false">IF(R159="Pick","No Line",IF(S159="","N/A",IF(S159+I159&gt;0,"Favorite Covered",IF(S159+I159&lt;0,"Underdog Covered","Push"))))</f>
        <v>Favorite Covered</v>
      </c>
      <c r="U159" s="1" t="str">
        <f aca="false">IF(Q159&gt;J159,"Over",IF(Q159&lt;J159,"Under","Push"))</f>
        <v>Over</v>
      </c>
    </row>
    <row r="160" customFormat="false" ht="15" hidden="false" customHeight="false" outlineLevel="0" collapsed="false">
      <c r="A160" s="1" t="s">
        <v>208</v>
      </c>
      <c r="B160" s="1" t="n">
        <v>2010</v>
      </c>
      <c r="C160" s="1" t="s">
        <v>207</v>
      </c>
      <c r="D160" s="1" t="s">
        <v>115</v>
      </c>
      <c r="E160" s="1" t="s">
        <v>117</v>
      </c>
      <c r="F160" s="1" t="n">
        <v>16</v>
      </c>
      <c r="G160" s="1" t="n">
        <v>19</v>
      </c>
      <c r="H160" s="1" t="s">
        <v>116</v>
      </c>
      <c r="I160" s="1" t="n">
        <v>-7</v>
      </c>
      <c r="J160" s="1" t="n">
        <v>44.5</v>
      </c>
      <c r="K160" s="1" t="s">
        <v>155</v>
      </c>
      <c r="L160" s="1" t="b">
        <f aca="false">FALSE()</f>
        <v>0</v>
      </c>
      <c r="M160" s="1" t="str">
        <f aca="false">VLOOKUP(D160,'Team Reference'!$A:$B,2,FALSE())</f>
        <v>TEN</v>
      </c>
      <c r="N160" s="1" t="str">
        <f aca="false">VLOOKUP(E160,'Team Reference'!$A:$B,2,FALSE())</f>
        <v>WAS</v>
      </c>
      <c r="O160" s="1" t="str">
        <f aca="false">IF(F160&gt;G160,M160,IF(G160&gt;F160,N160,"Tie"))</f>
        <v>WAS</v>
      </c>
      <c r="P160" s="1" t="n">
        <f aca="false">F160-G160</f>
        <v>-3</v>
      </c>
      <c r="Q160" s="1" t="n">
        <f aca="false">F160+G160</f>
        <v>35</v>
      </c>
      <c r="R160" s="1" t="str">
        <f aca="false">IF(H160=M160,"Home",IF(H160=N160,"Away",IF(H160="PICK","Pick","N/A")))</f>
        <v>Home</v>
      </c>
      <c r="S160" s="1" t="n">
        <f aca="false">IF(R160="Home",P160,IF(R160="Away",-P160,""))</f>
        <v>-3</v>
      </c>
      <c r="T160" s="1" t="str">
        <f aca="false">IF(R160="Pick","No Line",IF(S160="","N/A",IF(S160+I160&gt;0,"Favorite Covered",IF(S160+I160&lt;0,"Underdog Covered","Push"))))</f>
        <v>Underdog Covered</v>
      </c>
      <c r="U160" s="1" t="str">
        <f aca="false">IF(Q160&gt;J160,"Over",IF(Q160&lt;J160,"Under","Push"))</f>
        <v>Under</v>
      </c>
    </row>
    <row r="161" customFormat="false" ht="15" hidden="false" customHeight="false" outlineLevel="0" collapsed="false">
      <c r="A161" s="1" t="s">
        <v>209</v>
      </c>
      <c r="B161" s="1" t="n">
        <v>2010</v>
      </c>
      <c r="C161" s="1" t="s">
        <v>207</v>
      </c>
      <c r="D161" s="1" t="s">
        <v>107</v>
      </c>
      <c r="E161" s="1" t="s">
        <v>71</v>
      </c>
      <c r="F161" s="1" t="n">
        <v>35</v>
      </c>
      <c r="G161" s="1" t="n">
        <v>14</v>
      </c>
      <c r="H161" s="1" t="s">
        <v>86</v>
      </c>
      <c r="I161" s="1" t="n">
        <v>-9</v>
      </c>
      <c r="J161" s="1" t="n">
        <v>50</v>
      </c>
      <c r="K161" s="1" t="s">
        <v>172</v>
      </c>
      <c r="L161" s="1" t="b">
        <f aca="false">FALSE()</f>
        <v>0</v>
      </c>
      <c r="M161" s="1" t="str">
        <f aca="false">VLOOKUP(D161,'Team Reference'!$A:$B,2,FALSE())</f>
        <v>LAC</v>
      </c>
      <c r="N161" s="1" t="str">
        <f aca="false">VLOOKUP(E161,'Team Reference'!$A:$B,2,FALSE())</f>
        <v>DEN</v>
      </c>
      <c r="O161" s="1" t="str">
        <f aca="false">IF(F161&gt;G161,M161,IF(G161&gt;F161,N161,"Tie"))</f>
        <v>LAC</v>
      </c>
      <c r="P161" s="1" t="n">
        <f aca="false">F161-G161</f>
        <v>21</v>
      </c>
      <c r="Q161" s="1" t="n">
        <f aca="false">F161+G161</f>
        <v>49</v>
      </c>
      <c r="R161" s="1" t="str">
        <f aca="false">IF(H161=M161,"Home",IF(H161=N161,"Away",IF(H161="PICK","Pick","N/A")))</f>
        <v>Home</v>
      </c>
      <c r="S161" s="1" t="n">
        <f aca="false">IF(R161="Home",P161,IF(R161="Away",-P161,""))</f>
        <v>21</v>
      </c>
      <c r="T161" s="1" t="str">
        <f aca="false">IF(R161="Pick","No Line",IF(S161="","N/A",IF(S161+I161&gt;0,"Favorite Covered",IF(S161+I161&lt;0,"Underdog Covered","Push"))))</f>
        <v>Favorite Covered</v>
      </c>
      <c r="U161" s="1" t="str">
        <f aca="false">IF(Q161&gt;J161,"Over",IF(Q161&lt;J161,"Under","Push"))</f>
        <v>Under</v>
      </c>
    </row>
    <row r="162" customFormat="false" ht="15" hidden="false" customHeight="false" outlineLevel="0" collapsed="false">
      <c r="A162" s="1" t="s">
        <v>210</v>
      </c>
      <c r="B162" s="1" t="n">
        <v>2010</v>
      </c>
      <c r="C162" s="1" t="s">
        <v>211</v>
      </c>
      <c r="D162" s="1" t="s">
        <v>69</v>
      </c>
      <c r="E162" s="1" t="s">
        <v>95</v>
      </c>
      <c r="F162" s="1" t="n">
        <v>27</v>
      </c>
      <c r="G162" s="1" t="n">
        <v>30</v>
      </c>
      <c r="H162" s="1" t="s">
        <v>96</v>
      </c>
      <c r="I162" s="1" t="n">
        <v>-4.5</v>
      </c>
      <c r="J162" s="1" t="n">
        <v>49</v>
      </c>
      <c r="K162" s="1" t="s">
        <v>165</v>
      </c>
      <c r="L162" s="1" t="b">
        <f aca="false">FALSE()</f>
        <v>0</v>
      </c>
      <c r="M162" s="1" t="str">
        <f aca="false">VLOOKUP(D162,'Team Reference'!$A:$B,2,FALSE())</f>
        <v>DAL</v>
      </c>
      <c r="N162" s="1" t="str">
        <f aca="false">VLOOKUP(E162,'Team Reference'!$A:$B,2,FALSE())</f>
        <v>NO</v>
      </c>
      <c r="O162" s="1" t="str">
        <f aca="false">IF(F162&gt;G162,M162,IF(G162&gt;F162,N162,"Tie"))</f>
        <v>NO</v>
      </c>
      <c r="P162" s="1" t="n">
        <f aca="false">F162-G162</f>
        <v>-3</v>
      </c>
      <c r="Q162" s="1" t="n">
        <f aca="false">F162+G162</f>
        <v>57</v>
      </c>
      <c r="R162" s="1" t="str">
        <f aca="false">IF(H162=M162,"Home",IF(H162=N162,"Away",IF(H162="PICK","Pick","N/A")))</f>
        <v>Away</v>
      </c>
      <c r="S162" s="1" t="n">
        <f aca="false">IF(R162="Home",P162,IF(R162="Away",-P162,""))</f>
        <v>3</v>
      </c>
      <c r="T162" s="1" t="str">
        <f aca="false">IF(R162="Pick","No Line",IF(S162="","N/A",IF(S162+I162&gt;0,"Favorite Covered",IF(S162+I162&lt;0,"Underdog Covered","Push"))))</f>
        <v>Underdog Covered</v>
      </c>
      <c r="U162" s="1" t="str">
        <f aca="false">IF(Q162&gt;J162,"Over",IF(Q162&lt;J162,"Under","Push"))</f>
        <v>Over</v>
      </c>
    </row>
    <row r="163" customFormat="false" ht="15" hidden="false" customHeight="false" outlineLevel="0" collapsed="false">
      <c r="A163" s="1" t="s">
        <v>210</v>
      </c>
      <c r="B163" s="1" t="n">
        <v>2010</v>
      </c>
      <c r="C163" s="1" t="s">
        <v>211</v>
      </c>
      <c r="D163" s="1" t="s">
        <v>73</v>
      </c>
      <c r="E163" s="1" t="s">
        <v>93</v>
      </c>
      <c r="F163" s="1" t="n">
        <v>24</v>
      </c>
      <c r="G163" s="1" t="n">
        <v>45</v>
      </c>
      <c r="H163" s="1" t="s">
        <v>94</v>
      </c>
      <c r="I163" s="1" t="n">
        <v>-7.5</v>
      </c>
      <c r="J163" s="1" t="n">
        <v>50.5</v>
      </c>
      <c r="K163" s="1" t="s">
        <v>167</v>
      </c>
      <c r="L163" s="1" t="b">
        <f aca="false">FALSE()</f>
        <v>0</v>
      </c>
      <c r="M163" s="1" t="str">
        <f aca="false">VLOOKUP(D163,'Team Reference'!$A:$B,2,FALSE())</f>
        <v>DET</v>
      </c>
      <c r="N163" s="1" t="str">
        <f aca="false">VLOOKUP(E163,'Team Reference'!$A:$B,2,FALSE())</f>
        <v>NE</v>
      </c>
      <c r="O163" s="1" t="str">
        <f aca="false">IF(F163&gt;G163,M163,IF(G163&gt;F163,N163,"Tie"))</f>
        <v>NE</v>
      </c>
      <c r="P163" s="1" t="n">
        <f aca="false">F163-G163</f>
        <v>-21</v>
      </c>
      <c r="Q163" s="1" t="n">
        <f aca="false">F163+G163</f>
        <v>69</v>
      </c>
      <c r="R163" s="1" t="str">
        <f aca="false">IF(H163=M163,"Home",IF(H163=N163,"Away",IF(H163="PICK","Pick","N/A")))</f>
        <v>Away</v>
      </c>
      <c r="S163" s="1" t="n">
        <f aca="false">IF(R163="Home",P163,IF(R163="Away",-P163,""))</f>
        <v>21</v>
      </c>
      <c r="T163" s="1" t="str">
        <f aca="false">IF(R163="Pick","No Line",IF(S163="","N/A",IF(S163+I163&gt;0,"Favorite Covered",IF(S163+I163&lt;0,"Underdog Covered","Push"))))</f>
        <v>Favorite Covered</v>
      </c>
      <c r="U163" s="1" t="str">
        <f aca="false">IF(Q163&gt;J163,"Over",IF(Q163&lt;J163,"Under","Push"))</f>
        <v>Over</v>
      </c>
    </row>
    <row r="164" customFormat="false" ht="15" hidden="false" customHeight="false" outlineLevel="0" collapsed="false">
      <c r="A164" s="1" t="s">
        <v>210</v>
      </c>
      <c r="B164" s="1" t="n">
        <v>2010</v>
      </c>
      <c r="C164" s="1" t="s">
        <v>211</v>
      </c>
      <c r="D164" s="1" t="s">
        <v>99</v>
      </c>
      <c r="E164" s="1" t="s">
        <v>65</v>
      </c>
      <c r="F164" s="1" t="n">
        <v>26</v>
      </c>
      <c r="G164" s="1" t="n">
        <v>10</v>
      </c>
      <c r="H164" s="1" t="s">
        <v>100</v>
      </c>
      <c r="I164" s="1" t="n">
        <v>-9.5</v>
      </c>
      <c r="J164" s="1" t="n">
        <v>43.5</v>
      </c>
      <c r="K164" s="1" t="s">
        <v>149</v>
      </c>
      <c r="L164" s="1" t="b">
        <f aca="false">FALSE()</f>
        <v>0</v>
      </c>
      <c r="M164" s="1" t="str">
        <f aca="false">VLOOKUP(D164,'Team Reference'!$A:$B,2,FALSE())</f>
        <v>NYJ</v>
      </c>
      <c r="N164" s="1" t="str">
        <f aca="false">VLOOKUP(E164,'Team Reference'!$A:$B,2,FALSE())</f>
        <v>CIN</v>
      </c>
      <c r="O164" s="1" t="str">
        <f aca="false">IF(F164&gt;G164,M164,IF(G164&gt;F164,N164,"Tie"))</f>
        <v>NYJ</v>
      </c>
      <c r="P164" s="1" t="n">
        <f aca="false">F164-G164</f>
        <v>16</v>
      </c>
      <c r="Q164" s="1" t="n">
        <f aca="false">F164+G164</f>
        <v>36</v>
      </c>
      <c r="R164" s="1" t="str">
        <f aca="false">IF(H164=M164,"Home",IF(H164=N164,"Away",IF(H164="PICK","Pick","N/A")))</f>
        <v>Home</v>
      </c>
      <c r="S164" s="1" t="n">
        <f aca="false">IF(R164="Home",P164,IF(R164="Away",-P164,""))</f>
        <v>16</v>
      </c>
      <c r="T164" s="1" t="str">
        <f aca="false">IF(R164="Pick","No Line",IF(S164="","N/A",IF(S164+I164&gt;0,"Favorite Covered",IF(S164+I164&lt;0,"Underdog Covered","Push"))))</f>
        <v>Favorite Covered</v>
      </c>
      <c r="U164" s="1" t="str">
        <f aca="false">IF(Q164&gt;J164,"Over",IF(Q164&lt;J164,"Under","Push"))</f>
        <v>Under</v>
      </c>
    </row>
    <row r="165" customFormat="false" ht="15" hidden="false" customHeight="false" outlineLevel="0" collapsed="false">
      <c r="A165" s="1" t="s">
        <v>212</v>
      </c>
      <c r="B165" s="1" t="n">
        <v>2010</v>
      </c>
      <c r="C165" s="1" t="s">
        <v>211</v>
      </c>
      <c r="D165" s="1" t="s">
        <v>55</v>
      </c>
      <c r="E165" s="1" t="s">
        <v>75</v>
      </c>
      <c r="F165" s="1" t="n">
        <v>20</v>
      </c>
      <c r="G165" s="1" t="n">
        <v>17</v>
      </c>
      <c r="H165" s="1" t="s">
        <v>56</v>
      </c>
      <c r="I165" s="1" t="n">
        <v>-2</v>
      </c>
      <c r="J165" s="1" t="n">
        <v>48</v>
      </c>
      <c r="K165" s="1" t="s">
        <v>161</v>
      </c>
      <c r="L165" s="1" t="b">
        <f aca="false">FALSE()</f>
        <v>0</v>
      </c>
      <c r="M165" s="1" t="str">
        <f aca="false">VLOOKUP(D165,'Team Reference'!$A:$B,2,FALSE())</f>
        <v>ATL</v>
      </c>
      <c r="N165" s="1" t="str">
        <f aca="false">VLOOKUP(E165,'Team Reference'!$A:$B,2,FALSE())</f>
        <v>GB</v>
      </c>
      <c r="O165" s="1" t="str">
        <f aca="false">IF(F165&gt;G165,M165,IF(G165&gt;F165,N165,"Tie"))</f>
        <v>ATL</v>
      </c>
      <c r="P165" s="1" t="n">
        <f aca="false">F165-G165</f>
        <v>3</v>
      </c>
      <c r="Q165" s="1" t="n">
        <f aca="false">F165+G165</f>
        <v>37</v>
      </c>
      <c r="R165" s="1" t="str">
        <f aca="false">IF(H165=M165,"Home",IF(H165=N165,"Away",IF(H165="PICK","Pick","N/A")))</f>
        <v>Home</v>
      </c>
      <c r="S165" s="1" t="n">
        <f aca="false">IF(R165="Home",P165,IF(R165="Away",-P165,""))</f>
        <v>3</v>
      </c>
      <c r="T165" s="1" t="str">
        <f aca="false">IF(R165="Pick","No Line",IF(S165="","N/A",IF(S165+I165&gt;0,"Favorite Covered",IF(S165+I165&lt;0,"Underdog Covered","Push"))))</f>
        <v>Favorite Covered</v>
      </c>
      <c r="U165" s="1" t="str">
        <f aca="false">IF(Q165&gt;J165,"Over",IF(Q165&lt;J165,"Under","Push"))</f>
        <v>Under</v>
      </c>
    </row>
    <row r="166" customFormat="false" ht="15" hidden="false" customHeight="false" outlineLevel="0" collapsed="false">
      <c r="A166" s="1" t="s">
        <v>212</v>
      </c>
      <c r="B166" s="1" t="n">
        <v>2010</v>
      </c>
      <c r="C166" s="1" t="s">
        <v>211</v>
      </c>
      <c r="D166" s="1" t="s">
        <v>57</v>
      </c>
      <c r="E166" s="1" t="s">
        <v>113</v>
      </c>
      <c r="F166" s="1" t="n">
        <v>17</v>
      </c>
      <c r="G166" s="1" t="n">
        <v>10</v>
      </c>
      <c r="H166" s="1" t="s">
        <v>58</v>
      </c>
      <c r="I166" s="1" t="n">
        <v>-7.5</v>
      </c>
      <c r="J166" s="1" t="n">
        <v>41.5</v>
      </c>
      <c r="K166" s="1" t="s">
        <v>178</v>
      </c>
      <c r="L166" s="1" t="b">
        <f aca="false">FALSE()</f>
        <v>0</v>
      </c>
      <c r="M166" s="1" t="str">
        <f aca="false">VLOOKUP(D166,'Team Reference'!$A:$B,2,FALSE())</f>
        <v>BAL</v>
      </c>
      <c r="N166" s="1" t="str">
        <f aca="false">VLOOKUP(E166,'Team Reference'!$A:$B,2,FALSE())</f>
        <v>TB</v>
      </c>
      <c r="O166" s="1" t="str">
        <f aca="false">IF(F166&gt;G166,M166,IF(G166&gt;F166,N166,"Tie"))</f>
        <v>BAL</v>
      </c>
      <c r="P166" s="1" t="n">
        <f aca="false">F166-G166</f>
        <v>7</v>
      </c>
      <c r="Q166" s="1" t="n">
        <f aca="false">F166+G166</f>
        <v>27</v>
      </c>
      <c r="R166" s="1" t="str">
        <f aca="false">IF(H166=M166,"Home",IF(H166=N166,"Away",IF(H166="PICK","Pick","N/A")))</f>
        <v>Home</v>
      </c>
      <c r="S166" s="1" t="n">
        <f aca="false">IF(R166="Home",P166,IF(R166="Away",-P166,""))</f>
        <v>7</v>
      </c>
      <c r="T166" s="1" t="str">
        <f aca="false">IF(R166="Pick","No Line",IF(S166="","N/A",IF(S166+I166&gt;0,"Favorite Covered",IF(S166+I166&lt;0,"Underdog Covered","Push"))))</f>
        <v>Underdog Covered</v>
      </c>
      <c r="U166" s="1" t="str">
        <f aca="false">IF(Q166&gt;J166,"Over",IF(Q166&lt;J166,"Under","Push"))</f>
        <v>Under</v>
      </c>
    </row>
    <row r="167" customFormat="false" ht="15" hidden="false" customHeight="false" outlineLevel="0" collapsed="false">
      <c r="A167" s="1" t="s">
        <v>212</v>
      </c>
      <c r="B167" s="1" t="n">
        <v>2010</v>
      </c>
      <c r="C167" s="1" t="s">
        <v>211</v>
      </c>
      <c r="D167" s="1" t="s">
        <v>59</v>
      </c>
      <c r="E167" s="1" t="s">
        <v>105</v>
      </c>
      <c r="F167" s="1" t="n">
        <v>16</v>
      </c>
      <c r="G167" s="1" t="n">
        <v>19</v>
      </c>
      <c r="H167" s="1" t="s">
        <v>106</v>
      </c>
      <c r="I167" s="1" t="n">
        <v>-7</v>
      </c>
      <c r="J167" s="1" t="n">
        <v>44</v>
      </c>
      <c r="K167" s="1" t="s">
        <v>144</v>
      </c>
      <c r="L167" s="1" t="b">
        <f aca="false">FALSE()</f>
        <v>0</v>
      </c>
      <c r="M167" s="1" t="str">
        <f aca="false">VLOOKUP(D167,'Team Reference'!$A:$B,2,FALSE())</f>
        <v>BUF</v>
      </c>
      <c r="N167" s="1" t="str">
        <f aca="false">VLOOKUP(E167,'Team Reference'!$A:$B,2,FALSE())</f>
        <v>PIT</v>
      </c>
      <c r="O167" s="1" t="str">
        <f aca="false">IF(F167&gt;G167,M167,IF(G167&gt;F167,N167,"Tie"))</f>
        <v>PIT</v>
      </c>
      <c r="P167" s="1" t="n">
        <f aca="false">F167-G167</f>
        <v>-3</v>
      </c>
      <c r="Q167" s="1" t="n">
        <f aca="false">F167+G167</f>
        <v>35</v>
      </c>
      <c r="R167" s="1" t="str">
        <f aca="false">IF(H167=M167,"Home",IF(H167=N167,"Away",IF(H167="PICK","Pick","N/A")))</f>
        <v>Away</v>
      </c>
      <c r="S167" s="1" t="n">
        <f aca="false">IF(R167="Home",P167,IF(R167="Away",-P167,""))</f>
        <v>3</v>
      </c>
      <c r="T167" s="1" t="str">
        <f aca="false">IF(R167="Pick","No Line",IF(S167="","N/A",IF(S167+I167&gt;0,"Favorite Covered",IF(S167+I167&lt;0,"Underdog Covered","Push"))))</f>
        <v>Underdog Covered</v>
      </c>
      <c r="U167" s="1" t="str">
        <f aca="false">IF(Q167&gt;J167,"Over",IF(Q167&lt;J167,"Under","Push"))</f>
        <v>Under</v>
      </c>
    </row>
    <row r="168" customFormat="false" ht="15" hidden="false" customHeight="false" outlineLevel="0" collapsed="false">
      <c r="A168" s="1" t="s">
        <v>212</v>
      </c>
      <c r="B168" s="1" t="n">
        <v>2010</v>
      </c>
      <c r="C168" s="1" t="s">
        <v>211</v>
      </c>
      <c r="D168" s="1" t="s">
        <v>63</v>
      </c>
      <c r="E168" s="1" t="s">
        <v>103</v>
      </c>
      <c r="F168" s="1" t="n">
        <v>31</v>
      </c>
      <c r="G168" s="1" t="n">
        <v>26</v>
      </c>
      <c r="H168" s="1" t="s">
        <v>104</v>
      </c>
      <c r="I168" s="1" t="n">
        <v>-3.5</v>
      </c>
      <c r="J168" s="1" t="n">
        <v>43</v>
      </c>
      <c r="K168" s="1" t="s">
        <v>145</v>
      </c>
      <c r="L168" s="1" t="b">
        <f aca="false">FALSE()</f>
        <v>0</v>
      </c>
      <c r="M168" s="1" t="str">
        <f aca="false">VLOOKUP(D168,'Team Reference'!$A:$B,2,FALSE())</f>
        <v>CHI</v>
      </c>
      <c r="N168" s="1" t="str">
        <f aca="false">VLOOKUP(E168,'Team Reference'!$A:$B,2,FALSE())</f>
        <v>PHI</v>
      </c>
      <c r="O168" s="1" t="str">
        <f aca="false">IF(F168&gt;G168,M168,IF(G168&gt;F168,N168,"Tie"))</f>
        <v>CHI</v>
      </c>
      <c r="P168" s="1" t="n">
        <f aca="false">F168-G168</f>
        <v>5</v>
      </c>
      <c r="Q168" s="1" t="n">
        <f aca="false">F168+G168</f>
        <v>57</v>
      </c>
      <c r="R168" s="1" t="str">
        <f aca="false">IF(H168=M168,"Home",IF(H168=N168,"Away",IF(H168="PICK","Pick","N/A")))</f>
        <v>Away</v>
      </c>
      <c r="S168" s="1" t="n">
        <f aca="false">IF(R168="Home",P168,IF(R168="Away",-P168,""))</f>
        <v>-5</v>
      </c>
      <c r="T168" s="1" t="str">
        <f aca="false">IF(R168="Pick","No Line",IF(S168="","N/A",IF(S168+I168&gt;0,"Favorite Covered",IF(S168+I168&lt;0,"Underdog Covered","Push"))))</f>
        <v>Underdog Covered</v>
      </c>
      <c r="U168" s="1" t="str">
        <f aca="false">IF(Q168&gt;J168,"Over",IF(Q168&lt;J168,"Under","Push"))</f>
        <v>Over</v>
      </c>
    </row>
    <row r="169" customFormat="false" ht="15" hidden="false" customHeight="false" outlineLevel="0" collapsed="false">
      <c r="A169" s="1" t="s">
        <v>212</v>
      </c>
      <c r="B169" s="1" t="n">
        <v>2010</v>
      </c>
      <c r="C169" s="1" t="s">
        <v>211</v>
      </c>
      <c r="D169" s="1" t="s">
        <v>67</v>
      </c>
      <c r="E169" s="1" t="s">
        <v>61</v>
      </c>
      <c r="F169" s="1" t="n">
        <v>24</v>
      </c>
      <c r="G169" s="1" t="n">
        <v>23</v>
      </c>
      <c r="H169" s="1" t="s">
        <v>68</v>
      </c>
      <c r="I169" s="1" t="n">
        <v>-7.5</v>
      </c>
      <c r="J169" s="1" t="n">
        <v>37.5</v>
      </c>
      <c r="K169" s="1" t="s">
        <v>164</v>
      </c>
      <c r="L169" s="1" t="b">
        <f aca="false">FALSE()</f>
        <v>0</v>
      </c>
      <c r="M169" s="1" t="str">
        <f aca="false">VLOOKUP(D169,'Team Reference'!$A:$B,2,FALSE())</f>
        <v>CLE</v>
      </c>
      <c r="N169" s="1" t="str">
        <f aca="false">VLOOKUP(E169,'Team Reference'!$A:$B,2,FALSE())</f>
        <v>CAR</v>
      </c>
      <c r="O169" s="1" t="str">
        <f aca="false">IF(F169&gt;G169,M169,IF(G169&gt;F169,N169,"Tie"))</f>
        <v>CLE</v>
      </c>
      <c r="P169" s="1" t="n">
        <f aca="false">F169-G169</f>
        <v>1</v>
      </c>
      <c r="Q169" s="1" t="n">
        <f aca="false">F169+G169</f>
        <v>47</v>
      </c>
      <c r="R169" s="1" t="str">
        <f aca="false">IF(H169=M169,"Home",IF(H169=N169,"Away",IF(H169="PICK","Pick","N/A")))</f>
        <v>Home</v>
      </c>
      <c r="S169" s="1" t="n">
        <f aca="false">IF(R169="Home",P169,IF(R169="Away",-P169,""))</f>
        <v>1</v>
      </c>
      <c r="T169" s="1" t="str">
        <f aca="false">IF(R169="Pick","No Line",IF(S169="","N/A",IF(S169+I169&gt;0,"Favorite Covered",IF(S169+I169&lt;0,"Underdog Covered","Push"))))</f>
        <v>Underdog Covered</v>
      </c>
      <c r="U169" s="1" t="str">
        <f aca="false">IF(Q169&gt;J169,"Over",IF(Q169&lt;J169,"Under","Push"))</f>
        <v>Over</v>
      </c>
    </row>
    <row r="170" customFormat="false" ht="15" hidden="false" customHeight="false" outlineLevel="0" collapsed="false">
      <c r="A170" s="1" t="s">
        <v>212</v>
      </c>
      <c r="B170" s="1" t="n">
        <v>2010</v>
      </c>
      <c r="C170" s="1" t="s">
        <v>211</v>
      </c>
      <c r="D170" s="1" t="s">
        <v>71</v>
      </c>
      <c r="E170" s="1" t="s">
        <v>112</v>
      </c>
      <c r="F170" s="1" t="n">
        <v>33</v>
      </c>
      <c r="G170" s="1" t="n">
        <v>36</v>
      </c>
      <c r="H170" s="1" t="s">
        <v>72</v>
      </c>
      <c r="I170" s="1" t="n">
        <v>-3</v>
      </c>
      <c r="J170" s="1" t="n">
        <v>45</v>
      </c>
      <c r="K170" s="1" t="s">
        <v>166</v>
      </c>
      <c r="L170" s="1" t="b">
        <f aca="false">FALSE()</f>
        <v>0</v>
      </c>
      <c r="M170" s="1" t="str">
        <f aca="false">VLOOKUP(D170,'Team Reference'!$A:$B,2,FALSE())</f>
        <v>DEN</v>
      </c>
      <c r="N170" s="1" t="str">
        <f aca="false">VLOOKUP(E170,'Team Reference'!$A:$B,2,FALSE())</f>
        <v>LAR</v>
      </c>
      <c r="O170" s="1" t="str">
        <f aca="false">IF(F170&gt;G170,M170,IF(G170&gt;F170,N170,"Tie"))</f>
        <v>LAR</v>
      </c>
      <c r="P170" s="1" t="n">
        <f aca="false">F170-G170</f>
        <v>-3</v>
      </c>
      <c r="Q170" s="1" t="n">
        <f aca="false">F170+G170</f>
        <v>69</v>
      </c>
      <c r="R170" s="1" t="str">
        <f aca="false">IF(H170=M170,"Home",IF(H170=N170,"Away",IF(H170="PICK","Pick","N/A")))</f>
        <v>Home</v>
      </c>
      <c r="S170" s="1" t="n">
        <f aca="false">IF(R170="Home",P170,IF(R170="Away",-P170,""))</f>
        <v>-3</v>
      </c>
      <c r="T170" s="1" t="str">
        <f aca="false">IF(R170="Pick","No Line",IF(S170="","N/A",IF(S170+I170&gt;0,"Favorite Covered",IF(S170+I170&lt;0,"Underdog Covered","Push"))))</f>
        <v>Underdog Covered</v>
      </c>
      <c r="U170" s="1" t="str">
        <f aca="false">IF(Q170&gt;J170,"Over",IF(Q170&lt;J170,"Under","Push"))</f>
        <v>Over</v>
      </c>
    </row>
    <row r="171" customFormat="false" ht="15" hidden="false" customHeight="false" outlineLevel="0" collapsed="false">
      <c r="A171" s="1" t="s">
        <v>212</v>
      </c>
      <c r="B171" s="1" t="n">
        <v>2010</v>
      </c>
      <c r="C171" s="1" t="s">
        <v>211</v>
      </c>
      <c r="D171" s="1" t="s">
        <v>77</v>
      </c>
      <c r="E171" s="1" t="s">
        <v>115</v>
      </c>
      <c r="F171" s="1" t="n">
        <v>20</v>
      </c>
      <c r="G171" s="1" t="n">
        <v>0</v>
      </c>
      <c r="H171" s="1" t="s">
        <v>78</v>
      </c>
      <c r="I171" s="1" t="n">
        <v>-5</v>
      </c>
      <c r="J171" s="1" t="n">
        <v>46.5</v>
      </c>
      <c r="K171" s="1" t="s">
        <v>146</v>
      </c>
      <c r="L171" s="1" t="b">
        <f aca="false">FALSE()</f>
        <v>0</v>
      </c>
      <c r="M171" s="1" t="str">
        <f aca="false">VLOOKUP(D171,'Team Reference'!$A:$B,2,FALSE())</f>
        <v>HOU</v>
      </c>
      <c r="N171" s="1" t="str">
        <f aca="false">VLOOKUP(E171,'Team Reference'!$A:$B,2,FALSE())</f>
        <v>TEN</v>
      </c>
      <c r="O171" s="1" t="str">
        <f aca="false">IF(F171&gt;G171,M171,IF(G171&gt;F171,N171,"Tie"))</f>
        <v>HOU</v>
      </c>
      <c r="P171" s="1" t="n">
        <f aca="false">F171-G171</f>
        <v>20</v>
      </c>
      <c r="Q171" s="1" t="n">
        <f aca="false">F171+G171</f>
        <v>20</v>
      </c>
      <c r="R171" s="1" t="str">
        <f aca="false">IF(H171=M171,"Home",IF(H171=N171,"Away",IF(H171="PICK","Pick","N/A")))</f>
        <v>Home</v>
      </c>
      <c r="S171" s="1" t="n">
        <f aca="false">IF(R171="Home",P171,IF(R171="Away",-P171,""))</f>
        <v>20</v>
      </c>
      <c r="T171" s="1" t="str">
        <f aca="false">IF(R171="Pick","No Line",IF(S171="","N/A",IF(S171+I171&gt;0,"Favorite Covered",IF(S171+I171&lt;0,"Underdog Covered","Push"))))</f>
        <v>Favorite Covered</v>
      </c>
      <c r="U171" s="1" t="str">
        <f aca="false">IF(Q171&gt;J171,"Over",IF(Q171&lt;J171,"Under","Push"))</f>
        <v>Under</v>
      </c>
    </row>
    <row r="172" customFormat="false" ht="15" hidden="false" customHeight="false" outlineLevel="0" collapsed="false">
      <c r="A172" s="1" t="s">
        <v>212</v>
      </c>
      <c r="B172" s="1" t="n">
        <v>2010</v>
      </c>
      <c r="C172" s="1" t="s">
        <v>211</v>
      </c>
      <c r="D172" s="1" t="s">
        <v>79</v>
      </c>
      <c r="E172" s="1" t="s">
        <v>107</v>
      </c>
      <c r="F172" s="1" t="n">
        <v>14</v>
      </c>
      <c r="G172" s="1" t="n">
        <v>36</v>
      </c>
      <c r="H172" s="1" t="s">
        <v>80</v>
      </c>
      <c r="I172" s="1" t="n">
        <v>-2</v>
      </c>
      <c r="J172" s="1" t="n">
        <v>51</v>
      </c>
      <c r="K172" s="1" t="s">
        <v>169</v>
      </c>
      <c r="L172" s="1" t="b">
        <f aca="false">FALSE()</f>
        <v>0</v>
      </c>
      <c r="M172" s="1" t="str">
        <f aca="false">VLOOKUP(D172,'Team Reference'!$A:$B,2,FALSE())</f>
        <v>IND</v>
      </c>
      <c r="N172" s="1" t="str">
        <f aca="false">VLOOKUP(E172,'Team Reference'!$A:$B,2,FALSE())</f>
        <v>LAC</v>
      </c>
      <c r="O172" s="1" t="str">
        <f aca="false">IF(F172&gt;G172,M172,IF(G172&gt;F172,N172,"Tie"))</f>
        <v>LAC</v>
      </c>
      <c r="P172" s="1" t="n">
        <f aca="false">F172-G172</f>
        <v>-22</v>
      </c>
      <c r="Q172" s="1" t="n">
        <f aca="false">F172+G172</f>
        <v>50</v>
      </c>
      <c r="R172" s="1" t="str">
        <f aca="false">IF(H172=M172,"Home",IF(H172=N172,"Away",IF(H172="PICK","Pick","N/A")))</f>
        <v>Home</v>
      </c>
      <c r="S172" s="1" t="n">
        <f aca="false">IF(R172="Home",P172,IF(R172="Away",-P172,""))</f>
        <v>-22</v>
      </c>
      <c r="T172" s="1" t="str">
        <f aca="false">IF(R172="Pick","No Line",IF(S172="","N/A",IF(S172+I172&gt;0,"Favorite Covered",IF(S172+I172&lt;0,"Underdog Covered","Push"))))</f>
        <v>Underdog Covered</v>
      </c>
      <c r="U172" s="1" t="str">
        <f aca="false">IF(Q172&gt;J172,"Over",IF(Q172&lt;J172,"Under","Push"))</f>
        <v>Under</v>
      </c>
    </row>
    <row r="173" customFormat="false" ht="15" hidden="false" customHeight="false" outlineLevel="0" collapsed="false">
      <c r="A173" s="1" t="s">
        <v>212</v>
      </c>
      <c r="B173" s="1" t="n">
        <v>2010</v>
      </c>
      <c r="C173" s="1" t="s">
        <v>211</v>
      </c>
      <c r="D173" s="1" t="s">
        <v>97</v>
      </c>
      <c r="E173" s="1" t="s">
        <v>81</v>
      </c>
      <c r="F173" s="1" t="n">
        <v>24</v>
      </c>
      <c r="G173" s="1" t="n">
        <v>20</v>
      </c>
      <c r="H173" s="1" t="s">
        <v>98</v>
      </c>
      <c r="I173" s="1" t="n">
        <v>-7.5</v>
      </c>
      <c r="J173" s="1" t="n">
        <v>44</v>
      </c>
      <c r="K173" s="1" t="s">
        <v>149</v>
      </c>
      <c r="L173" s="1" t="b">
        <f aca="false">FALSE()</f>
        <v>0</v>
      </c>
      <c r="M173" s="1" t="str">
        <f aca="false">VLOOKUP(D173,'Team Reference'!$A:$B,2,FALSE())</f>
        <v>NYG</v>
      </c>
      <c r="N173" s="1" t="str">
        <f aca="false">VLOOKUP(E173,'Team Reference'!$A:$B,2,FALSE())</f>
        <v>JAX</v>
      </c>
      <c r="O173" s="1" t="str">
        <f aca="false">IF(F173&gt;G173,M173,IF(G173&gt;F173,N173,"Tie"))</f>
        <v>NYG</v>
      </c>
      <c r="P173" s="1" t="n">
        <f aca="false">F173-G173</f>
        <v>4</v>
      </c>
      <c r="Q173" s="1" t="n">
        <f aca="false">F173+G173</f>
        <v>44</v>
      </c>
      <c r="R173" s="1" t="str">
        <f aca="false">IF(H173=M173,"Home",IF(H173=N173,"Away",IF(H173="PICK","Pick","N/A")))</f>
        <v>Home</v>
      </c>
      <c r="S173" s="1" t="n">
        <f aca="false">IF(R173="Home",P173,IF(R173="Away",-P173,""))</f>
        <v>4</v>
      </c>
      <c r="T173" s="1" t="str">
        <f aca="false">IF(R173="Pick","No Line",IF(S173="","N/A",IF(S173+I173&gt;0,"Favorite Covered",IF(S173+I173&lt;0,"Underdog Covered","Push"))))</f>
        <v>Underdog Covered</v>
      </c>
      <c r="U173" s="1" t="str">
        <f aca="false">IF(Q173&gt;J173,"Over",IF(Q173&lt;J173,"Under","Push"))</f>
        <v>Push</v>
      </c>
    </row>
    <row r="174" customFormat="false" ht="15" hidden="false" customHeight="false" outlineLevel="0" collapsed="false">
      <c r="A174" s="1" t="s">
        <v>212</v>
      </c>
      <c r="B174" s="1" t="n">
        <v>2010</v>
      </c>
      <c r="C174" s="1" t="s">
        <v>211</v>
      </c>
      <c r="D174" s="1" t="s">
        <v>101</v>
      </c>
      <c r="E174" s="1" t="s">
        <v>89</v>
      </c>
      <c r="F174" s="1" t="n">
        <v>17</v>
      </c>
      <c r="G174" s="1" t="n">
        <v>33</v>
      </c>
      <c r="H174" s="1" t="s">
        <v>102</v>
      </c>
      <c r="I174" s="1" t="n">
        <v>-3</v>
      </c>
      <c r="J174" s="1" t="n">
        <v>38</v>
      </c>
      <c r="K174" s="1" t="s">
        <v>171</v>
      </c>
      <c r="L174" s="1" t="b">
        <f aca="false">FALSE()</f>
        <v>0</v>
      </c>
      <c r="M174" s="1" t="str">
        <f aca="false">VLOOKUP(D174,'Team Reference'!$A:$B,2,FALSE())</f>
        <v>OAK</v>
      </c>
      <c r="N174" s="1" t="str">
        <f aca="false">VLOOKUP(E174,'Team Reference'!$A:$B,2,FALSE())</f>
        <v>MIA</v>
      </c>
      <c r="O174" s="1" t="str">
        <f aca="false">IF(F174&gt;G174,M174,IF(G174&gt;F174,N174,"Tie"))</f>
        <v>MIA</v>
      </c>
      <c r="P174" s="1" t="n">
        <f aca="false">F174-G174</f>
        <v>-16</v>
      </c>
      <c r="Q174" s="1" t="n">
        <f aca="false">F174+G174</f>
        <v>50</v>
      </c>
      <c r="R174" s="1" t="str">
        <f aca="false">IF(H174=M174,"Home",IF(H174=N174,"Away",IF(H174="PICK","Pick","N/A")))</f>
        <v>Home</v>
      </c>
      <c r="S174" s="1" t="n">
        <f aca="false">IF(R174="Home",P174,IF(R174="Away",-P174,""))</f>
        <v>-16</v>
      </c>
      <c r="T174" s="1" t="str">
        <f aca="false">IF(R174="Pick","No Line",IF(S174="","N/A",IF(S174+I174&gt;0,"Favorite Covered",IF(S174+I174&lt;0,"Underdog Covered","Push"))))</f>
        <v>Underdog Covered</v>
      </c>
      <c r="U174" s="1" t="str">
        <f aca="false">IF(Q174&gt;J174,"Over",IF(Q174&lt;J174,"Under","Push"))</f>
        <v>Over</v>
      </c>
    </row>
    <row r="175" customFormat="false" ht="15" hidden="false" customHeight="false" outlineLevel="0" collapsed="false">
      <c r="A175" s="1" t="s">
        <v>212</v>
      </c>
      <c r="B175" s="1" t="n">
        <v>2010</v>
      </c>
      <c r="C175" s="1" t="s">
        <v>211</v>
      </c>
      <c r="D175" s="1" t="s">
        <v>110</v>
      </c>
      <c r="E175" s="1" t="s">
        <v>83</v>
      </c>
      <c r="F175" s="1" t="n">
        <v>24</v>
      </c>
      <c r="G175" s="1" t="n">
        <v>42</v>
      </c>
      <c r="H175" s="1" t="s">
        <v>84</v>
      </c>
      <c r="I175" s="1" t="n">
        <v>-2</v>
      </c>
      <c r="J175" s="1" t="n">
        <v>45</v>
      </c>
      <c r="K175" s="1" t="s">
        <v>152</v>
      </c>
      <c r="L175" s="1" t="b">
        <f aca="false">FALSE()</f>
        <v>0</v>
      </c>
      <c r="M175" s="1" t="str">
        <f aca="false">VLOOKUP(D175,'Team Reference'!$A:$B,2,FALSE())</f>
        <v>SEA</v>
      </c>
      <c r="N175" s="1" t="str">
        <f aca="false">VLOOKUP(E175,'Team Reference'!$A:$B,2,FALSE())</f>
        <v>KC</v>
      </c>
      <c r="O175" s="1" t="str">
        <f aca="false">IF(F175&gt;G175,M175,IF(G175&gt;F175,N175,"Tie"))</f>
        <v>KC</v>
      </c>
      <c r="P175" s="1" t="n">
        <f aca="false">F175-G175</f>
        <v>-18</v>
      </c>
      <c r="Q175" s="1" t="n">
        <f aca="false">F175+G175</f>
        <v>66</v>
      </c>
      <c r="R175" s="1" t="str">
        <f aca="false">IF(H175=M175,"Home",IF(H175=N175,"Away",IF(H175="PICK","Pick","N/A")))</f>
        <v>Away</v>
      </c>
      <c r="S175" s="1" t="n">
        <f aca="false">IF(R175="Home",P175,IF(R175="Away",-P175,""))</f>
        <v>18</v>
      </c>
      <c r="T175" s="1" t="str">
        <f aca="false">IF(R175="Pick","No Line",IF(S175="","N/A",IF(S175+I175&gt;0,"Favorite Covered",IF(S175+I175&lt;0,"Underdog Covered","Push"))))</f>
        <v>Favorite Covered</v>
      </c>
      <c r="U175" s="1" t="str">
        <f aca="false">IF(Q175&gt;J175,"Over",IF(Q175&lt;J175,"Under","Push"))</f>
        <v>Over</v>
      </c>
    </row>
    <row r="176" customFormat="false" ht="15" hidden="false" customHeight="false" outlineLevel="0" collapsed="false">
      <c r="A176" s="1" t="s">
        <v>212</v>
      </c>
      <c r="B176" s="1" t="n">
        <v>2010</v>
      </c>
      <c r="C176" s="1" t="s">
        <v>211</v>
      </c>
      <c r="D176" s="1" t="s">
        <v>117</v>
      </c>
      <c r="E176" s="1" t="s">
        <v>91</v>
      </c>
      <c r="F176" s="1" t="n">
        <v>13</v>
      </c>
      <c r="G176" s="1" t="n">
        <v>17</v>
      </c>
      <c r="H176" s="1" t="s">
        <v>92</v>
      </c>
      <c r="I176" s="1" t="n">
        <v>-2.5</v>
      </c>
      <c r="J176" s="1" t="n">
        <v>44</v>
      </c>
      <c r="K176" s="1" t="s">
        <v>156</v>
      </c>
      <c r="L176" s="1" t="b">
        <f aca="false">FALSE()</f>
        <v>0</v>
      </c>
      <c r="M176" s="1" t="str">
        <f aca="false">VLOOKUP(D176,'Team Reference'!$A:$B,2,FALSE())</f>
        <v>WAS</v>
      </c>
      <c r="N176" s="1" t="str">
        <f aca="false">VLOOKUP(E176,'Team Reference'!$A:$B,2,FALSE())</f>
        <v>MIN</v>
      </c>
      <c r="O176" s="1" t="str">
        <f aca="false">IF(F176&gt;G176,M176,IF(G176&gt;F176,N176,"Tie"))</f>
        <v>MIN</v>
      </c>
      <c r="P176" s="1" t="n">
        <f aca="false">F176-G176</f>
        <v>-4</v>
      </c>
      <c r="Q176" s="1" t="n">
        <f aca="false">F176+G176</f>
        <v>30</v>
      </c>
      <c r="R176" s="1" t="str">
        <f aca="false">IF(H176=M176,"Home",IF(H176=N176,"Away",IF(H176="PICK","Pick","N/A")))</f>
        <v>Away</v>
      </c>
      <c r="S176" s="1" t="n">
        <f aca="false">IF(R176="Home",P176,IF(R176="Away",-P176,""))</f>
        <v>4</v>
      </c>
      <c r="T176" s="1" t="str">
        <f aca="false">IF(R176="Pick","No Line",IF(S176="","N/A",IF(S176+I176&gt;0,"Favorite Covered",IF(S176+I176&lt;0,"Underdog Covered","Push"))))</f>
        <v>Favorite Covered</v>
      </c>
      <c r="U176" s="1" t="str">
        <f aca="false">IF(Q176&gt;J176,"Over",IF(Q176&lt;J176,"Under","Push"))</f>
        <v>Under</v>
      </c>
    </row>
    <row r="177" customFormat="false" ht="15" hidden="false" customHeight="false" outlineLevel="0" collapsed="false">
      <c r="A177" s="1" t="s">
        <v>213</v>
      </c>
      <c r="B177" s="1" t="n">
        <v>2010</v>
      </c>
      <c r="C177" s="1" t="s">
        <v>211</v>
      </c>
      <c r="D177" s="1" t="s">
        <v>53</v>
      </c>
      <c r="E177" s="1" t="s">
        <v>108</v>
      </c>
      <c r="F177" s="1" t="n">
        <v>6</v>
      </c>
      <c r="G177" s="1" t="n">
        <v>27</v>
      </c>
      <c r="H177" s="1" t="s">
        <v>109</v>
      </c>
      <c r="I177" s="1" t="n">
        <v>-2</v>
      </c>
      <c r="J177" s="1" t="n">
        <v>42</v>
      </c>
      <c r="K177" s="1" t="s">
        <v>177</v>
      </c>
      <c r="L177" s="1" t="b">
        <f aca="false">FALSE()</f>
        <v>0</v>
      </c>
      <c r="M177" s="1" t="str">
        <f aca="false">VLOOKUP(D177,'Team Reference'!$A:$B,2,FALSE())</f>
        <v>ARI</v>
      </c>
      <c r="N177" s="1" t="str">
        <f aca="false">VLOOKUP(E177,'Team Reference'!$A:$B,2,FALSE())</f>
        <v>SF</v>
      </c>
      <c r="O177" s="1" t="str">
        <f aca="false">IF(F177&gt;G177,M177,IF(G177&gt;F177,N177,"Tie"))</f>
        <v>SF</v>
      </c>
      <c r="P177" s="1" t="n">
        <f aca="false">F177-G177</f>
        <v>-21</v>
      </c>
      <c r="Q177" s="1" t="n">
        <f aca="false">F177+G177</f>
        <v>33</v>
      </c>
      <c r="R177" s="1" t="str">
        <f aca="false">IF(H177=M177,"Home",IF(H177=N177,"Away",IF(H177="PICK","Pick","N/A")))</f>
        <v>Away</v>
      </c>
      <c r="S177" s="1" t="n">
        <f aca="false">IF(R177="Home",P177,IF(R177="Away",-P177,""))</f>
        <v>21</v>
      </c>
      <c r="T177" s="1" t="str">
        <f aca="false">IF(R177="Pick","No Line",IF(S177="","N/A",IF(S177+I177&gt;0,"Favorite Covered",IF(S177+I177&lt;0,"Underdog Covered","Push"))))</f>
        <v>Favorite Covered</v>
      </c>
      <c r="U177" s="1" t="str">
        <f aca="false">IF(Q177&gt;J177,"Over",IF(Q177&lt;J177,"Under","Push"))</f>
        <v>Under</v>
      </c>
    </row>
    <row r="178" customFormat="false" ht="15" hidden="false" customHeight="false" outlineLevel="0" collapsed="false">
      <c r="A178" s="1" t="s">
        <v>214</v>
      </c>
      <c r="B178" s="1" t="n">
        <v>2010</v>
      </c>
      <c r="C178" s="1" t="s">
        <v>215</v>
      </c>
      <c r="D178" s="1" t="s">
        <v>103</v>
      </c>
      <c r="E178" s="1" t="s">
        <v>77</v>
      </c>
      <c r="F178" s="1" t="n">
        <v>34</v>
      </c>
      <c r="G178" s="1" t="n">
        <v>24</v>
      </c>
      <c r="H178" s="1" t="s">
        <v>104</v>
      </c>
      <c r="I178" s="1" t="n">
        <v>-8</v>
      </c>
      <c r="J178" s="1" t="n">
        <v>49.5</v>
      </c>
      <c r="K178" s="1" t="s">
        <v>150</v>
      </c>
      <c r="L178" s="1" t="b">
        <f aca="false">FALSE()</f>
        <v>0</v>
      </c>
      <c r="M178" s="1" t="str">
        <f aca="false">VLOOKUP(D178,'Team Reference'!$A:$B,2,FALSE())</f>
        <v>PHI</v>
      </c>
      <c r="N178" s="1" t="str">
        <f aca="false">VLOOKUP(E178,'Team Reference'!$A:$B,2,FALSE())</f>
        <v>HOU</v>
      </c>
      <c r="O178" s="1" t="str">
        <f aca="false">IF(F178&gt;G178,M178,IF(G178&gt;F178,N178,"Tie"))</f>
        <v>PHI</v>
      </c>
      <c r="P178" s="1" t="n">
        <f aca="false">F178-G178</f>
        <v>10</v>
      </c>
      <c r="Q178" s="1" t="n">
        <f aca="false">F178+G178</f>
        <v>58</v>
      </c>
      <c r="R178" s="1" t="str">
        <f aca="false">IF(H178=M178,"Home",IF(H178=N178,"Away",IF(H178="PICK","Pick","N/A")))</f>
        <v>Home</v>
      </c>
      <c r="S178" s="1" t="n">
        <f aca="false">IF(R178="Home",P178,IF(R178="Away",-P178,""))</f>
        <v>10</v>
      </c>
      <c r="T178" s="1" t="str">
        <f aca="false">IF(R178="Pick","No Line",IF(S178="","N/A",IF(S178+I178&gt;0,"Favorite Covered",IF(S178+I178&lt;0,"Underdog Covered","Push"))))</f>
        <v>Favorite Covered</v>
      </c>
      <c r="U178" s="1" t="str">
        <f aca="false">IF(Q178&gt;J178,"Over",IF(Q178&lt;J178,"Under","Push"))</f>
        <v>Over</v>
      </c>
    </row>
    <row r="179" customFormat="false" ht="15" hidden="false" customHeight="false" outlineLevel="0" collapsed="false">
      <c r="A179" s="1" t="s">
        <v>216</v>
      </c>
      <c r="B179" s="1" t="n">
        <v>2010</v>
      </c>
      <c r="C179" s="1" t="s">
        <v>215</v>
      </c>
      <c r="D179" s="1" t="s">
        <v>53</v>
      </c>
      <c r="E179" s="1" t="s">
        <v>112</v>
      </c>
      <c r="F179" s="1" t="n">
        <v>6</v>
      </c>
      <c r="G179" s="1" t="n">
        <v>19</v>
      </c>
      <c r="H179" s="1" t="s">
        <v>88</v>
      </c>
      <c r="I179" s="1" t="n">
        <v>-3.5</v>
      </c>
      <c r="J179" s="1" t="n">
        <v>44</v>
      </c>
      <c r="K179" s="1" t="s">
        <v>177</v>
      </c>
      <c r="L179" s="1" t="b">
        <f aca="false">FALSE()</f>
        <v>0</v>
      </c>
      <c r="M179" s="1" t="str">
        <f aca="false">VLOOKUP(D179,'Team Reference'!$A:$B,2,FALSE())</f>
        <v>ARI</v>
      </c>
      <c r="N179" s="1" t="str">
        <f aca="false">VLOOKUP(E179,'Team Reference'!$A:$B,2,FALSE())</f>
        <v>LAR</v>
      </c>
      <c r="O179" s="1" t="str">
        <f aca="false">IF(F179&gt;G179,M179,IF(G179&gt;F179,N179,"Tie"))</f>
        <v>LAR</v>
      </c>
      <c r="P179" s="1" t="n">
        <f aca="false">F179-G179</f>
        <v>-13</v>
      </c>
      <c r="Q179" s="1" t="n">
        <f aca="false">F179+G179</f>
        <v>25</v>
      </c>
      <c r="R179" s="1" t="str">
        <f aca="false">IF(H179=M179,"Home",IF(H179=N179,"Away",IF(H179="PICK","Pick","N/A")))</f>
        <v>Away</v>
      </c>
      <c r="S179" s="1" t="n">
        <f aca="false">IF(R179="Home",P179,IF(R179="Away",-P179,""))</f>
        <v>13</v>
      </c>
      <c r="T179" s="1" t="str">
        <f aca="false">IF(R179="Pick","No Line",IF(S179="","N/A",IF(S179+I179&gt;0,"Favorite Covered",IF(S179+I179&lt;0,"Underdog Covered","Push"))))</f>
        <v>Favorite Covered</v>
      </c>
      <c r="U179" s="1" t="str">
        <f aca="false">IF(Q179&gt;J179,"Over",IF(Q179&lt;J179,"Under","Push"))</f>
        <v>Under</v>
      </c>
    </row>
    <row r="180" customFormat="false" ht="15" hidden="false" customHeight="false" outlineLevel="0" collapsed="false">
      <c r="A180" s="1" t="s">
        <v>216</v>
      </c>
      <c r="B180" s="1" t="n">
        <v>2010</v>
      </c>
      <c r="C180" s="1" t="s">
        <v>215</v>
      </c>
      <c r="D180" s="1" t="s">
        <v>57</v>
      </c>
      <c r="E180" s="1" t="s">
        <v>105</v>
      </c>
      <c r="F180" s="1" t="n">
        <v>10</v>
      </c>
      <c r="G180" s="1" t="n">
        <v>13</v>
      </c>
      <c r="H180" s="1" t="s">
        <v>58</v>
      </c>
      <c r="I180" s="1" t="n">
        <v>-3</v>
      </c>
      <c r="J180" s="1" t="n">
        <v>39</v>
      </c>
      <c r="K180" s="1" t="s">
        <v>178</v>
      </c>
      <c r="L180" s="1" t="b">
        <f aca="false">FALSE()</f>
        <v>0</v>
      </c>
      <c r="M180" s="1" t="str">
        <f aca="false">VLOOKUP(D180,'Team Reference'!$A:$B,2,FALSE())</f>
        <v>BAL</v>
      </c>
      <c r="N180" s="1" t="str">
        <f aca="false">VLOOKUP(E180,'Team Reference'!$A:$B,2,FALSE())</f>
        <v>PIT</v>
      </c>
      <c r="O180" s="1" t="str">
        <f aca="false">IF(F180&gt;G180,M180,IF(G180&gt;F180,N180,"Tie"))</f>
        <v>PIT</v>
      </c>
      <c r="P180" s="1" t="n">
        <f aca="false">F180-G180</f>
        <v>-3</v>
      </c>
      <c r="Q180" s="1" t="n">
        <f aca="false">F180+G180</f>
        <v>23</v>
      </c>
      <c r="R180" s="1" t="str">
        <f aca="false">IF(H180=M180,"Home",IF(H180=N180,"Away",IF(H180="PICK","Pick","N/A")))</f>
        <v>Home</v>
      </c>
      <c r="S180" s="1" t="n">
        <f aca="false">IF(R180="Home",P180,IF(R180="Away",-P180,""))</f>
        <v>-3</v>
      </c>
      <c r="T180" s="1" t="str">
        <f aca="false">IF(R180="Pick","No Line",IF(S180="","N/A",IF(S180+I180&gt;0,"Favorite Covered",IF(S180+I180&lt;0,"Underdog Covered","Push"))))</f>
        <v>Underdog Covered</v>
      </c>
      <c r="U180" s="1" t="str">
        <f aca="false">IF(Q180&gt;J180,"Over",IF(Q180&lt;J180,"Under","Push"))</f>
        <v>Under</v>
      </c>
    </row>
    <row r="181" customFormat="false" ht="15" hidden="false" customHeight="false" outlineLevel="0" collapsed="false">
      <c r="A181" s="1" t="s">
        <v>216</v>
      </c>
      <c r="B181" s="1" t="n">
        <v>2010</v>
      </c>
      <c r="C181" s="1" t="s">
        <v>215</v>
      </c>
      <c r="D181" s="1" t="s">
        <v>65</v>
      </c>
      <c r="E181" s="1" t="s">
        <v>95</v>
      </c>
      <c r="F181" s="1" t="n">
        <v>30</v>
      </c>
      <c r="G181" s="1" t="n">
        <v>34</v>
      </c>
      <c r="H181" s="1" t="s">
        <v>96</v>
      </c>
      <c r="I181" s="1" t="n">
        <v>-7</v>
      </c>
      <c r="J181" s="1" t="n">
        <v>45.5</v>
      </c>
      <c r="K181" s="1" t="s">
        <v>163</v>
      </c>
      <c r="L181" s="1" t="b">
        <f aca="false">FALSE()</f>
        <v>0</v>
      </c>
      <c r="M181" s="1" t="str">
        <f aca="false">VLOOKUP(D181,'Team Reference'!$A:$B,2,FALSE())</f>
        <v>CIN</v>
      </c>
      <c r="N181" s="1" t="str">
        <f aca="false">VLOOKUP(E181,'Team Reference'!$A:$B,2,FALSE())</f>
        <v>NO</v>
      </c>
      <c r="O181" s="1" t="str">
        <f aca="false">IF(F181&gt;G181,M181,IF(G181&gt;F181,N181,"Tie"))</f>
        <v>NO</v>
      </c>
      <c r="P181" s="1" t="n">
        <f aca="false">F181-G181</f>
        <v>-4</v>
      </c>
      <c r="Q181" s="1" t="n">
        <f aca="false">F181+G181</f>
        <v>64</v>
      </c>
      <c r="R181" s="1" t="str">
        <f aca="false">IF(H181=M181,"Home",IF(H181=N181,"Away",IF(H181="PICK","Pick","N/A")))</f>
        <v>Away</v>
      </c>
      <c r="S181" s="1" t="n">
        <f aca="false">IF(R181="Home",P181,IF(R181="Away",-P181,""))</f>
        <v>4</v>
      </c>
      <c r="T181" s="1" t="str">
        <f aca="false">IF(R181="Pick","No Line",IF(S181="","N/A",IF(S181+I181&gt;0,"Favorite Covered",IF(S181+I181&lt;0,"Underdog Covered","Push"))))</f>
        <v>Underdog Covered</v>
      </c>
      <c r="U181" s="1" t="str">
        <f aca="false">IF(Q181&gt;J181,"Over",IF(Q181&lt;J181,"Under","Push"))</f>
        <v>Over</v>
      </c>
    </row>
    <row r="182" customFormat="false" ht="15" hidden="false" customHeight="false" outlineLevel="0" collapsed="false">
      <c r="A182" s="1" t="s">
        <v>216</v>
      </c>
      <c r="B182" s="1" t="n">
        <v>2010</v>
      </c>
      <c r="C182" s="1" t="s">
        <v>215</v>
      </c>
      <c r="D182" s="1" t="s">
        <v>73</v>
      </c>
      <c r="E182" s="1" t="s">
        <v>63</v>
      </c>
      <c r="F182" s="1" t="n">
        <v>20</v>
      </c>
      <c r="G182" s="1" t="n">
        <v>24</v>
      </c>
      <c r="H182" s="1" t="s">
        <v>64</v>
      </c>
      <c r="I182" s="1" t="n">
        <v>-5.5</v>
      </c>
      <c r="J182" s="1" t="n">
        <v>43.5</v>
      </c>
      <c r="K182" s="1" t="s">
        <v>167</v>
      </c>
      <c r="L182" s="1" t="b">
        <f aca="false">FALSE()</f>
        <v>0</v>
      </c>
      <c r="M182" s="1" t="str">
        <f aca="false">VLOOKUP(D182,'Team Reference'!$A:$B,2,FALSE())</f>
        <v>DET</v>
      </c>
      <c r="N182" s="1" t="str">
        <f aca="false">VLOOKUP(E182,'Team Reference'!$A:$B,2,FALSE())</f>
        <v>CHI</v>
      </c>
      <c r="O182" s="1" t="str">
        <f aca="false">IF(F182&gt;G182,M182,IF(G182&gt;F182,N182,"Tie"))</f>
        <v>CHI</v>
      </c>
      <c r="P182" s="1" t="n">
        <f aca="false">F182-G182</f>
        <v>-4</v>
      </c>
      <c r="Q182" s="1" t="n">
        <f aca="false">F182+G182</f>
        <v>44</v>
      </c>
      <c r="R182" s="1" t="str">
        <f aca="false">IF(H182=M182,"Home",IF(H182=N182,"Away",IF(H182="PICK","Pick","N/A")))</f>
        <v>Away</v>
      </c>
      <c r="S182" s="1" t="n">
        <f aca="false">IF(R182="Home",P182,IF(R182="Away",-P182,""))</f>
        <v>4</v>
      </c>
      <c r="T182" s="1" t="str">
        <f aca="false">IF(R182="Pick","No Line",IF(S182="","N/A",IF(S182+I182&gt;0,"Favorite Covered",IF(S182+I182&lt;0,"Underdog Covered","Push"))))</f>
        <v>Underdog Covered</v>
      </c>
      <c r="U182" s="1" t="str">
        <f aca="false">IF(Q182&gt;J182,"Over",IF(Q182&lt;J182,"Under","Push"))</f>
        <v>Over</v>
      </c>
    </row>
    <row r="183" customFormat="false" ht="15" hidden="false" customHeight="false" outlineLevel="0" collapsed="false">
      <c r="A183" s="1" t="s">
        <v>216</v>
      </c>
      <c r="B183" s="1" t="n">
        <v>2010</v>
      </c>
      <c r="C183" s="1" t="s">
        <v>215</v>
      </c>
      <c r="D183" s="1" t="s">
        <v>75</v>
      </c>
      <c r="E183" s="1" t="s">
        <v>108</v>
      </c>
      <c r="F183" s="1" t="n">
        <v>34</v>
      </c>
      <c r="G183" s="1" t="n">
        <v>16</v>
      </c>
      <c r="H183" s="1" t="s">
        <v>76</v>
      </c>
      <c r="I183" s="1" t="n">
        <v>-9</v>
      </c>
      <c r="J183" s="1" t="n">
        <v>41</v>
      </c>
      <c r="K183" s="1" t="s">
        <v>168</v>
      </c>
      <c r="L183" s="1" t="b">
        <f aca="false">FALSE()</f>
        <v>0</v>
      </c>
      <c r="M183" s="1" t="str">
        <f aca="false">VLOOKUP(D183,'Team Reference'!$A:$B,2,FALSE())</f>
        <v>GB</v>
      </c>
      <c r="N183" s="1" t="str">
        <f aca="false">VLOOKUP(E183,'Team Reference'!$A:$B,2,FALSE())</f>
        <v>SF</v>
      </c>
      <c r="O183" s="1" t="str">
        <f aca="false">IF(F183&gt;G183,M183,IF(G183&gt;F183,N183,"Tie"))</f>
        <v>GB</v>
      </c>
      <c r="P183" s="1" t="n">
        <f aca="false">F183-G183</f>
        <v>18</v>
      </c>
      <c r="Q183" s="1" t="n">
        <f aca="false">F183+G183</f>
        <v>50</v>
      </c>
      <c r="R183" s="1" t="str">
        <f aca="false">IF(H183=M183,"Home",IF(H183=N183,"Away",IF(H183="PICK","Pick","N/A")))</f>
        <v>Home</v>
      </c>
      <c r="S183" s="1" t="n">
        <f aca="false">IF(R183="Home",P183,IF(R183="Away",-P183,""))</f>
        <v>18</v>
      </c>
      <c r="T183" s="1" t="str">
        <f aca="false">IF(R183="Pick","No Line",IF(S183="","N/A",IF(S183+I183&gt;0,"Favorite Covered",IF(S183+I183&lt;0,"Underdog Covered","Push"))))</f>
        <v>Favorite Covered</v>
      </c>
      <c r="U183" s="1" t="str">
        <f aca="false">IF(Q183&gt;J183,"Over",IF(Q183&lt;J183,"Under","Push"))</f>
        <v>Over</v>
      </c>
    </row>
    <row r="184" customFormat="false" ht="15" hidden="false" customHeight="false" outlineLevel="0" collapsed="false">
      <c r="A184" s="1" t="s">
        <v>216</v>
      </c>
      <c r="B184" s="1" t="n">
        <v>2010</v>
      </c>
      <c r="C184" s="1" t="s">
        <v>215</v>
      </c>
      <c r="D184" s="1" t="s">
        <v>79</v>
      </c>
      <c r="E184" s="1" t="s">
        <v>69</v>
      </c>
      <c r="F184" s="1" t="n">
        <v>35</v>
      </c>
      <c r="G184" s="1" t="n">
        <v>38</v>
      </c>
      <c r="H184" s="1" t="s">
        <v>80</v>
      </c>
      <c r="I184" s="1" t="n">
        <v>-5.5</v>
      </c>
      <c r="J184" s="1" t="n">
        <v>48</v>
      </c>
      <c r="K184" s="1" t="s">
        <v>169</v>
      </c>
      <c r="L184" s="1" t="b">
        <f aca="false">FALSE()</f>
        <v>0</v>
      </c>
      <c r="M184" s="1" t="str">
        <f aca="false">VLOOKUP(D184,'Team Reference'!$A:$B,2,FALSE())</f>
        <v>IND</v>
      </c>
      <c r="N184" s="1" t="str">
        <f aca="false">VLOOKUP(E184,'Team Reference'!$A:$B,2,FALSE())</f>
        <v>DAL</v>
      </c>
      <c r="O184" s="1" t="str">
        <f aca="false">IF(F184&gt;G184,M184,IF(G184&gt;F184,N184,"Tie"))</f>
        <v>DAL</v>
      </c>
      <c r="P184" s="1" t="n">
        <f aca="false">F184-G184</f>
        <v>-3</v>
      </c>
      <c r="Q184" s="1" t="n">
        <f aca="false">F184+G184</f>
        <v>73</v>
      </c>
      <c r="R184" s="1" t="str">
        <f aca="false">IF(H184=M184,"Home",IF(H184=N184,"Away",IF(H184="PICK","Pick","N/A")))</f>
        <v>Home</v>
      </c>
      <c r="S184" s="1" t="n">
        <f aca="false">IF(R184="Home",P184,IF(R184="Away",-P184,""))</f>
        <v>-3</v>
      </c>
      <c r="T184" s="1" t="str">
        <f aca="false">IF(R184="Pick","No Line",IF(S184="","N/A",IF(S184+I184&gt;0,"Favorite Covered",IF(S184+I184&lt;0,"Underdog Covered","Push"))))</f>
        <v>Underdog Covered</v>
      </c>
      <c r="U184" s="1" t="str">
        <f aca="false">IF(Q184&gt;J184,"Over",IF(Q184&lt;J184,"Under","Push"))</f>
        <v>Over</v>
      </c>
    </row>
    <row r="185" customFormat="false" ht="15" hidden="false" customHeight="false" outlineLevel="0" collapsed="false">
      <c r="A185" s="1" t="s">
        <v>216</v>
      </c>
      <c r="B185" s="1" t="n">
        <v>2010</v>
      </c>
      <c r="C185" s="1" t="s">
        <v>215</v>
      </c>
      <c r="D185" s="1" t="s">
        <v>83</v>
      </c>
      <c r="E185" s="1" t="s">
        <v>71</v>
      </c>
      <c r="F185" s="1" t="n">
        <v>10</v>
      </c>
      <c r="G185" s="1" t="n">
        <v>6</v>
      </c>
      <c r="H185" s="1" t="s">
        <v>84</v>
      </c>
      <c r="I185" s="1" t="n">
        <v>-8</v>
      </c>
      <c r="J185" s="1" t="n">
        <v>48.5</v>
      </c>
      <c r="K185" s="1" t="s">
        <v>158</v>
      </c>
      <c r="L185" s="1" t="b">
        <f aca="false">FALSE()</f>
        <v>0</v>
      </c>
      <c r="M185" s="1" t="str">
        <f aca="false">VLOOKUP(D185,'Team Reference'!$A:$B,2,FALSE())</f>
        <v>KC</v>
      </c>
      <c r="N185" s="1" t="str">
        <f aca="false">VLOOKUP(E185,'Team Reference'!$A:$B,2,FALSE())</f>
        <v>DEN</v>
      </c>
      <c r="O185" s="1" t="str">
        <f aca="false">IF(F185&gt;G185,M185,IF(G185&gt;F185,N185,"Tie"))</f>
        <v>KC</v>
      </c>
      <c r="P185" s="1" t="n">
        <f aca="false">F185-G185</f>
        <v>4</v>
      </c>
      <c r="Q185" s="1" t="n">
        <f aca="false">F185+G185</f>
        <v>16</v>
      </c>
      <c r="R185" s="1" t="str">
        <f aca="false">IF(H185=M185,"Home",IF(H185=N185,"Away",IF(H185="PICK","Pick","N/A")))</f>
        <v>Home</v>
      </c>
      <c r="S185" s="1" t="n">
        <f aca="false">IF(R185="Home",P185,IF(R185="Away",-P185,""))</f>
        <v>4</v>
      </c>
      <c r="T185" s="1" t="str">
        <f aca="false">IF(R185="Pick","No Line",IF(S185="","N/A",IF(S185+I185&gt;0,"Favorite Covered",IF(S185+I185&lt;0,"Underdog Covered","Push"))))</f>
        <v>Underdog Covered</v>
      </c>
      <c r="U185" s="1" t="str">
        <f aca="false">IF(Q185&gt;J185,"Over",IF(Q185&lt;J185,"Under","Push"))</f>
        <v>Under</v>
      </c>
    </row>
    <row r="186" customFormat="false" ht="15" hidden="false" customHeight="false" outlineLevel="0" collapsed="false">
      <c r="A186" s="1" t="s">
        <v>216</v>
      </c>
      <c r="B186" s="1" t="n">
        <v>2010</v>
      </c>
      <c r="C186" s="1" t="s">
        <v>215</v>
      </c>
      <c r="D186" s="1" t="s">
        <v>89</v>
      </c>
      <c r="E186" s="1" t="s">
        <v>67</v>
      </c>
      <c r="F186" s="1" t="n">
        <v>10</v>
      </c>
      <c r="G186" s="1" t="n">
        <v>13</v>
      </c>
      <c r="H186" s="1" t="s">
        <v>90</v>
      </c>
      <c r="I186" s="1" t="n">
        <v>-6</v>
      </c>
      <c r="J186" s="1" t="n">
        <v>43.5</v>
      </c>
      <c r="K186" s="1" t="s">
        <v>179</v>
      </c>
      <c r="L186" s="1" t="b">
        <f aca="false">FALSE()</f>
        <v>0</v>
      </c>
      <c r="M186" s="1" t="str">
        <f aca="false">VLOOKUP(D186,'Team Reference'!$A:$B,2,FALSE())</f>
        <v>MIA</v>
      </c>
      <c r="N186" s="1" t="str">
        <f aca="false">VLOOKUP(E186,'Team Reference'!$A:$B,2,FALSE())</f>
        <v>CLE</v>
      </c>
      <c r="O186" s="1" t="str">
        <f aca="false">IF(F186&gt;G186,M186,IF(G186&gt;F186,N186,"Tie"))</f>
        <v>CLE</v>
      </c>
      <c r="P186" s="1" t="n">
        <f aca="false">F186-G186</f>
        <v>-3</v>
      </c>
      <c r="Q186" s="1" t="n">
        <f aca="false">F186+G186</f>
        <v>23</v>
      </c>
      <c r="R186" s="1" t="str">
        <f aca="false">IF(H186=M186,"Home",IF(H186=N186,"Away",IF(H186="PICK","Pick","N/A")))</f>
        <v>Home</v>
      </c>
      <c r="S186" s="1" t="n">
        <f aca="false">IF(R186="Home",P186,IF(R186="Away",-P186,""))</f>
        <v>-3</v>
      </c>
      <c r="T186" s="1" t="str">
        <f aca="false">IF(R186="Pick","No Line",IF(S186="","N/A",IF(S186+I186&gt;0,"Favorite Covered",IF(S186+I186&lt;0,"Underdog Covered","Push"))))</f>
        <v>Underdog Covered</v>
      </c>
      <c r="U186" s="1" t="str">
        <f aca="false">IF(Q186&gt;J186,"Over",IF(Q186&lt;J186,"Under","Push"))</f>
        <v>Under</v>
      </c>
    </row>
    <row r="187" customFormat="false" ht="15" hidden="false" customHeight="false" outlineLevel="0" collapsed="false">
      <c r="A187" s="1" t="s">
        <v>216</v>
      </c>
      <c r="B187" s="1" t="n">
        <v>2010</v>
      </c>
      <c r="C187" s="1" t="s">
        <v>215</v>
      </c>
      <c r="D187" s="1" t="s">
        <v>91</v>
      </c>
      <c r="E187" s="1" t="s">
        <v>59</v>
      </c>
      <c r="F187" s="1" t="n">
        <v>38</v>
      </c>
      <c r="G187" s="1" t="n">
        <v>14</v>
      </c>
      <c r="H187" s="1" t="s">
        <v>92</v>
      </c>
      <c r="I187" s="1" t="n">
        <v>-5</v>
      </c>
      <c r="J187" s="1" t="n">
        <v>44</v>
      </c>
      <c r="K187" s="1" t="s">
        <v>170</v>
      </c>
      <c r="L187" s="1" t="b">
        <f aca="false">FALSE()</f>
        <v>0</v>
      </c>
      <c r="M187" s="1" t="str">
        <f aca="false">VLOOKUP(D187,'Team Reference'!$A:$B,2,FALSE())</f>
        <v>MIN</v>
      </c>
      <c r="N187" s="1" t="str">
        <f aca="false">VLOOKUP(E187,'Team Reference'!$A:$B,2,FALSE())</f>
        <v>BUF</v>
      </c>
      <c r="O187" s="1" t="str">
        <f aca="false">IF(F187&gt;G187,M187,IF(G187&gt;F187,N187,"Tie"))</f>
        <v>MIN</v>
      </c>
      <c r="P187" s="1" t="n">
        <f aca="false">F187-G187</f>
        <v>24</v>
      </c>
      <c r="Q187" s="1" t="n">
        <f aca="false">F187+G187</f>
        <v>52</v>
      </c>
      <c r="R187" s="1" t="str">
        <f aca="false">IF(H187=M187,"Home",IF(H187=N187,"Away",IF(H187="PICK","Pick","N/A")))</f>
        <v>Home</v>
      </c>
      <c r="S187" s="1" t="n">
        <f aca="false">IF(R187="Home",P187,IF(R187="Away",-P187,""))</f>
        <v>24</v>
      </c>
      <c r="T187" s="1" t="str">
        <f aca="false">IF(R187="Pick","No Line",IF(S187="","N/A",IF(S187+I187&gt;0,"Favorite Covered",IF(S187+I187&lt;0,"Underdog Covered","Push"))))</f>
        <v>Favorite Covered</v>
      </c>
      <c r="U187" s="1" t="str">
        <f aca="false">IF(Q187&gt;J187,"Over",IF(Q187&lt;J187,"Under","Push"))</f>
        <v>Over</v>
      </c>
    </row>
    <row r="188" customFormat="false" ht="15" hidden="false" customHeight="false" outlineLevel="0" collapsed="false">
      <c r="A188" s="1" t="s">
        <v>216</v>
      </c>
      <c r="B188" s="1" t="n">
        <v>2010</v>
      </c>
      <c r="C188" s="1" t="s">
        <v>215</v>
      </c>
      <c r="D188" s="1" t="s">
        <v>97</v>
      </c>
      <c r="E188" s="1" t="s">
        <v>117</v>
      </c>
      <c r="F188" s="1" t="n">
        <v>31</v>
      </c>
      <c r="G188" s="1" t="n">
        <v>7</v>
      </c>
      <c r="H188" s="1" t="s">
        <v>98</v>
      </c>
      <c r="I188" s="1" t="n">
        <v>-7.5</v>
      </c>
      <c r="J188" s="1" t="n">
        <v>43</v>
      </c>
      <c r="K188" s="1" t="s">
        <v>149</v>
      </c>
      <c r="L188" s="1" t="b">
        <f aca="false">FALSE()</f>
        <v>0</v>
      </c>
      <c r="M188" s="1" t="str">
        <f aca="false">VLOOKUP(D188,'Team Reference'!$A:$B,2,FALSE())</f>
        <v>NYG</v>
      </c>
      <c r="N188" s="1" t="str">
        <f aca="false">VLOOKUP(E188,'Team Reference'!$A:$B,2,FALSE())</f>
        <v>WAS</v>
      </c>
      <c r="O188" s="1" t="str">
        <f aca="false">IF(F188&gt;G188,M188,IF(G188&gt;F188,N188,"Tie"))</f>
        <v>NYG</v>
      </c>
      <c r="P188" s="1" t="n">
        <f aca="false">F188-G188</f>
        <v>24</v>
      </c>
      <c r="Q188" s="1" t="n">
        <f aca="false">F188+G188</f>
        <v>38</v>
      </c>
      <c r="R188" s="1" t="str">
        <f aca="false">IF(H188=M188,"Home",IF(H188=N188,"Away",IF(H188="PICK","Pick","N/A")))</f>
        <v>Home</v>
      </c>
      <c r="S188" s="1" t="n">
        <f aca="false">IF(R188="Home",P188,IF(R188="Away",-P188,""))</f>
        <v>24</v>
      </c>
      <c r="T188" s="1" t="str">
        <f aca="false">IF(R188="Pick","No Line",IF(S188="","N/A",IF(S188+I188&gt;0,"Favorite Covered",IF(S188+I188&lt;0,"Underdog Covered","Push"))))</f>
        <v>Favorite Covered</v>
      </c>
      <c r="U188" s="1" t="str">
        <f aca="false">IF(Q188&gt;J188,"Over",IF(Q188&lt;J188,"Under","Push"))</f>
        <v>Under</v>
      </c>
    </row>
    <row r="189" customFormat="false" ht="15" hidden="false" customHeight="false" outlineLevel="0" collapsed="false">
      <c r="A189" s="1" t="s">
        <v>216</v>
      </c>
      <c r="B189" s="1" t="n">
        <v>2010</v>
      </c>
      <c r="C189" s="1" t="s">
        <v>215</v>
      </c>
      <c r="D189" s="1" t="s">
        <v>107</v>
      </c>
      <c r="E189" s="1" t="s">
        <v>101</v>
      </c>
      <c r="F189" s="1" t="n">
        <v>13</v>
      </c>
      <c r="G189" s="1" t="n">
        <v>28</v>
      </c>
      <c r="H189" s="1" t="s">
        <v>86</v>
      </c>
      <c r="I189" s="1" t="n">
        <v>-13</v>
      </c>
      <c r="J189" s="1" t="n">
        <v>44.5</v>
      </c>
      <c r="K189" s="1" t="s">
        <v>172</v>
      </c>
      <c r="L189" s="1" t="b">
        <f aca="false">FALSE()</f>
        <v>0</v>
      </c>
      <c r="M189" s="1" t="str">
        <f aca="false">VLOOKUP(D189,'Team Reference'!$A:$B,2,FALSE())</f>
        <v>LAC</v>
      </c>
      <c r="N189" s="1" t="str">
        <f aca="false">VLOOKUP(E189,'Team Reference'!$A:$B,2,FALSE())</f>
        <v>OAK</v>
      </c>
      <c r="O189" s="1" t="str">
        <f aca="false">IF(F189&gt;G189,M189,IF(G189&gt;F189,N189,"Tie"))</f>
        <v>OAK</v>
      </c>
      <c r="P189" s="1" t="n">
        <f aca="false">F189-G189</f>
        <v>-15</v>
      </c>
      <c r="Q189" s="1" t="n">
        <f aca="false">F189+G189</f>
        <v>41</v>
      </c>
      <c r="R189" s="1" t="str">
        <f aca="false">IF(H189=M189,"Home",IF(H189=N189,"Away",IF(H189="PICK","Pick","N/A")))</f>
        <v>Home</v>
      </c>
      <c r="S189" s="1" t="n">
        <f aca="false">IF(R189="Home",P189,IF(R189="Away",-P189,""))</f>
        <v>-15</v>
      </c>
      <c r="T189" s="1" t="str">
        <f aca="false">IF(R189="Pick","No Line",IF(S189="","N/A",IF(S189+I189&gt;0,"Favorite Covered",IF(S189+I189&lt;0,"Underdog Covered","Push"))))</f>
        <v>Underdog Covered</v>
      </c>
      <c r="U189" s="1" t="str">
        <f aca="false">IF(Q189&gt;J189,"Over",IF(Q189&lt;J189,"Under","Push"))</f>
        <v>Under</v>
      </c>
    </row>
    <row r="190" customFormat="false" ht="15" hidden="false" customHeight="false" outlineLevel="0" collapsed="false">
      <c r="A190" s="1" t="s">
        <v>216</v>
      </c>
      <c r="B190" s="1" t="n">
        <v>2010</v>
      </c>
      <c r="C190" s="1" t="s">
        <v>215</v>
      </c>
      <c r="D190" s="1" t="s">
        <v>110</v>
      </c>
      <c r="E190" s="1" t="s">
        <v>61</v>
      </c>
      <c r="F190" s="1" t="n">
        <v>31</v>
      </c>
      <c r="G190" s="1" t="n">
        <v>14</v>
      </c>
      <c r="H190" s="1" t="s">
        <v>111</v>
      </c>
      <c r="I190" s="1" t="n">
        <v>-5</v>
      </c>
      <c r="J190" s="1" t="n">
        <v>40</v>
      </c>
      <c r="K190" s="1" t="s">
        <v>152</v>
      </c>
      <c r="L190" s="1" t="b">
        <f aca="false">FALSE()</f>
        <v>0</v>
      </c>
      <c r="M190" s="1" t="str">
        <f aca="false">VLOOKUP(D190,'Team Reference'!$A:$B,2,FALSE())</f>
        <v>SEA</v>
      </c>
      <c r="N190" s="1" t="str">
        <f aca="false">VLOOKUP(E190,'Team Reference'!$A:$B,2,FALSE())</f>
        <v>CAR</v>
      </c>
      <c r="O190" s="1" t="str">
        <f aca="false">IF(F190&gt;G190,M190,IF(G190&gt;F190,N190,"Tie"))</f>
        <v>SEA</v>
      </c>
      <c r="P190" s="1" t="n">
        <f aca="false">F190-G190</f>
        <v>17</v>
      </c>
      <c r="Q190" s="1" t="n">
        <f aca="false">F190+G190</f>
        <v>45</v>
      </c>
      <c r="R190" s="1" t="str">
        <f aca="false">IF(H190=M190,"Home",IF(H190=N190,"Away",IF(H190="PICK","Pick","N/A")))</f>
        <v>Home</v>
      </c>
      <c r="S190" s="1" t="n">
        <f aca="false">IF(R190="Home",P190,IF(R190="Away",-P190,""))</f>
        <v>17</v>
      </c>
      <c r="T190" s="1" t="str">
        <f aca="false">IF(R190="Pick","No Line",IF(S190="","N/A",IF(S190+I190&gt;0,"Favorite Covered",IF(S190+I190&lt;0,"Underdog Covered","Push"))))</f>
        <v>Favorite Covered</v>
      </c>
      <c r="U190" s="1" t="str">
        <f aca="false">IF(Q190&gt;J190,"Over",IF(Q190&lt;J190,"Under","Push"))</f>
        <v>Over</v>
      </c>
    </row>
    <row r="191" customFormat="false" ht="15" hidden="false" customHeight="false" outlineLevel="0" collapsed="false">
      <c r="A191" s="1" t="s">
        <v>216</v>
      </c>
      <c r="B191" s="1" t="n">
        <v>2010</v>
      </c>
      <c r="C191" s="1" t="s">
        <v>215</v>
      </c>
      <c r="D191" s="1" t="s">
        <v>113</v>
      </c>
      <c r="E191" s="1" t="s">
        <v>55</v>
      </c>
      <c r="F191" s="1" t="n">
        <v>24</v>
      </c>
      <c r="G191" s="1" t="n">
        <v>28</v>
      </c>
      <c r="H191" s="1" t="s">
        <v>56</v>
      </c>
      <c r="I191" s="1" t="n">
        <v>-3</v>
      </c>
      <c r="J191" s="1" t="n">
        <v>43.5</v>
      </c>
      <c r="K191" s="1" t="s">
        <v>154</v>
      </c>
      <c r="L191" s="1" t="b">
        <f aca="false">FALSE()</f>
        <v>0</v>
      </c>
      <c r="M191" s="1" t="str">
        <f aca="false">VLOOKUP(D191,'Team Reference'!$A:$B,2,FALSE())</f>
        <v>TB</v>
      </c>
      <c r="N191" s="1" t="str">
        <f aca="false">VLOOKUP(E191,'Team Reference'!$A:$B,2,FALSE())</f>
        <v>ATL</v>
      </c>
      <c r="O191" s="1" t="str">
        <f aca="false">IF(F191&gt;G191,M191,IF(G191&gt;F191,N191,"Tie"))</f>
        <v>ATL</v>
      </c>
      <c r="P191" s="1" t="n">
        <f aca="false">F191-G191</f>
        <v>-4</v>
      </c>
      <c r="Q191" s="1" t="n">
        <f aca="false">F191+G191</f>
        <v>52</v>
      </c>
      <c r="R191" s="1" t="str">
        <f aca="false">IF(H191=M191,"Home",IF(H191=N191,"Away",IF(H191="PICK","Pick","N/A")))</f>
        <v>Away</v>
      </c>
      <c r="S191" s="1" t="n">
        <f aca="false">IF(R191="Home",P191,IF(R191="Away",-P191,""))</f>
        <v>4</v>
      </c>
      <c r="T191" s="1" t="str">
        <f aca="false">IF(R191="Pick","No Line",IF(S191="","N/A",IF(S191+I191&gt;0,"Favorite Covered",IF(S191+I191&lt;0,"Underdog Covered","Push"))))</f>
        <v>Favorite Covered</v>
      </c>
      <c r="U191" s="1" t="str">
        <f aca="false">IF(Q191&gt;J191,"Over",IF(Q191&lt;J191,"Under","Push"))</f>
        <v>Over</v>
      </c>
    </row>
    <row r="192" customFormat="false" ht="15" hidden="false" customHeight="false" outlineLevel="0" collapsed="false">
      <c r="A192" s="1" t="s">
        <v>216</v>
      </c>
      <c r="B192" s="1" t="n">
        <v>2010</v>
      </c>
      <c r="C192" s="1" t="s">
        <v>215</v>
      </c>
      <c r="D192" s="1" t="s">
        <v>115</v>
      </c>
      <c r="E192" s="1" t="s">
        <v>81</v>
      </c>
      <c r="F192" s="1" t="n">
        <v>6</v>
      </c>
      <c r="G192" s="1" t="n">
        <v>17</v>
      </c>
      <c r="H192" s="1" t="s">
        <v>116</v>
      </c>
      <c r="I192" s="1" t="n">
        <v>-3</v>
      </c>
      <c r="J192" s="1" t="n">
        <v>43.5</v>
      </c>
      <c r="K192" s="1" t="s">
        <v>155</v>
      </c>
      <c r="L192" s="1" t="b">
        <f aca="false">FALSE()</f>
        <v>0</v>
      </c>
      <c r="M192" s="1" t="str">
        <f aca="false">VLOOKUP(D192,'Team Reference'!$A:$B,2,FALSE())</f>
        <v>TEN</v>
      </c>
      <c r="N192" s="1" t="str">
        <f aca="false">VLOOKUP(E192,'Team Reference'!$A:$B,2,FALSE())</f>
        <v>JAX</v>
      </c>
      <c r="O192" s="1" t="str">
        <f aca="false">IF(F192&gt;G192,M192,IF(G192&gt;F192,N192,"Tie"))</f>
        <v>JAX</v>
      </c>
      <c r="P192" s="1" t="n">
        <f aca="false">F192-G192</f>
        <v>-11</v>
      </c>
      <c r="Q192" s="1" t="n">
        <f aca="false">F192+G192</f>
        <v>23</v>
      </c>
      <c r="R192" s="1" t="str">
        <f aca="false">IF(H192=M192,"Home",IF(H192=N192,"Away",IF(H192="PICK","Pick","N/A")))</f>
        <v>Home</v>
      </c>
      <c r="S192" s="1" t="n">
        <f aca="false">IF(R192="Home",P192,IF(R192="Away",-P192,""))</f>
        <v>-11</v>
      </c>
      <c r="T192" s="1" t="str">
        <f aca="false">IF(R192="Pick","No Line",IF(S192="","N/A",IF(S192+I192&gt;0,"Favorite Covered",IF(S192+I192&lt;0,"Underdog Covered","Push"))))</f>
        <v>Underdog Covered</v>
      </c>
      <c r="U192" s="1" t="str">
        <f aca="false">IF(Q192&gt;J192,"Over",IF(Q192&lt;J192,"Under","Push"))</f>
        <v>Under</v>
      </c>
    </row>
    <row r="193" customFormat="false" ht="15" hidden="false" customHeight="false" outlineLevel="0" collapsed="false">
      <c r="A193" s="1" t="s">
        <v>217</v>
      </c>
      <c r="B193" s="1" t="n">
        <v>2010</v>
      </c>
      <c r="C193" s="1" t="s">
        <v>215</v>
      </c>
      <c r="D193" s="1" t="s">
        <v>93</v>
      </c>
      <c r="E193" s="1" t="s">
        <v>99</v>
      </c>
      <c r="F193" s="1" t="n">
        <v>45</v>
      </c>
      <c r="G193" s="1" t="n">
        <v>3</v>
      </c>
      <c r="H193" s="1" t="s">
        <v>94</v>
      </c>
      <c r="I193" s="1" t="n">
        <v>-4</v>
      </c>
      <c r="J193" s="1" t="n">
        <v>44.5</v>
      </c>
      <c r="K193" s="1" t="s">
        <v>148</v>
      </c>
      <c r="L193" s="1" t="b">
        <f aca="false">FALSE()</f>
        <v>0</v>
      </c>
      <c r="M193" s="1" t="str">
        <f aca="false">VLOOKUP(D193,'Team Reference'!$A:$B,2,FALSE())</f>
        <v>NE</v>
      </c>
      <c r="N193" s="1" t="str">
        <f aca="false">VLOOKUP(E193,'Team Reference'!$A:$B,2,FALSE())</f>
        <v>NYJ</v>
      </c>
      <c r="O193" s="1" t="str">
        <f aca="false">IF(F193&gt;G193,M193,IF(G193&gt;F193,N193,"Tie"))</f>
        <v>NE</v>
      </c>
      <c r="P193" s="1" t="n">
        <f aca="false">F193-G193</f>
        <v>42</v>
      </c>
      <c r="Q193" s="1" t="n">
        <f aca="false">F193+G193</f>
        <v>48</v>
      </c>
      <c r="R193" s="1" t="str">
        <f aca="false">IF(H193=M193,"Home",IF(H193=N193,"Away",IF(H193="PICK","Pick","N/A")))</f>
        <v>Home</v>
      </c>
      <c r="S193" s="1" t="n">
        <f aca="false">IF(R193="Home",P193,IF(R193="Away",-P193,""))</f>
        <v>42</v>
      </c>
      <c r="T193" s="1" t="str">
        <f aca="false">IF(R193="Pick","No Line",IF(S193="","N/A",IF(S193+I193&gt;0,"Favorite Covered",IF(S193+I193&lt;0,"Underdog Covered","Push"))))</f>
        <v>Favorite Covered</v>
      </c>
      <c r="U193" s="1" t="str">
        <f aca="false">IF(Q193&gt;J193,"Over",IF(Q193&lt;J193,"Under","Push"))</f>
        <v>Over</v>
      </c>
    </row>
    <row r="194" customFormat="false" ht="15" hidden="false" customHeight="false" outlineLevel="0" collapsed="false">
      <c r="A194" s="1" t="s">
        <v>218</v>
      </c>
      <c r="B194" s="1" t="n">
        <v>2010</v>
      </c>
      <c r="C194" s="1" t="s">
        <v>219</v>
      </c>
      <c r="D194" s="1" t="s">
        <v>115</v>
      </c>
      <c r="E194" s="1" t="s">
        <v>79</v>
      </c>
      <c r="F194" s="1" t="n">
        <v>28</v>
      </c>
      <c r="G194" s="1" t="n">
        <v>30</v>
      </c>
      <c r="H194" s="1" t="s">
        <v>80</v>
      </c>
      <c r="I194" s="1" t="n">
        <v>-4</v>
      </c>
      <c r="J194" s="1" t="n">
        <v>44</v>
      </c>
      <c r="K194" s="1" t="s">
        <v>155</v>
      </c>
      <c r="L194" s="1" t="b">
        <f aca="false">FALSE()</f>
        <v>0</v>
      </c>
      <c r="M194" s="1" t="str">
        <f aca="false">VLOOKUP(D194,'Team Reference'!$A:$B,2,FALSE())</f>
        <v>TEN</v>
      </c>
      <c r="N194" s="1" t="str">
        <f aca="false">VLOOKUP(E194,'Team Reference'!$A:$B,2,FALSE())</f>
        <v>IND</v>
      </c>
      <c r="O194" s="1" t="str">
        <f aca="false">IF(F194&gt;G194,M194,IF(G194&gt;F194,N194,"Tie"))</f>
        <v>IND</v>
      </c>
      <c r="P194" s="1" t="n">
        <f aca="false">F194-G194</f>
        <v>-2</v>
      </c>
      <c r="Q194" s="1" t="n">
        <f aca="false">F194+G194</f>
        <v>58</v>
      </c>
      <c r="R194" s="1" t="str">
        <f aca="false">IF(H194=M194,"Home",IF(H194=N194,"Away",IF(H194="PICK","Pick","N/A")))</f>
        <v>Away</v>
      </c>
      <c r="S194" s="1" t="n">
        <f aca="false">IF(R194="Home",P194,IF(R194="Away",-P194,""))</f>
        <v>2</v>
      </c>
      <c r="T194" s="1" t="str">
        <f aca="false">IF(R194="Pick","No Line",IF(S194="","N/A",IF(S194+I194&gt;0,"Favorite Covered",IF(S194+I194&lt;0,"Underdog Covered","Push"))))</f>
        <v>Underdog Covered</v>
      </c>
      <c r="U194" s="1" t="str">
        <f aca="false">IF(Q194&gt;J194,"Over",IF(Q194&lt;J194,"Under","Push"))</f>
        <v>Over</v>
      </c>
    </row>
    <row r="195" customFormat="false" ht="15" hidden="false" customHeight="false" outlineLevel="0" collapsed="false">
      <c r="A195" s="1" t="s">
        <v>220</v>
      </c>
      <c r="B195" s="1" t="n">
        <v>2010</v>
      </c>
      <c r="C195" s="1" t="s">
        <v>219</v>
      </c>
      <c r="D195" s="1" t="s">
        <v>53</v>
      </c>
      <c r="E195" s="1" t="s">
        <v>71</v>
      </c>
      <c r="F195" s="1" t="n">
        <v>43</v>
      </c>
      <c r="G195" s="1" t="n">
        <v>13</v>
      </c>
      <c r="H195" s="1" t="s">
        <v>72</v>
      </c>
      <c r="I195" s="1" t="n">
        <v>-4</v>
      </c>
      <c r="J195" s="1" t="n">
        <v>44</v>
      </c>
      <c r="K195" s="1" t="s">
        <v>177</v>
      </c>
      <c r="L195" s="1" t="b">
        <f aca="false">FALSE()</f>
        <v>0</v>
      </c>
      <c r="M195" s="1" t="str">
        <f aca="false">VLOOKUP(D195,'Team Reference'!$A:$B,2,FALSE())</f>
        <v>ARI</v>
      </c>
      <c r="N195" s="1" t="str">
        <f aca="false">VLOOKUP(E195,'Team Reference'!$A:$B,2,FALSE())</f>
        <v>DEN</v>
      </c>
      <c r="O195" s="1" t="str">
        <f aca="false">IF(F195&gt;G195,M195,IF(G195&gt;F195,N195,"Tie"))</f>
        <v>ARI</v>
      </c>
      <c r="P195" s="1" t="n">
        <f aca="false">F195-G195</f>
        <v>30</v>
      </c>
      <c r="Q195" s="1" t="n">
        <f aca="false">F195+G195</f>
        <v>56</v>
      </c>
      <c r="R195" s="1" t="str">
        <f aca="false">IF(H195=M195,"Home",IF(H195=N195,"Away",IF(H195="PICK","Pick","N/A")))</f>
        <v>Away</v>
      </c>
      <c r="S195" s="1" t="n">
        <f aca="false">IF(R195="Home",P195,IF(R195="Away",-P195,""))</f>
        <v>-30</v>
      </c>
      <c r="T195" s="1" t="str">
        <f aca="false">IF(R195="Pick","No Line",IF(S195="","N/A",IF(S195+I195&gt;0,"Favorite Covered",IF(S195+I195&lt;0,"Underdog Covered","Push"))))</f>
        <v>Underdog Covered</v>
      </c>
      <c r="U195" s="1" t="str">
        <f aca="false">IF(Q195&gt;J195,"Over",IF(Q195&lt;J195,"Under","Push"))</f>
        <v>Over</v>
      </c>
    </row>
    <row r="196" customFormat="false" ht="15" hidden="false" customHeight="false" outlineLevel="0" collapsed="false">
      <c r="A196" s="1" t="s">
        <v>220</v>
      </c>
      <c r="B196" s="1" t="n">
        <v>2010</v>
      </c>
      <c r="C196" s="1" t="s">
        <v>219</v>
      </c>
      <c r="D196" s="1" t="s">
        <v>59</v>
      </c>
      <c r="E196" s="1" t="s">
        <v>67</v>
      </c>
      <c r="F196" s="1" t="n">
        <v>13</v>
      </c>
      <c r="G196" s="1" t="n">
        <v>6</v>
      </c>
      <c r="H196" s="1" t="s">
        <v>200</v>
      </c>
      <c r="I196" s="1" t="n">
        <v>0</v>
      </c>
      <c r="J196" s="1" t="n">
        <v>39</v>
      </c>
      <c r="K196" s="1" t="s">
        <v>144</v>
      </c>
      <c r="L196" s="1" t="b">
        <f aca="false">FALSE()</f>
        <v>0</v>
      </c>
      <c r="M196" s="1" t="str">
        <f aca="false">VLOOKUP(D196,'Team Reference'!$A:$B,2,FALSE())</f>
        <v>BUF</v>
      </c>
      <c r="N196" s="1" t="str">
        <f aca="false">VLOOKUP(E196,'Team Reference'!$A:$B,2,FALSE())</f>
        <v>CLE</v>
      </c>
      <c r="O196" s="1" t="str">
        <f aca="false">IF(F196&gt;G196,M196,IF(G196&gt;F196,N196,"Tie"))</f>
        <v>BUF</v>
      </c>
      <c r="P196" s="1" t="n">
        <f aca="false">F196-G196</f>
        <v>7</v>
      </c>
      <c r="Q196" s="1" t="n">
        <f aca="false">F196+G196</f>
        <v>19</v>
      </c>
      <c r="R196" s="1" t="str">
        <f aca="false">IF(H196=M196,"Home",IF(H196=N196,"Away",IF(H196="PICK","Pick","N/A")))</f>
        <v>Pick</v>
      </c>
      <c r="S196" s="1" t="str">
        <f aca="false">IF(R196="Home",P196,IF(R196="Away",-P196,""))</f>
        <v/>
      </c>
      <c r="T196" s="1" t="str">
        <f aca="false">IF(R196="Pick","No Line",IF(S196="","N/A",IF(S196+I196&gt;0,"Favorite Covered",IF(S196+I196&lt;0,"Underdog Covered","Push"))))</f>
        <v>No Line</v>
      </c>
      <c r="U196" s="1" t="str">
        <f aca="false">IF(Q196&gt;J196,"Over",IF(Q196&lt;J196,"Under","Push"))</f>
        <v>Under</v>
      </c>
    </row>
    <row r="197" customFormat="false" ht="15" hidden="false" customHeight="false" outlineLevel="0" collapsed="false">
      <c r="A197" s="1" t="s">
        <v>220</v>
      </c>
      <c r="B197" s="1" t="n">
        <v>2010</v>
      </c>
      <c r="C197" s="1" t="s">
        <v>219</v>
      </c>
      <c r="D197" s="1" t="s">
        <v>61</v>
      </c>
      <c r="E197" s="1" t="s">
        <v>55</v>
      </c>
      <c r="F197" s="1" t="n">
        <v>10</v>
      </c>
      <c r="G197" s="1" t="n">
        <v>31</v>
      </c>
      <c r="H197" s="1" t="s">
        <v>56</v>
      </c>
      <c r="I197" s="1" t="n">
        <v>-7.5</v>
      </c>
      <c r="J197" s="1" t="n">
        <v>41</v>
      </c>
      <c r="K197" s="1" t="s">
        <v>162</v>
      </c>
      <c r="L197" s="1" t="b">
        <f aca="false">FALSE()</f>
        <v>0</v>
      </c>
      <c r="M197" s="1" t="str">
        <f aca="false">VLOOKUP(D197,'Team Reference'!$A:$B,2,FALSE())</f>
        <v>CAR</v>
      </c>
      <c r="N197" s="1" t="str">
        <f aca="false">VLOOKUP(E197,'Team Reference'!$A:$B,2,FALSE())</f>
        <v>ATL</v>
      </c>
      <c r="O197" s="1" t="str">
        <f aca="false">IF(F197&gt;G197,M197,IF(G197&gt;F197,N197,"Tie"))</f>
        <v>ATL</v>
      </c>
      <c r="P197" s="1" t="n">
        <f aca="false">F197-G197</f>
        <v>-21</v>
      </c>
      <c r="Q197" s="1" t="n">
        <f aca="false">F197+G197</f>
        <v>41</v>
      </c>
      <c r="R197" s="1" t="str">
        <f aca="false">IF(H197=M197,"Home",IF(H197=N197,"Away",IF(H197="PICK","Pick","N/A")))</f>
        <v>Away</v>
      </c>
      <c r="S197" s="1" t="n">
        <f aca="false">IF(R197="Home",P197,IF(R197="Away",-P197,""))</f>
        <v>21</v>
      </c>
      <c r="T197" s="1" t="str">
        <f aca="false">IF(R197="Pick","No Line",IF(S197="","N/A",IF(S197+I197&gt;0,"Favorite Covered",IF(S197+I197&lt;0,"Underdog Covered","Push"))))</f>
        <v>Favorite Covered</v>
      </c>
      <c r="U197" s="1" t="str">
        <f aca="false">IF(Q197&gt;J197,"Over",IF(Q197&lt;J197,"Under","Push"))</f>
        <v>Push</v>
      </c>
    </row>
    <row r="198" customFormat="false" ht="15" hidden="false" customHeight="false" outlineLevel="0" collapsed="false">
      <c r="A198" s="1" t="s">
        <v>220</v>
      </c>
      <c r="B198" s="1" t="n">
        <v>2010</v>
      </c>
      <c r="C198" s="1" t="s">
        <v>219</v>
      </c>
      <c r="D198" s="1" t="s">
        <v>63</v>
      </c>
      <c r="E198" s="1" t="s">
        <v>93</v>
      </c>
      <c r="F198" s="1" t="n">
        <v>7</v>
      </c>
      <c r="G198" s="1" t="n">
        <v>36</v>
      </c>
      <c r="H198" s="1" t="s">
        <v>94</v>
      </c>
      <c r="I198" s="1" t="n">
        <v>-3</v>
      </c>
      <c r="J198" s="1" t="n">
        <v>37</v>
      </c>
      <c r="K198" s="1" t="s">
        <v>145</v>
      </c>
      <c r="L198" s="1" t="b">
        <f aca="false">FALSE()</f>
        <v>0</v>
      </c>
      <c r="M198" s="1" t="str">
        <f aca="false">VLOOKUP(D198,'Team Reference'!$A:$B,2,FALSE())</f>
        <v>CHI</v>
      </c>
      <c r="N198" s="1" t="str">
        <f aca="false">VLOOKUP(E198,'Team Reference'!$A:$B,2,FALSE())</f>
        <v>NE</v>
      </c>
      <c r="O198" s="1" t="str">
        <f aca="false">IF(F198&gt;G198,M198,IF(G198&gt;F198,N198,"Tie"))</f>
        <v>NE</v>
      </c>
      <c r="P198" s="1" t="n">
        <f aca="false">F198-G198</f>
        <v>-29</v>
      </c>
      <c r="Q198" s="1" t="n">
        <f aca="false">F198+G198</f>
        <v>43</v>
      </c>
      <c r="R198" s="1" t="str">
        <f aca="false">IF(H198=M198,"Home",IF(H198=N198,"Away",IF(H198="PICK","Pick","N/A")))</f>
        <v>Away</v>
      </c>
      <c r="S198" s="1" t="n">
        <f aca="false">IF(R198="Home",P198,IF(R198="Away",-P198,""))</f>
        <v>29</v>
      </c>
      <c r="T198" s="1" t="str">
        <f aca="false">IF(R198="Pick","No Line",IF(S198="","N/A",IF(S198+I198&gt;0,"Favorite Covered",IF(S198+I198&lt;0,"Underdog Covered","Push"))))</f>
        <v>Favorite Covered</v>
      </c>
      <c r="U198" s="1" t="str">
        <f aca="false">IF(Q198&gt;J198,"Over",IF(Q198&lt;J198,"Under","Push"))</f>
        <v>Over</v>
      </c>
    </row>
    <row r="199" customFormat="false" ht="15" hidden="false" customHeight="false" outlineLevel="0" collapsed="false">
      <c r="A199" s="1" t="s">
        <v>220</v>
      </c>
      <c r="B199" s="1" t="n">
        <v>2010</v>
      </c>
      <c r="C199" s="1" t="s">
        <v>219</v>
      </c>
      <c r="D199" s="1" t="s">
        <v>69</v>
      </c>
      <c r="E199" s="1" t="s">
        <v>103</v>
      </c>
      <c r="F199" s="1" t="n">
        <v>27</v>
      </c>
      <c r="G199" s="1" t="n">
        <v>30</v>
      </c>
      <c r="H199" s="1" t="s">
        <v>104</v>
      </c>
      <c r="I199" s="1" t="n">
        <v>-4</v>
      </c>
      <c r="J199" s="1" t="n">
        <v>51</v>
      </c>
      <c r="K199" s="1" t="s">
        <v>165</v>
      </c>
      <c r="L199" s="1" t="b">
        <f aca="false">FALSE()</f>
        <v>0</v>
      </c>
      <c r="M199" s="1" t="str">
        <f aca="false">VLOOKUP(D199,'Team Reference'!$A:$B,2,FALSE())</f>
        <v>DAL</v>
      </c>
      <c r="N199" s="1" t="str">
        <f aca="false">VLOOKUP(E199,'Team Reference'!$A:$B,2,FALSE())</f>
        <v>PHI</v>
      </c>
      <c r="O199" s="1" t="str">
        <f aca="false">IF(F199&gt;G199,M199,IF(G199&gt;F199,N199,"Tie"))</f>
        <v>PHI</v>
      </c>
      <c r="P199" s="1" t="n">
        <f aca="false">F199-G199</f>
        <v>-3</v>
      </c>
      <c r="Q199" s="1" t="n">
        <f aca="false">F199+G199</f>
        <v>57</v>
      </c>
      <c r="R199" s="1" t="str">
        <f aca="false">IF(H199=M199,"Home",IF(H199=N199,"Away",IF(H199="PICK","Pick","N/A")))</f>
        <v>Away</v>
      </c>
      <c r="S199" s="1" t="n">
        <f aca="false">IF(R199="Home",P199,IF(R199="Away",-P199,""))</f>
        <v>3</v>
      </c>
      <c r="T199" s="1" t="str">
        <f aca="false">IF(R199="Pick","No Line",IF(S199="","N/A",IF(S199+I199&gt;0,"Favorite Covered",IF(S199+I199&lt;0,"Underdog Covered","Push"))))</f>
        <v>Underdog Covered</v>
      </c>
      <c r="U199" s="1" t="str">
        <f aca="false">IF(Q199&gt;J199,"Over",IF(Q199&lt;J199,"Under","Push"))</f>
        <v>Over</v>
      </c>
    </row>
    <row r="200" customFormat="false" ht="15" hidden="false" customHeight="false" outlineLevel="0" collapsed="false">
      <c r="A200" s="1" t="s">
        <v>220</v>
      </c>
      <c r="B200" s="1" t="n">
        <v>2010</v>
      </c>
      <c r="C200" s="1" t="s">
        <v>219</v>
      </c>
      <c r="D200" s="1" t="s">
        <v>73</v>
      </c>
      <c r="E200" s="1" t="s">
        <v>75</v>
      </c>
      <c r="F200" s="1" t="n">
        <v>7</v>
      </c>
      <c r="G200" s="1" t="n">
        <v>3</v>
      </c>
      <c r="H200" s="1" t="s">
        <v>76</v>
      </c>
      <c r="I200" s="1" t="n">
        <v>-7</v>
      </c>
      <c r="J200" s="1" t="n">
        <v>46</v>
      </c>
      <c r="K200" s="1" t="s">
        <v>167</v>
      </c>
      <c r="L200" s="1" t="b">
        <f aca="false">FALSE()</f>
        <v>0</v>
      </c>
      <c r="M200" s="1" t="str">
        <f aca="false">VLOOKUP(D200,'Team Reference'!$A:$B,2,FALSE())</f>
        <v>DET</v>
      </c>
      <c r="N200" s="1" t="str">
        <f aca="false">VLOOKUP(E200,'Team Reference'!$A:$B,2,FALSE())</f>
        <v>GB</v>
      </c>
      <c r="O200" s="1" t="str">
        <f aca="false">IF(F200&gt;G200,M200,IF(G200&gt;F200,N200,"Tie"))</f>
        <v>DET</v>
      </c>
      <c r="P200" s="1" t="n">
        <f aca="false">F200-G200</f>
        <v>4</v>
      </c>
      <c r="Q200" s="1" t="n">
        <f aca="false">F200+G200</f>
        <v>10</v>
      </c>
      <c r="R200" s="1" t="str">
        <f aca="false">IF(H200=M200,"Home",IF(H200=N200,"Away",IF(H200="PICK","Pick","N/A")))</f>
        <v>Away</v>
      </c>
      <c r="S200" s="1" t="n">
        <f aca="false">IF(R200="Home",P200,IF(R200="Away",-P200,""))</f>
        <v>-4</v>
      </c>
      <c r="T200" s="1" t="str">
        <f aca="false">IF(R200="Pick","No Line",IF(S200="","N/A",IF(S200+I200&gt;0,"Favorite Covered",IF(S200+I200&lt;0,"Underdog Covered","Push"))))</f>
        <v>Underdog Covered</v>
      </c>
      <c r="U200" s="1" t="str">
        <f aca="false">IF(Q200&gt;J200,"Over",IF(Q200&lt;J200,"Under","Push"))</f>
        <v>Under</v>
      </c>
    </row>
    <row r="201" customFormat="false" ht="15" hidden="false" customHeight="false" outlineLevel="0" collapsed="false">
      <c r="A201" s="1" t="s">
        <v>220</v>
      </c>
      <c r="B201" s="1" t="n">
        <v>2010</v>
      </c>
      <c r="C201" s="1" t="s">
        <v>219</v>
      </c>
      <c r="D201" s="1" t="s">
        <v>81</v>
      </c>
      <c r="E201" s="1" t="s">
        <v>101</v>
      </c>
      <c r="F201" s="1" t="n">
        <v>38</v>
      </c>
      <c r="G201" s="1" t="n">
        <v>31</v>
      </c>
      <c r="H201" s="1" t="s">
        <v>82</v>
      </c>
      <c r="I201" s="1" t="n">
        <v>-3.5</v>
      </c>
      <c r="J201" s="1" t="n">
        <v>41.5</v>
      </c>
      <c r="K201" s="1" t="s">
        <v>147</v>
      </c>
      <c r="L201" s="1" t="b">
        <f aca="false">FALSE()</f>
        <v>0</v>
      </c>
      <c r="M201" s="1" t="str">
        <f aca="false">VLOOKUP(D201,'Team Reference'!$A:$B,2,FALSE())</f>
        <v>JAX</v>
      </c>
      <c r="N201" s="1" t="str">
        <f aca="false">VLOOKUP(E201,'Team Reference'!$A:$B,2,FALSE())</f>
        <v>OAK</v>
      </c>
      <c r="O201" s="1" t="str">
        <f aca="false">IF(F201&gt;G201,M201,IF(G201&gt;F201,N201,"Tie"))</f>
        <v>JAX</v>
      </c>
      <c r="P201" s="1" t="n">
        <f aca="false">F201-G201</f>
        <v>7</v>
      </c>
      <c r="Q201" s="1" t="n">
        <f aca="false">F201+G201</f>
        <v>69</v>
      </c>
      <c r="R201" s="1" t="str">
        <f aca="false">IF(H201=M201,"Home",IF(H201=N201,"Away",IF(H201="PICK","Pick","N/A")))</f>
        <v>Home</v>
      </c>
      <c r="S201" s="1" t="n">
        <f aca="false">IF(R201="Home",P201,IF(R201="Away",-P201,""))</f>
        <v>7</v>
      </c>
      <c r="T201" s="1" t="str">
        <f aca="false">IF(R201="Pick","No Line",IF(S201="","N/A",IF(S201+I201&gt;0,"Favorite Covered",IF(S201+I201&lt;0,"Underdog Covered","Push"))))</f>
        <v>Favorite Covered</v>
      </c>
      <c r="U201" s="1" t="str">
        <f aca="false">IF(Q201&gt;J201,"Over",IF(Q201&lt;J201,"Under","Push"))</f>
        <v>Over</v>
      </c>
    </row>
    <row r="202" customFormat="false" ht="15" hidden="false" customHeight="false" outlineLevel="0" collapsed="false">
      <c r="A202" s="1" t="s">
        <v>220</v>
      </c>
      <c r="B202" s="1" t="n">
        <v>2010</v>
      </c>
      <c r="C202" s="1" t="s">
        <v>219</v>
      </c>
      <c r="D202" s="1" t="s">
        <v>95</v>
      </c>
      <c r="E202" s="1" t="s">
        <v>112</v>
      </c>
      <c r="F202" s="1" t="n">
        <v>31</v>
      </c>
      <c r="G202" s="1" t="n">
        <v>13</v>
      </c>
      <c r="H202" s="1" t="s">
        <v>96</v>
      </c>
      <c r="I202" s="1" t="n">
        <v>-9</v>
      </c>
      <c r="J202" s="1" t="n">
        <v>47</v>
      </c>
      <c r="K202" s="1" t="s">
        <v>142</v>
      </c>
      <c r="L202" s="1" t="b">
        <f aca="false">FALSE()</f>
        <v>0</v>
      </c>
      <c r="M202" s="1" t="str">
        <f aca="false">VLOOKUP(D202,'Team Reference'!$A:$B,2,FALSE())</f>
        <v>NO</v>
      </c>
      <c r="N202" s="1" t="str">
        <f aca="false">VLOOKUP(E202,'Team Reference'!$A:$B,2,FALSE())</f>
        <v>LAR</v>
      </c>
      <c r="O202" s="1" t="str">
        <f aca="false">IF(F202&gt;G202,M202,IF(G202&gt;F202,N202,"Tie"))</f>
        <v>NO</v>
      </c>
      <c r="P202" s="1" t="n">
        <f aca="false">F202-G202</f>
        <v>18</v>
      </c>
      <c r="Q202" s="1" t="n">
        <f aca="false">F202+G202</f>
        <v>44</v>
      </c>
      <c r="R202" s="1" t="str">
        <f aca="false">IF(H202=M202,"Home",IF(H202=N202,"Away",IF(H202="PICK","Pick","N/A")))</f>
        <v>Home</v>
      </c>
      <c r="S202" s="1" t="n">
        <f aca="false">IF(R202="Home",P202,IF(R202="Away",-P202,""))</f>
        <v>18</v>
      </c>
      <c r="T202" s="1" t="str">
        <f aca="false">IF(R202="Pick","No Line",IF(S202="","N/A",IF(S202+I202&gt;0,"Favorite Covered",IF(S202+I202&lt;0,"Underdog Covered","Push"))))</f>
        <v>Favorite Covered</v>
      </c>
      <c r="U202" s="1" t="str">
        <f aca="false">IF(Q202&gt;J202,"Over",IF(Q202&lt;J202,"Under","Push"))</f>
        <v>Under</v>
      </c>
    </row>
    <row r="203" customFormat="false" ht="15" hidden="false" customHeight="false" outlineLevel="0" collapsed="false">
      <c r="A203" s="1" t="s">
        <v>220</v>
      </c>
      <c r="B203" s="1" t="n">
        <v>2010</v>
      </c>
      <c r="C203" s="1" t="s">
        <v>219</v>
      </c>
      <c r="D203" s="1" t="s">
        <v>99</v>
      </c>
      <c r="E203" s="1" t="s">
        <v>89</v>
      </c>
      <c r="F203" s="1" t="n">
        <v>6</v>
      </c>
      <c r="G203" s="1" t="n">
        <v>10</v>
      </c>
      <c r="H203" s="1" t="s">
        <v>100</v>
      </c>
      <c r="I203" s="1" t="n">
        <v>-5.5</v>
      </c>
      <c r="J203" s="1" t="n">
        <v>38</v>
      </c>
      <c r="K203" s="1" t="s">
        <v>149</v>
      </c>
      <c r="L203" s="1" t="b">
        <f aca="false">FALSE()</f>
        <v>0</v>
      </c>
      <c r="M203" s="1" t="str">
        <f aca="false">VLOOKUP(D203,'Team Reference'!$A:$B,2,FALSE())</f>
        <v>NYJ</v>
      </c>
      <c r="N203" s="1" t="str">
        <f aca="false">VLOOKUP(E203,'Team Reference'!$A:$B,2,FALSE())</f>
        <v>MIA</v>
      </c>
      <c r="O203" s="1" t="str">
        <f aca="false">IF(F203&gt;G203,M203,IF(G203&gt;F203,N203,"Tie"))</f>
        <v>MIA</v>
      </c>
      <c r="P203" s="1" t="n">
        <f aca="false">F203-G203</f>
        <v>-4</v>
      </c>
      <c r="Q203" s="1" t="n">
        <f aca="false">F203+G203</f>
        <v>16</v>
      </c>
      <c r="R203" s="1" t="str">
        <f aca="false">IF(H203=M203,"Home",IF(H203=N203,"Away",IF(H203="PICK","Pick","N/A")))</f>
        <v>Home</v>
      </c>
      <c r="S203" s="1" t="n">
        <f aca="false">IF(R203="Home",P203,IF(R203="Away",-P203,""))</f>
        <v>-4</v>
      </c>
      <c r="T203" s="1" t="str">
        <f aca="false">IF(R203="Pick","No Line",IF(S203="","N/A",IF(S203+I203&gt;0,"Favorite Covered",IF(S203+I203&lt;0,"Underdog Covered","Push"))))</f>
        <v>Underdog Covered</v>
      </c>
      <c r="U203" s="1" t="str">
        <f aca="false">IF(Q203&gt;J203,"Over",IF(Q203&lt;J203,"Under","Push"))</f>
        <v>Under</v>
      </c>
    </row>
    <row r="204" customFormat="false" ht="15" hidden="false" customHeight="false" outlineLevel="0" collapsed="false">
      <c r="A204" s="1" t="s">
        <v>220</v>
      </c>
      <c r="B204" s="1" t="n">
        <v>2010</v>
      </c>
      <c r="C204" s="1" t="s">
        <v>219</v>
      </c>
      <c r="D204" s="1" t="s">
        <v>105</v>
      </c>
      <c r="E204" s="1" t="s">
        <v>65</v>
      </c>
      <c r="F204" s="1" t="n">
        <v>23</v>
      </c>
      <c r="G204" s="1" t="n">
        <v>7</v>
      </c>
      <c r="H204" s="1" t="s">
        <v>106</v>
      </c>
      <c r="I204" s="1" t="n">
        <v>-8</v>
      </c>
      <c r="J204" s="1" t="n">
        <v>39.5</v>
      </c>
      <c r="K204" s="1" t="s">
        <v>151</v>
      </c>
      <c r="L204" s="1" t="b">
        <f aca="false">FALSE()</f>
        <v>0</v>
      </c>
      <c r="M204" s="1" t="str">
        <f aca="false">VLOOKUP(D204,'Team Reference'!$A:$B,2,FALSE())</f>
        <v>PIT</v>
      </c>
      <c r="N204" s="1" t="str">
        <f aca="false">VLOOKUP(E204,'Team Reference'!$A:$B,2,FALSE())</f>
        <v>CIN</v>
      </c>
      <c r="O204" s="1" t="str">
        <f aca="false">IF(F204&gt;G204,M204,IF(G204&gt;F204,N204,"Tie"))</f>
        <v>PIT</v>
      </c>
      <c r="P204" s="1" t="n">
        <f aca="false">F204-G204</f>
        <v>16</v>
      </c>
      <c r="Q204" s="1" t="n">
        <f aca="false">F204+G204</f>
        <v>30</v>
      </c>
      <c r="R204" s="1" t="str">
        <f aca="false">IF(H204=M204,"Home",IF(H204=N204,"Away",IF(H204="PICK","Pick","N/A")))</f>
        <v>Home</v>
      </c>
      <c r="S204" s="1" t="n">
        <f aca="false">IF(R204="Home",P204,IF(R204="Away",-P204,""))</f>
        <v>16</v>
      </c>
      <c r="T204" s="1" t="str">
        <f aca="false">IF(R204="Pick","No Line",IF(S204="","N/A",IF(S204+I204&gt;0,"Favorite Covered",IF(S204+I204&lt;0,"Underdog Covered","Push"))))</f>
        <v>Favorite Covered</v>
      </c>
      <c r="U204" s="1" t="str">
        <f aca="false">IF(Q204&gt;J204,"Over",IF(Q204&lt;J204,"Under","Push"))</f>
        <v>Under</v>
      </c>
    </row>
    <row r="205" customFormat="false" ht="15" hidden="false" customHeight="false" outlineLevel="0" collapsed="false">
      <c r="A205" s="1" t="s">
        <v>220</v>
      </c>
      <c r="B205" s="1" t="n">
        <v>2010</v>
      </c>
      <c r="C205" s="1" t="s">
        <v>219</v>
      </c>
      <c r="D205" s="1" t="s">
        <v>107</v>
      </c>
      <c r="E205" s="1" t="s">
        <v>83</v>
      </c>
      <c r="F205" s="1" t="n">
        <v>31</v>
      </c>
      <c r="G205" s="1" t="n">
        <v>0</v>
      </c>
      <c r="H205" s="1" t="s">
        <v>86</v>
      </c>
      <c r="I205" s="1" t="n">
        <v>-10</v>
      </c>
      <c r="J205" s="1" t="n">
        <v>45.5</v>
      </c>
      <c r="K205" s="1" t="s">
        <v>172</v>
      </c>
      <c r="L205" s="1" t="b">
        <f aca="false">FALSE()</f>
        <v>0</v>
      </c>
      <c r="M205" s="1" t="str">
        <f aca="false">VLOOKUP(D205,'Team Reference'!$A:$B,2,FALSE())</f>
        <v>LAC</v>
      </c>
      <c r="N205" s="1" t="str">
        <f aca="false">VLOOKUP(E205,'Team Reference'!$A:$B,2,FALSE())</f>
        <v>KC</v>
      </c>
      <c r="O205" s="1" t="str">
        <f aca="false">IF(F205&gt;G205,M205,IF(G205&gt;F205,N205,"Tie"))</f>
        <v>LAC</v>
      </c>
      <c r="P205" s="1" t="n">
        <f aca="false">F205-G205</f>
        <v>31</v>
      </c>
      <c r="Q205" s="1" t="n">
        <f aca="false">F205+G205</f>
        <v>31</v>
      </c>
      <c r="R205" s="1" t="str">
        <f aca="false">IF(H205=M205,"Home",IF(H205=N205,"Away",IF(H205="PICK","Pick","N/A")))</f>
        <v>Home</v>
      </c>
      <c r="S205" s="1" t="n">
        <f aca="false">IF(R205="Home",P205,IF(R205="Away",-P205,""))</f>
        <v>31</v>
      </c>
      <c r="T205" s="1" t="str">
        <f aca="false">IF(R205="Pick","No Line",IF(S205="","N/A",IF(S205+I205&gt;0,"Favorite Covered",IF(S205+I205&lt;0,"Underdog Covered","Push"))))</f>
        <v>Favorite Covered</v>
      </c>
      <c r="U205" s="1" t="str">
        <f aca="false">IF(Q205&gt;J205,"Over",IF(Q205&lt;J205,"Under","Push"))</f>
        <v>Under</v>
      </c>
    </row>
    <row r="206" customFormat="false" ht="15" hidden="false" customHeight="false" outlineLevel="0" collapsed="false">
      <c r="A206" s="1" t="s">
        <v>220</v>
      </c>
      <c r="B206" s="1" t="n">
        <v>2010</v>
      </c>
      <c r="C206" s="1" t="s">
        <v>219</v>
      </c>
      <c r="D206" s="1" t="s">
        <v>108</v>
      </c>
      <c r="E206" s="1" t="s">
        <v>110</v>
      </c>
      <c r="F206" s="1" t="n">
        <v>40</v>
      </c>
      <c r="G206" s="1" t="n">
        <v>21</v>
      </c>
      <c r="H206" s="1" t="s">
        <v>109</v>
      </c>
      <c r="I206" s="1" t="n">
        <v>-5</v>
      </c>
      <c r="J206" s="1" t="n">
        <v>43</v>
      </c>
      <c r="K206" s="1" t="s">
        <v>174</v>
      </c>
      <c r="L206" s="1" t="b">
        <f aca="false">FALSE()</f>
        <v>0</v>
      </c>
      <c r="M206" s="1" t="str">
        <f aca="false">VLOOKUP(D206,'Team Reference'!$A:$B,2,FALSE())</f>
        <v>SF</v>
      </c>
      <c r="N206" s="1" t="str">
        <f aca="false">VLOOKUP(E206,'Team Reference'!$A:$B,2,FALSE())</f>
        <v>SEA</v>
      </c>
      <c r="O206" s="1" t="str">
        <f aca="false">IF(F206&gt;G206,M206,IF(G206&gt;F206,N206,"Tie"))</f>
        <v>SF</v>
      </c>
      <c r="P206" s="1" t="n">
        <f aca="false">F206-G206</f>
        <v>19</v>
      </c>
      <c r="Q206" s="1" t="n">
        <f aca="false">F206+G206</f>
        <v>61</v>
      </c>
      <c r="R206" s="1" t="str">
        <f aca="false">IF(H206=M206,"Home",IF(H206=N206,"Away",IF(H206="PICK","Pick","N/A")))</f>
        <v>Home</v>
      </c>
      <c r="S206" s="1" t="n">
        <f aca="false">IF(R206="Home",P206,IF(R206="Away",-P206,""))</f>
        <v>19</v>
      </c>
      <c r="T206" s="1" t="str">
        <f aca="false">IF(R206="Pick","No Line",IF(S206="","N/A",IF(S206+I206&gt;0,"Favorite Covered",IF(S206+I206&lt;0,"Underdog Covered","Push"))))</f>
        <v>Favorite Covered</v>
      </c>
      <c r="U206" s="1" t="str">
        <f aca="false">IF(Q206&gt;J206,"Over",IF(Q206&lt;J206,"Under","Push"))</f>
        <v>Over</v>
      </c>
    </row>
    <row r="207" customFormat="false" ht="15" hidden="false" customHeight="false" outlineLevel="0" collapsed="false">
      <c r="A207" s="1" t="s">
        <v>220</v>
      </c>
      <c r="B207" s="1" t="n">
        <v>2010</v>
      </c>
      <c r="C207" s="1" t="s">
        <v>219</v>
      </c>
      <c r="D207" s="1" t="s">
        <v>117</v>
      </c>
      <c r="E207" s="1" t="s">
        <v>113</v>
      </c>
      <c r="F207" s="1" t="n">
        <v>16</v>
      </c>
      <c r="G207" s="1" t="n">
        <v>17</v>
      </c>
      <c r="H207" s="1" t="s">
        <v>114</v>
      </c>
      <c r="I207" s="1" t="n">
        <v>-1.5</v>
      </c>
      <c r="J207" s="1" t="n">
        <v>41.5</v>
      </c>
      <c r="K207" s="1" t="s">
        <v>156</v>
      </c>
      <c r="L207" s="1" t="b">
        <f aca="false">FALSE()</f>
        <v>0</v>
      </c>
      <c r="M207" s="1" t="str">
        <f aca="false">VLOOKUP(D207,'Team Reference'!$A:$B,2,FALSE())</f>
        <v>WAS</v>
      </c>
      <c r="N207" s="1" t="str">
        <f aca="false">VLOOKUP(E207,'Team Reference'!$A:$B,2,FALSE())</f>
        <v>TB</v>
      </c>
      <c r="O207" s="1" t="str">
        <f aca="false">IF(F207&gt;G207,M207,IF(G207&gt;F207,N207,"Tie"))</f>
        <v>TB</v>
      </c>
      <c r="P207" s="1" t="n">
        <f aca="false">F207-G207</f>
        <v>-1</v>
      </c>
      <c r="Q207" s="1" t="n">
        <f aca="false">F207+G207</f>
        <v>33</v>
      </c>
      <c r="R207" s="1" t="str">
        <f aca="false">IF(H207=M207,"Home",IF(H207=N207,"Away",IF(H207="PICK","Pick","N/A")))</f>
        <v>Away</v>
      </c>
      <c r="S207" s="1" t="n">
        <f aca="false">IF(R207="Home",P207,IF(R207="Away",-P207,""))</f>
        <v>1</v>
      </c>
      <c r="T207" s="1" t="str">
        <f aca="false">IF(R207="Pick","No Line",IF(S207="","N/A",IF(S207+I207&gt;0,"Favorite Covered",IF(S207+I207&lt;0,"Underdog Covered","Push"))))</f>
        <v>Underdog Covered</v>
      </c>
      <c r="U207" s="1" t="str">
        <f aca="false">IF(Q207&gt;J207,"Over",IF(Q207&lt;J207,"Under","Push"))</f>
        <v>Under</v>
      </c>
    </row>
    <row r="208" customFormat="false" ht="15" hidden="false" customHeight="false" outlineLevel="0" collapsed="false">
      <c r="A208" s="1" t="s">
        <v>221</v>
      </c>
      <c r="B208" s="1" t="n">
        <v>2010</v>
      </c>
      <c r="C208" s="1" t="s">
        <v>219</v>
      </c>
      <c r="D208" s="1" t="s">
        <v>77</v>
      </c>
      <c r="E208" s="1" t="s">
        <v>57</v>
      </c>
      <c r="F208" s="1" t="n">
        <v>28</v>
      </c>
      <c r="G208" s="1" t="n">
        <v>34</v>
      </c>
      <c r="H208" s="1" t="s">
        <v>58</v>
      </c>
      <c r="I208" s="1" t="n">
        <v>-3</v>
      </c>
      <c r="J208" s="1" t="n">
        <v>47</v>
      </c>
      <c r="K208" s="1" t="s">
        <v>146</v>
      </c>
      <c r="L208" s="1" t="b">
        <f aca="false">FALSE()</f>
        <v>0</v>
      </c>
      <c r="M208" s="1" t="str">
        <f aca="false">VLOOKUP(D208,'Team Reference'!$A:$B,2,FALSE())</f>
        <v>HOU</v>
      </c>
      <c r="N208" s="1" t="str">
        <f aca="false">VLOOKUP(E208,'Team Reference'!$A:$B,2,FALSE())</f>
        <v>BAL</v>
      </c>
      <c r="O208" s="1" t="str">
        <f aca="false">IF(F208&gt;G208,M208,IF(G208&gt;F208,N208,"Tie"))</f>
        <v>BAL</v>
      </c>
      <c r="P208" s="1" t="n">
        <f aca="false">F208-G208</f>
        <v>-6</v>
      </c>
      <c r="Q208" s="1" t="n">
        <f aca="false">F208+G208</f>
        <v>62</v>
      </c>
      <c r="R208" s="1" t="str">
        <f aca="false">IF(H208=M208,"Home",IF(H208=N208,"Away",IF(H208="PICK","Pick","N/A")))</f>
        <v>Away</v>
      </c>
      <c r="S208" s="1" t="n">
        <f aca="false">IF(R208="Home",P208,IF(R208="Away",-P208,""))</f>
        <v>6</v>
      </c>
      <c r="T208" s="1" t="str">
        <f aca="false">IF(R208="Pick","No Line",IF(S208="","N/A",IF(S208+I208&gt;0,"Favorite Covered",IF(S208+I208&lt;0,"Underdog Covered","Push"))))</f>
        <v>Favorite Covered</v>
      </c>
      <c r="U208" s="1" t="str">
        <f aca="false">IF(Q208&gt;J208,"Over",IF(Q208&lt;J208,"Under","Push"))</f>
        <v>Over</v>
      </c>
    </row>
    <row r="209" customFormat="false" ht="15" hidden="false" customHeight="false" outlineLevel="0" collapsed="false">
      <c r="A209" s="1" t="s">
        <v>221</v>
      </c>
      <c r="B209" s="1" t="n">
        <v>2010</v>
      </c>
      <c r="C209" s="1" t="s">
        <v>219</v>
      </c>
      <c r="D209" s="1" t="s">
        <v>91</v>
      </c>
      <c r="E209" s="1" t="s">
        <v>97</v>
      </c>
      <c r="F209" s="1" t="n">
        <v>3</v>
      </c>
      <c r="G209" s="1" t="n">
        <v>21</v>
      </c>
      <c r="H209" s="1" t="s">
        <v>98</v>
      </c>
      <c r="I209" s="1" t="n">
        <v>-5.5</v>
      </c>
      <c r="J209" s="1" t="n">
        <v>44</v>
      </c>
      <c r="K209" s="1" t="s">
        <v>167</v>
      </c>
      <c r="L209" s="1" t="b">
        <f aca="false">FALSE()</f>
        <v>0</v>
      </c>
      <c r="M209" s="1" t="str">
        <f aca="false">VLOOKUP(D209,'Team Reference'!$A:$B,2,FALSE())</f>
        <v>MIN</v>
      </c>
      <c r="N209" s="1" t="str">
        <f aca="false">VLOOKUP(E209,'Team Reference'!$A:$B,2,FALSE())</f>
        <v>NYG</v>
      </c>
      <c r="O209" s="1" t="str">
        <f aca="false">IF(F209&gt;G209,M209,IF(G209&gt;F209,N209,"Tie"))</f>
        <v>NYG</v>
      </c>
      <c r="P209" s="1" t="n">
        <f aca="false">F209-G209</f>
        <v>-18</v>
      </c>
      <c r="Q209" s="1" t="n">
        <f aca="false">F209+G209</f>
        <v>24</v>
      </c>
      <c r="R209" s="1" t="str">
        <f aca="false">IF(H209=M209,"Home",IF(H209=N209,"Away",IF(H209="PICK","Pick","N/A")))</f>
        <v>Away</v>
      </c>
      <c r="S209" s="1" t="n">
        <f aca="false">IF(R209="Home",P209,IF(R209="Away",-P209,""))</f>
        <v>18</v>
      </c>
      <c r="T209" s="1" t="str">
        <f aca="false">IF(R209="Pick","No Line",IF(S209="","N/A",IF(S209+I209&gt;0,"Favorite Covered",IF(S209+I209&lt;0,"Underdog Covered","Push"))))</f>
        <v>Favorite Covered</v>
      </c>
      <c r="U209" s="1" t="str">
        <f aca="false">IF(Q209&gt;J209,"Over",IF(Q209&lt;J209,"Under","Push"))</f>
        <v>Under</v>
      </c>
    </row>
    <row r="210" customFormat="false" ht="15" hidden="false" customHeight="false" outlineLevel="0" collapsed="false">
      <c r="A210" s="1" t="s">
        <v>222</v>
      </c>
      <c r="B210" s="1" t="n">
        <v>2010</v>
      </c>
      <c r="C210" s="1" t="s">
        <v>223</v>
      </c>
      <c r="D210" s="1" t="s">
        <v>107</v>
      </c>
      <c r="E210" s="1" t="s">
        <v>108</v>
      </c>
      <c r="F210" s="1" t="n">
        <v>34</v>
      </c>
      <c r="G210" s="1" t="n">
        <v>7</v>
      </c>
      <c r="H210" s="1" t="s">
        <v>86</v>
      </c>
      <c r="I210" s="1" t="n">
        <v>-10.5</v>
      </c>
      <c r="J210" s="1" t="n">
        <v>45</v>
      </c>
      <c r="K210" s="1" t="s">
        <v>172</v>
      </c>
      <c r="L210" s="1" t="b">
        <f aca="false">FALSE()</f>
        <v>0</v>
      </c>
      <c r="M210" s="1" t="str">
        <f aca="false">VLOOKUP(D210,'Team Reference'!$A:$B,2,FALSE())</f>
        <v>LAC</v>
      </c>
      <c r="N210" s="1" t="str">
        <f aca="false">VLOOKUP(E210,'Team Reference'!$A:$B,2,FALSE())</f>
        <v>SF</v>
      </c>
      <c r="O210" s="1" t="str">
        <f aca="false">IF(F210&gt;G210,M210,IF(G210&gt;F210,N210,"Tie"))</f>
        <v>LAC</v>
      </c>
      <c r="P210" s="1" t="n">
        <f aca="false">F210-G210</f>
        <v>27</v>
      </c>
      <c r="Q210" s="1" t="n">
        <f aca="false">F210+G210</f>
        <v>41</v>
      </c>
      <c r="R210" s="1" t="str">
        <f aca="false">IF(H210=M210,"Home",IF(H210=N210,"Away",IF(H210="PICK","Pick","N/A")))</f>
        <v>Home</v>
      </c>
      <c r="S210" s="1" t="n">
        <f aca="false">IF(R210="Home",P210,IF(R210="Away",-P210,""))</f>
        <v>27</v>
      </c>
      <c r="T210" s="1" t="str">
        <f aca="false">IF(R210="Pick","No Line",IF(S210="","N/A",IF(S210+I210&gt;0,"Favorite Covered",IF(S210+I210&lt;0,"Underdog Covered","Push"))))</f>
        <v>Favorite Covered</v>
      </c>
      <c r="U210" s="1" t="str">
        <f aca="false">IF(Q210&gt;J210,"Over",IF(Q210&lt;J210,"Under","Push"))</f>
        <v>Under</v>
      </c>
    </row>
    <row r="211" customFormat="false" ht="15" hidden="false" customHeight="false" outlineLevel="0" collapsed="false">
      <c r="A211" s="1" t="s">
        <v>224</v>
      </c>
      <c r="B211" s="1" t="n">
        <v>2010</v>
      </c>
      <c r="C211" s="1" t="s">
        <v>223</v>
      </c>
      <c r="D211" s="1" t="s">
        <v>57</v>
      </c>
      <c r="E211" s="1" t="s">
        <v>95</v>
      </c>
      <c r="F211" s="1" t="n">
        <v>30</v>
      </c>
      <c r="G211" s="1" t="n">
        <v>24</v>
      </c>
      <c r="H211" s="1" t="s">
        <v>58</v>
      </c>
      <c r="I211" s="1" t="n">
        <v>-2.5</v>
      </c>
      <c r="J211" s="1" t="n">
        <v>44.5</v>
      </c>
      <c r="K211" s="1" t="s">
        <v>178</v>
      </c>
      <c r="L211" s="1" t="b">
        <f aca="false">FALSE()</f>
        <v>0</v>
      </c>
      <c r="M211" s="1" t="str">
        <f aca="false">VLOOKUP(D211,'Team Reference'!$A:$B,2,FALSE())</f>
        <v>BAL</v>
      </c>
      <c r="N211" s="1" t="str">
        <f aca="false">VLOOKUP(E211,'Team Reference'!$A:$B,2,FALSE())</f>
        <v>NO</v>
      </c>
      <c r="O211" s="1" t="str">
        <f aca="false">IF(F211&gt;G211,M211,IF(G211&gt;F211,N211,"Tie"))</f>
        <v>BAL</v>
      </c>
      <c r="P211" s="1" t="n">
        <f aca="false">F211-G211</f>
        <v>6</v>
      </c>
      <c r="Q211" s="1" t="n">
        <f aca="false">F211+G211</f>
        <v>54</v>
      </c>
      <c r="R211" s="1" t="str">
        <f aca="false">IF(H211=M211,"Home",IF(H211=N211,"Away",IF(H211="PICK","Pick","N/A")))</f>
        <v>Home</v>
      </c>
      <c r="S211" s="1" t="n">
        <f aca="false">IF(R211="Home",P211,IF(R211="Away",-P211,""))</f>
        <v>6</v>
      </c>
      <c r="T211" s="1" t="str">
        <f aca="false">IF(R211="Pick","No Line",IF(S211="","N/A",IF(S211+I211&gt;0,"Favorite Covered",IF(S211+I211&lt;0,"Underdog Covered","Push"))))</f>
        <v>Favorite Covered</v>
      </c>
      <c r="U211" s="1" t="str">
        <f aca="false">IF(Q211&gt;J211,"Over",IF(Q211&lt;J211,"Under","Push"))</f>
        <v>Over</v>
      </c>
    </row>
    <row r="212" customFormat="false" ht="15" hidden="false" customHeight="false" outlineLevel="0" collapsed="false">
      <c r="A212" s="1" t="s">
        <v>224</v>
      </c>
      <c r="B212" s="1" t="n">
        <v>2010</v>
      </c>
      <c r="C212" s="1" t="s">
        <v>223</v>
      </c>
      <c r="D212" s="1" t="s">
        <v>61</v>
      </c>
      <c r="E212" s="1" t="s">
        <v>53</v>
      </c>
      <c r="F212" s="1" t="n">
        <v>19</v>
      </c>
      <c r="G212" s="1" t="n">
        <v>12</v>
      </c>
      <c r="H212" s="1" t="s">
        <v>62</v>
      </c>
      <c r="I212" s="1" t="n">
        <v>-2.5</v>
      </c>
      <c r="J212" s="1" t="n">
        <v>37.5</v>
      </c>
      <c r="K212" s="1" t="s">
        <v>162</v>
      </c>
      <c r="L212" s="1" t="b">
        <f aca="false">FALSE()</f>
        <v>0</v>
      </c>
      <c r="M212" s="1" t="str">
        <f aca="false">VLOOKUP(D212,'Team Reference'!$A:$B,2,FALSE())</f>
        <v>CAR</v>
      </c>
      <c r="N212" s="1" t="str">
        <f aca="false">VLOOKUP(E212,'Team Reference'!$A:$B,2,FALSE())</f>
        <v>ARI</v>
      </c>
      <c r="O212" s="1" t="str">
        <f aca="false">IF(F212&gt;G212,M212,IF(G212&gt;F212,N212,"Tie"))</f>
        <v>CAR</v>
      </c>
      <c r="P212" s="1" t="n">
        <f aca="false">F212-G212</f>
        <v>7</v>
      </c>
      <c r="Q212" s="1" t="n">
        <f aca="false">F212+G212</f>
        <v>31</v>
      </c>
      <c r="R212" s="1" t="str">
        <f aca="false">IF(H212=M212,"Home",IF(H212=N212,"Away",IF(H212="PICK","Pick","N/A")))</f>
        <v>Home</v>
      </c>
      <c r="S212" s="1" t="n">
        <f aca="false">IF(R212="Home",P212,IF(R212="Away",-P212,""))</f>
        <v>7</v>
      </c>
      <c r="T212" s="1" t="str">
        <f aca="false">IF(R212="Pick","No Line",IF(S212="","N/A",IF(S212+I212&gt;0,"Favorite Covered",IF(S212+I212&lt;0,"Underdog Covered","Push"))))</f>
        <v>Favorite Covered</v>
      </c>
      <c r="U212" s="1" t="str">
        <f aca="false">IF(Q212&gt;J212,"Over",IF(Q212&lt;J212,"Under","Push"))</f>
        <v>Under</v>
      </c>
    </row>
    <row r="213" customFormat="false" ht="15" hidden="false" customHeight="false" outlineLevel="0" collapsed="false">
      <c r="A213" s="1" t="s">
        <v>224</v>
      </c>
      <c r="B213" s="1" t="n">
        <v>2010</v>
      </c>
      <c r="C213" s="1" t="s">
        <v>223</v>
      </c>
      <c r="D213" s="1" t="s">
        <v>65</v>
      </c>
      <c r="E213" s="1" t="s">
        <v>67</v>
      </c>
      <c r="F213" s="1" t="n">
        <v>19</v>
      </c>
      <c r="G213" s="1" t="n">
        <v>17</v>
      </c>
      <c r="H213" s="1" t="s">
        <v>200</v>
      </c>
      <c r="I213" s="1" t="n">
        <v>0</v>
      </c>
      <c r="J213" s="1" t="n">
        <v>41</v>
      </c>
      <c r="K213" s="1" t="s">
        <v>163</v>
      </c>
      <c r="L213" s="1" t="b">
        <f aca="false">FALSE()</f>
        <v>0</v>
      </c>
      <c r="M213" s="1" t="str">
        <f aca="false">VLOOKUP(D213,'Team Reference'!$A:$B,2,FALSE())</f>
        <v>CIN</v>
      </c>
      <c r="N213" s="1" t="str">
        <f aca="false">VLOOKUP(E213,'Team Reference'!$A:$B,2,FALSE())</f>
        <v>CLE</v>
      </c>
      <c r="O213" s="1" t="str">
        <f aca="false">IF(F213&gt;G213,M213,IF(G213&gt;F213,N213,"Tie"))</f>
        <v>CIN</v>
      </c>
      <c r="P213" s="1" t="n">
        <f aca="false">F213-G213</f>
        <v>2</v>
      </c>
      <c r="Q213" s="1" t="n">
        <f aca="false">F213+G213</f>
        <v>36</v>
      </c>
      <c r="R213" s="1" t="str">
        <f aca="false">IF(H213=M213,"Home",IF(H213=N213,"Away",IF(H213="PICK","Pick","N/A")))</f>
        <v>Pick</v>
      </c>
      <c r="S213" s="1" t="str">
        <f aca="false">IF(R213="Home",P213,IF(R213="Away",-P213,""))</f>
        <v/>
      </c>
      <c r="T213" s="1" t="str">
        <f aca="false">IF(R213="Pick","No Line",IF(S213="","N/A",IF(S213+I213&gt;0,"Favorite Covered",IF(S213+I213&lt;0,"Underdog Covered","Push"))))</f>
        <v>No Line</v>
      </c>
      <c r="U213" s="1" t="str">
        <f aca="false">IF(Q213&gt;J213,"Over",IF(Q213&lt;J213,"Under","Push"))</f>
        <v>Under</v>
      </c>
    </row>
    <row r="214" customFormat="false" ht="15" hidden="false" customHeight="false" outlineLevel="0" collapsed="false">
      <c r="A214" s="1" t="s">
        <v>224</v>
      </c>
      <c r="B214" s="1" t="n">
        <v>2010</v>
      </c>
      <c r="C214" s="1" t="s">
        <v>223</v>
      </c>
      <c r="D214" s="1" t="s">
        <v>69</v>
      </c>
      <c r="E214" s="1" t="s">
        <v>117</v>
      </c>
      <c r="F214" s="1" t="n">
        <v>33</v>
      </c>
      <c r="G214" s="1" t="n">
        <v>30</v>
      </c>
      <c r="H214" s="1" t="s">
        <v>70</v>
      </c>
      <c r="I214" s="1" t="n">
        <v>-9.5</v>
      </c>
      <c r="J214" s="1" t="n">
        <v>44.5</v>
      </c>
      <c r="K214" s="1" t="s">
        <v>165</v>
      </c>
      <c r="L214" s="1" t="b">
        <f aca="false">FALSE()</f>
        <v>0</v>
      </c>
      <c r="M214" s="1" t="str">
        <f aca="false">VLOOKUP(D214,'Team Reference'!$A:$B,2,FALSE())</f>
        <v>DAL</v>
      </c>
      <c r="N214" s="1" t="str">
        <f aca="false">VLOOKUP(E214,'Team Reference'!$A:$B,2,FALSE())</f>
        <v>WAS</v>
      </c>
      <c r="O214" s="1" t="str">
        <f aca="false">IF(F214&gt;G214,M214,IF(G214&gt;F214,N214,"Tie"))</f>
        <v>DAL</v>
      </c>
      <c r="P214" s="1" t="n">
        <f aca="false">F214-G214</f>
        <v>3</v>
      </c>
      <c r="Q214" s="1" t="n">
        <f aca="false">F214+G214</f>
        <v>63</v>
      </c>
      <c r="R214" s="1" t="str">
        <f aca="false">IF(H214=M214,"Home",IF(H214=N214,"Away",IF(H214="PICK","Pick","N/A")))</f>
        <v>Home</v>
      </c>
      <c r="S214" s="1" t="n">
        <f aca="false">IF(R214="Home",P214,IF(R214="Away",-P214,""))</f>
        <v>3</v>
      </c>
      <c r="T214" s="1" t="str">
        <f aca="false">IF(R214="Pick","No Line",IF(S214="","N/A",IF(S214+I214&gt;0,"Favorite Covered",IF(S214+I214&lt;0,"Underdog Covered","Push"))))</f>
        <v>Underdog Covered</v>
      </c>
      <c r="U214" s="1" t="str">
        <f aca="false">IF(Q214&gt;J214,"Over",IF(Q214&lt;J214,"Under","Push"))</f>
        <v>Over</v>
      </c>
    </row>
    <row r="215" customFormat="false" ht="15" hidden="false" customHeight="false" outlineLevel="0" collapsed="false">
      <c r="A215" s="1" t="s">
        <v>224</v>
      </c>
      <c r="B215" s="1" t="n">
        <v>2010</v>
      </c>
      <c r="C215" s="1" t="s">
        <v>223</v>
      </c>
      <c r="D215" s="1" t="s">
        <v>79</v>
      </c>
      <c r="E215" s="1" t="s">
        <v>81</v>
      </c>
      <c r="F215" s="1" t="n">
        <v>34</v>
      </c>
      <c r="G215" s="1" t="n">
        <v>24</v>
      </c>
      <c r="H215" s="1" t="s">
        <v>80</v>
      </c>
      <c r="I215" s="1" t="n">
        <v>-4.5</v>
      </c>
      <c r="J215" s="1" t="n">
        <v>48</v>
      </c>
      <c r="K215" s="1" t="s">
        <v>169</v>
      </c>
      <c r="L215" s="1" t="b">
        <f aca="false">FALSE()</f>
        <v>0</v>
      </c>
      <c r="M215" s="1" t="str">
        <f aca="false">VLOOKUP(D215,'Team Reference'!$A:$B,2,FALSE())</f>
        <v>IND</v>
      </c>
      <c r="N215" s="1" t="str">
        <f aca="false">VLOOKUP(E215,'Team Reference'!$A:$B,2,FALSE())</f>
        <v>JAX</v>
      </c>
      <c r="O215" s="1" t="str">
        <f aca="false">IF(F215&gt;G215,M215,IF(G215&gt;F215,N215,"Tie"))</f>
        <v>IND</v>
      </c>
      <c r="P215" s="1" t="n">
        <f aca="false">F215-G215</f>
        <v>10</v>
      </c>
      <c r="Q215" s="1" t="n">
        <f aca="false">F215+G215</f>
        <v>58</v>
      </c>
      <c r="R215" s="1" t="str">
        <f aca="false">IF(H215=M215,"Home",IF(H215=N215,"Away",IF(H215="PICK","Pick","N/A")))</f>
        <v>Home</v>
      </c>
      <c r="S215" s="1" t="n">
        <f aca="false">IF(R215="Home",P215,IF(R215="Away",-P215,""))</f>
        <v>10</v>
      </c>
      <c r="T215" s="1" t="str">
        <f aca="false">IF(R215="Pick","No Line",IF(S215="","N/A",IF(S215+I215&gt;0,"Favorite Covered",IF(S215+I215&lt;0,"Underdog Covered","Push"))))</f>
        <v>Favorite Covered</v>
      </c>
      <c r="U215" s="1" t="str">
        <f aca="false">IF(Q215&gt;J215,"Over",IF(Q215&lt;J215,"Under","Push"))</f>
        <v>Over</v>
      </c>
    </row>
    <row r="216" customFormat="false" ht="15" hidden="false" customHeight="false" outlineLevel="0" collapsed="false">
      <c r="A216" s="1" t="s">
        <v>224</v>
      </c>
      <c r="B216" s="1" t="n">
        <v>2010</v>
      </c>
      <c r="C216" s="1" t="s">
        <v>223</v>
      </c>
      <c r="D216" s="1" t="s">
        <v>89</v>
      </c>
      <c r="E216" s="1" t="s">
        <v>59</v>
      </c>
      <c r="F216" s="1" t="n">
        <v>14</v>
      </c>
      <c r="G216" s="1" t="n">
        <v>17</v>
      </c>
      <c r="H216" s="1" t="s">
        <v>90</v>
      </c>
      <c r="I216" s="1" t="n">
        <v>-5.5</v>
      </c>
      <c r="J216" s="1" t="n">
        <v>40</v>
      </c>
      <c r="K216" s="1" t="s">
        <v>179</v>
      </c>
      <c r="L216" s="1" t="b">
        <f aca="false">FALSE()</f>
        <v>0</v>
      </c>
      <c r="M216" s="1" t="str">
        <f aca="false">VLOOKUP(D216,'Team Reference'!$A:$B,2,FALSE())</f>
        <v>MIA</v>
      </c>
      <c r="N216" s="1" t="str">
        <f aca="false">VLOOKUP(E216,'Team Reference'!$A:$B,2,FALSE())</f>
        <v>BUF</v>
      </c>
      <c r="O216" s="1" t="str">
        <f aca="false">IF(F216&gt;G216,M216,IF(G216&gt;F216,N216,"Tie"))</f>
        <v>BUF</v>
      </c>
      <c r="P216" s="1" t="n">
        <f aca="false">F216-G216</f>
        <v>-3</v>
      </c>
      <c r="Q216" s="1" t="n">
        <f aca="false">F216+G216</f>
        <v>31</v>
      </c>
      <c r="R216" s="1" t="str">
        <f aca="false">IF(H216=M216,"Home",IF(H216=N216,"Away",IF(H216="PICK","Pick","N/A")))</f>
        <v>Home</v>
      </c>
      <c r="S216" s="1" t="n">
        <f aca="false">IF(R216="Home",P216,IF(R216="Away",-P216,""))</f>
        <v>-3</v>
      </c>
      <c r="T216" s="1" t="str">
        <f aca="false">IF(R216="Pick","No Line",IF(S216="","N/A",IF(S216+I216&gt;0,"Favorite Covered",IF(S216+I216&lt;0,"Underdog Covered","Push"))))</f>
        <v>Underdog Covered</v>
      </c>
      <c r="U216" s="1" t="str">
        <f aca="false">IF(Q216&gt;J216,"Over",IF(Q216&lt;J216,"Under","Push"))</f>
        <v>Under</v>
      </c>
    </row>
    <row r="217" customFormat="false" ht="15" hidden="false" customHeight="false" outlineLevel="0" collapsed="false">
      <c r="A217" s="1" t="s">
        <v>224</v>
      </c>
      <c r="B217" s="1" t="n">
        <v>2010</v>
      </c>
      <c r="C217" s="1" t="s">
        <v>223</v>
      </c>
      <c r="D217" s="1" t="s">
        <v>93</v>
      </c>
      <c r="E217" s="1" t="s">
        <v>75</v>
      </c>
      <c r="F217" s="1" t="n">
        <v>31</v>
      </c>
      <c r="G217" s="1" t="n">
        <v>27</v>
      </c>
      <c r="H217" s="1" t="s">
        <v>94</v>
      </c>
      <c r="I217" s="1" t="n">
        <v>-14.5</v>
      </c>
      <c r="J217" s="1" t="n">
        <v>43.5</v>
      </c>
      <c r="K217" s="1" t="s">
        <v>148</v>
      </c>
      <c r="L217" s="1" t="b">
        <f aca="false">FALSE()</f>
        <v>0</v>
      </c>
      <c r="M217" s="1" t="str">
        <f aca="false">VLOOKUP(D217,'Team Reference'!$A:$B,2,FALSE())</f>
        <v>NE</v>
      </c>
      <c r="N217" s="1" t="str">
        <f aca="false">VLOOKUP(E217,'Team Reference'!$A:$B,2,FALSE())</f>
        <v>GB</v>
      </c>
      <c r="O217" s="1" t="str">
        <f aca="false">IF(F217&gt;G217,M217,IF(G217&gt;F217,N217,"Tie"))</f>
        <v>NE</v>
      </c>
      <c r="P217" s="1" t="n">
        <f aca="false">F217-G217</f>
        <v>4</v>
      </c>
      <c r="Q217" s="1" t="n">
        <f aca="false">F217+G217</f>
        <v>58</v>
      </c>
      <c r="R217" s="1" t="str">
        <f aca="false">IF(H217=M217,"Home",IF(H217=N217,"Away",IF(H217="PICK","Pick","N/A")))</f>
        <v>Home</v>
      </c>
      <c r="S217" s="1" t="n">
        <f aca="false">IF(R217="Home",P217,IF(R217="Away",-P217,""))</f>
        <v>4</v>
      </c>
      <c r="T217" s="1" t="str">
        <f aca="false">IF(R217="Pick","No Line",IF(S217="","N/A",IF(S217+I217&gt;0,"Favorite Covered",IF(S217+I217&lt;0,"Underdog Covered","Push"))))</f>
        <v>Underdog Covered</v>
      </c>
      <c r="U217" s="1" t="str">
        <f aca="false">IF(Q217&gt;J217,"Over",IF(Q217&lt;J217,"Under","Push"))</f>
        <v>Over</v>
      </c>
    </row>
    <row r="218" customFormat="false" ht="15" hidden="false" customHeight="false" outlineLevel="0" collapsed="false">
      <c r="A218" s="1" t="s">
        <v>224</v>
      </c>
      <c r="B218" s="1" t="n">
        <v>2010</v>
      </c>
      <c r="C218" s="1" t="s">
        <v>223</v>
      </c>
      <c r="D218" s="1" t="s">
        <v>97</v>
      </c>
      <c r="E218" s="1" t="s">
        <v>103</v>
      </c>
      <c r="F218" s="1" t="n">
        <v>31</v>
      </c>
      <c r="G218" s="1" t="n">
        <v>38</v>
      </c>
      <c r="H218" s="1" t="s">
        <v>98</v>
      </c>
      <c r="I218" s="1" t="n">
        <v>-3</v>
      </c>
      <c r="J218" s="1" t="n">
        <v>47</v>
      </c>
      <c r="K218" s="1" t="s">
        <v>149</v>
      </c>
      <c r="L218" s="1" t="b">
        <f aca="false">FALSE()</f>
        <v>0</v>
      </c>
      <c r="M218" s="1" t="str">
        <f aca="false">VLOOKUP(D218,'Team Reference'!$A:$B,2,FALSE())</f>
        <v>NYG</v>
      </c>
      <c r="N218" s="1" t="str">
        <f aca="false">VLOOKUP(E218,'Team Reference'!$A:$B,2,FALSE())</f>
        <v>PHI</v>
      </c>
      <c r="O218" s="1" t="str">
        <f aca="false">IF(F218&gt;G218,M218,IF(G218&gt;F218,N218,"Tie"))</f>
        <v>PHI</v>
      </c>
      <c r="P218" s="1" t="n">
        <f aca="false">F218-G218</f>
        <v>-7</v>
      </c>
      <c r="Q218" s="1" t="n">
        <f aca="false">F218+G218</f>
        <v>69</v>
      </c>
      <c r="R218" s="1" t="str">
        <f aca="false">IF(H218=M218,"Home",IF(H218=N218,"Away",IF(H218="PICK","Pick","N/A")))</f>
        <v>Home</v>
      </c>
      <c r="S218" s="1" t="n">
        <f aca="false">IF(R218="Home",P218,IF(R218="Away",-P218,""))</f>
        <v>-7</v>
      </c>
      <c r="T218" s="1" t="str">
        <f aca="false">IF(R218="Pick","No Line",IF(S218="","N/A",IF(S218+I218&gt;0,"Favorite Covered",IF(S218+I218&lt;0,"Underdog Covered","Push"))))</f>
        <v>Underdog Covered</v>
      </c>
      <c r="U218" s="1" t="str">
        <f aca="false">IF(Q218&gt;J218,"Over",IF(Q218&lt;J218,"Under","Push"))</f>
        <v>Over</v>
      </c>
    </row>
    <row r="219" customFormat="false" ht="15" hidden="false" customHeight="false" outlineLevel="0" collapsed="false">
      <c r="A219" s="1" t="s">
        <v>224</v>
      </c>
      <c r="B219" s="1" t="n">
        <v>2010</v>
      </c>
      <c r="C219" s="1" t="s">
        <v>223</v>
      </c>
      <c r="D219" s="1" t="s">
        <v>101</v>
      </c>
      <c r="E219" s="1" t="s">
        <v>71</v>
      </c>
      <c r="F219" s="1" t="n">
        <v>39</v>
      </c>
      <c r="G219" s="1" t="n">
        <v>23</v>
      </c>
      <c r="H219" s="1" t="s">
        <v>102</v>
      </c>
      <c r="I219" s="1" t="n">
        <v>-8</v>
      </c>
      <c r="J219" s="1" t="n">
        <v>42</v>
      </c>
      <c r="K219" s="1" t="s">
        <v>171</v>
      </c>
      <c r="L219" s="1" t="b">
        <f aca="false">FALSE()</f>
        <v>0</v>
      </c>
      <c r="M219" s="1" t="str">
        <f aca="false">VLOOKUP(D219,'Team Reference'!$A:$B,2,FALSE())</f>
        <v>OAK</v>
      </c>
      <c r="N219" s="1" t="str">
        <f aca="false">VLOOKUP(E219,'Team Reference'!$A:$B,2,FALSE())</f>
        <v>DEN</v>
      </c>
      <c r="O219" s="1" t="str">
        <f aca="false">IF(F219&gt;G219,M219,IF(G219&gt;F219,N219,"Tie"))</f>
        <v>OAK</v>
      </c>
      <c r="P219" s="1" t="n">
        <f aca="false">F219-G219</f>
        <v>16</v>
      </c>
      <c r="Q219" s="1" t="n">
        <f aca="false">F219+G219</f>
        <v>62</v>
      </c>
      <c r="R219" s="1" t="str">
        <f aca="false">IF(H219=M219,"Home",IF(H219=N219,"Away",IF(H219="PICK","Pick","N/A")))</f>
        <v>Home</v>
      </c>
      <c r="S219" s="1" t="n">
        <f aca="false">IF(R219="Home",P219,IF(R219="Away",-P219,""))</f>
        <v>16</v>
      </c>
      <c r="T219" s="1" t="str">
        <f aca="false">IF(R219="Pick","No Line",IF(S219="","N/A",IF(S219+I219&gt;0,"Favorite Covered",IF(S219+I219&lt;0,"Underdog Covered","Push"))))</f>
        <v>Favorite Covered</v>
      </c>
      <c r="U219" s="1" t="str">
        <f aca="false">IF(Q219&gt;J219,"Over",IF(Q219&lt;J219,"Under","Push"))</f>
        <v>Over</v>
      </c>
    </row>
    <row r="220" customFormat="false" ht="15" hidden="false" customHeight="false" outlineLevel="0" collapsed="false">
      <c r="A220" s="1" t="s">
        <v>224</v>
      </c>
      <c r="B220" s="1" t="n">
        <v>2010</v>
      </c>
      <c r="C220" s="1" t="s">
        <v>223</v>
      </c>
      <c r="D220" s="1" t="s">
        <v>105</v>
      </c>
      <c r="E220" s="1" t="s">
        <v>99</v>
      </c>
      <c r="F220" s="1" t="n">
        <v>17</v>
      </c>
      <c r="G220" s="1" t="n">
        <v>22</v>
      </c>
      <c r="H220" s="1" t="s">
        <v>106</v>
      </c>
      <c r="I220" s="1" t="n">
        <v>-4</v>
      </c>
      <c r="J220" s="1" t="n">
        <v>35.5</v>
      </c>
      <c r="K220" s="1" t="s">
        <v>151</v>
      </c>
      <c r="L220" s="1" t="b">
        <f aca="false">FALSE()</f>
        <v>0</v>
      </c>
      <c r="M220" s="1" t="str">
        <f aca="false">VLOOKUP(D220,'Team Reference'!$A:$B,2,FALSE())</f>
        <v>PIT</v>
      </c>
      <c r="N220" s="1" t="str">
        <f aca="false">VLOOKUP(E220,'Team Reference'!$A:$B,2,FALSE())</f>
        <v>NYJ</v>
      </c>
      <c r="O220" s="1" t="str">
        <f aca="false">IF(F220&gt;G220,M220,IF(G220&gt;F220,N220,"Tie"))</f>
        <v>NYJ</v>
      </c>
      <c r="P220" s="1" t="n">
        <f aca="false">F220-G220</f>
        <v>-5</v>
      </c>
      <c r="Q220" s="1" t="n">
        <f aca="false">F220+G220</f>
        <v>39</v>
      </c>
      <c r="R220" s="1" t="str">
        <f aca="false">IF(H220=M220,"Home",IF(H220=N220,"Away",IF(H220="PICK","Pick","N/A")))</f>
        <v>Home</v>
      </c>
      <c r="S220" s="1" t="n">
        <f aca="false">IF(R220="Home",P220,IF(R220="Away",-P220,""))</f>
        <v>-5</v>
      </c>
      <c r="T220" s="1" t="str">
        <f aca="false">IF(R220="Pick","No Line",IF(S220="","N/A",IF(S220+I220&gt;0,"Favorite Covered",IF(S220+I220&lt;0,"Underdog Covered","Push"))))</f>
        <v>Underdog Covered</v>
      </c>
      <c r="U220" s="1" t="str">
        <f aca="false">IF(Q220&gt;J220,"Over",IF(Q220&lt;J220,"Under","Push"))</f>
        <v>Over</v>
      </c>
    </row>
    <row r="221" customFormat="false" ht="15" hidden="false" customHeight="false" outlineLevel="0" collapsed="false">
      <c r="A221" s="1" t="s">
        <v>224</v>
      </c>
      <c r="B221" s="1" t="n">
        <v>2010</v>
      </c>
      <c r="C221" s="1" t="s">
        <v>223</v>
      </c>
      <c r="D221" s="1" t="s">
        <v>110</v>
      </c>
      <c r="E221" s="1" t="s">
        <v>55</v>
      </c>
      <c r="F221" s="1" t="n">
        <v>18</v>
      </c>
      <c r="G221" s="1" t="n">
        <v>34</v>
      </c>
      <c r="H221" s="1" t="s">
        <v>56</v>
      </c>
      <c r="I221" s="1" t="n">
        <v>-6</v>
      </c>
      <c r="J221" s="1" t="n">
        <v>46.5</v>
      </c>
      <c r="K221" s="1" t="s">
        <v>152</v>
      </c>
      <c r="L221" s="1" t="b">
        <f aca="false">FALSE()</f>
        <v>0</v>
      </c>
      <c r="M221" s="1" t="str">
        <f aca="false">VLOOKUP(D221,'Team Reference'!$A:$B,2,FALSE())</f>
        <v>SEA</v>
      </c>
      <c r="N221" s="1" t="str">
        <f aca="false">VLOOKUP(E221,'Team Reference'!$A:$B,2,FALSE())</f>
        <v>ATL</v>
      </c>
      <c r="O221" s="1" t="str">
        <f aca="false">IF(F221&gt;G221,M221,IF(G221&gt;F221,N221,"Tie"))</f>
        <v>ATL</v>
      </c>
      <c r="P221" s="1" t="n">
        <f aca="false">F221-G221</f>
        <v>-16</v>
      </c>
      <c r="Q221" s="1" t="n">
        <f aca="false">F221+G221</f>
        <v>52</v>
      </c>
      <c r="R221" s="1" t="str">
        <f aca="false">IF(H221=M221,"Home",IF(H221=N221,"Away",IF(H221="PICK","Pick","N/A")))</f>
        <v>Away</v>
      </c>
      <c r="S221" s="1" t="n">
        <f aca="false">IF(R221="Home",P221,IF(R221="Away",-P221,""))</f>
        <v>16</v>
      </c>
      <c r="T221" s="1" t="str">
        <f aca="false">IF(R221="Pick","No Line",IF(S221="","N/A",IF(S221+I221&gt;0,"Favorite Covered",IF(S221+I221&lt;0,"Underdog Covered","Push"))))</f>
        <v>Favorite Covered</v>
      </c>
      <c r="U221" s="1" t="str">
        <f aca="false">IF(Q221&gt;J221,"Over",IF(Q221&lt;J221,"Under","Push"))</f>
        <v>Over</v>
      </c>
    </row>
    <row r="222" customFormat="false" ht="15" hidden="false" customHeight="false" outlineLevel="0" collapsed="false">
      <c r="A222" s="1" t="s">
        <v>224</v>
      </c>
      <c r="B222" s="1" t="n">
        <v>2010</v>
      </c>
      <c r="C222" s="1" t="s">
        <v>223</v>
      </c>
      <c r="D222" s="1" t="s">
        <v>112</v>
      </c>
      <c r="E222" s="1" t="s">
        <v>83</v>
      </c>
      <c r="F222" s="1" t="n">
        <v>13</v>
      </c>
      <c r="G222" s="1" t="n">
        <v>27</v>
      </c>
      <c r="H222" s="1" t="s">
        <v>88</v>
      </c>
      <c r="I222" s="1" t="n">
        <v>-3</v>
      </c>
      <c r="J222" s="1" t="n">
        <v>42.5</v>
      </c>
      <c r="K222" s="1" t="s">
        <v>153</v>
      </c>
      <c r="L222" s="1" t="b">
        <f aca="false">FALSE()</f>
        <v>0</v>
      </c>
      <c r="M222" s="1" t="str">
        <f aca="false">VLOOKUP(D222,'Team Reference'!$A:$B,2,FALSE())</f>
        <v>LAR</v>
      </c>
      <c r="N222" s="1" t="str">
        <f aca="false">VLOOKUP(E222,'Team Reference'!$A:$B,2,FALSE())</f>
        <v>KC</v>
      </c>
      <c r="O222" s="1" t="str">
        <f aca="false">IF(F222&gt;G222,M222,IF(G222&gt;F222,N222,"Tie"))</f>
        <v>KC</v>
      </c>
      <c r="P222" s="1" t="n">
        <f aca="false">F222-G222</f>
        <v>-14</v>
      </c>
      <c r="Q222" s="1" t="n">
        <f aca="false">F222+G222</f>
        <v>40</v>
      </c>
      <c r="R222" s="1" t="str">
        <f aca="false">IF(H222=M222,"Home",IF(H222=N222,"Away",IF(H222="PICK","Pick","N/A")))</f>
        <v>Home</v>
      </c>
      <c r="S222" s="1" t="n">
        <f aca="false">IF(R222="Home",P222,IF(R222="Away",-P222,""))</f>
        <v>-14</v>
      </c>
      <c r="T222" s="1" t="str">
        <f aca="false">IF(R222="Pick","No Line",IF(S222="","N/A",IF(S222+I222&gt;0,"Favorite Covered",IF(S222+I222&lt;0,"Underdog Covered","Push"))))</f>
        <v>Underdog Covered</v>
      </c>
      <c r="U222" s="1" t="str">
        <f aca="false">IF(Q222&gt;J222,"Over",IF(Q222&lt;J222,"Under","Push"))</f>
        <v>Under</v>
      </c>
    </row>
    <row r="223" customFormat="false" ht="15" hidden="false" customHeight="false" outlineLevel="0" collapsed="false">
      <c r="A223" s="1" t="s">
        <v>224</v>
      </c>
      <c r="B223" s="1" t="n">
        <v>2010</v>
      </c>
      <c r="C223" s="1" t="s">
        <v>223</v>
      </c>
      <c r="D223" s="1" t="s">
        <v>113</v>
      </c>
      <c r="E223" s="1" t="s">
        <v>73</v>
      </c>
      <c r="F223" s="1" t="n">
        <v>20</v>
      </c>
      <c r="G223" s="1" t="n">
        <v>23</v>
      </c>
      <c r="H223" s="1" t="s">
        <v>114</v>
      </c>
      <c r="I223" s="1" t="n">
        <v>-4</v>
      </c>
      <c r="J223" s="1" t="n">
        <v>43</v>
      </c>
      <c r="K223" s="1" t="s">
        <v>154</v>
      </c>
      <c r="L223" s="1" t="b">
        <f aca="false">FALSE()</f>
        <v>0</v>
      </c>
      <c r="M223" s="1" t="str">
        <f aca="false">VLOOKUP(D223,'Team Reference'!$A:$B,2,FALSE())</f>
        <v>TB</v>
      </c>
      <c r="N223" s="1" t="str">
        <f aca="false">VLOOKUP(E223,'Team Reference'!$A:$B,2,FALSE())</f>
        <v>DET</v>
      </c>
      <c r="O223" s="1" t="str">
        <f aca="false">IF(F223&gt;G223,M223,IF(G223&gt;F223,N223,"Tie"))</f>
        <v>DET</v>
      </c>
      <c r="P223" s="1" t="n">
        <f aca="false">F223-G223</f>
        <v>-3</v>
      </c>
      <c r="Q223" s="1" t="n">
        <f aca="false">F223+G223</f>
        <v>43</v>
      </c>
      <c r="R223" s="1" t="str">
        <f aca="false">IF(H223=M223,"Home",IF(H223=N223,"Away",IF(H223="PICK","Pick","N/A")))</f>
        <v>Home</v>
      </c>
      <c r="S223" s="1" t="n">
        <f aca="false">IF(R223="Home",P223,IF(R223="Away",-P223,""))</f>
        <v>-3</v>
      </c>
      <c r="T223" s="1" t="str">
        <f aca="false">IF(R223="Pick","No Line",IF(S223="","N/A",IF(S223+I223&gt;0,"Favorite Covered",IF(S223+I223&lt;0,"Underdog Covered","Push"))))</f>
        <v>Underdog Covered</v>
      </c>
      <c r="U223" s="1" t="str">
        <f aca="false">IF(Q223&gt;J223,"Over",IF(Q223&lt;J223,"Under","Push"))</f>
        <v>Push</v>
      </c>
    </row>
    <row r="224" customFormat="false" ht="15" hidden="false" customHeight="false" outlineLevel="0" collapsed="false">
      <c r="A224" s="1" t="s">
        <v>224</v>
      </c>
      <c r="B224" s="1" t="n">
        <v>2010</v>
      </c>
      <c r="C224" s="1" t="s">
        <v>223</v>
      </c>
      <c r="D224" s="1" t="s">
        <v>115</v>
      </c>
      <c r="E224" s="1" t="s">
        <v>77</v>
      </c>
      <c r="F224" s="1" t="n">
        <v>31</v>
      </c>
      <c r="G224" s="1" t="n">
        <v>17</v>
      </c>
      <c r="H224" s="1" t="s">
        <v>116</v>
      </c>
      <c r="I224" s="1" t="n">
        <v>-1</v>
      </c>
      <c r="J224" s="1" t="n">
        <v>47</v>
      </c>
      <c r="K224" s="1" t="s">
        <v>155</v>
      </c>
      <c r="L224" s="1" t="b">
        <f aca="false">FALSE()</f>
        <v>0</v>
      </c>
      <c r="M224" s="1" t="str">
        <f aca="false">VLOOKUP(D224,'Team Reference'!$A:$B,2,FALSE())</f>
        <v>TEN</v>
      </c>
      <c r="N224" s="1" t="str">
        <f aca="false">VLOOKUP(E224,'Team Reference'!$A:$B,2,FALSE())</f>
        <v>HOU</v>
      </c>
      <c r="O224" s="1" t="str">
        <f aca="false">IF(F224&gt;G224,M224,IF(G224&gt;F224,N224,"Tie"))</f>
        <v>TEN</v>
      </c>
      <c r="P224" s="1" t="n">
        <f aca="false">F224-G224</f>
        <v>14</v>
      </c>
      <c r="Q224" s="1" t="n">
        <f aca="false">F224+G224</f>
        <v>48</v>
      </c>
      <c r="R224" s="1" t="str">
        <f aca="false">IF(H224=M224,"Home",IF(H224=N224,"Away",IF(H224="PICK","Pick","N/A")))</f>
        <v>Home</v>
      </c>
      <c r="S224" s="1" t="n">
        <f aca="false">IF(R224="Home",P224,IF(R224="Away",-P224,""))</f>
        <v>14</v>
      </c>
      <c r="T224" s="1" t="str">
        <f aca="false">IF(R224="Pick","No Line",IF(S224="","N/A",IF(S224+I224&gt;0,"Favorite Covered",IF(S224+I224&lt;0,"Underdog Covered","Push"))))</f>
        <v>Favorite Covered</v>
      </c>
      <c r="U224" s="1" t="str">
        <f aca="false">IF(Q224&gt;J224,"Over",IF(Q224&lt;J224,"Under","Push"))</f>
        <v>Over</v>
      </c>
    </row>
    <row r="225" customFormat="false" ht="15" hidden="false" customHeight="false" outlineLevel="0" collapsed="false">
      <c r="A225" s="1" t="s">
        <v>225</v>
      </c>
      <c r="B225" s="1" t="n">
        <v>2010</v>
      </c>
      <c r="C225" s="1" t="s">
        <v>223</v>
      </c>
      <c r="D225" s="1" t="s">
        <v>91</v>
      </c>
      <c r="E225" s="1" t="s">
        <v>63</v>
      </c>
      <c r="F225" s="1" t="n">
        <v>14</v>
      </c>
      <c r="G225" s="1" t="n">
        <v>40</v>
      </c>
      <c r="H225" s="1" t="s">
        <v>64</v>
      </c>
      <c r="I225" s="1" t="n">
        <v>-7</v>
      </c>
      <c r="J225" s="1" t="n">
        <v>33</v>
      </c>
      <c r="K225" s="1" t="s">
        <v>170</v>
      </c>
      <c r="L225" s="1" t="b">
        <f aca="false">FALSE()</f>
        <v>0</v>
      </c>
      <c r="M225" s="1" t="str">
        <f aca="false">VLOOKUP(D225,'Team Reference'!$A:$B,2,FALSE())</f>
        <v>MIN</v>
      </c>
      <c r="N225" s="1" t="str">
        <f aca="false">VLOOKUP(E225,'Team Reference'!$A:$B,2,FALSE())</f>
        <v>CHI</v>
      </c>
      <c r="O225" s="1" t="str">
        <f aca="false">IF(F225&gt;G225,M225,IF(G225&gt;F225,N225,"Tie"))</f>
        <v>CHI</v>
      </c>
      <c r="P225" s="1" t="n">
        <f aca="false">F225-G225</f>
        <v>-26</v>
      </c>
      <c r="Q225" s="1" t="n">
        <f aca="false">F225+G225</f>
        <v>54</v>
      </c>
      <c r="R225" s="1" t="str">
        <f aca="false">IF(H225=M225,"Home",IF(H225=N225,"Away",IF(H225="PICK","Pick","N/A")))</f>
        <v>Away</v>
      </c>
      <c r="S225" s="1" t="n">
        <f aca="false">IF(R225="Home",P225,IF(R225="Away",-P225,""))</f>
        <v>26</v>
      </c>
      <c r="T225" s="1" t="str">
        <f aca="false">IF(R225="Pick","No Line",IF(S225="","N/A",IF(S225+I225&gt;0,"Favorite Covered",IF(S225+I225&lt;0,"Underdog Covered","Push"))))</f>
        <v>Favorite Covered</v>
      </c>
      <c r="U225" s="1" t="str">
        <f aca="false">IF(Q225&gt;J225,"Over",IF(Q225&lt;J225,"Under","Push"))</f>
        <v>Over</v>
      </c>
    </row>
    <row r="226" customFormat="false" ht="15" hidden="false" customHeight="false" outlineLevel="0" collapsed="false">
      <c r="A226" s="1" t="s">
        <v>226</v>
      </c>
      <c r="B226" s="1" t="n">
        <v>2010</v>
      </c>
      <c r="C226" s="1" t="s">
        <v>227</v>
      </c>
      <c r="D226" s="1" t="s">
        <v>105</v>
      </c>
      <c r="E226" s="1" t="s">
        <v>61</v>
      </c>
      <c r="F226" s="1" t="n">
        <v>27</v>
      </c>
      <c r="G226" s="1" t="n">
        <v>3</v>
      </c>
      <c r="H226" s="1" t="s">
        <v>106</v>
      </c>
      <c r="I226" s="1" t="n">
        <v>-14.5</v>
      </c>
      <c r="J226" s="1" t="n">
        <v>38</v>
      </c>
      <c r="K226" s="1" t="s">
        <v>151</v>
      </c>
      <c r="L226" s="1" t="b">
        <f aca="false">FALSE()</f>
        <v>0</v>
      </c>
      <c r="M226" s="1" t="str">
        <f aca="false">VLOOKUP(D226,'Team Reference'!$A:$B,2,FALSE())</f>
        <v>PIT</v>
      </c>
      <c r="N226" s="1" t="str">
        <f aca="false">VLOOKUP(E226,'Team Reference'!$A:$B,2,FALSE())</f>
        <v>CAR</v>
      </c>
      <c r="O226" s="1" t="str">
        <f aca="false">IF(F226&gt;G226,M226,IF(G226&gt;F226,N226,"Tie"))</f>
        <v>PIT</v>
      </c>
      <c r="P226" s="1" t="n">
        <f aca="false">F226-G226</f>
        <v>24</v>
      </c>
      <c r="Q226" s="1" t="n">
        <f aca="false">F226+G226</f>
        <v>30</v>
      </c>
      <c r="R226" s="1" t="str">
        <f aca="false">IF(H226=M226,"Home",IF(H226=N226,"Away",IF(H226="PICK","Pick","N/A")))</f>
        <v>Home</v>
      </c>
      <c r="S226" s="1" t="n">
        <f aca="false">IF(R226="Home",P226,IF(R226="Away",-P226,""))</f>
        <v>24</v>
      </c>
      <c r="T226" s="1" t="str">
        <f aca="false">IF(R226="Pick","No Line",IF(S226="","N/A",IF(S226+I226&gt;0,"Favorite Covered",IF(S226+I226&lt;0,"Underdog Covered","Push"))))</f>
        <v>Favorite Covered</v>
      </c>
      <c r="U226" s="1" t="str">
        <f aca="false">IF(Q226&gt;J226,"Over",IF(Q226&lt;J226,"Under","Push"))</f>
        <v>Under</v>
      </c>
    </row>
    <row r="227" customFormat="false" ht="15" hidden="false" customHeight="false" outlineLevel="0" collapsed="false">
      <c r="A227" s="1" t="s">
        <v>228</v>
      </c>
      <c r="B227" s="1" t="n">
        <v>2010</v>
      </c>
      <c r="C227" s="1" t="s">
        <v>227</v>
      </c>
      <c r="D227" s="1" t="s">
        <v>53</v>
      </c>
      <c r="E227" s="1" t="s">
        <v>69</v>
      </c>
      <c r="F227" s="1" t="n">
        <v>27</v>
      </c>
      <c r="G227" s="1" t="n">
        <v>26</v>
      </c>
      <c r="H227" s="1" t="s">
        <v>70</v>
      </c>
      <c r="I227" s="1" t="n">
        <v>-7.5</v>
      </c>
      <c r="J227" s="1" t="n">
        <v>45</v>
      </c>
      <c r="K227" s="1" t="s">
        <v>177</v>
      </c>
      <c r="L227" s="1" t="b">
        <f aca="false">FALSE()</f>
        <v>0</v>
      </c>
      <c r="M227" s="1" t="str">
        <f aca="false">VLOOKUP(D227,'Team Reference'!$A:$B,2,FALSE())</f>
        <v>ARI</v>
      </c>
      <c r="N227" s="1" t="str">
        <f aca="false">VLOOKUP(E227,'Team Reference'!$A:$B,2,FALSE())</f>
        <v>DAL</v>
      </c>
      <c r="O227" s="1" t="str">
        <f aca="false">IF(F227&gt;G227,M227,IF(G227&gt;F227,N227,"Tie"))</f>
        <v>ARI</v>
      </c>
      <c r="P227" s="1" t="n">
        <f aca="false">F227-G227</f>
        <v>1</v>
      </c>
      <c r="Q227" s="1" t="n">
        <f aca="false">F227+G227</f>
        <v>53</v>
      </c>
      <c r="R227" s="1" t="str">
        <f aca="false">IF(H227=M227,"Home",IF(H227=N227,"Away",IF(H227="PICK","Pick","N/A")))</f>
        <v>Away</v>
      </c>
      <c r="S227" s="1" t="n">
        <f aca="false">IF(R227="Home",P227,IF(R227="Away",-P227,""))</f>
        <v>-1</v>
      </c>
      <c r="T227" s="1" t="str">
        <f aca="false">IF(R227="Pick","No Line",IF(S227="","N/A",IF(S227+I227&gt;0,"Favorite Covered",IF(S227+I227&lt;0,"Underdog Covered","Push"))))</f>
        <v>Underdog Covered</v>
      </c>
      <c r="U227" s="1" t="str">
        <f aca="false">IF(Q227&gt;J227,"Over",IF(Q227&lt;J227,"Under","Push"))</f>
        <v>Over</v>
      </c>
    </row>
    <row r="228" customFormat="false" ht="15" hidden="false" customHeight="false" outlineLevel="0" collapsed="false">
      <c r="A228" s="1" t="s">
        <v>229</v>
      </c>
      <c r="B228" s="1" t="n">
        <v>2010</v>
      </c>
      <c r="C228" s="1" t="s">
        <v>227</v>
      </c>
      <c r="D228" s="1" t="s">
        <v>59</v>
      </c>
      <c r="E228" s="1" t="s">
        <v>93</v>
      </c>
      <c r="F228" s="1" t="n">
        <v>3</v>
      </c>
      <c r="G228" s="1" t="n">
        <v>34</v>
      </c>
      <c r="H228" s="1" t="s">
        <v>94</v>
      </c>
      <c r="I228" s="1" t="n">
        <v>-9</v>
      </c>
      <c r="J228" s="1" t="n">
        <v>45.5</v>
      </c>
      <c r="K228" s="1" t="s">
        <v>144</v>
      </c>
      <c r="L228" s="1" t="b">
        <f aca="false">FALSE()</f>
        <v>0</v>
      </c>
      <c r="M228" s="1" t="str">
        <f aca="false">VLOOKUP(D228,'Team Reference'!$A:$B,2,FALSE())</f>
        <v>BUF</v>
      </c>
      <c r="N228" s="1" t="str">
        <f aca="false">VLOOKUP(E228,'Team Reference'!$A:$B,2,FALSE())</f>
        <v>NE</v>
      </c>
      <c r="O228" s="1" t="str">
        <f aca="false">IF(F228&gt;G228,M228,IF(G228&gt;F228,N228,"Tie"))</f>
        <v>NE</v>
      </c>
      <c r="P228" s="1" t="n">
        <f aca="false">F228-G228</f>
        <v>-31</v>
      </c>
      <c r="Q228" s="1" t="n">
        <f aca="false">F228+G228</f>
        <v>37</v>
      </c>
      <c r="R228" s="1" t="str">
        <f aca="false">IF(H228=M228,"Home",IF(H228=N228,"Away",IF(H228="PICK","Pick","N/A")))</f>
        <v>Away</v>
      </c>
      <c r="S228" s="1" t="n">
        <f aca="false">IF(R228="Home",P228,IF(R228="Away",-P228,""))</f>
        <v>31</v>
      </c>
      <c r="T228" s="1" t="str">
        <f aca="false">IF(R228="Pick","No Line",IF(S228="","N/A",IF(S228+I228&gt;0,"Favorite Covered",IF(S228+I228&lt;0,"Underdog Covered","Push"))))</f>
        <v>Favorite Covered</v>
      </c>
      <c r="U228" s="1" t="str">
        <f aca="false">IF(Q228&gt;J228,"Over",IF(Q228&lt;J228,"Under","Push"))</f>
        <v>Under</v>
      </c>
    </row>
    <row r="229" customFormat="false" ht="15" hidden="false" customHeight="false" outlineLevel="0" collapsed="false">
      <c r="A229" s="1" t="s">
        <v>229</v>
      </c>
      <c r="B229" s="1" t="n">
        <v>2010</v>
      </c>
      <c r="C229" s="1" t="s">
        <v>227</v>
      </c>
      <c r="D229" s="1" t="s">
        <v>63</v>
      </c>
      <c r="E229" s="1" t="s">
        <v>99</v>
      </c>
      <c r="F229" s="1" t="n">
        <v>38</v>
      </c>
      <c r="G229" s="1" t="n">
        <v>34</v>
      </c>
      <c r="H229" s="1" t="s">
        <v>64</v>
      </c>
      <c r="I229" s="1" t="n">
        <v>-3</v>
      </c>
      <c r="J229" s="1" t="n">
        <v>36</v>
      </c>
      <c r="K229" s="1" t="s">
        <v>145</v>
      </c>
      <c r="L229" s="1" t="b">
        <f aca="false">FALSE()</f>
        <v>0</v>
      </c>
      <c r="M229" s="1" t="str">
        <f aca="false">VLOOKUP(D229,'Team Reference'!$A:$B,2,FALSE())</f>
        <v>CHI</v>
      </c>
      <c r="N229" s="1" t="str">
        <f aca="false">VLOOKUP(E229,'Team Reference'!$A:$B,2,FALSE())</f>
        <v>NYJ</v>
      </c>
      <c r="O229" s="1" t="str">
        <f aca="false">IF(F229&gt;G229,M229,IF(G229&gt;F229,N229,"Tie"))</f>
        <v>CHI</v>
      </c>
      <c r="P229" s="1" t="n">
        <f aca="false">F229-G229</f>
        <v>4</v>
      </c>
      <c r="Q229" s="1" t="n">
        <f aca="false">F229+G229</f>
        <v>72</v>
      </c>
      <c r="R229" s="1" t="str">
        <f aca="false">IF(H229=M229,"Home",IF(H229=N229,"Away",IF(H229="PICK","Pick","N/A")))</f>
        <v>Home</v>
      </c>
      <c r="S229" s="1" t="n">
        <f aca="false">IF(R229="Home",P229,IF(R229="Away",-P229,""))</f>
        <v>4</v>
      </c>
      <c r="T229" s="1" t="str">
        <f aca="false">IF(R229="Pick","No Line",IF(S229="","N/A",IF(S229+I229&gt;0,"Favorite Covered",IF(S229+I229&lt;0,"Underdog Covered","Push"))))</f>
        <v>Favorite Covered</v>
      </c>
      <c r="U229" s="1" t="str">
        <f aca="false">IF(Q229&gt;J229,"Over",IF(Q229&lt;J229,"Under","Push"))</f>
        <v>Over</v>
      </c>
    </row>
    <row r="230" customFormat="false" ht="15" hidden="false" customHeight="false" outlineLevel="0" collapsed="false">
      <c r="A230" s="1" t="s">
        <v>229</v>
      </c>
      <c r="B230" s="1" t="n">
        <v>2010</v>
      </c>
      <c r="C230" s="1" t="s">
        <v>227</v>
      </c>
      <c r="D230" s="1" t="s">
        <v>65</v>
      </c>
      <c r="E230" s="1" t="s">
        <v>107</v>
      </c>
      <c r="F230" s="1" t="n">
        <v>34</v>
      </c>
      <c r="G230" s="1" t="n">
        <v>20</v>
      </c>
      <c r="H230" s="1" t="s">
        <v>86</v>
      </c>
      <c r="I230" s="1" t="n">
        <v>-8</v>
      </c>
      <c r="J230" s="1" t="n">
        <v>43.5</v>
      </c>
      <c r="K230" s="1" t="s">
        <v>163</v>
      </c>
      <c r="L230" s="1" t="b">
        <f aca="false">FALSE()</f>
        <v>0</v>
      </c>
      <c r="M230" s="1" t="str">
        <f aca="false">VLOOKUP(D230,'Team Reference'!$A:$B,2,FALSE())</f>
        <v>CIN</v>
      </c>
      <c r="N230" s="1" t="str">
        <f aca="false">VLOOKUP(E230,'Team Reference'!$A:$B,2,FALSE())</f>
        <v>LAC</v>
      </c>
      <c r="O230" s="1" t="str">
        <f aca="false">IF(F230&gt;G230,M230,IF(G230&gt;F230,N230,"Tie"))</f>
        <v>CIN</v>
      </c>
      <c r="P230" s="1" t="n">
        <f aca="false">F230-G230</f>
        <v>14</v>
      </c>
      <c r="Q230" s="1" t="n">
        <f aca="false">F230+G230</f>
        <v>54</v>
      </c>
      <c r="R230" s="1" t="str">
        <f aca="false">IF(H230=M230,"Home",IF(H230=N230,"Away",IF(H230="PICK","Pick","N/A")))</f>
        <v>Away</v>
      </c>
      <c r="S230" s="1" t="n">
        <f aca="false">IF(R230="Home",P230,IF(R230="Away",-P230,""))</f>
        <v>-14</v>
      </c>
      <c r="T230" s="1" t="str">
        <f aca="false">IF(R230="Pick","No Line",IF(S230="","N/A",IF(S230+I230&gt;0,"Favorite Covered",IF(S230+I230&lt;0,"Underdog Covered","Push"))))</f>
        <v>Underdog Covered</v>
      </c>
      <c r="U230" s="1" t="str">
        <f aca="false">IF(Q230&gt;J230,"Over",IF(Q230&lt;J230,"Under","Push"))</f>
        <v>Over</v>
      </c>
    </row>
    <row r="231" customFormat="false" ht="15" hidden="false" customHeight="false" outlineLevel="0" collapsed="false">
      <c r="A231" s="1" t="s">
        <v>229</v>
      </c>
      <c r="B231" s="1" t="n">
        <v>2010</v>
      </c>
      <c r="C231" s="1" t="s">
        <v>227</v>
      </c>
      <c r="D231" s="1" t="s">
        <v>67</v>
      </c>
      <c r="E231" s="1" t="s">
        <v>57</v>
      </c>
      <c r="F231" s="1" t="n">
        <v>10</v>
      </c>
      <c r="G231" s="1" t="n">
        <v>20</v>
      </c>
      <c r="H231" s="1" t="s">
        <v>58</v>
      </c>
      <c r="I231" s="1" t="n">
        <v>-4</v>
      </c>
      <c r="J231" s="1" t="n">
        <v>40</v>
      </c>
      <c r="K231" s="1" t="s">
        <v>164</v>
      </c>
      <c r="L231" s="1" t="b">
        <f aca="false">FALSE()</f>
        <v>0</v>
      </c>
      <c r="M231" s="1" t="str">
        <f aca="false">VLOOKUP(D231,'Team Reference'!$A:$B,2,FALSE())</f>
        <v>CLE</v>
      </c>
      <c r="N231" s="1" t="str">
        <f aca="false">VLOOKUP(E231,'Team Reference'!$A:$B,2,FALSE())</f>
        <v>BAL</v>
      </c>
      <c r="O231" s="1" t="str">
        <f aca="false">IF(F231&gt;G231,M231,IF(G231&gt;F231,N231,"Tie"))</f>
        <v>BAL</v>
      </c>
      <c r="P231" s="1" t="n">
        <f aca="false">F231-G231</f>
        <v>-10</v>
      </c>
      <c r="Q231" s="1" t="n">
        <f aca="false">F231+G231</f>
        <v>30</v>
      </c>
      <c r="R231" s="1" t="str">
        <f aca="false">IF(H231=M231,"Home",IF(H231=N231,"Away",IF(H231="PICK","Pick","N/A")))</f>
        <v>Away</v>
      </c>
      <c r="S231" s="1" t="n">
        <f aca="false">IF(R231="Home",P231,IF(R231="Away",-P231,""))</f>
        <v>10</v>
      </c>
      <c r="T231" s="1" t="str">
        <f aca="false">IF(R231="Pick","No Line",IF(S231="","N/A",IF(S231+I231&gt;0,"Favorite Covered",IF(S231+I231&lt;0,"Underdog Covered","Push"))))</f>
        <v>Favorite Covered</v>
      </c>
      <c r="U231" s="1" t="str">
        <f aca="false">IF(Q231&gt;J231,"Over",IF(Q231&lt;J231,"Under","Push"))</f>
        <v>Under</v>
      </c>
    </row>
    <row r="232" customFormat="false" ht="15" hidden="false" customHeight="false" outlineLevel="0" collapsed="false">
      <c r="A232" s="1" t="s">
        <v>229</v>
      </c>
      <c r="B232" s="1" t="n">
        <v>2010</v>
      </c>
      <c r="C232" s="1" t="s">
        <v>227</v>
      </c>
      <c r="D232" s="1" t="s">
        <v>71</v>
      </c>
      <c r="E232" s="1" t="s">
        <v>77</v>
      </c>
      <c r="F232" s="1" t="n">
        <v>24</v>
      </c>
      <c r="G232" s="1" t="n">
        <v>23</v>
      </c>
      <c r="H232" s="1" t="s">
        <v>78</v>
      </c>
      <c r="I232" s="1" t="n">
        <v>-2.5</v>
      </c>
      <c r="J232" s="1" t="n">
        <v>49.5</v>
      </c>
      <c r="K232" s="1" t="s">
        <v>166</v>
      </c>
      <c r="L232" s="1" t="b">
        <f aca="false">FALSE()</f>
        <v>0</v>
      </c>
      <c r="M232" s="1" t="str">
        <f aca="false">VLOOKUP(D232,'Team Reference'!$A:$B,2,FALSE())</f>
        <v>DEN</v>
      </c>
      <c r="N232" s="1" t="str">
        <f aca="false">VLOOKUP(E232,'Team Reference'!$A:$B,2,FALSE())</f>
        <v>HOU</v>
      </c>
      <c r="O232" s="1" t="str">
        <f aca="false">IF(F232&gt;G232,M232,IF(G232&gt;F232,N232,"Tie"))</f>
        <v>DEN</v>
      </c>
      <c r="P232" s="1" t="n">
        <f aca="false">F232-G232</f>
        <v>1</v>
      </c>
      <c r="Q232" s="1" t="n">
        <f aca="false">F232+G232</f>
        <v>47</v>
      </c>
      <c r="R232" s="1" t="str">
        <f aca="false">IF(H232=M232,"Home",IF(H232=N232,"Away",IF(H232="PICK","Pick","N/A")))</f>
        <v>Away</v>
      </c>
      <c r="S232" s="1" t="n">
        <f aca="false">IF(R232="Home",P232,IF(R232="Away",-P232,""))</f>
        <v>-1</v>
      </c>
      <c r="T232" s="1" t="str">
        <f aca="false">IF(R232="Pick","No Line",IF(S232="","N/A",IF(S232+I232&gt;0,"Favorite Covered",IF(S232+I232&lt;0,"Underdog Covered","Push"))))</f>
        <v>Underdog Covered</v>
      </c>
      <c r="U232" s="1" t="str">
        <f aca="false">IF(Q232&gt;J232,"Over",IF(Q232&lt;J232,"Under","Push"))</f>
        <v>Under</v>
      </c>
    </row>
    <row r="233" customFormat="false" ht="15" hidden="false" customHeight="false" outlineLevel="0" collapsed="false">
      <c r="A233" s="1" t="s">
        <v>229</v>
      </c>
      <c r="B233" s="1" t="n">
        <v>2010</v>
      </c>
      <c r="C233" s="1" t="s">
        <v>227</v>
      </c>
      <c r="D233" s="1" t="s">
        <v>75</v>
      </c>
      <c r="E233" s="1" t="s">
        <v>97</v>
      </c>
      <c r="F233" s="1" t="n">
        <v>45</v>
      </c>
      <c r="G233" s="1" t="n">
        <v>17</v>
      </c>
      <c r="H233" s="1" t="s">
        <v>76</v>
      </c>
      <c r="I233" s="1" t="n">
        <v>-3</v>
      </c>
      <c r="J233" s="1" t="n">
        <v>43</v>
      </c>
      <c r="K233" s="1" t="s">
        <v>168</v>
      </c>
      <c r="L233" s="1" t="b">
        <f aca="false">FALSE()</f>
        <v>0</v>
      </c>
      <c r="M233" s="1" t="str">
        <f aca="false">VLOOKUP(D233,'Team Reference'!$A:$B,2,FALSE())</f>
        <v>GB</v>
      </c>
      <c r="N233" s="1" t="str">
        <f aca="false">VLOOKUP(E233,'Team Reference'!$A:$B,2,FALSE())</f>
        <v>NYG</v>
      </c>
      <c r="O233" s="1" t="str">
        <f aca="false">IF(F233&gt;G233,M233,IF(G233&gt;F233,N233,"Tie"))</f>
        <v>GB</v>
      </c>
      <c r="P233" s="1" t="n">
        <f aca="false">F233-G233</f>
        <v>28</v>
      </c>
      <c r="Q233" s="1" t="n">
        <f aca="false">F233+G233</f>
        <v>62</v>
      </c>
      <c r="R233" s="1" t="str">
        <f aca="false">IF(H233=M233,"Home",IF(H233=N233,"Away",IF(H233="PICK","Pick","N/A")))</f>
        <v>Home</v>
      </c>
      <c r="S233" s="1" t="n">
        <f aca="false">IF(R233="Home",P233,IF(R233="Away",-P233,""))</f>
        <v>28</v>
      </c>
      <c r="T233" s="1" t="str">
        <f aca="false">IF(R233="Pick","No Line",IF(S233="","N/A",IF(S233+I233&gt;0,"Favorite Covered",IF(S233+I233&lt;0,"Underdog Covered","Push"))))</f>
        <v>Favorite Covered</v>
      </c>
      <c r="U233" s="1" t="str">
        <f aca="false">IF(Q233&gt;J233,"Over",IF(Q233&lt;J233,"Under","Push"))</f>
        <v>Over</v>
      </c>
    </row>
    <row r="234" customFormat="false" ht="15" hidden="false" customHeight="false" outlineLevel="0" collapsed="false">
      <c r="A234" s="1" t="s">
        <v>229</v>
      </c>
      <c r="B234" s="1" t="n">
        <v>2010</v>
      </c>
      <c r="C234" s="1" t="s">
        <v>227</v>
      </c>
      <c r="D234" s="1" t="s">
        <v>81</v>
      </c>
      <c r="E234" s="1" t="s">
        <v>117</v>
      </c>
      <c r="F234" s="1" t="n">
        <v>17</v>
      </c>
      <c r="G234" s="1" t="n">
        <v>20</v>
      </c>
      <c r="H234" s="1" t="s">
        <v>82</v>
      </c>
      <c r="I234" s="1" t="n">
        <v>-6.5</v>
      </c>
      <c r="J234" s="1" t="n">
        <v>45</v>
      </c>
      <c r="K234" s="1" t="s">
        <v>147</v>
      </c>
      <c r="L234" s="1" t="b">
        <f aca="false">FALSE()</f>
        <v>0</v>
      </c>
      <c r="M234" s="1" t="str">
        <f aca="false">VLOOKUP(D234,'Team Reference'!$A:$B,2,FALSE())</f>
        <v>JAX</v>
      </c>
      <c r="N234" s="1" t="str">
        <f aca="false">VLOOKUP(E234,'Team Reference'!$A:$B,2,FALSE())</f>
        <v>WAS</v>
      </c>
      <c r="O234" s="1" t="str">
        <f aca="false">IF(F234&gt;G234,M234,IF(G234&gt;F234,N234,"Tie"))</f>
        <v>WAS</v>
      </c>
      <c r="P234" s="1" t="n">
        <f aca="false">F234-G234</f>
        <v>-3</v>
      </c>
      <c r="Q234" s="1" t="n">
        <f aca="false">F234+G234</f>
        <v>37</v>
      </c>
      <c r="R234" s="1" t="str">
        <f aca="false">IF(H234=M234,"Home",IF(H234=N234,"Away",IF(H234="PICK","Pick","N/A")))</f>
        <v>Home</v>
      </c>
      <c r="S234" s="1" t="n">
        <f aca="false">IF(R234="Home",P234,IF(R234="Away",-P234,""))</f>
        <v>-3</v>
      </c>
      <c r="T234" s="1" t="str">
        <f aca="false">IF(R234="Pick","No Line",IF(S234="","N/A",IF(S234+I234&gt;0,"Favorite Covered",IF(S234+I234&lt;0,"Underdog Covered","Push"))))</f>
        <v>Underdog Covered</v>
      </c>
      <c r="U234" s="1" t="str">
        <f aca="false">IF(Q234&gt;J234,"Over",IF(Q234&lt;J234,"Under","Push"))</f>
        <v>Under</v>
      </c>
    </row>
    <row r="235" customFormat="false" ht="15" hidden="false" customHeight="false" outlineLevel="0" collapsed="false">
      <c r="A235" s="1" t="s">
        <v>229</v>
      </c>
      <c r="B235" s="1" t="n">
        <v>2010</v>
      </c>
      <c r="C235" s="1" t="s">
        <v>227</v>
      </c>
      <c r="D235" s="1" t="s">
        <v>83</v>
      </c>
      <c r="E235" s="1" t="s">
        <v>115</v>
      </c>
      <c r="F235" s="1" t="n">
        <v>34</v>
      </c>
      <c r="G235" s="1" t="n">
        <v>14</v>
      </c>
      <c r="H235" s="1" t="s">
        <v>84</v>
      </c>
      <c r="I235" s="1" t="n">
        <v>-4</v>
      </c>
      <c r="J235" s="1" t="n">
        <v>42.5</v>
      </c>
      <c r="K235" s="1" t="s">
        <v>158</v>
      </c>
      <c r="L235" s="1" t="b">
        <f aca="false">FALSE()</f>
        <v>0</v>
      </c>
      <c r="M235" s="1" t="str">
        <f aca="false">VLOOKUP(D235,'Team Reference'!$A:$B,2,FALSE())</f>
        <v>KC</v>
      </c>
      <c r="N235" s="1" t="str">
        <f aca="false">VLOOKUP(E235,'Team Reference'!$A:$B,2,FALSE())</f>
        <v>TEN</v>
      </c>
      <c r="O235" s="1" t="str">
        <f aca="false">IF(F235&gt;G235,M235,IF(G235&gt;F235,N235,"Tie"))</f>
        <v>KC</v>
      </c>
      <c r="P235" s="1" t="n">
        <f aca="false">F235-G235</f>
        <v>20</v>
      </c>
      <c r="Q235" s="1" t="n">
        <f aca="false">F235+G235</f>
        <v>48</v>
      </c>
      <c r="R235" s="1" t="str">
        <f aca="false">IF(H235=M235,"Home",IF(H235=N235,"Away",IF(H235="PICK","Pick","N/A")))</f>
        <v>Home</v>
      </c>
      <c r="S235" s="1" t="n">
        <f aca="false">IF(R235="Home",P235,IF(R235="Away",-P235,""))</f>
        <v>20</v>
      </c>
      <c r="T235" s="1" t="str">
        <f aca="false">IF(R235="Pick","No Line",IF(S235="","N/A",IF(S235+I235&gt;0,"Favorite Covered",IF(S235+I235&lt;0,"Underdog Covered","Push"))))</f>
        <v>Favorite Covered</v>
      </c>
      <c r="U235" s="1" t="str">
        <f aca="false">IF(Q235&gt;J235,"Over",IF(Q235&lt;J235,"Under","Push"))</f>
        <v>Over</v>
      </c>
    </row>
    <row r="236" customFormat="false" ht="15" hidden="false" customHeight="false" outlineLevel="0" collapsed="false">
      <c r="A236" s="1" t="s">
        <v>229</v>
      </c>
      <c r="B236" s="1" t="n">
        <v>2010</v>
      </c>
      <c r="C236" s="1" t="s">
        <v>227</v>
      </c>
      <c r="D236" s="1" t="s">
        <v>89</v>
      </c>
      <c r="E236" s="1" t="s">
        <v>73</v>
      </c>
      <c r="F236" s="1" t="n">
        <v>27</v>
      </c>
      <c r="G236" s="1" t="n">
        <v>34</v>
      </c>
      <c r="H236" s="1" t="s">
        <v>90</v>
      </c>
      <c r="I236" s="1" t="n">
        <v>-3.5</v>
      </c>
      <c r="J236" s="1" t="n">
        <v>41</v>
      </c>
      <c r="K236" s="1" t="s">
        <v>179</v>
      </c>
      <c r="L236" s="1" t="b">
        <f aca="false">FALSE()</f>
        <v>0</v>
      </c>
      <c r="M236" s="1" t="str">
        <f aca="false">VLOOKUP(D236,'Team Reference'!$A:$B,2,FALSE())</f>
        <v>MIA</v>
      </c>
      <c r="N236" s="1" t="str">
        <f aca="false">VLOOKUP(E236,'Team Reference'!$A:$B,2,FALSE())</f>
        <v>DET</v>
      </c>
      <c r="O236" s="1" t="str">
        <f aca="false">IF(F236&gt;G236,M236,IF(G236&gt;F236,N236,"Tie"))</f>
        <v>DET</v>
      </c>
      <c r="P236" s="1" t="n">
        <f aca="false">F236-G236</f>
        <v>-7</v>
      </c>
      <c r="Q236" s="1" t="n">
        <f aca="false">F236+G236</f>
        <v>61</v>
      </c>
      <c r="R236" s="1" t="str">
        <f aca="false">IF(H236=M236,"Home",IF(H236=N236,"Away",IF(H236="PICK","Pick","N/A")))</f>
        <v>Home</v>
      </c>
      <c r="S236" s="1" t="n">
        <f aca="false">IF(R236="Home",P236,IF(R236="Away",-P236,""))</f>
        <v>-7</v>
      </c>
      <c r="T236" s="1" t="str">
        <f aca="false">IF(R236="Pick","No Line",IF(S236="","N/A",IF(S236+I236&gt;0,"Favorite Covered",IF(S236+I236&lt;0,"Underdog Covered","Push"))))</f>
        <v>Underdog Covered</v>
      </c>
      <c r="U236" s="1" t="str">
        <f aca="false">IF(Q236&gt;J236,"Over",IF(Q236&lt;J236,"Under","Push"))</f>
        <v>Over</v>
      </c>
    </row>
    <row r="237" customFormat="false" ht="15" hidden="false" customHeight="false" outlineLevel="0" collapsed="false">
      <c r="A237" s="1" t="s">
        <v>229</v>
      </c>
      <c r="B237" s="1" t="n">
        <v>2010</v>
      </c>
      <c r="C237" s="1" t="s">
        <v>227</v>
      </c>
      <c r="D237" s="1" t="s">
        <v>101</v>
      </c>
      <c r="E237" s="1" t="s">
        <v>79</v>
      </c>
      <c r="F237" s="1" t="n">
        <v>26</v>
      </c>
      <c r="G237" s="1" t="n">
        <v>31</v>
      </c>
      <c r="H237" s="1" t="s">
        <v>80</v>
      </c>
      <c r="I237" s="1" t="n">
        <v>-2.5</v>
      </c>
      <c r="J237" s="1" t="n">
        <v>47.5</v>
      </c>
      <c r="K237" s="1" t="s">
        <v>171</v>
      </c>
      <c r="L237" s="1" t="b">
        <f aca="false">FALSE()</f>
        <v>0</v>
      </c>
      <c r="M237" s="1" t="str">
        <f aca="false">VLOOKUP(D237,'Team Reference'!$A:$B,2,FALSE())</f>
        <v>OAK</v>
      </c>
      <c r="N237" s="1" t="str">
        <f aca="false">VLOOKUP(E237,'Team Reference'!$A:$B,2,FALSE())</f>
        <v>IND</v>
      </c>
      <c r="O237" s="1" t="str">
        <f aca="false">IF(F237&gt;G237,M237,IF(G237&gt;F237,N237,"Tie"))</f>
        <v>IND</v>
      </c>
      <c r="P237" s="1" t="n">
        <f aca="false">F237-G237</f>
        <v>-5</v>
      </c>
      <c r="Q237" s="1" t="n">
        <f aca="false">F237+G237</f>
        <v>57</v>
      </c>
      <c r="R237" s="1" t="str">
        <f aca="false">IF(H237=M237,"Home",IF(H237=N237,"Away",IF(H237="PICK","Pick","N/A")))</f>
        <v>Away</v>
      </c>
      <c r="S237" s="1" t="n">
        <f aca="false">IF(R237="Home",P237,IF(R237="Away",-P237,""))</f>
        <v>5</v>
      </c>
      <c r="T237" s="1" t="str">
        <f aca="false">IF(R237="Pick","No Line",IF(S237="","N/A",IF(S237+I237&gt;0,"Favorite Covered",IF(S237+I237&lt;0,"Underdog Covered","Push"))))</f>
        <v>Favorite Covered</v>
      </c>
      <c r="U237" s="1" t="str">
        <f aca="false">IF(Q237&gt;J237,"Over",IF(Q237&lt;J237,"Under","Push"))</f>
        <v>Over</v>
      </c>
    </row>
    <row r="238" customFormat="false" ht="15" hidden="false" customHeight="false" outlineLevel="0" collapsed="false">
      <c r="A238" s="1" t="s">
        <v>229</v>
      </c>
      <c r="B238" s="1" t="n">
        <v>2010</v>
      </c>
      <c r="C238" s="1" t="s">
        <v>227</v>
      </c>
      <c r="D238" s="1" t="s">
        <v>112</v>
      </c>
      <c r="E238" s="1" t="s">
        <v>108</v>
      </c>
      <c r="F238" s="1" t="n">
        <v>25</v>
      </c>
      <c r="G238" s="1" t="n">
        <v>17</v>
      </c>
      <c r="H238" s="1" t="s">
        <v>88</v>
      </c>
      <c r="I238" s="1" t="n">
        <v>-2.5</v>
      </c>
      <c r="J238" s="1" t="n">
        <v>40</v>
      </c>
      <c r="K238" s="1" t="s">
        <v>153</v>
      </c>
      <c r="L238" s="1" t="b">
        <f aca="false">FALSE()</f>
        <v>0</v>
      </c>
      <c r="M238" s="1" t="str">
        <f aca="false">VLOOKUP(D238,'Team Reference'!$A:$B,2,FALSE())</f>
        <v>LAR</v>
      </c>
      <c r="N238" s="1" t="str">
        <f aca="false">VLOOKUP(E238,'Team Reference'!$A:$B,2,FALSE())</f>
        <v>SF</v>
      </c>
      <c r="O238" s="1" t="str">
        <f aca="false">IF(F238&gt;G238,M238,IF(G238&gt;F238,N238,"Tie"))</f>
        <v>LAR</v>
      </c>
      <c r="P238" s="1" t="n">
        <f aca="false">F238-G238</f>
        <v>8</v>
      </c>
      <c r="Q238" s="1" t="n">
        <f aca="false">F238+G238</f>
        <v>42</v>
      </c>
      <c r="R238" s="1" t="str">
        <f aca="false">IF(H238=M238,"Home",IF(H238=N238,"Away",IF(H238="PICK","Pick","N/A")))</f>
        <v>Home</v>
      </c>
      <c r="S238" s="1" t="n">
        <f aca="false">IF(R238="Home",P238,IF(R238="Away",-P238,""))</f>
        <v>8</v>
      </c>
      <c r="T238" s="1" t="str">
        <f aca="false">IF(R238="Pick","No Line",IF(S238="","N/A",IF(S238+I238&gt;0,"Favorite Covered",IF(S238+I238&lt;0,"Underdog Covered","Push"))))</f>
        <v>Favorite Covered</v>
      </c>
      <c r="U238" s="1" t="str">
        <f aca="false">IF(Q238&gt;J238,"Over",IF(Q238&lt;J238,"Under","Push"))</f>
        <v>Over</v>
      </c>
    </row>
    <row r="239" customFormat="false" ht="15" hidden="false" customHeight="false" outlineLevel="0" collapsed="false">
      <c r="A239" s="1" t="s">
        <v>229</v>
      </c>
      <c r="B239" s="1" t="n">
        <v>2010</v>
      </c>
      <c r="C239" s="1" t="s">
        <v>227</v>
      </c>
      <c r="D239" s="1" t="s">
        <v>113</v>
      </c>
      <c r="E239" s="1" t="s">
        <v>110</v>
      </c>
      <c r="F239" s="1" t="n">
        <v>38</v>
      </c>
      <c r="G239" s="1" t="n">
        <v>15</v>
      </c>
      <c r="H239" s="1" t="s">
        <v>114</v>
      </c>
      <c r="I239" s="1" t="n">
        <v>-6</v>
      </c>
      <c r="J239" s="1" t="n">
        <v>43.5</v>
      </c>
      <c r="K239" s="1" t="s">
        <v>154</v>
      </c>
      <c r="L239" s="1" t="b">
        <f aca="false">FALSE()</f>
        <v>0</v>
      </c>
      <c r="M239" s="1" t="str">
        <f aca="false">VLOOKUP(D239,'Team Reference'!$A:$B,2,FALSE())</f>
        <v>TB</v>
      </c>
      <c r="N239" s="1" t="str">
        <f aca="false">VLOOKUP(E239,'Team Reference'!$A:$B,2,FALSE())</f>
        <v>SEA</v>
      </c>
      <c r="O239" s="1" t="str">
        <f aca="false">IF(F239&gt;G239,M239,IF(G239&gt;F239,N239,"Tie"))</f>
        <v>TB</v>
      </c>
      <c r="P239" s="1" t="n">
        <f aca="false">F239-G239</f>
        <v>23</v>
      </c>
      <c r="Q239" s="1" t="n">
        <f aca="false">F239+G239</f>
        <v>53</v>
      </c>
      <c r="R239" s="1" t="str">
        <f aca="false">IF(H239=M239,"Home",IF(H239=N239,"Away",IF(H239="PICK","Pick","N/A")))</f>
        <v>Home</v>
      </c>
      <c r="S239" s="1" t="n">
        <f aca="false">IF(R239="Home",P239,IF(R239="Away",-P239,""))</f>
        <v>23</v>
      </c>
      <c r="T239" s="1" t="str">
        <f aca="false">IF(R239="Pick","No Line",IF(S239="","N/A",IF(S239+I239&gt;0,"Favorite Covered",IF(S239+I239&lt;0,"Underdog Covered","Push"))))</f>
        <v>Favorite Covered</v>
      </c>
      <c r="U239" s="1" t="str">
        <f aca="false">IF(Q239&gt;J239,"Over",IF(Q239&lt;J239,"Under","Push"))</f>
        <v>Over</v>
      </c>
    </row>
    <row r="240" customFormat="false" ht="15" hidden="false" customHeight="false" outlineLevel="0" collapsed="false">
      <c r="A240" s="1" t="s">
        <v>230</v>
      </c>
      <c r="B240" s="1" t="n">
        <v>2010</v>
      </c>
      <c r="C240" s="1" t="s">
        <v>227</v>
      </c>
      <c r="D240" s="1" t="s">
        <v>55</v>
      </c>
      <c r="E240" s="1" t="s">
        <v>95</v>
      </c>
      <c r="F240" s="1" t="n">
        <v>14</v>
      </c>
      <c r="G240" s="1" t="n">
        <v>17</v>
      </c>
      <c r="H240" s="1" t="s">
        <v>56</v>
      </c>
      <c r="I240" s="1" t="n">
        <v>-2.5</v>
      </c>
      <c r="J240" s="1" t="n">
        <v>49.5</v>
      </c>
      <c r="K240" s="1" t="s">
        <v>161</v>
      </c>
      <c r="L240" s="1" t="b">
        <f aca="false">FALSE()</f>
        <v>0</v>
      </c>
      <c r="M240" s="1" t="str">
        <f aca="false">VLOOKUP(D240,'Team Reference'!$A:$B,2,FALSE())</f>
        <v>ATL</v>
      </c>
      <c r="N240" s="1" t="str">
        <f aca="false">VLOOKUP(E240,'Team Reference'!$A:$B,2,FALSE())</f>
        <v>NO</v>
      </c>
      <c r="O240" s="1" t="str">
        <f aca="false">IF(F240&gt;G240,M240,IF(G240&gt;F240,N240,"Tie"))</f>
        <v>NO</v>
      </c>
      <c r="P240" s="1" t="n">
        <f aca="false">F240-G240</f>
        <v>-3</v>
      </c>
      <c r="Q240" s="1" t="n">
        <f aca="false">F240+G240</f>
        <v>31</v>
      </c>
      <c r="R240" s="1" t="str">
        <f aca="false">IF(H240=M240,"Home",IF(H240=N240,"Away",IF(H240="PICK","Pick","N/A")))</f>
        <v>Home</v>
      </c>
      <c r="S240" s="1" t="n">
        <f aca="false">IF(R240="Home",P240,IF(R240="Away",-P240,""))</f>
        <v>-3</v>
      </c>
      <c r="T240" s="1" t="str">
        <f aca="false">IF(R240="Pick","No Line",IF(S240="","N/A",IF(S240+I240&gt;0,"Favorite Covered",IF(S240+I240&lt;0,"Underdog Covered","Push"))))</f>
        <v>Underdog Covered</v>
      </c>
      <c r="U240" s="1" t="str">
        <f aca="false">IF(Q240&gt;J240,"Over",IF(Q240&lt;J240,"Under","Push"))</f>
        <v>Under</v>
      </c>
    </row>
    <row r="241" customFormat="false" ht="15" hidden="false" customHeight="false" outlineLevel="0" collapsed="false">
      <c r="A241" s="1" t="s">
        <v>231</v>
      </c>
      <c r="B241" s="1" t="n">
        <v>2010</v>
      </c>
      <c r="C241" s="1" t="s">
        <v>227</v>
      </c>
      <c r="D241" s="1" t="s">
        <v>103</v>
      </c>
      <c r="E241" s="1" t="s">
        <v>91</v>
      </c>
      <c r="F241" s="1" t="n">
        <v>14</v>
      </c>
      <c r="G241" s="1" t="n">
        <v>24</v>
      </c>
      <c r="H241" s="1" t="s">
        <v>104</v>
      </c>
      <c r="I241" s="1" t="n">
        <v>-14.5</v>
      </c>
      <c r="J241" s="1" t="n">
        <v>44.5</v>
      </c>
      <c r="K241" s="1" t="s">
        <v>150</v>
      </c>
      <c r="L241" s="1" t="b">
        <f aca="false">FALSE()</f>
        <v>0</v>
      </c>
      <c r="M241" s="1" t="str">
        <f aca="false">VLOOKUP(D241,'Team Reference'!$A:$B,2,FALSE())</f>
        <v>PHI</v>
      </c>
      <c r="N241" s="1" t="str">
        <f aca="false">VLOOKUP(E241,'Team Reference'!$A:$B,2,FALSE())</f>
        <v>MIN</v>
      </c>
      <c r="O241" s="1" t="str">
        <f aca="false">IF(F241&gt;G241,M241,IF(G241&gt;F241,N241,"Tie"))</f>
        <v>MIN</v>
      </c>
      <c r="P241" s="1" t="n">
        <f aca="false">F241-G241</f>
        <v>-10</v>
      </c>
      <c r="Q241" s="1" t="n">
        <f aca="false">F241+G241</f>
        <v>38</v>
      </c>
      <c r="R241" s="1" t="str">
        <f aca="false">IF(H241=M241,"Home",IF(H241=N241,"Away",IF(H241="PICK","Pick","N/A")))</f>
        <v>Home</v>
      </c>
      <c r="S241" s="1" t="n">
        <f aca="false">IF(R241="Home",P241,IF(R241="Away",-P241,""))</f>
        <v>-10</v>
      </c>
      <c r="T241" s="1" t="str">
        <f aca="false">IF(R241="Pick","No Line",IF(S241="","N/A",IF(S241+I241&gt;0,"Favorite Covered",IF(S241+I241&lt;0,"Underdog Covered","Push"))))</f>
        <v>Underdog Covered</v>
      </c>
      <c r="U241" s="1" t="str">
        <f aca="false">IF(Q241&gt;J241,"Over",IF(Q241&lt;J241,"Under","Push"))</f>
        <v>Under</v>
      </c>
    </row>
    <row r="242" customFormat="false" ht="15" hidden="false" customHeight="false" outlineLevel="0" collapsed="false">
      <c r="A242" s="1" t="s">
        <v>232</v>
      </c>
      <c r="B242" s="1" t="n">
        <v>2010</v>
      </c>
      <c r="C242" s="1" t="s">
        <v>233</v>
      </c>
      <c r="D242" s="1" t="s">
        <v>55</v>
      </c>
      <c r="E242" s="1" t="s">
        <v>61</v>
      </c>
      <c r="F242" s="1" t="n">
        <v>31</v>
      </c>
      <c r="G242" s="1" t="n">
        <v>10</v>
      </c>
      <c r="H242" s="1" t="s">
        <v>56</v>
      </c>
      <c r="I242" s="1" t="n">
        <v>-14.5</v>
      </c>
      <c r="J242" s="1" t="n">
        <v>41.5</v>
      </c>
      <c r="K242" s="1" t="s">
        <v>161</v>
      </c>
      <c r="L242" s="1" t="b">
        <f aca="false">FALSE()</f>
        <v>0</v>
      </c>
      <c r="M242" s="1" t="str">
        <f aca="false">VLOOKUP(D242,'Team Reference'!$A:$B,2,FALSE())</f>
        <v>ATL</v>
      </c>
      <c r="N242" s="1" t="str">
        <f aca="false">VLOOKUP(E242,'Team Reference'!$A:$B,2,FALSE())</f>
        <v>CAR</v>
      </c>
      <c r="O242" s="1" t="str">
        <f aca="false">IF(F242&gt;G242,M242,IF(G242&gt;F242,N242,"Tie"))</f>
        <v>ATL</v>
      </c>
      <c r="P242" s="1" t="n">
        <f aca="false">F242-G242</f>
        <v>21</v>
      </c>
      <c r="Q242" s="1" t="n">
        <f aca="false">F242+G242</f>
        <v>41</v>
      </c>
      <c r="R242" s="1" t="str">
        <f aca="false">IF(H242=M242,"Home",IF(H242=N242,"Away",IF(H242="PICK","Pick","N/A")))</f>
        <v>Home</v>
      </c>
      <c r="S242" s="1" t="n">
        <f aca="false">IF(R242="Home",P242,IF(R242="Away",-P242,""))</f>
        <v>21</v>
      </c>
      <c r="T242" s="1" t="str">
        <f aca="false">IF(R242="Pick","No Line",IF(S242="","N/A",IF(S242+I242&gt;0,"Favorite Covered",IF(S242+I242&lt;0,"Underdog Covered","Push"))))</f>
        <v>Favorite Covered</v>
      </c>
      <c r="U242" s="1" t="str">
        <f aca="false">IF(Q242&gt;J242,"Over",IF(Q242&lt;J242,"Under","Push"))</f>
        <v>Under</v>
      </c>
    </row>
    <row r="243" customFormat="false" ht="15" hidden="false" customHeight="false" outlineLevel="0" collapsed="false">
      <c r="A243" s="1" t="s">
        <v>232</v>
      </c>
      <c r="B243" s="1" t="n">
        <v>2010</v>
      </c>
      <c r="C243" s="1" t="s">
        <v>233</v>
      </c>
      <c r="D243" s="1" t="s">
        <v>57</v>
      </c>
      <c r="E243" s="1" t="s">
        <v>65</v>
      </c>
      <c r="F243" s="1" t="n">
        <v>13</v>
      </c>
      <c r="G243" s="1" t="n">
        <v>7</v>
      </c>
      <c r="H243" s="1" t="s">
        <v>58</v>
      </c>
      <c r="I243" s="1" t="n">
        <v>-9.5</v>
      </c>
      <c r="J243" s="1" t="n">
        <v>43</v>
      </c>
      <c r="K243" s="1" t="s">
        <v>178</v>
      </c>
      <c r="L243" s="1" t="b">
        <f aca="false">FALSE()</f>
        <v>0</v>
      </c>
      <c r="M243" s="1" t="str">
        <f aca="false">VLOOKUP(D243,'Team Reference'!$A:$B,2,FALSE())</f>
        <v>BAL</v>
      </c>
      <c r="N243" s="1" t="str">
        <f aca="false">VLOOKUP(E243,'Team Reference'!$A:$B,2,FALSE())</f>
        <v>CIN</v>
      </c>
      <c r="O243" s="1" t="str">
        <f aca="false">IF(F243&gt;G243,M243,IF(G243&gt;F243,N243,"Tie"))</f>
        <v>BAL</v>
      </c>
      <c r="P243" s="1" t="n">
        <f aca="false">F243-G243</f>
        <v>6</v>
      </c>
      <c r="Q243" s="1" t="n">
        <f aca="false">F243+G243</f>
        <v>20</v>
      </c>
      <c r="R243" s="1" t="str">
        <f aca="false">IF(H243=M243,"Home",IF(H243=N243,"Away",IF(H243="PICK","Pick","N/A")))</f>
        <v>Home</v>
      </c>
      <c r="S243" s="1" t="n">
        <f aca="false">IF(R243="Home",P243,IF(R243="Away",-P243,""))</f>
        <v>6</v>
      </c>
      <c r="T243" s="1" t="str">
        <f aca="false">IF(R243="Pick","No Line",IF(S243="","N/A",IF(S243+I243&gt;0,"Favorite Covered",IF(S243+I243&lt;0,"Underdog Covered","Push"))))</f>
        <v>Underdog Covered</v>
      </c>
      <c r="U243" s="1" t="str">
        <f aca="false">IF(Q243&gt;J243,"Over",IF(Q243&lt;J243,"Under","Push"))</f>
        <v>Under</v>
      </c>
    </row>
    <row r="244" customFormat="false" ht="15" hidden="false" customHeight="false" outlineLevel="0" collapsed="false">
      <c r="A244" s="1" t="s">
        <v>232</v>
      </c>
      <c r="B244" s="1" t="n">
        <v>2010</v>
      </c>
      <c r="C244" s="1" t="s">
        <v>233</v>
      </c>
      <c r="D244" s="1" t="s">
        <v>67</v>
      </c>
      <c r="E244" s="1" t="s">
        <v>105</v>
      </c>
      <c r="F244" s="1" t="n">
        <v>9</v>
      </c>
      <c r="G244" s="1" t="n">
        <v>41</v>
      </c>
      <c r="H244" s="1" t="s">
        <v>106</v>
      </c>
      <c r="I244" s="1" t="n">
        <v>-6.5</v>
      </c>
      <c r="J244" s="1" t="n">
        <v>38</v>
      </c>
      <c r="K244" s="1" t="s">
        <v>164</v>
      </c>
      <c r="L244" s="1" t="b">
        <f aca="false">FALSE()</f>
        <v>0</v>
      </c>
      <c r="M244" s="1" t="str">
        <f aca="false">VLOOKUP(D244,'Team Reference'!$A:$B,2,FALSE())</f>
        <v>CLE</v>
      </c>
      <c r="N244" s="1" t="str">
        <f aca="false">VLOOKUP(E244,'Team Reference'!$A:$B,2,FALSE())</f>
        <v>PIT</v>
      </c>
      <c r="O244" s="1" t="str">
        <f aca="false">IF(F244&gt;G244,M244,IF(G244&gt;F244,N244,"Tie"))</f>
        <v>PIT</v>
      </c>
      <c r="P244" s="1" t="n">
        <f aca="false">F244-G244</f>
        <v>-32</v>
      </c>
      <c r="Q244" s="1" t="n">
        <f aca="false">F244+G244</f>
        <v>50</v>
      </c>
      <c r="R244" s="1" t="str">
        <f aca="false">IF(H244=M244,"Home",IF(H244=N244,"Away",IF(H244="PICK","Pick","N/A")))</f>
        <v>Away</v>
      </c>
      <c r="S244" s="1" t="n">
        <f aca="false">IF(R244="Home",P244,IF(R244="Away",-P244,""))</f>
        <v>32</v>
      </c>
      <c r="T244" s="1" t="str">
        <f aca="false">IF(R244="Pick","No Line",IF(S244="","N/A",IF(S244+I244&gt;0,"Favorite Covered",IF(S244+I244&lt;0,"Underdog Covered","Push"))))</f>
        <v>Favorite Covered</v>
      </c>
      <c r="U244" s="1" t="str">
        <f aca="false">IF(Q244&gt;J244,"Over",IF(Q244&lt;J244,"Under","Push"))</f>
        <v>Over</v>
      </c>
    </row>
    <row r="245" customFormat="false" ht="15" hidden="false" customHeight="false" outlineLevel="0" collapsed="false">
      <c r="A245" s="1" t="s">
        <v>232</v>
      </c>
      <c r="B245" s="1" t="n">
        <v>2010</v>
      </c>
      <c r="C245" s="1" t="s">
        <v>233</v>
      </c>
      <c r="D245" s="1" t="s">
        <v>71</v>
      </c>
      <c r="E245" s="1" t="s">
        <v>107</v>
      </c>
      <c r="F245" s="1" t="n">
        <v>28</v>
      </c>
      <c r="G245" s="1" t="n">
        <v>33</v>
      </c>
      <c r="H245" s="1" t="s">
        <v>86</v>
      </c>
      <c r="I245" s="1" t="n">
        <v>-3.5</v>
      </c>
      <c r="J245" s="1" t="n">
        <v>47.5</v>
      </c>
      <c r="K245" s="1" t="s">
        <v>166</v>
      </c>
      <c r="L245" s="1" t="b">
        <f aca="false">FALSE()</f>
        <v>0</v>
      </c>
      <c r="M245" s="1" t="str">
        <f aca="false">VLOOKUP(D245,'Team Reference'!$A:$B,2,FALSE())</f>
        <v>DEN</v>
      </c>
      <c r="N245" s="1" t="str">
        <f aca="false">VLOOKUP(E245,'Team Reference'!$A:$B,2,FALSE())</f>
        <v>LAC</v>
      </c>
      <c r="O245" s="1" t="str">
        <f aca="false">IF(F245&gt;G245,M245,IF(G245&gt;F245,N245,"Tie"))</f>
        <v>LAC</v>
      </c>
      <c r="P245" s="1" t="n">
        <f aca="false">F245-G245</f>
        <v>-5</v>
      </c>
      <c r="Q245" s="1" t="n">
        <f aca="false">F245+G245</f>
        <v>61</v>
      </c>
      <c r="R245" s="1" t="str">
        <f aca="false">IF(H245=M245,"Home",IF(H245=N245,"Away",IF(H245="PICK","Pick","N/A")))</f>
        <v>Away</v>
      </c>
      <c r="S245" s="1" t="n">
        <f aca="false">IF(R245="Home",P245,IF(R245="Away",-P245,""))</f>
        <v>5</v>
      </c>
      <c r="T245" s="1" t="str">
        <f aca="false">IF(R245="Pick","No Line",IF(S245="","N/A",IF(S245+I245&gt;0,"Favorite Covered",IF(S245+I245&lt;0,"Underdog Covered","Push"))))</f>
        <v>Favorite Covered</v>
      </c>
      <c r="U245" s="1" t="str">
        <f aca="false">IF(Q245&gt;J245,"Over",IF(Q245&lt;J245,"Under","Push"))</f>
        <v>Over</v>
      </c>
    </row>
    <row r="246" customFormat="false" ht="15" hidden="false" customHeight="false" outlineLevel="0" collapsed="false">
      <c r="A246" s="1" t="s">
        <v>232</v>
      </c>
      <c r="B246" s="1" t="n">
        <v>2010</v>
      </c>
      <c r="C246" s="1" t="s">
        <v>233</v>
      </c>
      <c r="D246" s="1" t="s">
        <v>73</v>
      </c>
      <c r="E246" s="1" t="s">
        <v>91</v>
      </c>
      <c r="F246" s="1" t="n">
        <v>20</v>
      </c>
      <c r="G246" s="1" t="n">
        <v>13</v>
      </c>
      <c r="H246" s="1" t="s">
        <v>74</v>
      </c>
      <c r="I246" s="1" t="n">
        <v>-3.5</v>
      </c>
      <c r="J246" s="1" t="n">
        <v>43.5</v>
      </c>
      <c r="K246" s="1" t="s">
        <v>167</v>
      </c>
      <c r="L246" s="1" t="b">
        <f aca="false">FALSE()</f>
        <v>0</v>
      </c>
      <c r="M246" s="1" t="str">
        <f aca="false">VLOOKUP(D246,'Team Reference'!$A:$B,2,FALSE())</f>
        <v>DET</v>
      </c>
      <c r="N246" s="1" t="str">
        <f aca="false">VLOOKUP(E246,'Team Reference'!$A:$B,2,FALSE())</f>
        <v>MIN</v>
      </c>
      <c r="O246" s="1" t="str">
        <f aca="false">IF(F246&gt;G246,M246,IF(G246&gt;F246,N246,"Tie"))</f>
        <v>DET</v>
      </c>
      <c r="P246" s="1" t="n">
        <f aca="false">F246-G246</f>
        <v>7</v>
      </c>
      <c r="Q246" s="1" t="n">
        <f aca="false">F246+G246</f>
        <v>33</v>
      </c>
      <c r="R246" s="1" t="str">
        <f aca="false">IF(H246=M246,"Home",IF(H246=N246,"Away",IF(H246="PICK","Pick","N/A")))</f>
        <v>Home</v>
      </c>
      <c r="S246" s="1" t="n">
        <f aca="false">IF(R246="Home",P246,IF(R246="Away",-P246,""))</f>
        <v>7</v>
      </c>
      <c r="T246" s="1" t="str">
        <f aca="false">IF(R246="Pick","No Line",IF(S246="","N/A",IF(S246+I246&gt;0,"Favorite Covered",IF(S246+I246&lt;0,"Underdog Covered","Push"))))</f>
        <v>Favorite Covered</v>
      </c>
      <c r="U246" s="1" t="str">
        <f aca="false">IF(Q246&gt;J246,"Over",IF(Q246&lt;J246,"Under","Push"))</f>
        <v>Under</v>
      </c>
    </row>
    <row r="247" customFormat="false" ht="15" hidden="false" customHeight="false" outlineLevel="0" collapsed="false">
      <c r="A247" s="1" t="s">
        <v>232</v>
      </c>
      <c r="B247" s="1" t="n">
        <v>2010</v>
      </c>
      <c r="C247" s="1" t="s">
        <v>233</v>
      </c>
      <c r="D247" s="1" t="s">
        <v>75</v>
      </c>
      <c r="E247" s="1" t="s">
        <v>63</v>
      </c>
      <c r="F247" s="1" t="n">
        <v>10</v>
      </c>
      <c r="G247" s="1" t="n">
        <v>3</v>
      </c>
      <c r="H247" s="1" t="s">
        <v>76</v>
      </c>
      <c r="I247" s="1" t="n">
        <v>-10.5</v>
      </c>
      <c r="J247" s="1" t="n">
        <v>43.5</v>
      </c>
      <c r="K247" s="1" t="s">
        <v>168</v>
      </c>
      <c r="L247" s="1" t="b">
        <f aca="false">FALSE()</f>
        <v>0</v>
      </c>
      <c r="M247" s="1" t="str">
        <f aca="false">VLOOKUP(D247,'Team Reference'!$A:$B,2,FALSE())</f>
        <v>GB</v>
      </c>
      <c r="N247" s="1" t="str">
        <f aca="false">VLOOKUP(E247,'Team Reference'!$A:$B,2,FALSE())</f>
        <v>CHI</v>
      </c>
      <c r="O247" s="1" t="str">
        <f aca="false">IF(F247&gt;G247,M247,IF(G247&gt;F247,N247,"Tie"))</f>
        <v>GB</v>
      </c>
      <c r="P247" s="1" t="n">
        <f aca="false">F247-G247</f>
        <v>7</v>
      </c>
      <c r="Q247" s="1" t="n">
        <f aca="false">F247+G247</f>
        <v>13</v>
      </c>
      <c r="R247" s="1" t="str">
        <f aca="false">IF(H247=M247,"Home",IF(H247=N247,"Away",IF(H247="PICK","Pick","N/A")))</f>
        <v>Home</v>
      </c>
      <c r="S247" s="1" t="n">
        <f aca="false">IF(R247="Home",P247,IF(R247="Away",-P247,""))</f>
        <v>7</v>
      </c>
      <c r="T247" s="1" t="str">
        <f aca="false">IF(R247="Pick","No Line",IF(S247="","N/A",IF(S247+I247&gt;0,"Favorite Covered",IF(S247+I247&lt;0,"Underdog Covered","Push"))))</f>
        <v>Underdog Covered</v>
      </c>
      <c r="U247" s="1" t="str">
        <f aca="false">IF(Q247&gt;J247,"Over",IF(Q247&lt;J247,"Under","Push"))</f>
        <v>Under</v>
      </c>
    </row>
    <row r="248" customFormat="false" ht="15" hidden="false" customHeight="false" outlineLevel="0" collapsed="false">
      <c r="A248" s="1" t="s">
        <v>232</v>
      </c>
      <c r="B248" s="1" t="n">
        <v>2010</v>
      </c>
      <c r="C248" s="1" t="s">
        <v>233</v>
      </c>
      <c r="D248" s="1" t="s">
        <v>77</v>
      </c>
      <c r="E248" s="1" t="s">
        <v>81</v>
      </c>
      <c r="F248" s="1" t="n">
        <v>34</v>
      </c>
      <c r="G248" s="1" t="n">
        <v>17</v>
      </c>
      <c r="H248" s="1" t="s">
        <v>78</v>
      </c>
      <c r="I248" s="1" t="n">
        <v>-4</v>
      </c>
      <c r="J248" s="1" t="n">
        <v>48</v>
      </c>
      <c r="K248" s="1" t="s">
        <v>146</v>
      </c>
      <c r="L248" s="1" t="b">
        <f aca="false">FALSE()</f>
        <v>0</v>
      </c>
      <c r="M248" s="1" t="str">
        <f aca="false">VLOOKUP(D248,'Team Reference'!$A:$B,2,FALSE())</f>
        <v>HOU</v>
      </c>
      <c r="N248" s="1" t="str">
        <f aca="false">VLOOKUP(E248,'Team Reference'!$A:$B,2,FALSE())</f>
        <v>JAX</v>
      </c>
      <c r="O248" s="1" t="str">
        <f aca="false">IF(F248&gt;G248,M248,IF(G248&gt;F248,N248,"Tie"))</f>
        <v>HOU</v>
      </c>
      <c r="P248" s="1" t="n">
        <f aca="false">F248-G248</f>
        <v>17</v>
      </c>
      <c r="Q248" s="1" t="n">
        <f aca="false">F248+G248</f>
        <v>51</v>
      </c>
      <c r="R248" s="1" t="str">
        <f aca="false">IF(H248=M248,"Home",IF(H248=N248,"Away",IF(H248="PICK","Pick","N/A")))</f>
        <v>Home</v>
      </c>
      <c r="S248" s="1" t="n">
        <f aca="false">IF(R248="Home",P248,IF(R248="Away",-P248,""))</f>
        <v>17</v>
      </c>
      <c r="T248" s="1" t="str">
        <f aca="false">IF(R248="Pick","No Line",IF(S248="","N/A",IF(S248+I248&gt;0,"Favorite Covered",IF(S248+I248&lt;0,"Underdog Covered","Push"))))</f>
        <v>Favorite Covered</v>
      </c>
      <c r="U248" s="1" t="str">
        <f aca="false">IF(Q248&gt;J248,"Over",IF(Q248&lt;J248,"Under","Push"))</f>
        <v>Over</v>
      </c>
    </row>
    <row r="249" customFormat="false" ht="15" hidden="false" customHeight="false" outlineLevel="0" collapsed="false">
      <c r="A249" s="1" t="s">
        <v>232</v>
      </c>
      <c r="B249" s="1" t="n">
        <v>2010</v>
      </c>
      <c r="C249" s="1" t="s">
        <v>233</v>
      </c>
      <c r="D249" s="1" t="s">
        <v>79</v>
      </c>
      <c r="E249" s="1" t="s">
        <v>115</v>
      </c>
      <c r="F249" s="1" t="n">
        <v>23</v>
      </c>
      <c r="G249" s="1" t="n">
        <v>20</v>
      </c>
      <c r="H249" s="1" t="s">
        <v>80</v>
      </c>
      <c r="I249" s="1" t="n">
        <v>-9.5</v>
      </c>
      <c r="J249" s="1" t="n">
        <v>48</v>
      </c>
      <c r="K249" s="1" t="s">
        <v>169</v>
      </c>
      <c r="L249" s="1" t="b">
        <f aca="false">FALSE()</f>
        <v>0</v>
      </c>
      <c r="M249" s="1" t="str">
        <f aca="false">VLOOKUP(D249,'Team Reference'!$A:$B,2,FALSE())</f>
        <v>IND</v>
      </c>
      <c r="N249" s="1" t="str">
        <f aca="false">VLOOKUP(E249,'Team Reference'!$A:$B,2,FALSE())</f>
        <v>TEN</v>
      </c>
      <c r="O249" s="1" t="str">
        <f aca="false">IF(F249&gt;G249,M249,IF(G249&gt;F249,N249,"Tie"))</f>
        <v>IND</v>
      </c>
      <c r="P249" s="1" t="n">
        <f aca="false">F249-G249</f>
        <v>3</v>
      </c>
      <c r="Q249" s="1" t="n">
        <f aca="false">F249+G249</f>
        <v>43</v>
      </c>
      <c r="R249" s="1" t="str">
        <f aca="false">IF(H249=M249,"Home",IF(H249=N249,"Away",IF(H249="PICK","Pick","N/A")))</f>
        <v>Home</v>
      </c>
      <c r="S249" s="1" t="n">
        <f aca="false">IF(R249="Home",P249,IF(R249="Away",-P249,""))</f>
        <v>3</v>
      </c>
      <c r="T249" s="1" t="str">
        <f aca="false">IF(R249="Pick","No Line",IF(S249="","N/A",IF(S249+I249&gt;0,"Favorite Covered",IF(S249+I249&lt;0,"Underdog Covered","Push"))))</f>
        <v>Underdog Covered</v>
      </c>
      <c r="U249" s="1" t="str">
        <f aca="false">IF(Q249&gt;J249,"Over",IF(Q249&lt;J249,"Under","Push"))</f>
        <v>Under</v>
      </c>
    </row>
    <row r="250" customFormat="false" ht="15" hidden="false" customHeight="false" outlineLevel="0" collapsed="false">
      <c r="A250" s="1" t="s">
        <v>232</v>
      </c>
      <c r="B250" s="1" t="n">
        <v>2010</v>
      </c>
      <c r="C250" s="1" t="s">
        <v>233</v>
      </c>
      <c r="D250" s="1" t="s">
        <v>83</v>
      </c>
      <c r="E250" s="1" t="s">
        <v>101</v>
      </c>
      <c r="F250" s="1" t="n">
        <v>10</v>
      </c>
      <c r="G250" s="1" t="n">
        <v>31</v>
      </c>
      <c r="H250" s="1" t="s">
        <v>84</v>
      </c>
      <c r="I250" s="1" t="n">
        <v>-4.5</v>
      </c>
      <c r="J250" s="1" t="n">
        <v>43.5</v>
      </c>
      <c r="K250" s="1" t="s">
        <v>158</v>
      </c>
      <c r="L250" s="1" t="b">
        <f aca="false">FALSE()</f>
        <v>0</v>
      </c>
      <c r="M250" s="1" t="str">
        <f aca="false">VLOOKUP(D250,'Team Reference'!$A:$B,2,FALSE())</f>
        <v>KC</v>
      </c>
      <c r="N250" s="1" t="str">
        <f aca="false">VLOOKUP(E250,'Team Reference'!$A:$B,2,FALSE())</f>
        <v>OAK</v>
      </c>
      <c r="O250" s="1" t="str">
        <f aca="false">IF(F250&gt;G250,M250,IF(G250&gt;F250,N250,"Tie"))</f>
        <v>OAK</v>
      </c>
      <c r="P250" s="1" t="n">
        <f aca="false">F250-G250</f>
        <v>-21</v>
      </c>
      <c r="Q250" s="1" t="n">
        <f aca="false">F250+G250</f>
        <v>41</v>
      </c>
      <c r="R250" s="1" t="str">
        <f aca="false">IF(H250=M250,"Home",IF(H250=N250,"Away",IF(H250="PICK","Pick","N/A")))</f>
        <v>Home</v>
      </c>
      <c r="S250" s="1" t="n">
        <f aca="false">IF(R250="Home",P250,IF(R250="Away",-P250,""))</f>
        <v>-21</v>
      </c>
      <c r="T250" s="1" t="str">
        <f aca="false">IF(R250="Pick","No Line",IF(S250="","N/A",IF(S250+I250&gt;0,"Favorite Covered",IF(S250+I250&lt;0,"Underdog Covered","Push"))))</f>
        <v>Underdog Covered</v>
      </c>
      <c r="U250" s="1" t="str">
        <f aca="false">IF(Q250&gt;J250,"Over",IF(Q250&lt;J250,"Under","Push"))</f>
        <v>Under</v>
      </c>
    </row>
    <row r="251" customFormat="false" ht="15" hidden="false" customHeight="false" outlineLevel="0" collapsed="false">
      <c r="A251" s="1" t="s">
        <v>232</v>
      </c>
      <c r="B251" s="1" t="n">
        <v>2010</v>
      </c>
      <c r="C251" s="1" t="s">
        <v>233</v>
      </c>
      <c r="D251" s="1" t="s">
        <v>93</v>
      </c>
      <c r="E251" s="1" t="s">
        <v>89</v>
      </c>
      <c r="F251" s="1" t="n">
        <v>38</v>
      </c>
      <c r="G251" s="1" t="n">
        <v>7</v>
      </c>
      <c r="H251" s="1" t="s">
        <v>94</v>
      </c>
      <c r="I251" s="1" t="n">
        <v>-6</v>
      </c>
      <c r="J251" s="1" t="n">
        <v>44</v>
      </c>
      <c r="K251" s="1" t="s">
        <v>148</v>
      </c>
      <c r="L251" s="1" t="b">
        <f aca="false">FALSE()</f>
        <v>0</v>
      </c>
      <c r="M251" s="1" t="str">
        <f aca="false">VLOOKUP(D251,'Team Reference'!$A:$B,2,FALSE())</f>
        <v>NE</v>
      </c>
      <c r="N251" s="1" t="str">
        <f aca="false">VLOOKUP(E251,'Team Reference'!$A:$B,2,FALSE())</f>
        <v>MIA</v>
      </c>
      <c r="O251" s="1" t="str">
        <f aca="false">IF(F251&gt;G251,M251,IF(G251&gt;F251,N251,"Tie"))</f>
        <v>NE</v>
      </c>
      <c r="P251" s="1" t="n">
        <f aca="false">F251-G251</f>
        <v>31</v>
      </c>
      <c r="Q251" s="1" t="n">
        <f aca="false">F251+G251</f>
        <v>45</v>
      </c>
      <c r="R251" s="1" t="str">
        <f aca="false">IF(H251=M251,"Home",IF(H251=N251,"Away",IF(H251="PICK","Pick","N/A")))</f>
        <v>Home</v>
      </c>
      <c r="S251" s="1" t="n">
        <f aca="false">IF(R251="Home",P251,IF(R251="Away",-P251,""))</f>
        <v>31</v>
      </c>
      <c r="T251" s="1" t="str">
        <f aca="false">IF(R251="Pick","No Line",IF(S251="","N/A",IF(S251+I251&gt;0,"Favorite Covered",IF(S251+I251&lt;0,"Underdog Covered","Push"))))</f>
        <v>Favorite Covered</v>
      </c>
      <c r="U251" s="1" t="str">
        <f aca="false">IF(Q251&gt;J251,"Over",IF(Q251&lt;J251,"Under","Push"))</f>
        <v>Over</v>
      </c>
    </row>
    <row r="252" customFormat="false" ht="15" hidden="false" customHeight="false" outlineLevel="0" collapsed="false">
      <c r="A252" s="1" t="s">
        <v>232</v>
      </c>
      <c r="B252" s="1" t="n">
        <v>2010</v>
      </c>
      <c r="C252" s="1" t="s">
        <v>233</v>
      </c>
      <c r="D252" s="1" t="s">
        <v>95</v>
      </c>
      <c r="E252" s="1" t="s">
        <v>113</v>
      </c>
      <c r="F252" s="1" t="n">
        <v>13</v>
      </c>
      <c r="G252" s="1" t="n">
        <v>23</v>
      </c>
      <c r="H252" s="1" t="s">
        <v>96</v>
      </c>
      <c r="I252" s="1" t="n">
        <v>-7</v>
      </c>
      <c r="J252" s="1" t="n">
        <v>47</v>
      </c>
      <c r="K252" s="1" t="s">
        <v>142</v>
      </c>
      <c r="L252" s="1" t="b">
        <f aca="false">FALSE()</f>
        <v>0</v>
      </c>
      <c r="M252" s="1" t="str">
        <f aca="false">VLOOKUP(D252,'Team Reference'!$A:$B,2,FALSE())</f>
        <v>NO</v>
      </c>
      <c r="N252" s="1" t="str">
        <f aca="false">VLOOKUP(E252,'Team Reference'!$A:$B,2,FALSE())</f>
        <v>TB</v>
      </c>
      <c r="O252" s="1" t="str">
        <f aca="false">IF(F252&gt;G252,M252,IF(G252&gt;F252,N252,"Tie"))</f>
        <v>TB</v>
      </c>
      <c r="P252" s="1" t="n">
        <f aca="false">F252-G252</f>
        <v>-10</v>
      </c>
      <c r="Q252" s="1" t="n">
        <f aca="false">F252+G252</f>
        <v>36</v>
      </c>
      <c r="R252" s="1" t="str">
        <f aca="false">IF(H252=M252,"Home",IF(H252=N252,"Away",IF(H252="PICK","Pick","N/A")))</f>
        <v>Home</v>
      </c>
      <c r="S252" s="1" t="n">
        <f aca="false">IF(R252="Home",P252,IF(R252="Away",-P252,""))</f>
        <v>-10</v>
      </c>
      <c r="T252" s="1" t="str">
        <f aca="false">IF(R252="Pick","No Line",IF(S252="","N/A",IF(S252+I252&gt;0,"Favorite Covered",IF(S252+I252&lt;0,"Underdog Covered","Push"))))</f>
        <v>Underdog Covered</v>
      </c>
      <c r="U252" s="1" t="str">
        <f aca="false">IF(Q252&gt;J252,"Over",IF(Q252&lt;J252,"Under","Push"))</f>
        <v>Under</v>
      </c>
    </row>
    <row r="253" customFormat="false" ht="15" hidden="false" customHeight="false" outlineLevel="0" collapsed="false">
      <c r="A253" s="1" t="s">
        <v>232</v>
      </c>
      <c r="B253" s="1" t="n">
        <v>2010</v>
      </c>
      <c r="C253" s="1" t="s">
        <v>233</v>
      </c>
      <c r="D253" s="1" t="s">
        <v>99</v>
      </c>
      <c r="E253" s="1" t="s">
        <v>59</v>
      </c>
      <c r="F253" s="1" t="n">
        <v>38</v>
      </c>
      <c r="G253" s="1" t="n">
        <v>7</v>
      </c>
      <c r="H253" s="1" t="s">
        <v>100</v>
      </c>
      <c r="I253" s="1" t="n">
        <v>-1.5</v>
      </c>
      <c r="J253" s="1" t="n">
        <v>38</v>
      </c>
      <c r="K253" s="1" t="s">
        <v>149</v>
      </c>
      <c r="L253" s="1" t="b">
        <f aca="false">FALSE()</f>
        <v>0</v>
      </c>
      <c r="M253" s="1" t="str">
        <f aca="false">VLOOKUP(D253,'Team Reference'!$A:$B,2,FALSE())</f>
        <v>NYJ</v>
      </c>
      <c r="N253" s="1" t="str">
        <f aca="false">VLOOKUP(E253,'Team Reference'!$A:$B,2,FALSE())</f>
        <v>BUF</v>
      </c>
      <c r="O253" s="1" t="str">
        <f aca="false">IF(F253&gt;G253,M253,IF(G253&gt;F253,N253,"Tie"))</f>
        <v>NYJ</v>
      </c>
      <c r="P253" s="1" t="n">
        <f aca="false">F253-G253</f>
        <v>31</v>
      </c>
      <c r="Q253" s="1" t="n">
        <f aca="false">F253+G253</f>
        <v>45</v>
      </c>
      <c r="R253" s="1" t="str">
        <f aca="false">IF(H253=M253,"Home",IF(H253=N253,"Away",IF(H253="PICK","Pick","N/A")))</f>
        <v>Home</v>
      </c>
      <c r="S253" s="1" t="n">
        <f aca="false">IF(R253="Home",P253,IF(R253="Away",-P253,""))</f>
        <v>31</v>
      </c>
      <c r="T253" s="1" t="str">
        <f aca="false">IF(R253="Pick","No Line",IF(S253="","N/A",IF(S253+I253&gt;0,"Favorite Covered",IF(S253+I253&lt;0,"Underdog Covered","Push"))))</f>
        <v>Favorite Covered</v>
      </c>
      <c r="U253" s="1" t="str">
        <f aca="false">IF(Q253&gt;J253,"Over",IF(Q253&lt;J253,"Under","Push"))</f>
        <v>Over</v>
      </c>
    </row>
    <row r="254" customFormat="false" ht="15" hidden="false" customHeight="false" outlineLevel="0" collapsed="false">
      <c r="A254" s="1" t="s">
        <v>232</v>
      </c>
      <c r="B254" s="1" t="n">
        <v>2010</v>
      </c>
      <c r="C254" s="1" t="s">
        <v>233</v>
      </c>
      <c r="D254" s="1" t="s">
        <v>103</v>
      </c>
      <c r="E254" s="1" t="s">
        <v>69</v>
      </c>
      <c r="F254" s="1" t="n">
        <v>13</v>
      </c>
      <c r="G254" s="1" t="n">
        <v>14</v>
      </c>
      <c r="H254" s="1" t="s">
        <v>200</v>
      </c>
      <c r="I254" s="1" t="n">
        <v>0</v>
      </c>
      <c r="J254" s="1" t="n">
        <v>43.5</v>
      </c>
      <c r="K254" s="1" t="s">
        <v>150</v>
      </c>
      <c r="L254" s="1" t="b">
        <f aca="false">FALSE()</f>
        <v>0</v>
      </c>
      <c r="M254" s="1" t="str">
        <f aca="false">VLOOKUP(D254,'Team Reference'!$A:$B,2,FALSE())</f>
        <v>PHI</v>
      </c>
      <c r="N254" s="1" t="str">
        <f aca="false">VLOOKUP(E254,'Team Reference'!$A:$B,2,FALSE())</f>
        <v>DAL</v>
      </c>
      <c r="O254" s="1" t="str">
        <f aca="false">IF(F254&gt;G254,M254,IF(G254&gt;F254,N254,"Tie"))</f>
        <v>DAL</v>
      </c>
      <c r="P254" s="1" t="n">
        <f aca="false">F254-G254</f>
        <v>-1</v>
      </c>
      <c r="Q254" s="1" t="n">
        <f aca="false">F254+G254</f>
        <v>27</v>
      </c>
      <c r="R254" s="1" t="str">
        <f aca="false">IF(H254=M254,"Home",IF(H254=N254,"Away",IF(H254="PICK","Pick","N/A")))</f>
        <v>Pick</v>
      </c>
      <c r="S254" s="1" t="str">
        <f aca="false">IF(R254="Home",P254,IF(R254="Away",-P254,""))</f>
        <v/>
      </c>
      <c r="T254" s="1" t="str">
        <f aca="false">IF(R254="Pick","No Line",IF(S254="","N/A",IF(S254+I254&gt;0,"Favorite Covered",IF(S254+I254&lt;0,"Underdog Covered","Push"))))</f>
        <v>No Line</v>
      </c>
      <c r="U254" s="1" t="str">
        <f aca="false">IF(Q254&gt;J254,"Over",IF(Q254&lt;J254,"Under","Push"))</f>
        <v>Under</v>
      </c>
    </row>
    <row r="255" customFormat="false" ht="15" hidden="false" customHeight="false" outlineLevel="0" collapsed="false">
      <c r="A255" s="1" t="s">
        <v>232</v>
      </c>
      <c r="B255" s="1" t="n">
        <v>2010</v>
      </c>
      <c r="C255" s="1" t="s">
        <v>233</v>
      </c>
      <c r="D255" s="1" t="s">
        <v>108</v>
      </c>
      <c r="E255" s="1" t="s">
        <v>53</v>
      </c>
      <c r="F255" s="1" t="n">
        <v>38</v>
      </c>
      <c r="G255" s="1" t="n">
        <v>7</v>
      </c>
      <c r="H255" s="1" t="s">
        <v>109</v>
      </c>
      <c r="I255" s="1" t="n">
        <v>-6</v>
      </c>
      <c r="J255" s="1" t="n">
        <v>39</v>
      </c>
      <c r="K255" s="1" t="s">
        <v>174</v>
      </c>
      <c r="L255" s="1" t="b">
        <f aca="false">FALSE()</f>
        <v>0</v>
      </c>
      <c r="M255" s="1" t="str">
        <f aca="false">VLOOKUP(D255,'Team Reference'!$A:$B,2,FALSE())</f>
        <v>SF</v>
      </c>
      <c r="N255" s="1" t="str">
        <f aca="false">VLOOKUP(E255,'Team Reference'!$A:$B,2,FALSE())</f>
        <v>ARI</v>
      </c>
      <c r="O255" s="1" t="str">
        <f aca="false">IF(F255&gt;G255,M255,IF(G255&gt;F255,N255,"Tie"))</f>
        <v>SF</v>
      </c>
      <c r="P255" s="1" t="n">
        <f aca="false">F255-G255</f>
        <v>31</v>
      </c>
      <c r="Q255" s="1" t="n">
        <f aca="false">F255+G255</f>
        <v>45</v>
      </c>
      <c r="R255" s="1" t="str">
        <f aca="false">IF(H255=M255,"Home",IF(H255=N255,"Away",IF(H255="PICK","Pick","N/A")))</f>
        <v>Home</v>
      </c>
      <c r="S255" s="1" t="n">
        <f aca="false">IF(R255="Home",P255,IF(R255="Away",-P255,""))</f>
        <v>31</v>
      </c>
      <c r="T255" s="1" t="str">
        <f aca="false">IF(R255="Pick","No Line",IF(S255="","N/A",IF(S255+I255&gt;0,"Favorite Covered",IF(S255+I255&lt;0,"Underdog Covered","Push"))))</f>
        <v>Favorite Covered</v>
      </c>
      <c r="U255" s="1" t="str">
        <f aca="false">IF(Q255&gt;J255,"Over",IF(Q255&lt;J255,"Under","Push"))</f>
        <v>Over</v>
      </c>
    </row>
    <row r="256" customFormat="false" ht="15" hidden="false" customHeight="false" outlineLevel="0" collapsed="false">
      <c r="A256" s="1" t="s">
        <v>232</v>
      </c>
      <c r="B256" s="1" t="n">
        <v>2010</v>
      </c>
      <c r="C256" s="1" t="s">
        <v>233</v>
      </c>
      <c r="D256" s="1" t="s">
        <v>110</v>
      </c>
      <c r="E256" s="1" t="s">
        <v>112</v>
      </c>
      <c r="F256" s="1" t="n">
        <v>16</v>
      </c>
      <c r="G256" s="1" t="n">
        <v>6</v>
      </c>
      <c r="H256" s="1" t="s">
        <v>88</v>
      </c>
      <c r="I256" s="1" t="n">
        <v>-3</v>
      </c>
      <c r="J256" s="1" t="n">
        <v>41.5</v>
      </c>
      <c r="K256" s="1" t="s">
        <v>152</v>
      </c>
      <c r="L256" s="1" t="b">
        <f aca="false">FALSE()</f>
        <v>0</v>
      </c>
      <c r="M256" s="1" t="str">
        <f aca="false">VLOOKUP(D256,'Team Reference'!$A:$B,2,FALSE())</f>
        <v>SEA</v>
      </c>
      <c r="N256" s="1" t="str">
        <f aca="false">VLOOKUP(E256,'Team Reference'!$A:$B,2,FALSE())</f>
        <v>LAR</v>
      </c>
      <c r="O256" s="1" t="str">
        <f aca="false">IF(F256&gt;G256,M256,IF(G256&gt;F256,N256,"Tie"))</f>
        <v>SEA</v>
      </c>
      <c r="P256" s="1" t="n">
        <f aca="false">F256-G256</f>
        <v>10</v>
      </c>
      <c r="Q256" s="1" t="n">
        <f aca="false">F256+G256</f>
        <v>22</v>
      </c>
      <c r="R256" s="1" t="str">
        <f aca="false">IF(H256=M256,"Home",IF(H256=N256,"Away",IF(H256="PICK","Pick","N/A")))</f>
        <v>Away</v>
      </c>
      <c r="S256" s="1" t="n">
        <f aca="false">IF(R256="Home",P256,IF(R256="Away",-P256,""))</f>
        <v>-10</v>
      </c>
      <c r="T256" s="1" t="str">
        <f aca="false">IF(R256="Pick","No Line",IF(S256="","N/A",IF(S256+I256&gt;0,"Favorite Covered",IF(S256+I256&lt;0,"Underdog Covered","Push"))))</f>
        <v>Underdog Covered</v>
      </c>
      <c r="U256" s="1" t="str">
        <f aca="false">IF(Q256&gt;J256,"Over",IF(Q256&lt;J256,"Under","Push"))</f>
        <v>Under</v>
      </c>
    </row>
    <row r="257" customFormat="false" ht="15" hidden="false" customHeight="false" outlineLevel="0" collapsed="false">
      <c r="A257" s="1" t="s">
        <v>232</v>
      </c>
      <c r="B257" s="1" t="n">
        <v>2010</v>
      </c>
      <c r="C257" s="1" t="s">
        <v>233</v>
      </c>
      <c r="D257" s="1" t="s">
        <v>117</v>
      </c>
      <c r="E257" s="1" t="s">
        <v>97</v>
      </c>
      <c r="F257" s="1" t="n">
        <v>14</v>
      </c>
      <c r="G257" s="1" t="n">
        <v>17</v>
      </c>
      <c r="H257" s="1" t="s">
        <v>98</v>
      </c>
      <c r="I257" s="1" t="n">
        <v>-4</v>
      </c>
      <c r="J257" s="1" t="n">
        <v>44.5</v>
      </c>
      <c r="K257" s="1" t="s">
        <v>156</v>
      </c>
      <c r="L257" s="1" t="b">
        <f aca="false">FALSE()</f>
        <v>0</v>
      </c>
      <c r="M257" s="1" t="str">
        <f aca="false">VLOOKUP(D257,'Team Reference'!$A:$B,2,FALSE())</f>
        <v>WAS</v>
      </c>
      <c r="N257" s="1" t="str">
        <f aca="false">VLOOKUP(E257,'Team Reference'!$A:$B,2,FALSE())</f>
        <v>NYG</v>
      </c>
      <c r="O257" s="1" t="str">
        <f aca="false">IF(F257&gt;G257,M257,IF(G257&gt;F257,N257,"Tie"))</f>
        <v>NYG</v>
      </c>
      <c r="P257" s="1" t="n">
        <f aca="false">F257-G257</f>
        <v>-3</v>
      </c>
      <c r="Q257" s="1" t="n">
        <f aca="false">F257+G257</f>
        <v>31</v>
      </c>
      <c r="R257" s="1" t="str">
        <f aca="false">IF(H257=M257,"Home",IF(H257=N257,"Away",IF(H257="PICK","Pick","N/A")))</f>
        <v>Away</v>
      </c>
      <c r="S257" s="1" t="n">
        <f aca="false">IF(R257="Home",P257,IF(R257="Away",-P257,""))</f>
        <v>3</v>
      </c>
      <c r="T257" s="1" t="str">
        <f aca="false">IF(R257="Pick","No Line",IF(S257="","N/A",IF(S257+I257&gt;0,"Favorite Covered",IF(S257+I257&lt;0,"Underdog Covered","Push"))))</f>
        <v>Underdog Covered</v>
      </c>
      <c r="U257" s="1" t="str">
        <f aca="false">IF(Q257&gt;J257,"Over",IF(Q257&lt;J257,"Under","Push"))</f>
        <v>Under</v>
      </c>
    </row>
    <row r="258" customFormat="false" ht="15" hidden="false" customHeight="false" outlineLevel="0" collapsed="false">
      <c r="A258" s="1" t="s">
        <v>234</v>
      </c>
      <c r="B258" s="1" t="n">
        <v>2010</v>
      </c>
      <c r="C258" s="1" t="s">
        <v>235</v>
      </c>
      <c r="D258" s="1" t="s">
        <v>79</v>
      </c>
      <c r="E258" s="1" t="s">
        <v>99</v>
      </c>
      <c r="F258" s="1" t="n">
        <v>16</v>
      </c>
      <c r="G258" s="1" t="n">
        <v>17</v>
      </c>
      <c r="H258" s="1" t="s">
        <v>80</v>
      </c>
      <c r="I258" s="1" t="n">
        <v>-2</v>
      </c>
      <c r="J258" s="1" t="n">
        <v>44.5</v>
      </c>
      <c r="L258" s="1" t="b">
        <f aca="false">TRUE()</f>
        <v>1</v>
      </c>
      <c r="M258" s="1" t="str">
        <f aca="false">VLOOKUP(D258,'Team Reference'!$A:$B,2,FALSE())</f>
        <v>IND</v>
      </c>
      <c r="N258" s="1" t="str">
        <f aca="false">VLOOKUP(E258,'Team Reference'!$A:$B,2,FALSE())</f>
        <v>NYJ</v>
      </c>
      <c r="O258" s="1" t="str">
        <f aca="false">IF(F258&gt;G258,M258,IF(G258&gt;F258,N258,"Tie"))</f>
        <v>NYJ</v>
      </c>
      <c r="P258" s="1" t="n">
        <f aca="false">F258-G258</f>
        <v>-1</v>
      </c>
      <c r="Q258" s="1" t="n">
        <f aca="false">F258+G258</f>
        <v>33</v>
      </c>
      <c r="R258" s="1" t="str">
        <f aca="false">IF(H258=M258,"Home",IF(H258=N258,"Away",IF(H258="PICK","Pick","N/A")))</f>
        <v>Home</v>
      </c>
      <c r="S258" s="1" t="n">
        <f aca="false">IF(R258="Home",P258,IF(R258="Away",-P258,""))</f>
        <v>-1</v>
      </c>
      <c r="T258" s="1" t="str">
        <f aca="false">IF(R258="Pick","No Line",IF(S258="","N/A",IF(S258+I258&gt;0,"Favorite Covered",IF(S258+I258&lt;0,"Underdog Covered","Push"))))</f>
        <v>Underdog Covered</v>
      </c>
      <c r="U258" s="1" t="str">
        <f aca="false">IF(Q258&gt;J258,"Over",IF(Q258&lt;J258,"Under","Push"))</f>
        <v>Under</v>
      </c>
    </row>
    <row r="259" customFormat="false" ht="15" hidden="false" customHeight="false" outlineLevel="0" collapsed="false">
      <c r="A259" s="1" t="s">
        <v>234</v>
      </c>
      <c r="B259" s="1" t="n">
        <v>2010</v>
      </c>
      <c r="C259" s="1" t="s">
        <v>235</v>
      </c>
      <c r="D259" s="1" t="s">
        <v>110</v>
      </c>
      <c r="E259" s="1" t="s">
        <v>95</v>
      </c>
      <c r="F259" s="1" t="n">
        <v>41</v>
      </c>
      <c r="G259" s="1" t="n">
        <v>36</v>
      </c>
      <c r="H259" s="1" t="s">
        <v>96</v>
      </c>
      <c r="I259" s="1" t="n">
        <v>-10</v>
      </c>
      <c r="J259" s="1" t="n">
        <v>46</v>
      </c>
      <c r="L259" s="1" t="b">
        <f aca="false">TRUE()</f>
        <v>1</v>
      </c>
      <c r="M259" s="1" t="str">
        <f aca="false">VLOOKUP(D259,'Team Reference'!$A:$B,2,FALSE())</f>
        <v>SEA</v>
      </c>
      <c r="N259" s="1" t="str">
        <f aca="false">VLOOKUP(E259,'Team Reference'!$A:$B,2,FALSE())</f>
        <v>NO</v>
      </c>
      <c r="O259" s="1" t="str">
        <f aca="false">IF(F259&gt;G259,M259,IF(G259&gt;F259,N259,"Tie"))</f>
        <v>SEA</v>
      </c>
      <c r="P259" s="1" t="n">
        <f aca="false">F259-G259</f>
        <v>5</v>
      </c>
      <c r="Q259" s="1" t="n">
        <f aca="false">F259+G259</f>
        <v>77</v>
      </c>
      <c r="R259" s="1" t="str">
        <f aca="false">IF(H259=M259,"Home",IF(H259=N259,"Away",IF(H259="PICK","Pick","N/A")))</f>
        <v>Away</v>
      </c>
      <c r="S259" s="1" t="n">
        <f aca="false">IF(R259="Home",P259,IF(R259="Away",-P259,""))</f>
        <v>-5</v>
      </c>
      <c r="T259" s="1" t="str">
        <f aca="false">IF(R259="Pick","No Line",IF(S259="","N/A",IF(S259+I259&gt;0,"Favorite Covered",IF(S259+I259&lt;0,"Underdog Covered","Push"))))</f>
        <v>Underdog Covered</v>
      </c>
      <c r="U259" s="1" t="str">
        <f aca="false">IF(Q259&gt;J259,"Over",IF(Q259&lt;J259,"Under","Push"))</f>
        <v>Over</v>
      </c>
    </row>
    <row r="260" customFormat="false" ht="15" hidden="false" customHeight="false" outlineLevel="0" collapsed="false">
      <c r="A260" s="1" t="s">
        <v>236</v>
      </c>
      <c r="B260" s="1" t="n">
        <v>2010</v>
      </c>
      <c r="C260" s="1" t="s">
        <v>235</v>
      </c>
      <c r="D260" s="1" t="s">
        <v>83</v>
      </c>
      <c r="E260" s="1" t="s">
        <v>57</v>
      </c>
      <c r="F260" s="1" t="n">
        <v>7</v>
      </c>
      <c r="G260" s="1" t="n">
        <v>30</v>
      </c>
      <c r="H260" s="1" t="s">
        <v>58</v>
      </c>
      <c r="I260" s="1" t="n">
        <v>-3</v>
      </c>
      <c r="J260" s="1" t="n">
        <v>41</v>
      </c>
      <c r="L260" s="1" t="b">
        <f aca="false">TRUE()</f>
        <v>1</v>
      </c>
      <c r="M260" s="1" t="str">
        <f aca="false">VLOOKUP(D260,'Team Reference'!$A:$B,2,FALSE())</f>
        <v>KC</v>
      </c>
      <c r="N260" s="1" t="str">
        <f aca="false">VLOOKUP(E260,'Team Reference'!$A:$B,2,FALSE())</f>
        <v>BAL</v>
      </c>
      <c r="O260" s="1" t="str">
        <f aca="false">IF(F260&gt;G260,M260,IF(G260&gt;F260,N260,"Tie"))</f>
        <v>BAL</v>
      </c>
      <c r="P260" s="1" t="n">
        <f aca="false">F260-G260</f>
        <v>-23</v>
      </c>
      <c r="Q260" s="1" t="n">
        <f aca="false">F260+G260</f>
        <v>37</v>
      </c>
      <c r="R260" s="1" t="str">
        <f aca="false">IF(H260=M260,"Home",IF(H260=N260,"Away",IF(H260="PICK","Pick","N/A")))</f>
        <v>Away</v>
      </c>
      <c r="S260" s="1" t="n">
        <f aca="false">IF(R260="Home",P260,IF(R260="Away",-P260,""))</f>
        <v>23</v>
      </c>
      <c r="T260" s="1" t="str">
        <f aca="false">IF(R260="Pick","No Line",IF(S260="","N/A",IF(S260+I260&gt;0,"Favorite Covered",IF(S260+I260&lt;0,"Underdog Covered","Push"))))</f>
        <v>Favorite Covered</v>
      </c>
      <c r="U260" s="1" t="str">
        <f aca="false">IF(Q260&gt;J260,"Over",IF(Q260&lt;J260,"Under","Push"))</f>
        <v>Under</v>
      </c>
    </row>
    <row r="261" customFormat="false" ht="15" hidden="false" customHeight="false" outlineLevel="0" collapsed="false">
      <c r="A261" s="1" t="s">
        <v>236</v>
      </c>
      <c r="B261" s="1" t="n">
        <v>2010</v>
      </c>
      <c r="C261" s="1" t="s">
        <v>235</v>
      </c>
      <c r="D261" s="1" t="s">
        <v>103</v>
      </c>
      <c r="E261" s="1" t="s">
        <v>75</v>
      </c>
      <c r="F261" s="1" t="n">
        <v>16</v>
      </c>
      <c r="G261" s="1" t="n">
        <v>21</v>
      </c>
      <c r="H261" s="1" t="s">
        <v>104</v>
      </c>
      <c r="I261" s="1" t="n">
        <v>-2.5</v>
      </c>
      <c r="J261" s="1" t="n">
        <v>47</v>
      </c>
      <c r="L261" s="1" t="b">
        <f aca="false">TRUE()</f>
        <v>1</v>
      </c>
      <c r="M261" s="1" t="str">
        <f aca="false">VLOOKUP(D261,'Team Reference'!$A:$B,2,FALSE())</f>
        <v>PHI</v>
      </c>
      <c r="N261" s="1" t="str">
        <f aca="false">VLOOKUP(E261,'Team Reference'!$A:$B,2,FALSE())</f>
        <v>GB</v>
      </c>
      <c r="O261" s="1" t="str">
        <f aca="false">IF(F261&gt;G261,M261,IF(G261&gt;F261,N261,"Tie"))</f>
        <v>GB</v>
      </c>
      <c r="P261" s="1" t="n">
        <f aca="false">F261-G261</f>
        <v>-5</v>
      </c>
      <c r="Q261" s="1" t="n">
        <f aca="false">F261+G261</f>
        <v>37</v>
      </c>
      <c r="R261" s="1" t="str">
        <f aca="false">IF(H261=M261,"Home",IF(H261=N261,"Away",IF(H261="PICK","Pick","N/A")))</f>
        <v>Home</v>
      </c>
      <c r="S261" s="1" t="n">
        <f aca="false">IF(R261="Home",P261,IF(R261="Away",-P261,""))</f>
        <v>-5</v>
      </c>
      <c r="T261" s="1" t="str">
        <f aca="false">IF(R261="Pick","No Line",IF(S261="","N/A",IF(S261+I261&gt;0,"Favorite Covered",IF(S261+I261&lt;0,"Underdog Covered","Push"))))</f>
        <v>Underdog Covered</v>
      </c>
      <c r="U261" s="1" t="str">
        <f aca="false">IF(Q261&gt;J261,"Over",IF(Q261&lt;J261,"Under","Push"))</f>
        <v>Under</v>
      </c>
    </row>
    <row r="262" customFormat="false" ht="15" hidden="false" customHeight="false" outlineLevel="0" collapsed="false">
      <c r="A262" s="1" t="s">
        <v>237</v>
      </c>
      <c r="B262" s="1" t="n">
        <v>2010</v>
      </c>
      <c r="C262" s="1" t="s">
        <v>238</v>
      </c>
      <c r="D262" s="1" t="s">
        <v>55</v>
      </c>
      <c r="E262" s="1" t="s">
        <v>75</v>
      </c>
      <c r="F262" s="1" t="n">
        <v>21</v>
      </c>
      <c r="G262" s="1" t="n">
        <v>48</v>
      </c>
      <c r="H262" s="1" t="s">
        <v>56</v>
      </c>
      <c r="I262" s="1" t="n">
        <v>-1.5</v>
      </c>
      <c r="J262" s="1" t="n">
        <v>43.5</v>
      </c>
      <c r="K262" s="1" t="s">
        <v>161</v>
      </c>
      <c r="L262" s="1" t="b">
        <f aca="false">TRUE()</f>
        <v>1</v>
      </c>
      <c r="M262" s="1" t="str">
        <f aca="false">VLOOKUP(D262,'Team Reference'!$A:$B,2,FALSE())</f>
        <v>ATL</v>
      </c>
      <c r="N262" s="1" t="str">
        <f aca="false">VLOOKUP(E262,'Team Reference'!$A:$B,2,FALSE())</f>
        <v>GB</v>
      </c>
      <c r="O262" s="1" t="str">
        <f aca="false">IF(F262&gt;G262,M262,IF(G262&gt;F262,N262,"Tie"))</f>
        <v>GB</v>
      </c>
      <c r="P262" s="1" t="n">
        <f aca="false">F262-G262</f>
        <v>-27</v>
      </c>
      <c r="Q262" s="1" t="n">
        <f aca="false">F262+G262</f>
        <v>69</v>
      </c>
      <c r="R262" s="1" t="str">
        <f aca="false">IF(H262=M262,"Home",IF(H262=N262,"Away",IF(H262="PICK","Pick","N/A")))</f>
        <v>Home</v>
      </c>
      <c r="S262" s="1" t="n">
        <f aca="false">IF(R262="Home",P262,IF(R262="Away",-P262,""))</f>
        <v>-27</v>
      </c>
      <c r="T262" s="1" t="str">
        <f aca="false">IF(R262="Pick","No Line",IF(S262="","N/A",IF(S262+I262&gt;0,"Favorite Covered",IF(S262+I262&lt;0,"Underdog Covered","Push"))))</f>
        <v>Underdog Covered</v>
      </c>
      <c r="U262" s="1" t="str">
        <f aca="false">IF(Q262&gt;J262,"Over",IF(Q262&lt;J262,"Under","Push"))</f>
        <v>Over</v>
      </c>
    </row>
    <row r="263" customFormat="false" ht="15" hidden="false" customHeight="false" outlineLevel="0" collapsed="false">
      <c r="A263" s="1" t="s">
        <v>237</v>
      </c>
      <c r="B263" s="1" t="n">
        <v>2010</v>
      </c>
      <c r="C263" s="1" t="s">
        <v>238</v>
      </c>
      <c r="D263" s="1" t="s">
        <v>105</v>
      </c>
      <c r="E263" s="1" t="s">
        <v>57</v>
      </c>
      <c r="F263" s="1" t="n">
        <v>31</v>
      </c>
      <c r="G263" s="1" t="n">
        <v>24</v>
      </c>
      <c r="H263" s="1" t="s">
        <v>106</v>
      </c>
      <c r="I263" s="1" t="n">
        <v>-3</v>
      </c>
      <c r="J263" s="1" t="n">
        <v>37</v>
      </c>
      <c r="L263" s="1" t="b">
        <f aca="false">TRUE()</f>
        <v>1</v>
      </c>
      <c r="M263" s="1" t="str">
        <f aca="false">VLOOKUP(D263,'Team Reference'!$A:$B,2,FALSE())</f>
        <v>PIT</v>
      </c>
      <c r="N263" s="1" t="str">
        <f aca="false">VLOOKUP(E263,'Team Reference'!$A:$B,2,FALSE())</f>
        <v>BAL</v>
      </c>
      <c r="O263" s="1" t="str">
        <f aca="false">IF(F263&gt;G263,M263,IF(G263&gt;F263,N263,"Tie"))</f>
        <v>PIT</v>
      </c>
      <c r="P263" s="1" t="n">
        <f aca="false">F263-G263</f>
        <v>7</v>
      </c>
      <c r="Q263" s="1" t="n">
        <f aca="false">F263+G263</f>
        <v>55</v>
      </c>
      <c r="R263" s="1" t="str">
        <f aca="false">IF(H263=M263,"Home",IF(H263=N263,"Away",IF(H263="PICK","Pick","N/A")))</f>
        <v>Home</v>
      </c>
      <c r="S263" s="1" t="n">
        <f aca="false">IF(R263="Home",P263,IF(R263="Away",-P263,""))</f>
        <v>7</v>
      </c>
      <c r="T263" s="1" t="str">
        <f aca="false">IF(R263="Pick","No Line",IF(S263="","N/A",IF(S263+I263&gt;0,"Favorite Covered",IF(S263+I263&lt;0,"Underdog Covered","Push"))))</f>
        <v>Favorite Covered</v>
      </c>
      <c r="U263" s="1" t="str">
        <f aca="false">IF(Q263&gt;J263,"Over",IF(Q263&lt;J263,"Under","Push"))</f>
        <v>Over</v>
      </c>
    </row>
    <row r="264" customFormat="false" ht="15" hidden="false" customHeight="false" outlineLevel="0" collapsed="false">
      <c r="A264" s="1" t="s">
        <v>239</v>
      </c>
      <c r="B264" s="1" t="n">
        <v>2010</v>
      </c>
      <c r="C264" s="1" t="s">
        <v>238</v>
      </c>
      <c r="D264" s="1" t="s">
        <v>63</v>
      </c>
      <c r="E264" s="1" t="s">
        <v>110</v>
      </c>
      <c r="F264" s="1" t="n">
        <v>35</v>
      </c>
      <c r="G264" s="1" t="n">
        <v>24</v>
      </c>
      <c r="H264" s="1" t="s">
        <v>64</v>
      </c>
      <c r="I264" s="1" t="n">
        <v>-10</v>
      </c>
      <c r="J264" s="1" t="n">
        <v>43</v>
      </c>
      <c r="K264" s="1" t="s">
        <v>145</v>
      </c>
      <c r="L264" s="1" t="b">
        <f aca="false">TRUE()</f>
        <v>1</v>
      </c>
      <c r="M264" s="1" t="str">
        <f aca="false">VLOOKUP(D264,'Team Reference'!$A:$B,2,FALSE())</f>
        <v>CHI</v>
      </c>
      <c r="N264" s="1" t="str">
        <f aca="false">VLOOKUP(E264,'Team Reference'!$A:$B,2,FALSE())</f>
        <v>SEA</v>
      </c>
      <c r="O264" s="1" t="str">
        <f aca="false">IF(F264&gt;G264,M264,IF(G264&gt;F264,N264,"Tie"))</f>
        <v>CHI</v>
      </c>
      <c r="P264" s="1" t="n">
        <f aca="false">F264-G264</f>
        <v>11</v>
      </c>
      <c r="Q264" s="1" t="n">
        <f aca="false">F264+G264</f>
        <v>59</v>
      </c>
      <c r="R264" s="1" t="str">
        <f aca="false">IF(H264=M264,"Home",IF(H264=N264,"Away",IF(H264="PICK","Pick","N/A")))</f>
        <v>Home</v>
      </c>
      <c r="S264" s="1" t="n">
        <f aca="false">IF(R264="Home",P264,IF(R264="Away",-P264,""))</f>
        <v>11</v>
      </c>
      <c r="T264" s="1" t="str">
        <f aca="false">IF(R264="Pick","No Line",IF(S264="","N/A",IF(S264+I264&gt;0,"Favorite Covered",IF(S264+I264&lt;0,"Underdog Covered","Push"))))</f>
        <v>Favorite Covered</v>
      </c>
      <c r="U264" s="1" t="str">
        <f aca="false">IF(Q264&gt;J264,"Over",IF(Q264&lt;J264,"Under","Push"))</f>
        <v>Over</v>
      </c>
    </row>
    <row r="265" customFormat="false" ht="15" hidden="false" customHeight="false" outlineLevel="0" collapsed="false">
      <c r="A265" s="1" t="s">
        <v>239</v>
      </c>
      <c r="B265" s="1" t="n">
        <v>2010</v>
      </c>
      <c r="C265" s="1" t="s">
        <v>238</v>
      </c>
      <c r="D265" s="1" t="s">
        <v>93</v>
      </c>
      <c r="E265" s="1" t="s">
        <v>99</v>
      </c>
      <c r="F265" s="1" t="n">
        <v>21</v>
      </c>
      <c r="G265" s="1" t="n">
        <v>28</v>
      </c>
      <c r="H265" s="1" t="s">
        <v>94</v>
      </c>
      <c r="I265" s="1" t="n">
        <v>-9.5</v>
      </c>
      <c r="J265" s="1" t="n">
        <v>45</v>
      </c>
      <c r="L265" s="1" t="b">
        <f aca="false">TRUE()</f>
        <v>1</v>
      </c>
      <c r="M265" s="1" t="str">
        <f aca="false">VLOOKUP(D265,'Team Reference'!$A:$B,2,FALSE())</f>
        <v>NE</v>
      </c>
      <c r="N265" s="1" t="str">
        <f aca="false">VLOOKUP(E265,'Team Reference'!$A:$B,2,FALSE())</f>
        <v>NYJ</v>
      </c>
      <c r="O265" s="1" t="str">
        <f aca="false">IF(F265&gt;G265,M265,IF(G265&gt;F265,N265,"Tie"))</f>
        <v>NYJ</v>
      </c>
      <c r="P265" s="1" t="n">
        <f aca="false">F265-G265</f>
        <v>-7</v>
      </c>
      <c r="Q265" s="1" t="n">
        <f aca="false">F265+G265</f>
        <v>49</v>
      </c>
      <c r="R265" s="1" t="str">
        <f aca="false">IF(H265=M265,"Home",IF(H265=N265,"Away",IF(H265="PICK","Pick","N/A")))</f>
        <v>Home</v>
      </c>
      <c r="S265" s="1" t="n">
        <f aca="false">IF(R265="Home",P265,IF(R265="Away",-P265,""))</f>
        <v>-7</v>
      </c>
      <c r="T265" s="1" t="str">
        <f aca="false">IF(R265="Pick","No Line",IF(S265="","N/A",IF(S265+I265&gt;0,"Favorite Covered",IF(S265+I265&lt;0,"Underdog Covered","Push"))))</f>
        <v>Underdog Covered</v>
      </c>
      <c r="U265" s="1" t="str">
        <f aca="false">IF(Q265&gt;J265,"Over",IF(Q265&lt;J265,"Under","Push"))</f>
        <v>Over</v>
      </c>
    </row>
    <row r="266" customFormat="false" ht="15" hidden="false" customHeight="false" outlineLevel="0" collapsed="false">
      <c r="A266" s="1" t="s">
        <v>240</v>
      </c>
      <c r="B266" s="1" t="n">
        <v>2010</v>
      </c>
      <c r="C266" s="1" t="s">
        <v>241</v>
      </c>
      <c r="D266" s="1" t="s">
        <v>63</v>
      </c>
      <c r="E266" s="1" t="s">
        <v>75</v>
      </c>
      <c r="F266" s="1" t="n">
        <v>14</v>
      </c>
      <c r="G266" s="1" t="n">
        <v>21</v>
      </c>
      <c r="H266" s="1" t="s">
        <v>76</v>
      </c>
      <c r="I266" s="1" t="n">
        <v>-3.5</v>
      </c>
      <c r="J266" s="1" t="n">
        <v>42.5</v>
      </c>
      <c r="K266" s="1" t="s">
        <v>145</v>
      </c>
      <c r="L266" s="1" t="b">
        <f aca="false">TRUE()</f>
        <v>1</v>
      </c>
      <c r="M266" s="1" t="str">
        <f aca="false">VLOOKUP(D266,'Team Reference'!$A:$B,2,FALSE())</f>
        <v>CHI</v>
      </c>
      <c r="N266" s="1" t="str">
        <f aca="false">VLOOKUP(E266,'Team Reference'!$A:$B,2,FALSE())</f>
        <v>GB</v>
      </c>
      <c r="O266" s="1" t="str">
        <f aca="false">IF(F266&gt;G266,M266,IF(G266&gt;F266,N266,"Tie"))</f>
        <v>GB</v>
      </c>
      <c r="P266" s="1" t="n">
        <f aca="false">F266-G266</f>
        <v>-7</v>
      </c>
      <c r="Q266" s="1" t="n">
        <f aca="false">F266+G266</f>
        <v>35</v>
      </c>
      <c r="R266" s="1" t="str">
        <f aca="false">IF(H266=M266,"Home",IF(H266=N266,"Away",IF(H266="PICK","Pick","N/A")))</f>
        <v>Away</v>
      </c>
      <c r="S266" s="1" t="n">
        <f aca="false">IF(R266="Home",P266,IF(R266="Away",-P266,""))</f>
        <v>7</v>
      </c>
      <c r="T266" s="1" t="str">
        <f aca="false">IF(R266="Pick","No Line",IF(S266="","N/A",IF(S266+I266&gt;0,"Favorite Covered",IF(S266+I266&lt;0,"Underdog Covered","Push"))))</f>
        <v>Favorite Covered</v>
      </c>
      <c r="U266" s="1" t="str">
        <f aca="false">IF(Q266&gt;J266,"Over",IF(Q266&lt;J266,"Under","Push"))</f>
        <v>Under</v>
      </c>
    </row>
    <row r="267" customFormat="false" ht="15" hidden="false" customHeight="false" outlineLevel="0" collapsed="false">
      <c r="A267" s="1" t="s">
        <v>240</v>
      </c>
      <c r="B267" s="1" t="n">
        <v>2010</v>
      </c>
      <c r="C267" s="1" t="s">
        <v>241</v>
      </c>
      <c r="D267" s="1" t="s">
        <v>105</v>
      </c>
      <c r="E267" s="1" t="s">
        <v>99</v>
      </c>
      <c r="F267" s="1" t="n">
        <v>24</v>
      </c>
      <c r="G267" s="1" t="n">
        <v>19</v>
      </c>
      <c r="H267" s="1" t="s">
        <v>106</v>
      </c>
      <c r="I267" s="1" t="n">
        <v>-4</v>
      </c>
      <c r="J267" s="1" t="n">
        <v>38</v>
      </c>
      <c r="L267" s="1" t="b">
        <f aca="false">TRUE()</f>
        <v>1</v>
      </c>
      <c r="M267" s="1" t="str">
        <f aca="false">VLOOKUP(D267,'Team Reference'!$A:$B,2,FALSE())</f>
        <v>PIT</v>
      </c>
      <c r="N267" s="1" t="str">
        <f aca="false">VLOOKUP(E267,'Team Reference'!$A:$B,2,FALSE())</f>
        <v>NYJ</v>
      </c>
      <c r="O267" s="1" t="str">
        <f aca="false">IF(F267&gt;G267,M267,IF(G267&gt;F267,N267,"Tie"))</f>
        <v>PIT</v>
      </c>
      <c r="P267" s="1" t="n">
        <f aca="false">F267-G267</f>
        <v>5</v>
      </c>
      <c r="Q267" s="1" t="n">
        <f aca="false">F267+G267</f>
        <v>43</v>
      </c>
      <c r="R267" s="1" t="str">
        <f aca="false">IF(H267=M267,"Home",IF(H267=N267,"Away",IF(H267="PICK","Pick","N/A")))</f>
        <v>Home</v>
      </c>
      <c r="S267" s="1" t="n">
        <f aca="false">IF(R267="Home",P267,IF(R267="Away",-P267,""))</f>
        <v>5</v>
      </c>
      <c r="T267" s="1" t="str">
        <f aca="false">IF(R267="Pick","No Line",IF(S267="","N/A",IF(S267+I267&gt;0,"Favorite Covered",IF(S267+I267&lt;0,"Underdog Covered","Push"))))</f>
        <v>Favorite Covered</v>
      </c>
      <c r="U267" s="1" t="str">
        <f aca="false">IF(Q267&gt;J267,"Over",IF(Q267&lt;J267,"Under","Push"))</f>
        <v>Over</v>
      </c>
    </row>
    <row r="268" customFormat="false" ht="15" hidden="false" customHeight="false" outlineLevel="0" collapsed="false">
      <c r="A268" s="1" t="s">
        <v>242</v>
      </c>
      <c r="B268" s="1" t="n">
        <v>2010</v>
      </c>
      <c r="C268" s="1" t="s">
        <v>243</v>
      </c>
      <c r="D268" s="1" t="s">
        <v>75</v>
      </c>
      <c r="E268" s="1" t="s">
        <v>105</v>
      </c>
      <c r="F268" s="1" t="n">
        <v>31</v>
      </c>
      <c r="G268" s="1" t="n">
        <v>25</v>
      </c>
      <c r="H268" s="1" t="s">
        <v>76</v>
      </c>
      <c r="I268" s="1" t="n">
        <v>-3</v>
      </c>
      <c r="J268" s="1" t="n">
        <v>45</v>
      </c>
      <c r="K268" s="1" t="s">
        <v>165</v>
      </c>
      <c r="L268" s="1" t="b">
        <f aca="false">TRUE()</f>
        <v>1</v>
      </c>
      <c r="M268" s="1" t="str">
        <f aca="false">VLOOKUP(D268,'Team Reference'!$A:$B,2,FALSE())</f>
        <v>GB</v>
      </c>
      <c r="N268" s="1" t="str">
        <f aca="false">VLOOKUP(E268,'Team Reference'!$A:$B,2,FALSE())</f>
        <v>PIT</v>
      </c>
      <c r="O268" s="1" t="str">
        <f aca="false">IF(F268&gt;G268,M268,IF(G268&gt;F268,N268,"Tie"))</f>
        <v>GB</v>
      </c>
      <c r="P268" s="1" t="n">
        <f aca="false">F268-G268</f>
        <v>6</v>
      </c>
      <c r="Q268" s="1" t="n">
        <f aca="false">F268+G268</f>
        <v>56</v>
      </c>
      <c r="R268" s="1" t="str">
        <f aca="false">IF(H268=M268,"Home",IF(H268=N268,"Away",IF(H268="PICK","Pick","N/A")))</f>
        <v>Home</v>
      </c>
      <c r="S268" s="1" t="n">
        <f aca="false">IF(R268="Home",P268,IF(R268="Away",-P268,""))</f>
        <v>6</v>
      </c>
      <c r="T268" s="1" t="str">
        <f aca="false">IF(R268="Pick","No Line",IF(S268="","N/A",IF(S268+I268&gt;0,"Favorite Covered",IF(S268+I268&lt;0,"Underdog Covered","Push"))))</f>
        <v>Favorite Covered</v>
      </c>
      <c r="U268" s="1" t="str">
        <f aca="false">IF(Q268&gt;J268,"Over",IF(Q268&lt;J268,"Under","Push"))</f>
        <v>Over</v>
      </c>
    </row>
    <row r="269" customFormat="false" ht="15" hidden="false" customHeight="false" outlineLevel="0" collapsed="false">
      <c r="A269" s="1" t="s">
        <v>244</v>
      </c>
      <c r="B269" s="1" t="n">
        <v>2011</v>
      </c>
      <c r="C269" s="1" t="s">
        <v>141</v>
      </c>
      <c r="D269" s="1" t="s">
        <v>75</v>
      </c>
      <c r="E269" s="1" t="s">
        <v>95</v>
      </c>
      <c r="F269" s="1" t="n">
        <v>42</v>
      </c>
      <c r="G269" s="1" t="n">
        <v>34</v>
      </c>
      <c r="H269" s="1" t="s">
        <v>76</v>
      </c>
      <c r="I269" s="1" t="n">
        <v>-5</v>
      </c>
      <c r="J269" s="1" t="n">
        <v>48</v>
      </c>
      <c r="K269" s="1" t="s">
        <v>168</v>
      </c>
      <c r="L269" s="1" t="b">
        <f aca="false">FALSE()</f>
        <v>0</v>
      </c>
      <c r="M269" s="1" t="str">
        <f aca="false">VLOOKUP(D269,'Team Reference'!$A:$B,2,FALSE())</f>
        <v>GB</v>
      </c>
      <c r="N269" s="1" t="str">
        <f aca="false">VLOOKUP(E269,'Team Reference'!$A:$B,2,FALSE())</f>
        <v>NO</v>
      </c>
      <c r="O269" s="1" t="str">
        <f aca="false">IF(F269&gt;G269,M269,IF(G269&gt;F269,N269,"Tie"))</f>
        <v>GB</v>
      </c>
      <c r="P269" s="1" t="n">
        <f aca="false">F269-G269</f>
        <v>8</v>
      </c>
      <c r="Q269" s="1" t="n">
        <f aca="false">F269+G269</f>
        <v>76</v>
      </c>
      <c r="R269" s="1" t="str">
        <f aca="false">IF(H269=M269,"Home",IF(H269=N269,"Away",IF(H269="PICK","Pick","N/A")))</f>
        <v>Home</v>
      </c>
      <c r="S269" s="1" t="n">
        <f aca="false">IF(R269="Home",P269,IF(R269="Away",-P269,""))</f>
        <v>8</v>
      </c>
      <c r="T269" s="1" t="str">
        <f aca="false">IF(R269="Pick","No Line",IF(S269="","N/A",IF(S269+I269&gt;0,"Favorite Covered",IF(S269+I269&lt;0,"Underdog Covered","Push"))))</f>
        <v>Favorite Covered</v>
      </c>
      <c r="U269" s="1" t="str">
        <f aca="false">IF(Q269&gt;J269,"Over",IF(Q269&lt;J269,"Under","Push"))</f>
        <v>Over</v>
      </c>
    </row>
    <row r="270" customFormat="false" ht="15" hidden="false" customHeight="false" outlineLevel="0" collapsed="false">
      <c r="A270" s="1" t="s">
        <v>245</v>
      </c>
      <c r="B270" s="1" t="n">
        <v>2011</v>
      </c>
      <c r="C270" s="1" t="s">
        <v>141</v>
      </c>
      <c r="D270" s="1" t="s">
        <v>53</v>
      </c>
      <c r="E270" s="1" t="s">
        <v>61</v>
      </c>
      <c r="F270" s="1" t="n">
        <v>28</v>
      </c>
      <c r="G270" s="1" t="n">
        <v>21</v>
      </c>
      <c r="H270" s="1" t="s">
        <v>54</v>
      </c>
      <c r="I270" s="1" t="n">
        <v>-7</v>
      </c>
      <c r="J270" s="1" t="n">
        <v>37.5</v>
      </c>
      <c r="K270" s="1" t="s">
        <v>177</v>
      </c>
      <c r="L270" s="1" t="b">
        <f aca="false">FALSE()</f>
        <v>0</v>
      </c>
      <c r="M270" s="1" t="str">
        <f aca="false">VLOOKUP(D270,'Team Reference'!$A:$B,2,FALSE())</f>
        <v>ARI</v>
      </c>
      <c r="N270" s="1" t="str">
        <f aca="false">VLOOKUP(E270,'Team Reference'!$A:$B,2,FALSE())</f>
        <v>CAR</v>
      </c>
      <c r="O270" s="1" t="str">
        <f aca="false">IF(F270&gt;G270,M270,IF(G270&gt;F270,N270,"Tie"))</f>
        <v>ARI</v>
      </c>
      <c r="P270" s="1" t="n">
        <f aca="false">F270-G270</f>
        <v>7</v>
      </c>
      <c r="Q270" s="1" t="n">
        <f aca="false">F270+G270</f>
        <v>49</v>
      </c>
      <c r="R270" s="1" t="str">
        <f aca="false">IF(H270=M270,"Home",IF(H270=N270,"Away",IF(H270="PICK","Pick","N/A")))</f>
        <v>Home</v>
      </c>
      <c r="S270" s="1" t="n">
        <f aca="false">IF(R270="Home",P270,IF(R270="Away",-P270,""))</f>
        <v>7</v>
      </c>
      <c r="T270" s="1" t="str">
        <f aca="false">IF(R270="Pick","No Line",IF(S270="","N/A",IF(S270+I270&gt;0,"Favorite Covered",IF(S270+I270&lt;0,"Underdog Covered","Push"))))</f>
        <v>Push</v>
      </c>
      <c r="U270" s="1" t="str">
        <f aca="false">IF(Q270&gt;J270,"Over",IF(Q270&lt;J270,"Under","Push"))</f>
        <v>Over</v>
      </c>
    </row>
    <row r="271" customFormat="false" ht="15" hidden="false" customHeight="false" outlineLevel="0" collapsed="false">
      <c r="A271" s="1" t="s">
        <v>245</v>
      </c>
      <c r="B271" s="1" t="n">
        <v>2011</v>
      </c>
      <c r="C271" s="1" t="s">
        <v>141</v>
      </c>
      <c r="D271" s="1" t="s">
        <v>57</v>
      </c>
      <c r="E271" s="1" t="s">
        <v>105</v>
      </c>
      <c r="F271" s="1" t="n">
        <v>35</v>
      </c>
      <c r="G271" s="1" t="n">
        <v>7</v>
      </c>
      <c r="H271" s="1" t="s">
        <v>58</v>
      </c>
      <c r="I271" s="1" t="n">
        <v>-1.5</v>
      </c>
      <c r="J271" s="1" t="n">
        <v>37</v>
      </c>
      <c r="K271" s="1" t="s">
        <v>178</v>
      </c>
      <c r="L271" s="1" t="b">
        <f aca="false">FALSE()</f>
        <v>0</v>
      </c>
      <c r="M271" s="1" t="str">
        <f aca="false">VLOOKUP(D271,'Team Reference'!$A:$B,2,FALSE())</f>
        <v>BAL</v>
      </c>
      <c r="N271" s="1" t="str">
        <f aca="false">VLOOKUP(E271,'Team Reference'!$A:$B,2,FALSE())</f>
        <v>PIT</v>
      </c>
      <c r="O271" s="1" t="str">
        <f aca="false">IF(F271&gt;G271,M271,IF(G271&gt;F271,N271,"Tie"))</f>
        <v>BAL</v>
      </c>
      <c r="P271" s="1" t="n">
        <f aca="false">F271-G271</f>
        <v>28</v>
      </c>
      <c r="Q271" s="1" t="n">
        <f aca="false">F271+G271</f>
        <v>42</v>
      </c>
      <c r="R271" s="1" t="str">
        <f aca="false">IF(H271=M271,"Home",IF(H271=N271,"Away",IF(H271="PICK","Pick","N/A")))</f>
        <v>Home</v>
      </c>
      <c r="S271" s="1" t="n">
        <f aca="false">IF(R271="Home",P271,IF(R271="Away",-P271,""))</f>
        <v>28</v>
      </c>
      <c r="T271" s="1" t="str">
        <f aca="false">IF(R271="Pick","No Line",IF(S271="","N/A",IF(S271+I271&gt;0,"Favorite Covered",IF(S271+I271&lt;0,"Underdog Covered","Push"))))</f>
        <v>Favorite Covered</v>
      </c>
      <c r="U271" s="1" t="str">
        <f aca="false">IF(Q271&gt;J271,"Over",IF(Q271&lt;J271,"Under","Push"))</f>
        <v>Over</v>
      </c>
    </row>
    <row r="272" customFormat="false" ht="15" hidden="false" customHeight="false" outlineLevel="0" collapsed="false">
      <c r="A272" s="1" t="s">
        <v>245</v>
      </c>
      <c r="B272" s="1" t="n">
        <v>2011</v>
      </c>
      <c r="C272" s="1" t="s">
        <v>141</v>
      </c>
      <c r="D272" s="1" t="s">
        <v>63</v>
      </c>
      <c r="E272" s="1" t="s">
        <v>55</v>
      </c>
      <c r="F272" s="1" t="n">
        <v>30</v>
      </c>
      <c r="G272" s="1" t="n">
        <v>12</v>
      </c>
      <c r="H272" s="1" t="s">
        <v>56</v>
      </c>
      <c r="I272" s="1" t="n">
        <v>-1.5</v>
      </c>
      <c r="J272" s="1" t="n">
        <v>41</v>
      </c>
      <c r="K272" s="1" t="s">
        <v>145</v>
      </c>
      <c r="L272" s="1" t="b">
        <f aca="false">FALSE()</f>
        <v>0</v>
      </c>
      <c r="M272" s="1" t="str">
        <f aca="false">VLOOKUP(D272,'Team Reference'!$A:$B,2,FALSE())</f>
        <v>CHI</v>
      </c>
      <c r="N272" s="1" t="str">
        <f aca="false">VLOOKUP(E272,'Team Reference'!$A:$B,2,FALSE())</f>
        <v>ATL</v>
      </c>
      <c r="O272" s="1" t="str">
        <f aca="false">IF(F272&gt;G272,M272,IF(G272&gt;F272,N272,"Tie"))</f>
        <v>CHI</v>
      </c>
      <c r="P272" s="1" t="n">
        <f aca="false">F272-G272</f>
        <v>18</v>
      </c>
      <c r="Q272" s="1" t="n">
        <f aca="false">F272+G272</f>
        <v>42</v>
      </c>
      <c r="R272" s="1" t="str">
        <f aca="false">IF(H272=M272,"Home",IF(H272=N272,"Away",IF(H272="PICK","Pick","N/A")))</f>
        <v>Away</v>
      </c>
      <c r="S272" s="1" t="n">
        <f aca="false">IF(R272="Home",P272,IF(R272="Away",-P272,""))</f>
        <v>-18</v>
      </c>
      <c r="T272" s="1" t="str">
        <f aca="false">IF(R272="Pick","No Line",IF(S272="","N/A",IF(S272+I272&gt;0,"Favorite Covered",IF(S272+I272&lt;0,"Underdog Covered","Push"))))</f>
        <v>Underdog Covered</v>
      </c>
      <c r="U272" s="1" t="str">
        <f aca="false">IF(Q272&gt;J272,"Over",IF(Q272&lt;J272,"Under","Push"))</f>
        <v>Over</v>
      </c>
    </row>
    <row r="273" customFormat="false" ht="15" hidden="false" customHeight="false" outlineLevel="0" collapsed="false">
      <c r="A273" s="1" t="s">
        <v>245</v>
      </c>
      <c r="B273" s="1" t="n">
        <v>2011</v>
      </c>
      <c r="C273" s="1" t="s">
        <v>141</v>
      </c>
      <c r="D273" s="1" t="s">
        <v>67</v>
      </c>
      <c r="E273" s="1" t="s">
        <v>65</v>
      </c>
      <c r="F273" s="1" t="n">
        <v>17</v>
      </c>
      <c r="G273" s="1" t="n">
        <v>27</v>
      </c>
      <c r="H273" s="1" t="s">
        <v>68</v>
      </c>
      <c r="I273" s="1" t="n">
        <v>-7</v>
      </c>
      <c r="J273" s="1" t="n">
        <v>36.5</v>
      </c>
      <c r="K273" s="1" t="s">
        <v>164</v>
      </c>
      <c r="L273" s="1" t="b">
        <f aca="false">FALSE()</f>
        <v>0</v>
      </c>
      <c r="M273" s="1" t="str">
        <f aca="false">VLOOKUP(D273,'Team Reference'!$A:$B,2,FALSE())</f>
        <v>CLE</v>
      </c>
      <c r="N273" s="1" t="str">
        <f aca="false">VLOOKUP(E273,'Team Reference'!$A:$B,2,FALSE())</f>
        <v>CIN</v>
      </c>
      <c r="O273" s="1" t="str">
        <f aca="false">IF(F273&gt;G273,M273,IF(G273&gt;F273,N273,"Tie"))</f>
        <v>CIN</v>
      </c>
      <c r="P273" s="1" t="n">
        <f aca="false">F273-G273</f>
        <v>-10</v>
      </c>
      <c r="Q273" s="1" t="n">
        <f aca="false">F273+G273</f>
        <v>44</v>
      </c>
      <c r="R273" s="1" t="str">
        <f aca="false">IF(H273=M273,"Home",IF(H273=N273,"Away",IF(H273="PICK","Pick","N/A")))</f>
        <v>Home</v>
      </c>
      <c r="S273" s="1" t="n">
        <f aca="false">IF(R273="Home",P273,IF(R273="Away",-P273,""))</f>
        <v>-10</v>
      </c>
      <c r="T273" s="1" t="str">
        <f aca="false">IF(R273="Pick","No Line",IF(S273="","N/A",IF(S273+I273&gt;0,"Favorite Covered",IF(S273+I273&lt;0,"Underdog Covered","Push"))))</f>
        <v>Underdog Covered</v>
      </c>
      <c r="U273" s="1" t="str">
        <f aca="false">IF(Q273&gt;J273,"Over",IF(Q273&lt;J273,"Under","Push"))</f>
        <v>Over</v>
      </c>
    </row>
    <row r="274" customFormat="false" ht="15" hidden="false" customHeight="false" outlineLevel="0" collapsed="false">
      <c r="A274" s="1" t="s">
        <v>245</v>
      </c>
      <c r="B274" s="1" t="n">
        <v>2011</v>
      </c>
      <c r="C274" s="1" t="s">
        <v>141</v>
      </c>
      <c r="D274" s="1" t="s">
        <v>77</v>
      </c>
      <c r="E274" s="1" t="s">
        <v>79</v>
      </c>
      <c r="F274" s="1" t="n">
        <v>34</v>
      </c>
      <c r="G274" s="1" t="n">
        <v>7</v>
      </c>
      <c r="H274" s="1" t="s">
        <v>78</v>
      </c>
      <c r="I274" s="1" t="n">
        <v>-9</v>
      </c>
      <c r="J274" s="1" t="n">
        <v>44</v>
      </c>
      <c r="K274" s="1" t="s">
        <v>146</v>
      </c>
      <c r="L274" s="1" t="b">
        <f aca="false">FALSE()</f>
        <v>0</v>
      </c>
      <c r="M274" s="1" t="str">
        <f aca="false">VLOOKUP(D274,'Team Reference'!$A:$B,2,FALSE())</f>
        <v>HOU</v>
      </c>
      <c r="N274" s="1" t="str">
        <f aca="false">VLOOKUP(E274,'Team Reference'!$A:$B,2,FALSE())</f>
        <v>IND</v>
      </c>
      <c r="O274" s="1" t="str">
        <f aca="false">IF(F274&gt;G274,M274,IF(G274&gt;F274,N274,"Tie"))</f>
        <v>HOU</v>
      </c>
      <c r="P274" s="1" t="n">
        <f aca="false">F274-G274</f>
        <v>27</v>
      </c>
      <c r="Q274" s="1" t="n">
        <f aca="false">F274+G274</f>
        <v>41</v>
      </c>
      <c r="R274" s="1" t="str">
        <f aca="false">IF(H274=M274,"Home",IF(H274=N274,"Away",IF(H274="PICK","Pick","N/A")))</f>
        <v>Home</v>
      </c>
      <c r="S274" s="1" t="n">
        <f aca="false">IF(R274="Home",P274,IF(R274="Away",-P274,""))</f>
        <v>27</v>
      </c>
      <c r="T274" s="1" t="str">
        <f aca="false">IF(R274="Pick","No Line",IF(S274="","N/A",IF(S274+I274&gt;0,"Favorite Covered",IF(S274+I274&lt;0,"Underdog Covered","Push"))))</f>
        <v>Favorite Covered</v>
      </c>
      <c r="U274" s="1" t="str">
        <f aca="false">IF(Q274&gt;J274,"Over",IF(Q274&lt;J274,"Under","Push"))</f>
        <v>Under</v>
      </c>
    </row>
    <row r="275" customFormat="false" ht="15" hidden="false" customHeight="false" outlineLevel="0" collapsed="false">
      <c r="A275" s="1" t="s">
        <v>245</v>
      </c>
      <c r="B275" s="1" t="n">
        <v>2011</v>
      </c>
      <c r="C275" s="1" t="s">
        <v>141</v>
      </c>
      <c r="D275" s="1" t="s">
        <v>81</v>
      </c>
      <c r="E275" s="1" t="s">
        <v>115</v>
      </c>
      <c r="F275" s="1" t="n">
        <v>16</v>
      </c>
      <c r="G275" s="1" t="n">
        <v>14</v>
      </c>
      <c r="H275" s="1" t="s">
        <v>116</v>
      </c>
      <c r="I275" s="1" t="n">
        <v>-1.5</v>
      </c>
      <c r="J275" s="1" t="n">
        <v>38</v>
      </c>
      <c r="K275" s="1" t="s">
        <v>147</v>
      </c>
      <c r="L275" s="1" t="b">
        <f aca="false">FALSE()</f>
        <v>0</v>
      </c>
      <c r="M275" s="1" t="str">
        <f aca="false">VLOOKUP(D275,'Team Reference'!$A:$B,2,FALSE())</f>
        <v>JAX</v>
      </c>
      <c r="N275" s="1" t="str">
        <f aca="false">VLOOKUP(E275,'Team Reference'!$A:$B,2,FALSE())</f>
        <v>TEN</v>
      </c>
      <c r="O275" s="1" t="str">
        <f aca="false">IF(F275&gt;G275,M275,IF(G275&gt;F275,N275,"Tie"))</f>
        <v>JAX</v>
      </c>
      <c r="P275" s="1" t="n">
        <f aca="false">F275-G275</f>
        <v>2</v>
      </c>
      <c r="Q275" s="1" t="n">
        <f aca="false">F275+G275</f>
        <v>30</v>
      </c>
      <c r="R275" s="1" t="str">
        <f aca="false">IF(H275=M275,"Home",IF(H275=N275,"Away",IF(H275="PICK","Pick","N/A")))</f>
        <v>Away</v>
      </c>
      <c r="S275" s="1" t="n">
        <f aca="false">IF(R275="Home",P275,IF(R275="Away",-P275,""))</f>
        <v>-2</v>
      </c>
      <c r="T275" s="1" t="str">
        <f aca="false">IF(R275="Pick","No Line",IF(S275="","N/A",IF(S275+I275&gt;0,"Favorite Covered",IF(S275+I275&lt;0,"Underdog Covered","Push"))))</f>
        <v>Underdog Covered</v>
      </c>
      <c r="U275" s="1" t="str">
        <f aca="false">IF(Q275&gt;J275,"Over",IF(Q275&lt;J275,"Under","Push"))</f>
        <v>Under</v>
      </c>
    </row>
    <row r="276" customFormat="false" ht="15" hidden="false" customHeight="false" outlineLevel="0" collapsed="false">
      <c r="A276" s="1" t="s">
        <v>245</v>
      </c>
      <c r="B276" s="1" t="n">
        <v>2011</v>
      </c>
      <c r="C276" s="1" t="s">
        <v>141</v>
      </c>
      <c r="D276" s="1" t="s">
        <v>83</v>
      </c>
      <c r="E276" s="1" t="s">
        <v>59</v>
      </c>
      <c r="F276" s="1" t="n">
        <v>7</v>
      </c>
      <c r="G276" s="1" t="n">
        <v>41</v>
      </c>
      <c r="H276" s="1" t="s">
        <v>84</v>
      </c>
      <c r="I276" s="1" t="n">
        <v>-3.5</v>
      </c>
      <c r="J276" s="1" t="n">
        <v>40</v>
      </c>
      <c r="K276" s="1" t="s">
        <v>158</v>
      </c>
      <c r="L276" s="1" t="b">
        <f aca="false">FALSE()</f>
        <v>0</v>
      </c>
      <c r="M276" s="1" t="str">
        <f aca="false">VLOOKUP(D276,'Team Reference'!$A:$B,2,FALSE())</f>
        <v>KC</v>
      </c>
      <c r="N276" s="1" t="str">
        <f aca="false">VLOOKUP(E276,'Team Reference'!$A:$B,2,FALSE())</f>
        <v>BUF</v>
      </c>
      <c r="O276" s="1" t="str">
        <f aca="false">IF(F276&gt;G276,M276,IF(G276&gt;F276,N276,"Tie"))</f>
        <v>BUF</v>
      </c>
      <c r="P276" s="1" t="n">
        <f aca="false">F276-G276</f>
        <v>-34</v>
      </c>
      <c r="Q276" s="1" t="n">
        <f aca="false">F276+G276</f>
        <v>48</v>
      </c>
      <c r="R276" s="1" t="str">
        <f aca="false">IF(H276=M276,"Home",IF(H276=N276,"Away",IF(H276="PICK","Pick","N/A")))</f>
        <v>Home</v>
      </c>
      <c r="S276" s="1" t="n">
        <f aca="false">IF(R276="Home",P276,IF(R276="Away",-P276,""))</f>
        <v>-34</v>
      </c>
      <c r="T276" s="1" t="str">
        <f aca="false">IF(R276="Pick","No Line",IF(S276="","N/A",IF(S276+I276&gt;0,"Favorite Covered",IF(S276+I276&lt;0,"Underdog Covered","Push"))))</f>
        <v>Underdog Covered</v>
      </c>
      <c r="U276" s="1" t="str">
        <f aca="false">IF(Q276&gt;J276,"Over",IF(Q276&lt;J276,"Under","Push"))</f>
        <v>Over</v>
      </c>
    </row>
    <row r="277" customFormat="false" ht="15" hidden="false" customHeight="false" outlineLevel="0" collapsed="false">
      <c r="A277" s="1" t="s">
        <v>245</v>
      </c>
      <c r="B277" s="1" t="n">
        <v>2011</v>
      </c>
      <c r="C277" s="1" t="s">
        <v>141</v>
      </c>
      <c r="D277" s="1" t="s">
        <v>99</v>
      </c>
      <c r="E277" s="1" t="s">
        <v>69</v>
      </c>
      <c r="F277" s="1" t="n">
        <v>27</v>
      </c>
      <c r="G277" s="1" t="n">
        <v>24</v>
      </c>
      <c r="H277" s="1" t="s">
        <v>100</v>
      </c>
      <c r="I277" s="1" t="n">
        <v>-6</v>
      </c>
      <c r="J277" s="1" t="n">
        <v>41</v>
      </c>
      <c r="K277" s="1" t="s">
        <v>149</v>
      </c>
      <c r="L277" s="1" t="b">
        <f aca="false">FALSE()</f>
        <v>0</v>
      </c>
      <c r="M277" s="1" t="str">
        <f aca="false">VLOOKUP(D277,'Team Reference'!$A:$B,2,FALSE())</f>
        <v>NYJ</v>
      </c>
      <c r="N277" s="1" t="str">
        <f aca="false">VLOOKUP(E277,'Team Reference'!$A:$B,2,FALSE())</f>
        <v>DAL</v>
      </c>
      <c r="O277" s="1" t="str">
        <f aca="false">IF(F277&gt;G277,M277,IF(G277&gt;F277,N277,"Tie"))</f>
        <v>NYJ</v>
      </c>
      <c r="P277" s="1" t="n">
        <f aca="false">F277-G277</f>
        <v>3</v>
      </c>
      <c r="Q277" s="1" t="n">
        <f aca="false">F277+G277</f>
        <v>51</v>
      </c>
      <c r="R277" s="1" t="str">
        <f aca="false">IF(H277=M277,"Home",IF(H277=N277,"Away",IF(H277="PICK","Pick","N/A")))</f>
        <v>Home</v>
      </c>
      <c r="S277" s="1" t="n">
        <f aca="false">IF(R277="Home",P277,IF(R277="Away",-P277,""))</f>
        <v>3</v>
      </c>
      <c r="T277" s="1" t="str">
        <f aca="false">IF(R277="Pick","No Line",IF(S277="","N/A",IF(S277+I277&gt;0,"Favorite Covered",IF(S277+I277&lt;0,"Underdog Covered","Push"))))</f>
        <v>Underdog Covered</v>
      </c>
      <c r="U277" s="1" t="str">
        <f aca="false">IF(Q277&gt;J277,"Over",IF(Q277&lt;J277,"Under","Push"))</f>
        <v>Over</v>
      </c>
    </row>
    <row r="278" customFormat="false" ht="15" hidden="false" customHeight="false" outlineLevel="0" collapsed="false">
      <c r="A278" s="1" t="s">
        <v>245</v>
      </c>
      <c r="B278" s="1" t="n">
        <v>2011</v>
      </c>
      <c r="C278" s="1" t="s">
        <v>141</v>
      </c>
      <c r="D278" s="1" t="s">
        <v>107</v>
      </c>
      <c r="E278" s="1" t="s">
        <v>91</v>
      </c>
      <c r="F278" s="1" t="n">
        <v>24</v>
      </c>
      <c r="G278" s="1" t="n">
        <v>17</v>
      </c>
      <c r="H278" s="1" t="s">
        <v>86</v>
      </c>
      <c r="I278" s="1" t="n">
        <v>-8.5</v>
      </c>
      <c r="J278" s="1" t="n">
        <v>43</v>
      </c>
      <c r="K278" s="1" t="s">
        <v>172</v>
      </c>
      <c r="L278" s="1" t="b">
        <f aca="false">FALSE()</f>
        <v>0</v>
      </c>
      <c r="M278" s="1" t="str">
        <f aca="false">VLOOKUP(D278,'Team Reference'!$A:$B,2,FALSE())</f>
        <v>LAC</v>
      </c>
      <c r="N278" s="1" t="str">
        <f aca="false">VLOOKUP(E278,'Team Reference'!$A:$B,2,FALSE())</f>
        <v>MIN</v>
      </c>
      <c r="O278" s="1" t="str">
        <f aca="false">IF(F278&gt;G278,M278,IF(G278&gt;F278,N278,"Tie"))</f>
        <v>LAC</v>
      </c>
      <c r="P278" s="1" t="n">
        <f aca="false">F278-G278</f>
        <v>7</v>
      </c>
      <c r="Q278" s="1" t="n">
        <f aca="false">F278+G278</f>
        <v>41</v>
      </c>
      <c r="R278" s="1" t="str">
        <f aca="false">IF(H278=M278,"Home",IF(H278=N278,"Away",IF(H278="PICK","Pick","N/A")))</f>
        <v>Home</v>
      </c>
      <c r="S278" s="1" t="n">
        <f aca="false">IF(R278="Home",P278,IF(R278="Away",-P278,""))</f>
        <v>7</v>
      </c>
      <c r="T278" s="1" t="str">
        <f aca="false">IF(R278="Pick","No Line",IF(S278="","N/A",IF(S278+I278&gt;0,"Favorite Covered",IF(S278+I278&lt;0,"Underdog Covered","Push"))))</f>
        <v>Underdog Covered</v>
      </c>
      <c r="U278" s="1" t="str">
        <f aca="false">IF(Q278&gt;J278,"Over",IF(Q278&lt;J278,"Under","Push"))</f>
        <v>Under</v>
      </c>
    </row>
    <row r="279" customFormat="false" ht="15" hidden="false" customHeight="false" outlineLevel="0" collapsed="false">
      <c r="A279" s="1" t="s">
        <v>245</v>
      </c>
      <c r="B279" s="1" t="n">
        <v>2011</v>
      </c>
      <c r="C279" s="1" t="s">
        <v>141</v>
      </c>
      <c r="D279" s="1" t="s">
        <v>108</v>
      </c>
      <c r="E279" s="1" t="s">
        <v>110</v>
      </c>
      <c r="F279" s="1" t="n">
        <v>33</v>
      </c>
      <c r="G279" s="1" t="n">
        <v>17</v>
      </c>
      <c r="H279" s="1" t="s">
        <v>109</v>
      </c>
      <c r="I279" s="1" t="n">
        <v>-6</v>
      </c>
      <c r="J279" s="1" t="n">
        <v>38</v>
      </c>
      <c r="K279" s="1" t="s">
        <v>174</v>
      </c>
      <c r="L279" s="1" t="b">
        <f aca="false">FALSE()</f>
        <v>0</v>
      </c>
      <c r="M279" s="1" t="str">
        <f aca="false">VLOOKUP(D279,'Team Reference'!$A:$B,2,FALSE())</f>
        <v>SF</v>
      </c>
      <c r="N279" s="1" t="str">
        <f aca="false">VLOOKUP(E279,'Team Reference'!$A:$B,2,FALSE())</f>
        <v>SEA</v>
      </c>
      <c r="O279" s="1" t="str">
        <f aca="false">IF(F279&gt;G279,M279,IF(G279&gt;F279,N279,"Tie"))</f>
        <v>SF</v>
      </c>
      <c r="P279" s="1" t="n">
        <f aca="false">F279-G279</f>
        <v>16</v>
      </c>
      <c r="Q279" s="1" t="n">
        <f aca="false">F279+G279</f>
        <v>50</v>
      </c>
      <c r="R279" s="1" t="str">
        <f aca="false">IF(H279=M279,"Home",IF(H279=N279,"Away",IF(H279="PICK","Pick","N/A")))</f>
        <v>Home</v>
      </c>
      <c r="S279" s="1" t="n">
        <f aca="false">IF(R279="Home",P279,IF(R279="Away",-P279,""))</f>
        <v>16</v>
      </c>
      <c r="T279" s="1" t="str">
        <f aca="false">IF(R279="Pick","No Line",IF(S279="","N/A",IF(S279+I279&gt;0,"Favorite Covered",IF(S279+I279&lt;0,"Underdog Covered","Push"))))</f>
        <v>Favorite Covered</v>
      </c>
      <c r="U279" s="1" t="str">
        <f aca="false">IF(Q279&gt;J279,"Over",IF(Q279&lt;J279,"Under","Push"))</f>
        <v>Over</v>
      </c>
    </row>
    <row r="280" customFormat="false" ht="15" hidden="false" customHeight="false" outlineLevel="0" collapsed="false">
      <c r="A280" s="1" t="s">
        <v>245</v>
      </c>
      <c r="B280" s="1" t="n">
        <v>2011</v>
      </c>
      <c r="C280" s="1" t="s">
        <v>141</v>
      </c>
      <c r="D280" s="1" t="s">
        <v>112</v>
      </c>
      <c r="E280" s="1" t="s">
        <v>103</v>
      </c>
      <c r="F280" s="1" t="n">
        <v>13</v>
      </c>
      <c r="G280" s="1" t="n">
        <v>31</v>
      </c>
      <c r="H280" s="1" t="s">
        <v>104</v>
      </c>
      <c r="I280" s="1" t="n">
        <v>-4</v>
      </c>
      <c r="J280" s="1" t="n">
        <v>44.5</v>
      </c>
      <c r="K280" s="1" t="s">
        <v>153</v>
      </c>
      <c r="L280" s="1" t="b">
        <f aca="false">FALSE()</f>
        <v>0</v>
      </c>
      <c r="M280" s="1" t="str">
        <f aca="false">VLOOKUP(D280,'Team Reference'!$A:$B,2,FALSE())</f>
        <v>LAR</v>
      </c>
      <c r="N280" s="1" t="str">
        <f aca="false">VLOOKUP(E280,'Team Reference'!$A:$B,2,FALSE())</f>
        <v>PHI</v>
      </c>
      <c r="O280" s="1" t="str">
        <f aca="false">IF(F280&gt;G280,M280,IF(G280&gt;F280,N280,"Tie"))</f>
        <v>PHI</v>
      </c>
      <c r="P280" s="1" t="n">
        <f aca="false">F280-G280</f>
        <v>-18</v>
      </c>
      <c r="Q280" s="1" t="n">
        <f aca="false">F280+G280</f>
        <v>44</v>
      </c>
      <c r="R280" s="1" t="str">
        <f aca="false">IF(H280=M280,"Home",IF(H280=N280,"Away",IF(H280="PICK","Pick","N/A")))</f>
        <v>Away</v>
      </c>
      <c r="S280" s="1" t="n">
        <f aca="false">IF(R280="Home",P280,IF(R280="Away",-P280,""))</f>
        <v>18</v>
      </c>
      <c r="T280" s="1" t="str">
        <f aca="false">IF(R280="Pick","No Line",IF(S280="","N/A",IF(S280+I280&gt;0,"Favorite Covered",IF(S280+I280&lt;0,"Underdog Covered","Push"))))</f>
        <v>Favorite Covered</v>
      </c>
      <c r="U280" s="1" t="str">
        <f aca="false">IF(Q280&gt;J280,"Over",IF(Q280&lt;J280,"Under","Push"))</f>
        <v>Under</v>
      </c>
    </row>
    <row r="281" customFormat="false" ht="15" hidden="false" customHeight="false" outlineLevel="0" collapsed="false">
      <c r="A281" s="1" t="s">
        <v>245</v>
      </c>
      <c r="B281" s="1" t="n">
        <v>2011</v>
      </c>
      <c r="C281" s="1" t="s">
        <v>141</v>
      </c>
      <c r="D281" s="1" t="s">
        <v>113</v>
      </c>
      <c r="E281" s="1" t="s">
        <v>73</v>
      </c>
      <c r="F281" s="1" t="n">
        <v>20</v>
      </c>
      <c r="G281" s="1" t="n">
        <v>27</v>
      </c>
      <c r="H281" s="1" t="s">
        <v>114</v>
      </c>
      <c r="I281" s="1" t="n">
        <v>-1.5</v>
      </c>
      <c r="J281" s="1" t="n">
        <v>43.5</v>
      </c>
      <c r="K281" s="1" t="s">
        <v>154</v>
      </c>
      <c r="L281" s="1" t="b">
        <f aca="false">FALSE()</f>
        <v>0</v>
      </c>
      <c r="M281" s="1" t="str">
        <f aca="false">VLOOKUP(D281,'Team Reference'!$A:$B,2,FALSE())</f>
        <v>TB</v>
      </c>
      <c r="N281" s="1" t="str">
        <f aca="false">VLOOKUP(E281,'Team Reference'!$A:$B,2,FALSE())</f>
        <v>DET</v>
      </c>
      <c r="O281" s="1" t="str">
        <f aca="false">IF(F281&gt;G281,M281,IF(G281&gt;F281,N281,"Tie"))</f>
        <v>DET</v>
      </c>
      <c r="P281" s="1" t="n">
        <f aca="false">F281-G281</f>
        <v>-7</v>
      </c>
      <c r="Q281" s="1" t="n">
        <f aca="false">F281+G281</f>
        <v>47</v>
      </c>
      <c r="R281" s="1" t="str">
        <f aca="false">IF(H281=M281,"Home",IF(H281=N281,"Away",IF(H281="PICK","Pick","N/A")))</f>
        <v>Home</v>
      </c>
      <c r="S281" s="1" t="n">
        <f aca="false">IF(R281="Home",P281,IF(R281="Away",-P281,""))</f>
        <v>-7</v>
      </c>
      <c r="T281" s="1" t="str">
        <f aca="false">IF(R281="Pick","No Line",IF(S281="","N/A",IF(S281+I281&gt;0,"Favorite Covered",IF(S281+I281&lt;0,"Underdog Covered","Push"))))</f>
        <v>Underdog Covered</v>
      </c>
      <c r="U281" s="1" t="str">
        <f aca="false">IF(Q281&gt;J281,"Over",IF(Q281&lt;J281,"Under","Push"))</f>
        <v>Over</v>
      </c>
    </row>
    <row r="282" customFormat="false" ht="15" hidden="false" customHeight="false" outlineLevel="0" collapsed="false">
      <c r="A282" s="1" t="s">
        <v>245</v>
      </c>
      <c r="B282" s="1" t="n">
        <v>2011</v>
      </c>
      <c r="C282" s="1" t="s">
        <v>141</v>
      </c>
      <c r="D282" s="1" t="s">
        <v>117</v>
      </c>
      <c r="E282" s="1" t="s">
        <v>97</v>
      </c>
      <c r="F282" s="1" t="n">
        <v>28</v>
      </c>
      <c r="G282" s="1" t="n">
        <v>14</v>
      </c>
      <c r="H282" s="1" t="s">
        <v>98</v>
      </c>
      <c r="I282" s="1" t="n">
        <v>-2</v>
      </c>
      <c r="J282" s="1" t="n">
        <v>40</v>
      </c>
      <c r="K282" s="1" t="s">
        <v>156</v>
      </c>
      <c r="L282" s="1" t="b">
        <f aca="false">FALSE()</f>
        <v>0</v>
      </c>
      <c r="M282" s="1" t="str">
        <f aca="false">VLOOKUP(D282,'Team Reference'!$A:$B,2,FALSE())</f>
        <v>WAS</v>
      </c>
      <c r="N282" s="1" t="str">
        <f aca="false">VLOOKUP(E282,'Team Reference'!$A:$B,2,FALSE())</f>
        <v>NYG</v>
      </c>
      <c r="O282" s="1" t="str">
        <f aca="false">IF(F282&gt;G282,M282,IF(G282&gt;F282,N282,"Tie"))</f>
        <v>WAS</v>
      </c>
      <c r="P282" s="1" t="n">
        <f aca="false">F282-G282</f>
        <v>14</v>
      </c>
      <c r="Q282" s="1" t="n">
        <f aca="false">F282+G282</f>
        <v>42</v>
      </c>
      <c r="R282" s="1" t="str">
        <f aca="false">IF(H282=M282,"Home",IF(H282=N282,"Away",IF(H282="PICK","Pick","N/A")))</f>
        <v>Away</v>
      </c>
      <c r="S282" s="1" t="n">
        <f aca="false">IF(R282="Home",P282,IF(R282="Away",-P282,""))</f>
        <v>-14</v>
      </c>
      <c r="T282" s="1" t="str">
        <f aca="false">IF(R282="Pick","No Line",IF(S282="","N/A",IF(S282+I282&gt;0,"Favorite Covered",IF(S282+I282&lt;0,"Underdog Covered","Push"))))</f>
        <v>Underdog Covered</v>
      </c>
      <c r="U282" s="1" t="str">
        <f aca="false">IF(Q282&gt;J282,"Over",IF(Q282&lt;J282,"Under","Push"))</f>
        <v>Over</v>
      </c>
    </row>
    <row r="283" customFormat="false" ht="15" hidden="false" customHeight="false" outlineLevel="0" collapsed="false">
      <c r="A283" s="1" t="s">
        <v>246</v>
      </c>
      <c r="B283" s="1" t="n">
        <v>2011</v>
      </c>
      <c r="C283" s="1" t="s">
        <v>141</v>
      </c>
      <c r="D283" s="1" t="s">
        <v>71</v>
      </c>
      <c r="E283" s="1" t="s">
        <v>101</v>
      </c>
      <c r="F283" s="1" t="n">
        <v>20</v>
      </c>
      <c r="G283" s="1" t="n">
        <v>23</v>
      </c>
      <c r="H283" s="1" t="s">
        <v>72</v>
      </c>
      <c r="I283" s="1" t="n">
        <v>-3</v>
      </c>
      <c r="J283" s="1" t="n">
        <v>42</v>
      </c>
      <c r="K283" s="1" t="s">
        <v>166</v>
      </c>
      <c r="L283" s="1" t="b">
        <f aca="false">FALSE()</f>
        <v>0</v>
      </c>
      <c r="M283" s="1" t="str">
        <f aca="false">VLOOKUP(D283,'Team Reference'!$A:$B,2,FALSE())</f>
        <v>DEN</v>
      </c>
      <c r="N283" s="1" t="str">
        <f aca="false">VLOOKUP(E283,'Team Reference'!$A:$B,2,FALSE())</f>
        <v>OAK</v>
      </c>
      <c r="O283" s="1" t="str">
        <f aca="false">IF(F283&gt;G283,M283,IF(G283&gt;F283,N283,"Tie"))</f>
        <v>OAK</v>
      </c>
      <c r="P283" s="1" t="n">
        <f aca="false">F283-G283</f>
        <v>-3</v>
      </c>
      <c r="Q283" s="1" t="n">
        <f aca="false">F283+G283</f>
        <v>43</v>
      </c>
      <c r="R283" s="1" t="str">
        <f aca="false">IF(H283=M283,"Home",IF(H283=N283,"Away",IF(H283="PICK","Pick","N/A")))</f>
        <v>Home</v>
      </c>
      <c r="S283" s="1" t="n">
        <f aca="false">IF(R283="Home",P283,IF(R283="Away",-P283,""))</f>
        <v>-3</v>
      </c>
      <c r="T283" s="1" t="str">
        <f aca="false">IF(R283="Pick","No Line",IF(S283="","N/A",IF(S283+I283&gt;0,"Favorite Covered",IF(S283+I283&lt;0,"Underdog Covered","Push"))))</f>
        <v>Underdog Covered</v>
      </c>
      <c r="U283" s="1" t="str">
        <f aca="false">IF(Q283&gt;J283,"Over",IF(Q283&lt;J283,"Under","Push"))</f>
        <v>Over</v>
      </c>
    </row>
    <row r="284" customFormat="false" ht="15" hidden="false" customHeight="false" outlineLevel="0" collapsed="false">
      <c r="A284" s="1" t="s">
        <v>246</v>
      </c>
      <c r="B284" s="1" t="n">
        <v>2011</v>
      </c>
      <c r="C284" s="1" t="s">
        <v>141</v>
      </c>
      <c r="D284" s="1" t="s">
        <v>89</v>
      </c>
      <c r="E284" s="1" t="s">
        <v>93</v>
      </c>
      <c r="F284" s="1" t="n">
        <v>24</v>
      </c>
      <c r="G284" s="1" t="n">
        <v>38</v>
      </c>
      <c r="H284" s="1" t="s">
        <v>94</v>
      </c>
      <c r="I284" s="1" t="n">
        <v>-7.5</v>
      </c>
      <c r="J284" s="1" t="n">
        <v>47</v>
      </c>
      <c r="K284" s="1" t="s">
        <v>179</v>
      </c>
      <c r="L284" s="1" t="b">
        <f aca="false">FALSE()</f>
        <v>0</v>
      </c>
      <c r="M284" s="1" t="str">
        <f aca="false">VLOOKUP(D284,'Team Reference'!$A:$B,2,FALSE())</f>
        <v>MIA</v>
      </c>
      <c r="N284" s="1" t="str">
        <f aca="false">VLOOKUP(E284,'Team Reference'!$A:$B,2,FALSE())</f>
        <v>NE</v>
      </c>
      <c r="O284" s="1" t="str">
        <f aca="false">IF(F284&gt;G284,M284,IF(G284&gt;F284,N284,"Tie"))</f>
        <v>NE</v>
      </c>
      <c r="P284" s="1" t="n">
        <f aca="false">F284-G284</f>
        <v>-14</v>
      </c>
      <c r="Q284" s="1" t="n">
        <f aca="false">F284+G284</f>
        <v>62</v>
      </c>
      <c r="R284" s="1" t="str">
        <f aca="false">IF(H284=M284,"Home",IF(H284=N284,"Away",IF(H284="PICK","Pick","N/A")))</f>
        <v>Away</v>
      </c>
      <c r="S284" s="1" t="n">
        <f aca="false">IF(R284="Home",P284,IF(R284="Away",-P284,""))</f>
        <v>14</v>
      </c>
      <c r="T284" s="1" t="str">
        <f aca="false">IF(R284="Pick","No Line",IF(S284="","N/A",IF(S284+I284&gt;0,"Favorite Covered",IF(S284+I284&lt;0,"Underdog Covered","Push"))))</f>
        <v>Favorite Covered</v>
      </c>
      <c r="U284" s="1" t="str">
        <f aca="false">IF(Q284&gt;J284,"Over",IF(Q284&lt;J284,"Under","Push"))</f>
        <v>Over</v>
      </c>
    </row>
    <row r="285" customFormat="false" ht="15" hidden="false" customHeight="false" outlineLevel="0" collapsed="false">
      <c r="A285" s="1" t="s">
        <v>247</v>
      </c>
      <c r="B285" s="1" t="n">
        <v>2011</v>
      </c>
      <c r="C285" s="1" t="s">
        <v>160</v>
      </c>
      <c r="D285" s="1" t="s">
        <v>55</v>
      </c>
      <c r="E285" s="1" t="s">
        <v>103</v>
      </c>
      <c r="F285" s="1" t="n">
        <v>35</v>
      </c>
      <c r="G285" s="1" t="n">
        <v>31</v>
      </c>
      <c r="H285" s="1" t="s">
        <v>104</v>
      </c>
      <c r="I285" s="1" t="n">
        <v>-2.5</v>
      </c>
      <c r="J285" s="1" t="n">
        <v>49.5</v>
      </c>
      <c r="K285" s="1" t="s">
        <v>161</v>
      </c>
      <c r="L285" s="1" t="b">
        <f aca="false">FALSE()</f>
        <v>0</v>
      </c>
      <c r="M285" s="1" t="str">
        <f aca="false">VLOOKUP(D285,'Team Reference'!$A:$B,2,FALSE())</f>
        <v>ATL</v>
      </c>
      <c r="N285" s="1" t="str">
        <f aca="false">VLOOKUP(E285,'Team Reference'!$A:$B,2,FALSE())</f>
        <v>PHI</v>
      </c>
      <c r="O285" s="1" t="str">
        <f aca="false">IF(F285&gt;G285,M285,IF(G285&gt;F285,N285,"Tie"))</f>
        <v>ATL</v>
      </c>
      <c r="P285" s="1" t="n">
        <f aca="false">F285-G285</f>
        <v>4</v>
      </c>
      <c r="Q285" s="1" t="n">
        <f aca="false">F285+G285</f>
        <v>66</v>
      </c>
      <c r="R285" s="1" t="str">
        <f aca="false">IF(H285=M285,"Home",IF(H285=N285,"Away",IF(H285="PICK","Pick","N/A")))</f>
        <v>Away</v>
      </c>
      <c r="S285" s="1" t="n">
        <f aca="false">IF(R285="Home",P285,IF(R285="Away",-P285,""))</f>
        <v>-4</v>
      </c>
      <c r="T285" s="1" t="str">
        <f aca="false">IF(R285="Pick","No Line",IF(S285="","N/A",IF(S285+I285&gt;0,"Favorite Covered",IF(S285+I285&lt;0,"Underdog Covered","Push"))))</f>
        <v>Underdog Covered</v>
      </c>
      <c r="U285" s="1" t="str">
        <f aca="false">IF(Q285&gt;J285,"Over",IF(Q285&lt;J285,"Under","Push"))</f>
        <v>Over</v>
      </c>
    </row>
    <row r="286" customFormat="false" ht="15" hidden="false" customHeight="false" outlineLevel="0" collapsed="false">
      <c r="A286" s="1" t="s">
        <v>247</v>
      </c>
      <c r="B286" s="1" t="n">
        <v>2011</v>
      </c>
      <c r="C286" s="1" t="s">
        <v>160</v>
      </c>
      <c r="D286" s="1" t="s">
        <v>59</v>
      </c>
      <c r="E286" s="1" t="s">
        <v>101</v>
      </c>
      <c r="F286" s="1" t="n">
        <v>38</v>
      </c>
      <c r="G286" s="1" t="n">
        <v>35</v>
      </c>
      <c r="H286" s="1" t="s">
        <v>60</v>
      </c>
      <c r="I286" s="1" t="n">
        <v>-4</v>
      </c>
      <c r="J286" s="1" t="n">
        <v>41</v>
      </c>
      <c r="K286" s="1" t="s">
        <v>144</v>
      </c>
      <c r="L286" s="1" t="b">
        <f aca="false">FALSE()</f>
        <v>0</v>
      </c>
      <c r="M286" s="1" t="str">
        <f aca="false">VLOOKUP(D286,'Team Reference'!$A:$B,2,FALSE())</f>
        <v>BUF</v>
      </c>
      <c r="N286" s="1" t="str">
        <f aca="false">VLOOKUP(E286,'Team Reference'!$A:$B,2,FALSE())</f>
        <v>OAK</v>
      </c>
      <c r="O286" s="1" t="str">
        <f aca="false">IF(F286&gt;G286,M286,IF(G286&gt;F286,N286,"Tie"))</f>
        <v>BUF</v>
      </c>
      <c r="P286" s="1" t="n">
        <f aca="false">F286-G286</f>
        <v>3</v>
      </c>
      <c r="Q286" s="1" t="n">
        <f aca="false">F286+G286</f>
        <v>73</v>
      </c>
      <c r="R286" s="1" t="str">
        <f aca="false">IF(H286=M286,"Home",IF(H286=N286,"Away",IF(H286="PICK","Pick","N/A")))</f>
        <v>Home</v>
      </c>
      <c r="S286" s="1" t="n">
        <f aca="false">IF(R286="Home",P286,IF(R286="Away",-P286,""))</f>
        <v>3</v>
      </c>
      <c r="T286" s="1" t="str">
        <f aca="false">IF(R286="Pick","No Line",IF(S286="","N/A",IF(S286+I286&gt;0,"Favorite Covered",IF(S286+I286&lt;0,"Underdog Covered","Push"))))</f>
        <v>Underdog Covered</v>
      </c>
      <c r="U286" s="1" t="str">
        <f aca="false">IF(Q286&gt;J286,"Over",IF(Q286&lt;J286,"Under","Push"))</f>
        <v>Over</v>
      </c>
    </row>
    <row r="287" customFormat="false" ht="15" hidden="false" customHeight="false" outlineLevel="0" collapsed="false">
      <c r="A287" s="1" t="s">
        <v>247</v>
      </c>
      <c r="B287" s="1" t="n">
        <v>2011</v>
      </c>
      <c r="C287" s="1" t="s">
        <v>160</v>
      </c>
      <c r="D287" s="1" t="s">
        <v>61</v>
      </c>
      <c r="E287" s="1" t="s">
        <v>75</v>
      </c>
      <c r="F287" s="1" t="n">
        <v>23</v>
      </c>
      <c r="G287" s="1" t="n">
        <v>30</v>
      </c>
      <c r="H287" s="1" t="s">
        <v>76</v>
      </c>
      <c r="I287" s="1" t="n">
        <v>-11</v>
      </c>
      <c r="J287" s="1" t="n">
        <v>45</v>
      </c>
      <c r="K287" s="1" t="s">
        <v>162</v>
      </c>
      <c r="L287" s="1" t="b">
        <f aca="false">FALSE()</f>
        <v>0</v>
      </c>
      <c r="M287" s="1" t="str">
        <f aca="false">VLOOKUP(D287,'Team Reference'!$A:$B,2,FALSE())</f>
        <v>CAR</v>
      </c>
      <c r="N287" s="1" t="str">
        <f aca="false">VLOOKUP(E287,'Team Reference'!$A:$B,2,FALSE())</f>
        <v>GB</v>
      </c>
      <c r="O287" s="1" t="str">
        <f aca="false">IF(F287&gt;G287,M287,IF(G287&gt;F287,N287,"Tie"))</f>
        <v>GB</v>
      </c>
      <c r="P287" s="1" t="n">
        <f aca="false">F287-G287</f>
        <v>-7</v>
      </c>
      <c r="Q287" s="1" t="n">
        <f aca="false">F287+G287</f>
        <v>53</v>
      </c>
      <c r="R287" s="1" t="str">
        <f aca="false">IF(H287=M287,"Home",IF(H287=N287,"Away",IF(H287="PICK","Pick","N/A")))</f>
        <v>Away</v>
      </c>
      <c r="S287" s="1" t="n">
        <f aca="false">IF(R287="Home",P287,IF(R287="Away",-P287,""))</f>
        <v>7</v>
      </c>
      <c r="T287" s="1" t="str">
        <f aca="false">IF(R287="Pick","No Line",IF(S287="","N/A",IF(S287+I287&gt;0,"Favorite Covered",IF(S287+I287&lt;0,"Underdog Covered","Push"))))</f>
        <v>Underdog Covered</v>
      </c>
      <c r="U287" s="1" t="str">
        <f aca="false">IF(Q287&gt;J287,"Over",IF(Q287&lt;J287,"Under","Push"))</f>
        <v>Over</v>
      </c>
    </row>
    <row r="288" customFormat="false" ht="15" hidden="false" customHeight="false" outlineLevel="0" collapsed="false">
      <c r="A288" s="1" t="s">
        <v>247</v>
      </c>
      <c r="B288" s="1" t="n">
        <v>2011</v>
      </c>
      <c r="C288" s="1" t="s">
        <v>160</v>
      </c>
      <c r="D288" s="1" t="s">
        <v>71</v>
      </c>
      <c r="E288" s="1" t="s">
        <v>65</v>
      </c>
      <c r="F288" s="1" t="n">
        <v>24</v>
      </c>
      <c r="G288" s="1" t="n">
        <v>22</v>
      </c>
      <c r="H288" s="1" t="s">
        <v>72</v>
      </c>
      <c r="I288" s="1" t="n">
        <v>-3</v>
      </c>
      <c r="J288" s="1" t="n">
        <v>41</v>
      </c>
      <c r="K288" s="1" t="s">
        <v>166</v>
      </c>
      <c r="L288" s="1" t="b">
        <f aca="false">FALSE()</f>
        <v>0</v>
      </c>
      <c r="M288" s="1" t="str">
        <f aca="false">VLOOKUP(D288,'Team Reference'!$A:$B,2,FALSE())</f>
        <v>DEN</v>
      </c>
      <c r="N288" s="1" t="str">
        <f aca="false">VLOOKUP(E288,'Team Reference'!$A:$B,2,FALSE())</f>
        <v>CIN</v>
      </c>
      <c r="O288" s="1" t="str">
        <f aca="false">IF(F288&gt;G288,M288,IF(G288&gt;F288,N288,"Tie"))</f>
        <v>DEN</v>
      </c>
      <c r="P288" s="1" t="n">
        <f aca="false">F288-G288</f>
        <v>2</v>
      </c>
      <c r="Q288" s="1" t="n">
        <f aca="false">F288+G288</f>
        <v>46</v>
      </c>
      <c r="R288" s="1" t="str">
        <f aca="false">IF(H288=M288,"Home",IF(H288=N288,"Away",IF(H288="PICK","Pick","N/A")))</f>
        <v>Home</v>
      </c>
      <c r="S288" s="1" t="n">
        <f aca="false">IF(R288="Home",P288,IF(R288="Away",-P288,""))</f>
        <v>2</v>
      </c>
      <c r="T288" s="1" t="str">
        <f aca="false">IF(R288="Pick","No Line",IF(S288="","N/A",IF(S288+I288&gt;0,"Favorite Covered",IF(S288+I288&lt;0,"Underdog Covered","Push"))))</f>
        <v>Underdog Covered</v>
      </c>
      <c r="U288" s="1" t="str">
        <f aca="false">IF(Q288&gt;J288,"Over",IF(Q288&lt;J288,"Under","Push"))</f>
        <v>Over</v>
      </c>
    </row>
    <row r="289" customFormat="false" ht="15" hidden="false" customHeight="false" outlineLevel="0" collapsed="false">
      <c r="A289" s="1" t="s">
        <v>247</v>
      </c>
      <c r="B289" s="1" t="n">
        <v>2011</v>
      </c>
      <c r="C289" s="1" t="s">
        <v>160</v>
      </c>
      <c r="D289" s="1" t="s">
        <v>73</v>
      </c>
      <c r="E289" s="1" t="s">
        <v>83</v>
      </c>
      <c r="F289" s="1" t="n">
        <v>48</v>
      </c>
      <c r="G289" s="1" t="n">
        <v>3</v>
      </c>
      <c r="H289" s="1" t="s">
        <v>74</v>
      </c>
      <c r="I289" s="1" t="n">
        <v>-9</v>
      </c>
      <c r="J289" s="1" t="n">
        <v>45</v>
      </c>
      <c r="K289" s="1" t="s">
        <v>167</v>
      </c>
      <c r="L289" s="1" t="b">
        <f aca="false">FALSE()</f>
        <v>0</v>
      </c>
      <c r="M289" s="1" t="str">
        <f aca="false">VLOOKUP(D289,'Team Reference'!$A:$B,2,FALSE())</f>
        <v>DET</v>
      </c>
      <c r="N289" s="1" t="str">
        <f aca="false">VLOOKUP(E289,'Team Reference'!$A:$B,2,FALSE())</f>
        <v>KC</v>
      </c>
      <c r="O289" s="1" t="str">
        <f aca="false">IF(F289&gt;G289,M289,IF(G289&gt;F289,N289,"Tie"))</f>
        <v>DET</v>
      </c>
      <c r="P289" s="1" t="n">
        <f aca="false">F289-G289</f>
        <v>45</v>
      </c>
      <c r="Q289" s="1" t="n">
        <f aca="false">F289+G289</f>
        <v>51</v>
      </c>
      <c r="R289" s="1" t="str">
        <f aca="false">IF(H289=M289,"Home",IF(H289=N289,"Away",IF(H289="PICK","Pick","N/A")))</f>
        <v>Home</v>
      </c>
      <c r="S289" s="1" t="n">
        <f aca="false">IF(R289="Home",P289,IF(R289="Away",-P289,""))</f>
        <v>45</v>
      </c>
      <c r="T289" s="1" t="str">
        <f aca="false">IF(R289="Pick","No Line",IF(S289="","N/A",IF(S289+I289&gt;0,"Favorite Covered",IF(S289+I289&lt;0,"Underdog Covered","Push"))))</f>
        <v>Favorite Covered</v>
      </c>
      <c r="U289" s="1" t="str">
        <f aca="false">IF(Q289&gt;J289,"Over",IF(Q289&lt;J289,"Under","Push"))</f>
        <v>Over</v>
      </c>
    </row>
    <row r="290" customFormat="false" ht="15" hidden="false" customHeight="false" outlineLevel="0" collapsed="false">
      <c r="A290" s="1" t="s">
        <v>247</v>
      </c>
      <c r="B290" s="1" t="n">
        <v>2011</v>
      </c>
      <c r="C290" s="1" t="s">
        <v>160</v>
      </c>
      <c r="D290" s="1" t="s">
        <v>79</v>
      </c>
      <c r="E290" s="1" t="s">
        <v>67</v>
      </c>
      <c r="F290" s="1" t="n">
        <v>19</v>
      </c>
      <c r="G290" s="1" t="n">
        <v>27</v>
      </c>
      <c r="H290" s="1" t="s">
        <v>68</v>
      </c>
      <c r="I290" s="1" t="n">
        <v>-1.5</v>
      </c>
      <c r="J290" s="1" t="n">
        <v>39</v>
      </c>
      <c r="K290" s="1" t="s">
        <v>169</v>
      </c>
      <c r="L290" s="1" t="b">
        <f aca="false">FALSE()</f>
        <v>0</v>
      </c>
      <c r="M290" s="1" t="str">
        <f aca="false">VLOOKUP(D290,'Team Reference'!$A:$B,2,FALSE())</f>
        <v>IND</v>
      </c>
      <c r="N290" s="1" t="str">
        <f aca="false">VLOOKUP(E290,'Team Reference'!$A:$B,2,FALSE())</f>
        <v>CLE</v>
      </c>
      <c r="O290" s="1" t="str">
        <f aca="false">IF(F290&gt;G290,M290,IF(G290&gt;F290,N290,"Tie"))</f>
        <v>CLE</v>
      </c>
      <c r="P290" s="1" t="n">
        <f aca="false">F290-G290</f>
        <v>-8</v>
      </c>
      <c r="Q290" s="1" t="n">
        <f aca="false">F290+G290</f>
        <v>46</v>
      </c>
      <c r="R290" s="1" t="str">
        <f aca="false">IF(H290=M290,"Home",IF(H290=N290,"Away",IF(H290="PICK","Pick","N/A")))</f>
        <v>Away</v>
      </c>
      <c r="S290" s="1" t="n">
        <f aca="false">IF(R290="Home",P290,IF(R290="Away",-P290,""))</f>
        <v>8</v>
      </c>
      <c r="T290" s="1" t="str">
        <f aca="false">IF(R290="Pick","No Line",IF(S290="","N/A",IF(S290+I290&gt;0,"Favorite Covered",IF(S290+I290&lt;0,"Underdog Covered","Push"))))</f>
        <v>Favorite Covered</v>
      </c>
      <c r="U290" s="1" t="str">
        <f aca="false">IF(Q290&gt;J290,"Over",IF(Q290&lt;J290,"Under","Push"))</f>
        <v>Over</v>
      </c>
    </row>
    <row r="291" customFormat="false" ht="15" hidden="false" customHeight="false" outlineLevel="0" collapsed="false">
      <c r="A291" s="1" t="s">
        <v>247</v>
      </c>
      <c r="B291" s="1" t="n">
        <v>2011</v>
      </c>
      <c r="C291" s="1" t="s">
        <v>160</v>
      </c>
      <c r="D291" s="1" t="s">
        <v>89</v>
      </c>
      <c r="E291" s="1" t="s">
        <v>77</v>
      </c>
      <c r="F291" s="1" t="n">
        <v>13</v>
      </c>
      <c r="G291" s="1" t="n">
        <v>23</v>
      </c>
      <c r="H291" s="1" t="s">
        <v>78</v>
      </c>
      <c r="I291" s="1" t="n">
        <v>-3</v>
      </c>
      <c r="J291" s="1" t="n">
        <v>47.5</v>
      </c>
      <c r="K291" s="1" t="s">
        <v>179</v>
      </c>
      <c r="L291" s="1" t="b">
        <f aca="false">FALSE()</f>
        <v>0</v>
      </c>
      <c r="M291" s="1" t="str">
        <f aca="false">VLOOKUP(D291,'Team Reference'!$A:$B,2,FALSE())</f>
        <v>MIA</v>
      </c>
      <c r="N291" s="1" t="str">
        <f aca="false">VLOOKUP(E291,'Team Reference'!$A:$B,2,FALSE())</f>
        <v>HOU</v>
      </c>
      <c r="O291" s="1" t="str">
        <f aca="false">IF(F291&gt;G291,M291,IF(G291&gt;F291,N291,"Tie"))</f>
        <v>HOU</v>
      </c>
      <c r="P291" s="1" t="n">
        <f aca="false">F291-G291</f>
        <v>-10</v>
      </c>
      <c r="Q291" s="1" t="n">
        <f aca="false">F291+G291</f>
        <v>36</v>
      </c>
      <c r="R291" s="1" t="str">
        <f aca="false">IF(H291=M291,"Home",IF(H291=N291,"Away",IF(H291="PICK","Pick","N/A")))</f>
        <v>Away</v>
      </c>
      <c r="S291" s="1" t="n">
        <f aca="false">IF(R291="Home",P291,IF(R291="Away",-P291,""))</f>
        <v>10</v>
      </c>
      <c r="T291" s="1" t="str">
        <f aca="false">IF(R291="Pick","No Line",IF(S291="","N/A",IF(S291+I291&gt;0,"Favorite Covered",IF(S291+I291&lt;0,"Underdog Covered","Push"))))</f>
        <v>Favorite Covered</v>
      </c>
      <c r="U291" s="1" t="str">
        <f aca="false">IF(Q291&gt;J291,"Over",IF(Q291&lt;J291,"Under","Push"))</f>
        <v>Under</v>
      </c>
    </row>
    <row r="292" customFormat="false" ht="15" hidden="false" customHeight="false" outlineLevel="0" collapsed="false">
      <c r="A292" s="1" t="s">
        <v>247</v>
      </c>
      <c r="B292" s="1" t="n">
        <v>2011</v>
      </c>
      <c r="C292" s="1" t="s">
        <v>160</v>
      </c>
      <c r="D292" s="1" t="s">
        <v>91</v>
      </c>
      <c r="E292" s="1" t="s">
        <v>113</v>
      </c>
      <c r="F292" s="1" t="n">
        <v>20</v>
      </c>
      <c r="G292" s="1" t="n">
        <v>24</v>
      </c>
      <c r="H292" s="1" t="s">
        <v>92</v>
      </c>
      <c r="I292" s="1" t="n">
        <v>-1</v>
      </c>
      <c r="J292" s="1" t="n">
        <v>41</v>
      </c>
      <c r="K292" s="1" t="s">
        <v>170</v>
      </c>
      <c r="L292" s="1" t="b">
        <f aca="false">FALSE()</f>
        <v>0</v>
      </c>
      <c r="M292" s="1" t="str">
        <f aca="false">VLOOKUP(D292,'Team Reference'!$A:$B,2,FALSE())</f>
        <v>MIN</v>
      </c>
      <c r="N292" s="1" t="str">
        <f aca="false">VLOOKUP(E292,'Team Reference'!$A:$B,2,FALSE())</f>
        <v>TB</v>
      </c>
      <c r="O292" s="1" t="str">
        <f aca="false">IF(F292&gt;G292,M292,IF(G292&gt;F292,N292,"Tie"))</f>
        <v>TB</v>
      </c>
      <c r="P292" s="1" t="n">
        <f aca="false">F292-G292</f>
        <v>-4</v>
      </c>
      <c r="Q292" s="1" t="n">
        <f aca="false">F292+G292</f>
        <v>44</v>
      </c>
      <c r="R292" s="1" t="str">
        <f aca="false">IF(H292=M292,"Home",IF(H292=N292,"Away",IF(H292="PICK","Pick","N/A")))</f>
        <v>Home</v>
      </c>
      <c r="S292" s="1" t="n">
        <f aca="false">IF(R292="Home",P292,IF(R292="Away",-P292,""))</f>
        <v>-4</v>
      </c>
      <c r="T292" s="1" t="str">
        <f aca="false">IF(R292="Pick","No Line",IF(S292="","N/A",IF(S292+I292&gt;0,"Favorite Covered",IF(S292+I292&lt;0,"Underdog Covered","Push"))))</f>
        <v>Underdog Covered</v>
      </c>
      <c r="U292" s="1" t="str">
        <f aca="false">IF(Q292&gt;J292,"Over",IF(Q292&lt;J292,"Under","Push"))</f>
        <v>Over</v>
      </c>
    </row>
    <row r="293" customFormat="false" ht="15" hidden="false" customHeight="false" outlineLevel="0" collapsed="false">
      <c r="A293" s="1" t="s">
        <v>247</v>
      </c>
      <c r="B293" s="1" t="n">
        <v>2011</v>
      </c>
      <c r="C293" s="1" t="s">
        <v>160</v>
      </c>
      <c r="D293" s="1" t="s">
        <v>93</v>
      </c>
      <c r="E293" s="1" t="s">
        <v>107</v>
      </c>
      <c r="F293" s="1" t="n">
        <v>35</v>
      </c>
      <c r="G293" s="1" t="n">
        <v>21</v>
      </c>
      <c r="H293" s="1" t="s">
        <v>94</v>
      </c>
      <c r="I293" s="1" t="n">
        <v>-7</v>
      </c>
      <c r="J293" s="1" t="n">
        <v>53.5</v>
      </c>
      <c r="K293" s="1" t="s">
        <v>148</v>
      </c>
      <c r="L293" s="1" t="b">
        <f aca="false">FALSE()</f>
        <v>0</v>
      </c>
      <c r="M293" s="1" t="str">
        <f aca="false">VLOOKUP(D293,'Team Reference'!$A:$B,2,FALSE())</f>
        <v>NE</v>
      </c>
      <c r="N293" s="1" t="str">
        <f aca="false">VLOOKUP(E293,'Team Reference'!$A:$B,2,FALSE())</f>
        <v>LAC</v>
      </c>
      <c r="O293" s="1" t="str">
        <f aca="false">IF(F293&gt;G293,M293,IF(G293&gt;F293,N293,"Tie"))</f>
        <v>NE</v>
      </c>
      <c r="P293" s="1" t="n">
        <f aca="false">F293-G293</f>
        <v>14</v>
      </c>
      <c r="Q293" s="1" t="n">
        <f aca="false">F293+G293</f>
        <v>56</v>
      </c>
      <c r="R293" s="1" t="str">
        <f aca="false">IF(H293=M293,"Home",IF(H293=N293,"Away",IF(H293="PICK","Pick","N/A")))</f>
        <v>Home</v>
      </c>
      <c r="S293" s="1" t="n">
        <f aca="false">IF(R293="Home",P293,IF(R293="Away",-P293,""))</f>
        <v>14</v>
      </c>
      <c r="T293" s="1" t="str">
        <f aca="false">IF(R293="Pick","No Line",IF(S293="","N/A",IF(S293+I293&gt;0,"Favorite Covered",IF(S293+I293&lt;0,"Underdog Covered","Push"))))</f>
        <v>Favorite Covered</v>
      </c>
      <c r="U293" s="1" t="str">
        <f aca="false">IF(Q293&gt;J293,"Over",IF(Q293&lt;J293,"Under","Push"))</f>
        <v>Over</v>
      </c>
    </row>
    <row r="294" customFormat="false" ht="15" hidden="false" customHeight="false" outlineLevel="0" collapsed="false">
      <c r="A294" s="1" t="s">
        <v>247</v>
      </c>
      <c r="B294" s="1" t="n">
        <v>2011</v>
      </c>
      <c r="C294" s="1" t="s">
        <v>160</v>
      </c>
      <c r="D294" s="1" t="s">
        <v>95</v>
      </c>
      <c r="E294" s="1" t="s">
        <v>63</v>
      </c>
      <c r="F294" s="1" t="n">
        <v>30</v>
      </c>
      <c r="G294" s="1" t="n">
        <v>13</v>
      </c>
      <c r="H294" s="1" t="s">
        <v>96</v>
      </c>
      <c r="I294" s="1" t="n">
        <v>-5</v>
      </c>
      <c r="J294" s="1" t="n">
        <v>46.5</v>
      </c>
      <c r="K294" s="1" t="s">
        <v>142</v>
      </c>
      <c r="L294" s="1" t="b">
        <f aca="false">FALSE()</f>
        <v>0</v>
      </c>
      <c r="M294" s="1" t="str">
        <f aca="false">VLOOKUP(D294,'Team Reference'!$A:$B,2,FALSE())</f>
        <v>NO</v>
      </c>
      <c r="N294" s="1" t="str">
        <f aca="false">VLOOKUP(E294,'Team Reference'!$A:$B,2,FALSE())</f>
        <v>CHI</v>
      </c>
      <c r="O294" s="1" t="str">
        <f aca="false">IF(F294&gt;G294,M294,IF(G294&gt;F294,N294,"Tie"))</f>
        <v>NO</v>
      </c>
      <c r="P294" s="1" t="n">
        <f aca="false">F294-G294</f>
        <v>17</v>
      </c>
      <c r="Q294" s="1" t="n">
        <f aca="false">F294+G294</f>
        <v>43</v>
      </c>
      <c r="R294" s="1" t="str">
        <f aca="false">IF(H294=M294,"Home",IF(H294=N294,"Away",IF(H294="PICK","Pick","N/A")))</f>
        <v>Home</v>
      </c>
      <c r="S294" s="1" t="n">
        <f aca="false">IF(R294="Home",P294,IF(R294="Away",-P294,""))</f>
        <v>17</v>
      </c>
      <c r="T294" s="1" t="str">
        <f aca="false">IF(R294="Pick","No Line",IF(S294="","N/A",IF(S294+I294&gt;0,"Favorite Covered",IF(S294+I294&lt;0,"Underdog Covered","Push"))))</f>
        <v>Favorite Covered</v>
      </c>
      <c r="U294" s="1" t="str">
        <f aca="false">IF(Q294&gt;J294,"Over",IF(Q294&lt;J294,"Under","Push"))</f>
        <v>Under</v>
      </c>
    </row>
    <row r="295" customFormat="false" ht="15" hidden="false" customHeight="false" outlineLevel="0" collapsed="false">
      <c r="A295" s="1" t="s">
        <v>247</v>
      </c>
      <c r="B295" s="1" t="n">
        <v>2011</v>
      </c>
      <c r="C295" s="1" t="s">
        <v>160</v>
      </c>
      <c r="D295" s="1" t="s">
        <v>99</v>
      </c>
      <c r="E295" s="1" t="s">
        <v>81</v>
      </c>
      <c r="F295" s="1" t="n">
        <v>32</v>
      </c>
      <c r="G295" s="1" t="n">
        <v>3</v>
      </c>
      <c r="H295" s="1" t="s">
        <v>100</v>
      </c>
      <c r="I295" s="1" t="n">
        <v>-9</v>
      </c>
      <c r="J295" s="1" t="n">
        <v>38.5</v>
      </c>
      <c r="K295" s="1" t="s">
        <v>149</v>
      </c>
      <c r="L295" s="1" t="b">
        <f aca="false">FALSE()</f>
        <v>0</v>
      </c>
      <c r="M295" s="1" t="str">
        <f aca="false">VLOOKUP(D295,'Team Reference'!$A:$B,2,FALSE())</f>
        <v>NYJ</v>
      </c>
      <c r="N295" s="1" t="str">
        <f aca="false">VLOOKUP(E295,'Team Reference'!$A:$B,2,FALSE())</f>
        <v>JAX</v>
      </c>
      <c r="O295" s="1" t="str">
        <f aca="false">IF(F295&gt;G295,M295,IF(G295&gt;F295,N295,"Tie"))</f>
        <v>NYJ</v>
      </c>
      <c r="P295" s="1" t="n">
        <f aca="false">F295-G295</f>
        <v>29</v>
      </c>
      <c r="Q295" s="1" t="n">
        <f aca="false">F295+G295</f>
        <v>35</v>
      </c>
      <c r="R295" s="1" t="str">
        <f aca="false">IF(H295=M295,"Home",IF(H295=N295,"Away",IF(H295="PICK","Pick","N/A")))</f>
        <v>Home</v>
      </c>
      <c r="S295" s="1" t="n">
        <f aca="false">IF(R295="Home",P295,IF(R295="Away",-P295,""))</f>
        <v>29</v>
      </c>
      <c r="T295" s="1" t="str">
        <f aca="false">IF(R295="Pick","No Line",IF(S295="","N/A",IF(S295+I295&gt;0,"Favorite Covered",IF(S295+I295&lt;0,"Underdog Covered","Push"))))</f>
        <v>Favorite Covered</v>
      </c>
      <c r="U295" s="1" t="str">
        <f aca="false">IF(Q295&gt;J295,"Over",IF(Q295&lt;J295,"Under","Push"))</f>
        <v>Under</v>
      </c>
    </row>
    <row r="296" customFormat="false" ht="15" hidden="false" customHeight="false" outlineLevel="0" collapsed="false">
      <c r="A296" s="1" t="s">
        <v>247</v>
      </c>
      <c r="B296" s="1" t="n">
        <v>2011</v>
      </c>
      <c r="C296" s="1" t="s">
        <v>160</v>
      </c>
      <c r="D296" s="1" t="s">
        <v>105</v>
      </c>
      <c r="E296" s="1" t="s">
        <v>110</v>
      </c>
      <c r="F296" s="1" t="n">
        <v>24</v>
      </c>
      <c r="G296" s="1" t="n">
        <v>0</v>
      </c>
      <c r="H296" s="1" t="s">
        <v>106</v>
      </c>
      <c r="I296" s="1" t="n">
        <v>-14</v>
      </c>
      <c r="J296" s="1" t="n">
        <v>40</v>
      </c>
      <c r="K296" s="1" t="s">
        <v>151</v>
      </c>
      <c r="L296" s="1" t="b">
        <f aca="false">FALSE()</f>
        <v>0</v>
      </c>
      <c r="M296" s="1" t="str">
        <f aca="false">VLOOKUP(D296,'Team Reference'!$A:$B,2,FALSE())</f>
        <v>PIT</v>
      </c>
      <c r="N296" s="1" t="str">
        <f aca="false">VLOOKUP(E296,'Team Reference'!$A:$B,2,FALSE())</f>
        <v>SEA</v>
      </c>
      <c r="O296" s="1" t="str">
        <f aca="false">IF(F296&gt;G296,M296,IF(G296&gt;F296,N296,"Tie"))</f>
        <v>PIT</v>
      </c>
      <c r="P296" s="1" t="n">
        <f aca="false">F296-G296</f>
        <v>24</v>
      </c>
      <c r="Q296" s="1" t="n">
        <f aca="false">F296+G296</f>
        <v>24</v>
      </c>
      <c r="R296" s="1" t="str">
        <f aca="false">IF(H296=M296,"Home",IF(H296=N296,"Away",IF(H296="PICK","Pick","N/A")))</f>
        <v>Home</v>
      </c>
      <c r="S296" s="1" t="n">
        <f aca="false">IF(R296="Home",P296,IF(R296="Away",-P296,""))</f>
        <v>24</v>
      </c>
      <c r="T296" s="1" t="str">
        <f aca="false">IF(R296="Pick","No Line",IF(S296="","N/A",IF(S296+I296&gt;0,"Favorite Covered",IF(S296+I296&lt;0,"Underdog Covered","Push"))))</f>
        <v>Favorite Covered</v>
      </c>
      <c r="U296" s="1" t="str">
        <f aca="false">IF(Q296&gt;J296,"Over",IF(Q296&lt;J296,"Under","Push"))</f>
        <v>Under</v>
      </c>
    </row>
    <row r="297" customFormat="false" ht="15" hidden="false" customHeight="false" outlineLevel="0" collapsed="false">
      <c r="A297" s="1" t="s">
        <v>247</v>
      </c>
      <c r="B297" s="1" t="n">
        <v>2011</v>
      </c>
      <c r="C297" s="1" t="s">
        <v>160</v>
      </c>
      <c r="D297" s="1" t="s">
        <v>108</v>
      </c>
      <c r="E297" s="1" t="s">
        <v>69</v>
      </c>
      <c r="F297" s="1" t="n">
        <v>24</v>
      </c>
      <c r="G297" s="1" t="n">
        <v>27</v>
      </c>
      <c r="H297" s="1" t="s">
        <v>70</v>
      </c>
      <c r="I297" s="1" t="n">
        <v>-3</v>
      </c>
      <c r="J297" s="1" t="n">
        <v>41.5</v>
      </c>
      <c r="K297" s="1" t="s">
        <v>174</v>
      </c>
      <c r="L297" s="1" t="b">
        <f aca="false">FALSE()</f>
        <v>0</v>
      </c>
      <c r="M297" s="1" t="str">
        <f aca="false">VLOOKUP(D297,'Team Reference'!$A:$B,2,FALSE())</f>
        <v>SF</v>
      </c>
      <c r="N297" s="1" t="str">
        <f aca="false">VLOOKUP(E297,'Team Reference'!$A:$B,2,FALSE())</f>
        <v>DAL</v>
      </c>
      <c r="O297" s="1" t="str">
        <f aca="false">IF(F297&gt;G297,M297,IF(G297&gt;F297,N297,"Tie"))</f>
        <v>DAL</v>
      </c>
      <c r="P297" s="1" t="n">
        <f aca="false">F297-G297</f>
        <v>-3</v>
      </c>
      <c r="Q297" s="1" t="n">
        <f aca="false">F297+G297</f>
        <v>51</v>
      </c>
      <c r="R297" s="1" t="str">
        <f aca="false">IF(H297=M297,"Home",IF(H297=N297,"Away",IF(H297="PICK","Pick","N/A")))</f>
        <v>Away</v>
      </c>
      <c r="S297" s="1" t="n">
        <f aca="false">IF(R297="Home",P297,IF(R297="Away",-P297,""))</f>
        <v>3</v>
      </c>
      <c r="T297" s="1" t="str">
        <f aca="false">IF(R297="Pick","No Line",IF(S297="","N/A",IF(S297+I297&gt;0,"Favorite Covered",IF(S297+I297&lt;0,"Underdog Covered","Push"))))</f>
        <v>Push</v>
      </c>
      <c r="U297" s="1" t="str">
        <f aca="false">IF(Q297&gt;J297,"Over",IF(Q297&lt;J297,"Under","Push"))</f>
        <v>Over</v>
      </c>
    </row>
    <row r="298" customFormat="false" ht="15" hidden="false" customHeight="false" outlineLevel="0" collapsed="false">
      <c r="A298" s="1" t="s">
        <v>247</v>
      </c>
      <c r="B298" s="1" t="n">
        <v>2011</v>
      </c>
      <c r="C298" s="1" t="s">
        <v>160</v>
      </c>
      <c r="D298" s="1" t="s">
        <v>115</v>
      </c>
      <c r="E298" s="1" t="s">
        <v>57</v>
      </c>
      <c r="F298" s="1" t="n">
        <v>26</v>
      </c>
      <c r="G298" s="1" t="n">
        <v>13</v>
      </c>
      <c r="H298" s="1" t="s">
        <v>58</v>
      </c>
      <c r="I298" s="1" t="n">
        <v>-6</v>
      </c>
      <c r="J298" s="1" t="n">
        <v>39</v>
      </c>
      <c r="K298" s="1" t="s">
        <v>155</v>
      </c>
      <c r="L298" s="1" t="b">
        <f aca="false">FALSE()</f>
        <v>0</v>
      </c>
      <c r="M298" s="1" t="str">
        <f aca="false">VLOOKUP(D298,'Team Reference'!$A:$B,2,FALSE())</f>
        <v>TEN</v>
      </c>
      <c r="N298" s="1" t="str">
        <f aca="false">VLOOKUP(E298,'Team Reference'!$A:$B,2,FALSE())</f>
        <v>BAL</v>
      </c>
      <c r="O298" s="1" t="str">
        <f aca="false">IF(F298&gt;G298,M298,IF(G298&gt;F298,N298,"Tie"))</f>
        <v>TEN</v>
      </c>
      <c r="P298" s="1" t="n">
        <f aca="false">F298-G298</f>
        <v>13</v>
      </c>
      <c r="Q298" s="1" t="n">
        <f aca="false">F298+G298</f>
        <v>39</v>
      </c>
      <c r="R298" s="1" t="str">
        <f aca="false">IF(H298=M298,"Home",IF(H298=N298,"Away",IF(H298="PICK","Pick","N/A")))</f>
        <v>Away</v>
      </c>
      <c r="S298" s="1" t="n">
        <f aca="false">IF(R298="Home",P298,IF(R298="Away",-P298,""))</f>
        <v>-13</v>
      </c>
      <c r="T298" s="1" t="str">
        <f aca="false">IF(R298="Pick","No Line",IF(S298="","N/A",IF(S298+I298&gt;0,"Favorite Covered",IF(S298+I298&lt;0,"Underdog Covered","Push"))))</f>
        <v>Underdog Covered</v>
      </c>
      <c r="U298" s="1" t="str">
        <f aca="false">IF(Q298&gt;J298,"Over",IF(Q298&lt;J298,"Under","Push"))</f>
        <v>Push</v>
      </c>
    </row>
    <row r="299" customFormat="false" ht="15" hidden="false" customHeight="false" outlineLevel="0" collapsed="false">
      <c r="A299" s="1" t="s">
        <v>247</v>
      </c>
      <c r="B299" s="1" t="n">
        <v>2011</v>
      </c>
      <c r="C299" s="1" t="s">
        <v>160</v>
      </c>
      <c r="D299" s="1" t="s">
        <v>117</v>
      </c>
      <c r="E299" s="1" t="s">
        <v>53</v>
      </c>
      <c r="F299" s="1" t="n">
        <v>22</v>
      </c>
      <c r="G299" s="1" t="n">
        <v>21</v>
      </c>
      <c r="H299" s="1" t="s">
        <v>118</v>
      </c>
      <c r="I299" s="1" t="n">
        <v>-4.5</v>
      </c>
      <c r="J299" s="1" t="n">
        <v>45</v>
      </c>
      <c r="K299" s="1" t="s">
        <v>156</v>
      </c>
      <c r="L299" s="1" t="b">
        <f aca="false">FALSE()</f>
        <v>0</v>
      </c>
      <c r="M299" s="1" t="str">
        <f aca="false">VLOOKUP(D299,'Team Reference'!$A:$B,2,FALSE())</f>
        <v>WAS</v>
      </c>
      <c r="N299" s="1" t="str">
        <f aca="false">VLOOKUP(E299,'Team Reference'!$A:$B,2,FALSE())</f>
        <v>ARI</v>
      </c>
      <c r="O299" s="1" t="str">
        <f aca="false">IF(F299&gt;G299,M299,IF(G299&gt;F299,N299,"Tie"))</f>
        <v>WAS</v>
      </c>
      <c r="P299" s="1" t="n">
        <f aca="false">F299-G299</f>
        <v>1</v>
      </c>
      <c r="Q299" s="1" t="n">
        <f aca="false">F299+G299</f>
        <v>43</v>
      </c>
      <c r="R299" s="1" t="str">
        <f aca="false">IF(H299=M299,"Home",IF(H299=N299,"Away",IF(H299="PICK","Pick","N/A")))</f>
        <v>Home</v>
      </c>
      <c r="S299" s="1" t="n">
        <f aca="false">IF(R299="Home",P299,IF(R299="Away",-P299,""))</f>
        <v>1</v>
      </c>
      <c r="T299" s="1" t="str">
        <f aca="false">IF(R299="Pick","No Line",IF(S299="","N/A",IF(S299+I299&gt;0,"Favorite Covered",IF(S299+I299&lt;0,"Underdog Covered","Push"))))</f>
        <v>Underdog Covered</v>
      </c>
      <c r="U299" s="1" t="str">
        <f aca="false">IF(Q299&gt;J299,"Over",IF(Q299&lt;J299,"Under","Push"))</f>
        <v>Under</v>
      </c>
    </row>
    <row r="300" customFormat="false" ht="15" hidden="false" customHeight="false" outlineLevel="0" collapsed="false">
      <c r="A300" s="1" t="s">
        <v>248</v>
      </c>
      <c r="B300" s="1" t="n">
        <v>2011</v>
      </c>
      <c r="C300" s="1" t="s">
        <v>160</v>
      </c>
      <c r="D300" s="1" t="s">
        <v>97</v>
      </c>
      <c r="E300" s="1" t="s">
        <v>112</v>
      </c>
      <c r="F300" s="1" t="n">
        <v>28</v>
      </c>
      <c r="G300" s="1" t="n">
        <v>16</v>
      </c>
      <c r="H300" s="1" t="s">
        <v>98</v>
      </c>
      <c r="I300" s="1" t="n">
        <v>-7</v>
      </c>
      <c r="J300" s="1" t="n">
        <v>44</v>
      </c>
      <c r="K300" s="1" t="s">
        <v>149</v>
      </c>
      <c r="L300" s="1" t="b">
        <f aca="false">FALSE()</f>
        <v>0</v>
      </c>
      <c r="M300" s="1" t="str">
        <f aca="false">VLOOKUP(D300,'Team Reference'!$A:$B,2,FALSE())</f>
        <v>NYG</v>
      </c>
      <c r="N300" s="1" t="str">
        <f aca="false">VLOOKUP(E300,'Team Reference'!$A:$B,2,FALSE())</f>
        <v>LAR</v>
      </c>
      <c r="O300" s="1" t="str">
        <f aca="false">IF(F300&gt;G300,M300,IF(G300&gt;F300,N300,"Tie"))</f>
        <v>NYG</v>
      </c>
      <c r="P300" s="1" t="n">
        <f aca="false">F300-G300</f>
        <v>12</v>
      </c>
      <c r="Q300" s="1" t="n">
        <f aca="false">F300+G300</f>
        <v>44</v>
      </c>
      <c r="R300" s="1" t="str">
        <f aca="false">IF(H300=M300,"Home",IF(H300=N300,"Away",IF(H300="PICK","Pick","N/A")))</f>
        <v>Home</v>
      </c>
      <c r="S300" s="1" t="n">
        <f aca="false">IF(R300="Home",P300,IF(R300="Away",-P300,""))</f>
        <v>12</v>
      </c>
      <c r="T300" s="1" t="str">
        <f aca="false">IF(R300="Pick","No Line",IF(S300="","N/A",IF(S300+I300&gt;0,"Favorite Covered",IF(S300+I300&lt;0,"Underdog Covered","Push"))))</f>
        <v>Favorite Covered</v>
      </c>
      <c r="U300" s="1" t="str">
        <f aca="false">IF(Q300&gt;J300,"Over",IF(Q300&lt;J300,"Under","Push"))</f>
        <v>Push</v>
      </c>
    </row>
    <row r="301" customFormat="false" ht="15" hidden="false" customHeight="false" outlineLevel="0" collapsed="false">
      <c r="A301" s="1" t="s">
        <v>249</v>
      </c>
      <c r="B301" s="1" t="n">
        <v>2011</v>
      </c>
      <c r="C301" s="1" t="s">
        <v>176</v>
      </c>
      <c r="D301" s="1" t="s">
        <v>59</v>
      </c>
      <c r="E301" s="1" t="s">
        <v>93</v>
      </c>
      <c r="F301" s="1" t="n">
        <v>34</v>
      </c>
      <c r="G301" s="1" t="n">
        <v>31</v>
      </c>
      <c r="H301" s="1" t="s">
        <v>94</v>
      </c>
      <c r="I301" s="1" t="n">
        <v>-7.5</v>
      </c>
      <c r="J301" s="1" t="n">
        <v>54.5</v>
      </c>
      <c r="K301" s="1" t="s">
        <v>144</v>
      </c>
      <c r="L301" s="1" t="b">
        <f aca="false">FALSE()</f>
        <v>0</v>
      </c>
      <c r="M301" s="1" t="str">
        <f aca="false">VLOOKUP(D301,'Team Reference'!$A:$B,2,FALSE())</f>
        <v>BUF</v>
      </c>
      <c r="N301" s="1" t="str">
        <f aca="false">VLOOKUP(E301,'Team Reference'!$A:$B,2,FALSE())</f>
        <v>NE</v>
      </c>
      <c r="O301" s="1" t="str">
        <f aca="false">IF(F301&gt;G301,M301,IF(G301&gt;F301,N301,"Tie"))</f>
        <v>BUF</v>
      </c>
      <c r="P301" s="1" t="n">
        <f aca="false">F301-G301</f>
        <v>3</v>
      </c>
      <c r="Q301" s="1" t="n">
        <f aca="false">F301+G301</f>
        <v>65</v>
      </c>
      <c r="R301" s="1" t="str">
        <f aca="false">IF(H301=M301,"Home",IF(H301=N301,"Away",IF(H301="PICK","Pick","N/A")))</f>
        <v>Away</v>
      </c>
      <c r="S301" s="1" t="n">
        <f aca="false">IF(R301="Home",P301,IF(R301="Away",-P301,""))</f>
        <v>-3</v>
      </c>
      <c r="T301" s="1" t="str">
        <f aca="false">IF(R301="Pick","No Line",IF(S301="","N/A",IF(S301+I301&gt;0,"Favorite Covered",IF(S301+I301&lt;0,"Underdog Covered","Push"))))</f>
        <v>Underdog Covered</v>
      </c>
      <c r="U301" s="1" t="str">
        <f aca="false">IF(Q301&gt;J301,"Over",IF(Q301&lt;J301,"Under","Push"))</f>
        <v>Over</v>
      </c>
    </row>
    <row r="302" customFormat="false" ht="15" hidden="false" customHeight="false" outlineLevel="0" collapsed="false">
      <c r="A302" s="1" t="s">
        <v>249</v>
      </c>
      <c r="B302" s="1" t="n">
        <v>2011</v>
      </c>
      <c r="C302" s="1" t="s">
        <v>176</v>
      </c>
      <c r="D302" s="1" t="s">
        <v>61</v>
      </c>
      <c r="E302" s="1" t="s">
        <v>81</v>
      </c>
      <c r="F302" s="1" t="n">
        <v>16</v>
      </c>
      <c r="G302" s="1" t="n">
        <v>10</v>
      </c>
      <c r="H302" s="1" t="s">
        <v>62</v>
      </c>
      <c r="I302" s="1" t="n">
        <v>-3.5</v>
      </c>
      <c r="J302" s="1" t="n">
        <v>43.5</v>
      </c>
      <c r="K302" s="1" t="s">
        <v>162</v>
      </c>
      <c r="L302" s="1" t="b">
        <f aca="false">FALSE()</f>
        <v>0</v>
      </c>
      <c r="M302" s="1" t="str">
        <f aca="false">VLOOKUP(D302,'Team Reference'!$A:$B,2,FALSE())</f>
        <v>CAR</v>
      </c>
      <c r="N302" s="1" t="str">
        <f aca="false">VLOOKUP(E302,'Team Reference'!$A:$B,2,FALSE())</f>
        <v>JAX</v>
      </c>
      <c r="O302" s="1" t="str">
        <f aca="false">IF(F302&gt;G302,M302,IF(G302&gt;F302,N302,"Tie"))</f>
        <v>CAR</v>
      </c>
      <c r="P302" s="1" t="n">
        <f aca="false">F302-G302</f>
        <v>6</v>
      </c>
      <c r="Q302" s="1" t="n">
        <f aca="false">F302+G302</f>
        <v>26</v>
      </c>
      <c r="R302" s="1" t="str">
        <f aca="false">IF(H302=M302,"Home",IF(H302=N302,"Away",IF(H302="PICK","Pick","N/A")))</f>
        <v>Home</v>
      </c>
      <c r="S302" s="1" t="n">
        <f aca="false">IF(R302="Home",P302,IF(R302="Away",-P302,""))</f>
        <v>6</v>
      </c>
      <c r="T302" s="1" t="str">
        <f aca="false">IF(R302="Pick","No Line",IF(S302="","N/A",IF(S302+I302&gt;0,"Favorite Covered",IF(S302+I302&lt;0,"Underdog Covered","Push"))))</f>
        <v>Favorite Covered</v>
      </c>
      <c r="U302" s="1" t="str">
        <f aca="false">IF(Q302&gt;J302,"Over",IF(Q302&lt;J302,"Under","Push"))</f>
        <v>Under</v>
      </c>
    </row>
    <row r="303" customFormat="false" ht="15" hidden="false" customHeight="false" outlineLevel="0" collapsed="false">
      <c r="A303" s="1" t="s">
        <v>249</v>
      </c>
      <c r="B303" s="1" t="n">
        <v>2011</v>
      </c>
      <c r="C303" s="1" t="s">
        <v>176</v>
      </c>
      <c r="D303" s="1" t="s">
        <v>63</v>
      </c>
      <c r="E303" s="1" t="s">
        <v>75</v>
      </c>
      <c r="F303" s="1" t="n">
        <v>17</v>
      </c>
      <c r="G303" s="1" t="n">
        <v>27</v>
      </c>
      <c r="H303" s="1" t="s">
        <v>76</v>
      </c>
      <c r="I303" s="1" t="n">
        <v>-5</v>
      </c>
      <c r="J303" s="1" t="n">
        <v>45.5</v>
      </c>
      <c r="K303" s="1" t="s">
        <v>145</v>
      </c>
      <c r="L303" s="1" t="b">
        <f aca="false">FALSE()</f>
        <v>0</v>
      </c>
      <c r="M303" s="1" t="str">
        <f aca="false">VLOOKUP(D303,'Team Reference'!$A:$B,2,FALSE())</f>
        <v>CHI</v>
      </c>
      <c r="N303" s="1" t="str">
        <f aca="false">VLOOKUP(E303,'Team Reference'!$A:$B,2,FALSE())</f>
        <v>GB</v>
      </c>
      <c r="O303" s="1" t="str">
        <f aca="false">IF(F303&gt;G303,M303,IF(G303&gt;F303,N303,"Tie"))</f>
        <v>GB</v>
      </c>
      <c r="P303" s="1" t="n">
        <f aca="false">F303-G303</f>
        <v>-10</v>
      </c>
      <c r="Q303" s="1" t="n">
        <f aca="false">F303+G303</f>
        <v>44</v>
      </c>
      <c r="R303" s="1" t="str">
        <f aca="false">IF(H303=M303,"Home",IF(H303=N303,"Away",IF(H303="PICK","Pick","N/A")))</f>
        <v>Away</v>
      </c>
      <c r="S303" s="1" t="n">
        <f aca="false">IF(R303="Home",P303,IF(R303="Away",-P303,""))</f>
        <v>10</v>
      </c>
      <c r="T303" s="1" t="str">
        <f aca="false">IF(R303="Pick","No Line",IF(S303="","N/A",IF(S303+I303&gt;0,"Favorite Covered",IF(S303+I303&lt;0,"Underdog Covered","Push"))))</f>
        <v>Favorite Covered</v>
      </c>
      <c r="U303" s="1" t="str">
        <f aca="false">IF(Q303&gt;J303,"Over",IF(Q303&lt;J303,"Under","Push"))</f>
        <v>Under</v>
      </c>
    </row>
    <row r="304" customFormat="false" ht="15" hidden="false" customHeight="false" outlineLevel="0" collapsed="false">
      <c r="A304" s="1" t="s">
        <v>249</v>
      </c>
      <c r="B304" s="1" t="n">
        <v>2011</v>
      </c>
      <c r="C304" s="1" t="s">
        <v>176</v>
      </c>
      <c r="D304" s="1" t="s">
        <v>65</v>
      </c>
      <c r="E304" s="1" t="s">
        <v>108</v>
      </c>
      <c r="F304" s="1" t="n">
        <v>8</v>
      </c>
      <c r="G304" s="1" t="n">
        <v>13</v>
      </c>
      <c r="H304" s="1" t="s">
        <v>66</v>
      </c>
      <c r="I304" s="1" t="n">
        <v>-1</v>
      </c>
      <c r="J304" s="1" t="n">
        <v>38.5</v>
      </c>
      <c r="K304" s="1" t="s">
        <v>163</v>
      </c>
      <c r="L304" s="1" t="b">
        <f aca="false">FALSE()</f>
        <v>0</v>
      </c>
      <c r="M304" s="1" t="str">
        <f aca="false">VLOOKUP(D304,'Team Reference'!$A:$B,2,FALSE())</f>
        <v>CIN</v>
      </c>
      <c r="N304" s="1" t="str">
        <f aca="false">VLOOKUP(E304,'Team Reference'!$A:$B,2,FALSE())</f>
        <v>SF</v>
      </c>
      <c r="O304" s="1" t="str">
        <f aca="false">IF(F304&gt;G304,M304,IF(G304&gt;F304,N304,"Tie"))</f>
        <v>SF</v>
      </c>
      <c r="P304" s="1" t="n">
        <f aca="false">F304-G304</f>
        <v>-5</v>
      </c>
      <c r="Q304" s="1" t="n">
        <f aca="false">F304+G304</f>
        <v>21</v>
      </c>
      <c r="R304" s="1" t="str">
        <f aca="false">IF(H304=M304,"Home",IF(H304=N304,"Away",IF(H304="PICK","Pick","N/A")))</f>
        <v>Home</v>
      </c>
      <c r="S304" s="1" t="n">
        <f aca="false">IF(R304="Home",P304,IF(R304="Away",-P304,""))</f>
        <v>-5</v>
      </c>
      <c r="T304" s="1" t="str">
        <f aca="false">IF(R304="Pick","No Line",IF(S304="","N/A",IF(S304+I304&gt;0,"Favorite Covered",IF(S304+I304&lt;0,"Underdog Covered","Push"))))</f>
        <v>Underdog Covered</v>
      </c>
      <c r="U304" s="1" t="str">
        <f aca="false">IF(Q304&gt;J304,"Over",IF(Q304&lt;J304,"Under","Push"))</f>
        <v>Under</v>
      </c>
    </row>
    <row r="305" customFormat="false" ht="15" hidden="false" customHeight="false" outlineLevel="0" collapsed="false">
      <c r="A305" s="1" t="s">
        <v>249</v>
      </c>
      <c r="B305" s="1" t="n">
        <v>2011</v>
      </c>
      <c r="C305" s="1" t="s">
        <v>176</v>
      </c>
      <c r="D305" s="1" t="s">
        <v>67</v>
      </c>
      <c r="E305" s="1" t="s">
        <v>89</v>
      </c>
      <c r="F305" s="1" t="n">
        <v>17</v>
      </c>
      <c r="G305" s="1" t="n">
        <v>16</v>
      </c>
      <c r="H305" s="1" t="s">
        <v>90</v>
      </c>
      <c r="I305" s="1" t="n">
        <v>-2</v>
      </c>
      <c r="J305" s="1" t="n">
        <v>42.5</v>
      </c>
      <c r="K305" s="1" t="s">
        <v>164</v>
      </c>
      <c r="L305" s="1" t="b">
        <f aca="false">FALSE()</f>
        <v>0</v>
      </c>
      <c r="M305" s="1" t="str">
        <f aca="false">VLOOKUP(D305,'Team Reference'!$A:$B,2,FALSE())</f>
        <v>CLE</v>
      </c>
      <c r="N305" s="1" t="str">
        <f aca="false">VLOOKUP(E305,'Team Reference'!$A:$B,2,FALSE())</f>
        <v>MIA</v>
      </c>
      <c r="O305" s="1" t="str">
        <f aca="false">IF(F305&gt;G305,M305,IF(G305&gt;F305,N305,"Tie"))</f>
        <v>CLE</v>
      </c>
      <c r="P305" s="1" t="n">
        <f aca="false">F305-G305</f>
        <v>1</v>
      </c>
      <c r="Q305" s="1" t="n">
        <f aca="false">F305+G305</f>
        <v>33</v>
      </c>
      <c r="R305" s="1" t="str">
        <f aca="false">IF(H305=M305,"Home",IF(H305=N305,"Away",IF(H305="PICK","Pick","N/A")))</f>
        <v>Away</v>
      </c>
      <c r="S305" s="1" t="n">
        <f aca="false">IF(R305="Home",P305,IF(R305="Away",-P305,""))</f>
        <v>-1</v>
      </c>
      <c r="T305" s="1" t="str">
        <f aca="false">IF(R305="Pick","No Line",IF(S305="","N/A",IF(S305+I305&gt;0,"Favorite Covered",IF(S305+I305&lt;0,"Underdog Covered","Push"))))</f>
        <v>Underdog Covered</v>
      </c>
      <c r="U305" s="1" t="str">
        <f aca="false">IF(Q305&gt;J305,"Over",IF(Q305&lt;J305,"Under","Push"))</f>
        <v>Under</v>
      </c>
    </row>
    <row r="306" customFormat="false" ht="15" hidden="false" customHeight="false" outlineLevel="0" collapsed="false">
      <c r="A306" s="1" t="s">
        <v>249</v>
      </c>
      <c r="B306" s="1" t="n">
        <v>2011</v>
      </c>
      <c r="C306" s="1" t="s">
        <v>176</v>
      </c>
      <c r="D306" s="1" t="s">
        <v>79</v>
      </c>
      <c r="E306" s="1" t="s">
        <v>105</v>
      </c>
      <c r="F306" s="1" t="n">
        <v>20</v>
      </c>
      <c r="G306" s="1" t="n">
        <v>23</v>
      </c>
      <c r="H306" s="1" t="s">
        <v>106</v>
      </c>
      <c r="I306" s="1" t="n">
        <v>-11</v>
      </c>
      <c r="J306" s="1" t="n">
        <v>39.5</v>
      </c>
      <c r="K306" s="1" t="s">
        <v>169</v>
      </c>
      <c r="L306" s="1" t="b">
        <f aca="false">FALSE()</f>
        <v>0</v>
      </c>
      <c r="M306" s="1" t="str">
        <f aca="false">VLOOKUP(D306,'Team Reference'!$A:$B,2,FALSE())</f>
        <v>IND</v>
      </c>
      <c r="N306" s="1" t="str">
        <f aca="false">VLOOKUP(E306,'Team Reference'!$A:$B,2,FALSE())</f>
        <v>PIT</v>
      </c>
      <c r="O306" s="1" t="str">
        <f aca="false">IF(F306&gt;G306,M306,IF(G306&gt;F306,N306,"Tie"))</f>
        <v>PIT</v>
      </c>
      <c r="P306" s="1" t="n">
        <f aca="false">F306-G306</f>
        <v>-3</v>
      </c>
      <c r="Q306" s="1" t="n">
        <f aca="false">F306+G306</f>
        <v>43</v>
      </c>
      <c r="R306" s="1" t="str">
        <f aca="false">IF(H306=M306,"Home",IF(H306=N306,"Away",IF(H306="PICK","Pick","N/A")))</f>
        <v>Away</v>
      </c>
      <c r="S306" s="1" t="n">
        <f aca="false">IF(R306="Home",P306,IF(R306="Away",-P306,""))</f>
        <v>3</v>
      </c>
      <c r="T306" s="1" t="str">
        <f aca="false">IF(R306="Pick","No Line",IF(S306="","N/A",IF(S306+I306&gt;0,"Favorite Covered",IF(S306+I306&lt;0,"Underdog Covered","Push"))))</f>
        <v>Underdog Covered</v>
      </c>
      <c r="U306" s="1" t="str">
        <f aca="false">IF(Q306&gt;J306,"Over",IF(Q306&lt;J306,"Under","Push"))</f>
        <v>Over</v>
      </c>
    </row>
    <row r="307" customFormat="false" ht="15" hidden="false" customHeight="false" outlineLevel="0" collapsed="false">
      <c r="A307" s="1" t="s">
        <v>249</v>
      </c>
      <c r="B307" s="1" t="n">
        <v>2011</v>
      </c>
      <c r="C307" s="1" t="s">
        <v>176</v>
      </c>
      <c r="D307" s="1" t="s">
        <v>91</v>
      </c>
      <c r="E307" s="1" t="s">
        <v>73</v>
      </c>
      <c r="F307" s="1" t="n">
        <v>23</v>
      </c>
      <c r="G307" s="1" t="n">
        <v>26</v>
      </c>
      <c r="H307" s="1" t="s">
        <v>74</v>
      </c>
      <c r="I307" s="1" t="n">
        <v>-3</v>
      </c>
      <c r="J307" s="1" t="n">
        <v>45</v>
      </c>
      <c r="K307" s="1" t="s">
        <v>170</v>
      </c>
      <c r="L307" s="1" t="b">
        <f aca="false">FALSE()</f>
        <v>0</v>
      </c>
      <c r="M307" s="1" t="str">
        <f aca="false">VLOOKUP(D307,'Team Reference'!$A:$B,2,FALSE())</f>
        <v>MIN</v>
      </c>
      <c r="N307" s="1" t="str">
        <f aca="false">VLOOKUP(E307,'Team Reference'!$A:$B,2,FALSE())</f>
        <v>DET</v>
      </c>
      <c r="O307" s="1" t="str">
        <f aca="false">IF(F307&gt;G307,M307,IF(G307&gt;F307,N307,"Tie"))</f>
        <v>DET</v>
      </c>
      <c r="P307" s="1" t="n">
        <f aca="false">F307-G307</f>
        <v>-3</v>
      </c>
      <c r="Q307" s="1" t="n">
        <f aca="false">F307+G307</f>
        <v>49</v>
      </c>
      <c r="R307" s="1" t="str">
        <f aca="false">IF(H307=M307,"Home",IF(H307=N307,"Away",IF(H307="PICK","Pick","N/A")))</f>
        <v>Away</v>
      </c>
      <c r="S307" s="1" t="n">
        <f aca="false">IF(R307="Home",P307,IF(R307="Away",-P307,""))</f>
        <v>3</v>
      </c>
      <c r="T307" s="1" t="str">
        <f aca="false">IF(R307="Pick","No Line",IF(S307="","N/A",IF(S307+I307&gt;0,"Favorite Covered",IF(S307+I307&lt;0,"Underdog Covered","Push"))))</f>
        <v>Push</v>
      </c>
      <c r="U307" s="1" t="str">
        <f aca="false">IF(Q307&gt;J307,"Over",IF(Q307&lt;J307,"Under","Push"))</f>
        <v>Over</v>
      </c>
    </row>
    <row r="308" customFormat="false" ht="15" hidden="false" customHeight="false" outlineLevel="0" collapsed="false">
      <c r="A308" s="1" t="s">
        <v>249</v>
      </c>
      <c r="B308" s="1" t="n">
        <v>2011</v>
      </c>
      <c r="C308" s="1" t="s">
        <v>176</v>
      </c>
      <c r="D308" s="1" t="s">
        <v>95</v>
      </c>
      <c r="E308" s="1" t="s">
        <v>77</v>
      </c>
      <c r="F308" s="1" t="n">
        <v>40</v>
      </c>
      <c r="G308" s="1" t="n">
        <v>33</v>
      </c>
      <c r="H308" s="1" t="s">
        <v>96</v>
      </c>
      <c r="I308" s="1" t="n">
        <v>-4</v>
      </c>
      <c r="J308" s="1" t="n">
        <v>51</v>
      </c>
      <c r="K308" s="1" t="s">
        <v>142</v>
      </c>
      <c r="L308" s="1" t="b">
        <f aca="false">FALSE()</f>
        <v>0</v>
      </c>
      <c r="M308" s="1" t="str">
        <f aca="false">VLOOKUP(D308,'Team Reference'!$A:$B,2,FALSE())</f>
        <v>NO</v>
      </c>
      <c r="N308" s="1" t="str">
        <f aca="false">VLOOKUP(E308,'Team Reference'!$A:$B,2,FALSE())</f>
        <v>HOU</v>
      </c>
      <c r="O308" s="1" t="str">
        <f aca="false">IF(F308&gt;G308,M308,IF(G308&gt;F308,N308,"Tie"))</f>
        <v>NO</v>
      </c>
      <c r="P308" s="1" t="n">
        <f aca="false">F308-G308</f>
        <v>7</v>
      </c>
      <c r="Q308" s="1" t="n">
        <f aca="false">F308+G308</f>
        <v>73</v>
      </c>
      <c r="R308" s="1" t="str">
        <f aca="false">IF(H308=M308,"Home",IF(H308=N308,"Away",IF(H308="PICK","Pick","N/A")))</f>
        <v>Home</v>
      </c>
      <c r="S308" s="1" t="n">
        <f aca="false">IF(R308="Home",P308,IF(R308="Away",-P308,""))</f>
        <v>7</v>
      </c>
      <c r="T308" s="1" t="str">
        <f aca="false">IF(R308="Pick","No Line",IF(S308="","N/A",IF(S308+I308&gt;0,"Favorite Covered",IF(S308+I308&lt;0,"Underdog Covered","Push"))))</f>
        <v>Favorite Covered</v>
      </c>
      <c r="U308" s="1" t="str">
        <f aca="false">IF(Q308&gt;J308,"Over",IF(Q308&lt;J308,"Under","Push"))</f>
        <v>Over</v>
      </c>
    </row>
    <row r="309" customFormat="false" ht="15" hidden="false" customHeight="false" outlineLevel="0" collapsed="false">
      <c r="A309" s="1" t="s">
        <v>249</v>
      </c>
      <c r="B309" s="1" t="n">
        <v>2011</v>
      </c>
      <c r="C309" s="1" t="s">
        <v>176</v>
      </c>
      <c r="D309" s="1" t="s">
        <v>101</v>
      </c>
      <c r="E309" s="1" t="s">
        <v>99</v>
      </c>
      <c r="F309" s="1" t="n">
        <v>34</v>
      </c>
      <c r="G309" s="1" t="n">
        <v>24</v>
      </c>
      <c r="H309" s="1" t="s">
        <v>100</v>
      </c>
      <c r="I309" s="1" t="n">
        <v>-3</v>
      </c>
      <c r="J309" s="1" t="n">
        <v>41</v>
      </c>
      <c r="K309" s="1" t="s">
        <v>171</v>
      </c>
      <c r="L309" s="1" t="b">
        <f aca="false">FALSE()</f>
        <v>0</v>
      </c>
      <c r="M309" s="1" t="str">
        <f aca="false">VLOOKUP(D309,'Team Reference'!$A:$B,2,FALSE())</f>
        <v>OAK</v>
      </c>
      <c r="N309" s="1" t="str">
        <f aca="false">VLOOKUP(E309,'Team Reference'!$A:$B,2,FALSE())</f>
        <v>NYJ</v>
      </c>
      <c r="O309" s="1" t="str">
        <f aca="false">IF(F309&gt;G309,M309,IF(G309&gt;F309,N309,"Tie"))</f>
        <v>OAK</v>
      </c>
      <c r="P309" s="1" t="n">
        <f aca="false">F309-G309</f>
        <v>10</v>
      </c>
      <c r="Q309" s="1" t="n">
        <f aca="false">F309+G309</f>
        <v>58</v>
      </c>
      <c r="R309" s="1" t="str">
        <f aca="false">IF(H309=M309,"Home",IF(H309=N309,"Away",IF(H309="PICK","Pick","N/A")))</f>
        <v>Away</v>
      </c>
      <c r="S309" s="1" t="n">
        <f aca="false">IF(R309="Home",P309,IF(R309="Away",-P309,""))</f>
        <v>-10</v>
      </c>
      <c r="T309" s="1" t="str">
        <f aca="false">IF(R309="Pick","No Line",IF(S309="","N/A",IF(S309+I309&gt;0,"Favorite Covered",IF(S309+I309&lt;0,"Underdog Covered","Push"))))</f>
        <v>Underdog Covered</v>
      </c>
      <c r="U309" s="1" t="str">
        <f aca="false">IF(Q309&gt;J309,"Over",IF(Q309&lt;J309,"Under","Push"))</f>
        <v>Over</v>
      </c>
    </row>
    <row r="310" customFormat="false" ht="15" hidden="false" customHeight="false" outlineLevel="0" collapsed="false">
      <c r="A310" s="1" t="s">
        <v>249</v>
      </c>
      <c r="B310" s="1" t="n">
        <v>2011</v>
      </c>
      <c r="C310" s="1" t="s">
        <v>176</v>
      </c>
      <c r="D310" s="1" t="s">
        <v>103</v>
      </c>
      <c r="E310" s="1" t="s">
        <v>97</v>
      </c>
      <c r="F310" s="1" t="n">
        <v>16</v>
      </c>
      <c r="G310" s="1" t="n">
        <v>29</v>
      </c>
      <c r="H310" s="1" t="s">
        <v>104</v>
      </c>
      <c r="I310" s="1" t="n">
        <v>-8</v>
      </c>
      <c r="J310" s="1" t="n">
        <v>46.5</v>
      </c>
      <c r="K310" s="1" t="s">
        <v>150</v>
      </c>
      <c r="L310" s="1" t="b">
        <f aca="false">FALSE()</f>
        <v>0</v>
      </c>
      <c r="M310" s="1" t="str">
        <f aca="false">VLOOKUP(D310,'Team Reference'!$A:$B,2,FALSE())</f>
        <v>PHI</v>
      </c>
      <c r="N310" s="1" t="str">
        <f aca="false">VLOOKUP(E310,'Team Reference'!$A:$B,2,FALSE())</f>
        <v>NYG</v>
      </c>
      <c r="O310" s="1" t="str">
        <f aca="false">IF(F310&gt;G310,M310,IF(G310&gt;F310,N310,"Tie"))</f>
        <v>NYG</v>
      </c>
      <c r="P310" s="1" t="n">
        <f aca="false">F310-G310</f>
        <v>-13</v>
      </c>
      <c r="Q310" s="1" t="n">
        <f aca="false">F310+G310</f>
        <v>45</v>
      </c>
      <c r="R310" s="1" t="str">
        <f aca="false">IF(H310=M310,"Home",IF(H310=N310,"Away",IF(H310="PICK","Pick","N/A")))</f>
        <v>Home</v>
      </c>
      <c r="S310" s="1" t="n">
        <f aca="false">IF(R310="Home",P310,IF(R310="Away",-P310,""))</f>
        <v>-13</v>
      </c>
      <c r="T310" s="1" t="str">
        <f aca="false">IF(R310="Pick","No Line",IF(S310="","N/A",IF(S310+I310&gt;0,"Favorite Covered",IF(S310+I310&lt;0,"Underdog Covered","Push"))))</f>
        <v>Underdog Covered</v>
      </c>
      <c r="U310" s="1" t="str">
        <f aca="false">IF(Q310&gt;J310,"Over",IF(Q310&lt;J310,"Under","Push"))</f>
        <v>Under</v>
      </c>
    </row>
    <row r="311" customFormat="false" ht="15" hidden="false" customHeight="false" outlineLevel="0" collapsed="false">
      <c r="A311" s="1" t="s">
        <v>249</v>
      </c>
      <c r="B311" s="1" t="n">
        <v>2011</v>
      </c>
      <c r="C311" s="1" t="s">
        <v>176</v>
      </c>
      <c r="D311" s="1" t="s">
        <v>107</v>
      </c>
      <c r="E311" s="1" t="s">
        <v>83</v>
      </c>
      <c r="F311" s="1" t="n">
        <v>20</v>
      </c>
      <c r="G311" s="1" t="n">
        <v>17</v>
      </c>
      <c r="H311" s="1" t="s">
        <v>86</v>
      </c>
      <c r="I311" s="1" t="n">
        <v>-14.5</v>
      </c>
      <c r="J311" s="1" t="n">
        <v>44.5</v>
      </c>
      <c r="K311" s="1" t="s">
        <v>172</v>
      </c>
      <c r="L311" s="1" t="b">
        <f aca="false">FALSE()</f>
        <v>0</v>
      </c>
      <c r="M311" s="1" t="str">
        <f aca="false">VLOOKUP(D311,'Team Reference'!$A:$B,2,FALSE())</f>
        <v>LAC</v>
      </c>
      <c r="N311" s="1" t="str">
        <f aca="false">VLOOKUP(E311,'Team Reference'!$A:$B,2,FALSE())</f>
        <v>KC</v>
      </c>
      <c r="O311" s="1" t="str">
        <f aca="false">IF(F311&gt;G311,M311,IF(G311&gt;F311,N311,"Tie"))</f>
        <v>LAC</v>
      </c>
      <c r="P311" s="1" t="n">
        <f aca="false">F311-G311</f>
        <v>3</v>
      </c>
      <c r="Q311" s="1" t="n">
        <f aca="false">F311+G311</f>
        <v>37</v>
      </c>
      <c r="R311" s="1" t="str">
        <f aca="false">IF(H311=M311,"Home",IF(H311=N311,"Away",IF(H311="PICK","Pick","N/A")))</f>
        <v>Home</v>
      </c>
      <c r="S311" s="1" t="n">
        <f aca="false">IF(R311="Home",P311,IF(R311="Away",-P311,""))</f>
        <v>3</v>
      </c>
      <c r="T311" s="1" t="str">
        <f aca="false">IF(R311="Pick","No Line",IF(S311="","N/A",IF(S311+I311&gt;0,"Favorite Covered",IF(S311+I311&lt;0,"Underdog Covered","Push"))))</f>
        <v>Underdog Covered</v>
      </c>
      <c r="U311" s="1" t="str">
        <f aca="false">IF(Q311&gt;J311,"Over",IF(Q311&lt;J311,"Under","Push"))</f>
        <v>Under</v>
      </c>
    </row>
    <row r="312" customFormat="false" ht="15" hidden="false" customHeight="false" outlineLevel="0" collapsed="false">
      <c r="A312" s="1" t="s">
        <v>249</v>
      </c>
      <c r="B312" s="1" t="n">
        <v>2011</v>
      </c>
      <c r="C312" s="1" t="s">
        <v>176</v>
      </c>
      <c r="D312" s="1" t="s">
        <v>110</v>
      </c>
      <c r="E312" s="1" t="s">
        <v>53</v>
      </c>
      <c r="F312" s="1" t="n">
        <v>13</v>
      </c>
      <c r="G312" s="1" t="n">
        <v>10</v>
      </c>
      <c r="H312" s="1" t="s">
        <v>54</v>
      </c>
      <c r="I312" s="1" t="n">
        <v>-3</v>
      </c>
      <c r="J312" s="1" t="n">
        <v>43</v>
      </c>
      <c r="K312" s="1" t="s">
        <v>152</v>
      </c>
      <c r="L312" s="1" t="b">
        <f aca="false">FALSE()</f>
        <v>0</v>
      </c>
      <c r="M312" s="1" t="str">
        <f aca="false">VLOOKUP(D312,'Team Reference'!$A:$B,2,FALSE())</f>
        <v>SEA</v>
      </c>
      <c r="N312" s="1" t="str">
        <f aca="false">VLOOKUP(E312,'Team Reference'!$A:$B,2,FALSE())</f>
        <v>ARI</v>
      </c>
      <c r="O312" s="1" t="str">
        <f aca="false">IF(F312&gt;G312,M312,IF(G312&gt;F312,N312,"Tie"))</f>
        <v>SEA</v>
      </c>
      <c r="P312" s="1" t="n">
        <f aca="false">F312-G312</f>
        <v>3</v>
      </c>
      <c r="Q312" s="1" t="n">
        <f aca="false">F312+G312</f>
        <v>23</v>
      </c>
      <c r="R312" s="1" t="str">
        <f aca="false">IF(H312=M312,"Home",IF(H312=N312,"Away",IF(H312="PICK","Pick","N/A")))</f>
        <v>Away</v>
      </c>
      <c r="S312" s="1" t="n">
        <f aca="false">IF(R312="Home",P312,IF(R312="Away",-P312,""))</f>
        <v>-3</v>
      </c>
      <c r="T312" s="1" t="str">
        <f aca="false">IF(R312="Pick","No Line",IF(S312="","N/A",IF(S312+I312&gt;0,"Favorite Covered",IF(S312+I312&lt;0,"Underdog Covered","Push"))))</f>
        <v>Underdog Covered</v>
      </c>
      <c r="U312" s="1" t="str">
        <f aca="false">IF(Q312&gt;J312,"Over",IF(Q312&lt;J312,"Under","Push"))</f>
        <v>Under</v>
      </c>
    </row>
    <row r="313" customFormat="false" ht="15" hidden="false" customHeight="false" outlineLevel="0" collapsed="false">
      <c r="A313" s="1" t="s">
        <v>249</v>
      </c>
      <c r="B313" s="1" t="n">
        <v>2011</v>
      </c>
      <c r="C313" s="1" t="s">
        <v>176</v>
      </c>
      <c r="D313" s="1" t="s">
        <v>112</v>
      </c>
      <c r="E313" s="1" t="s">
        <v>57</v>
      </c>
      <c r="F313" s="1" t="n">
        <v>7</v>
      </c>
      <c r="G313" s="1" t="n">
        <v>37</v>
      </c>
      <c r="H313" s="1" t="s">
        <v>58</v>
      </c>
      <c r="I313" s="1" t="n">
        <v>-6</v>
      </c>
      <c r="J313" s="1" t="n">
        <v>42</v>
      </c>
      <c r="K313" s="1" t="s">
        <v>153</v>
      </c>
      <c r="L313" s="1" t="b">
        <f aca="false">FALSE()</f>
        <v>0</v>
      </c>
      <c r="M313" s="1" t="str">
        <f aca="false">VLOOKUP(D313,'Team Reference'!$A:$B,2,FALSE())</f>
        <v>LAR</v>
      </c>
      <c r="N313" s="1" t="str">
        <f aca="false">VLOOKUP(E313,'Team Reference'!$A:$B,2,FALSE())</f>
        <v>BAL</v>
      </c>
      <c r="O313" s="1" t="str">
        <f aca="false">IF(F313&gt;G313,M313,IF(G313&gt;F313,N313,"Tie"))</f>
        <v>BAL</v>
      </c>
      <c r="P313" s="1" t="n">
        <f aca="false">F313-G313</f>
        <v>-30</v>
      </c>
      <c r="Q313" s="1" t="n">
        <f aca="false">F313+G313</f>
        <v>44</v>
      </c>
      <c r="R313" s="1" t="str">
        <f aca="false">IF(H313=M313,"Home",IF(H313=N313,"Away",IF(H313="PICK","Pick","N/A")))</f>
        <v>Away</v>
      </c>
      <c r="S313" s="1" t="n">
        <f aca="false">IF(R313="Home",P313,IF(R313="Away",-P313,""))</f>
        <v>30</v>
      </c>
      <c r="T313" s="1" t="str">
        <f aca="false">IF(R313="Pick","No Line",IF(S313="","N/A",IF(S313+I313&gt;0,"Favorite Covered",IF(S313+I313&lt;0,"Underdog Covered","Push"))))</f>
        <v>Favorite Covered</v>
      </c>
      <c r="U313" s="1" t="str">
        <f aca="false">IF(Q313&gt;J313,"Over",IF(Q313&lt;J313,"Under","Push"))</f>
        <v>Over</v>
      </c>
    </row>
    <row r="314" customFormat="false" ht="15" hidden="false" customHeight="false" outlineLevel="0" collapsed="false">
      <c r="A314" s="1" t="s">
        <v>249</v>
      </c>
      <c r="B314" s="1" t="n">
        <v>2011</v>
      </c>
      <c r="C314" s="1" t="s">
        <v>176</v>
      </c>
      <c r="D314" s="1" t="s">
        <v>113</v>
      </c>
      <c r="E314" s="1" t="s">
        <v>55</v>
      </c>
      <c r="F314" s="1" t="n">
        <v>16</v>
      </c>
      <c r="G314" s="1" t="n">
        <v>13</v>
      </c>
      <c r="H314" s="1" t="s">
        <v>114</v>
      </c>
      <c r="I314" s="1" t="n">
        <v>-1</v>
      </c>
      <c r="J314" s="1" t="n">
        <v>45</v>
      </c>
      <c r="K314" s="1" t="s">
        <v>154</v>
      </c>
      <c r="L314" s="1" t="b">
        <f aca="false">FALSE()</f>
        <v>0</v>
      </c>
      <c r="M314" s="1" t="str">
        <f aca="false">VLOOKUP(D314,'Team Reference'!$A:$B,2,FALSE())</f>
        <v>TB</v>
      </c>
      <c r="N314" s="1" t="str">
        <f aca="false">VLOOKUP(E314,'Team Reference'!$A:$B,2,FALSE())</f>
        <v>ATL</v>
      </c>
      <c r="O314" s="1" t="str">
        <f aca="false">IF(F314&gt;G314,M314,IF(G314&gt;F314,N314,"Tie"))</f>
        <v>TB</v>
      </c>
      <c r="P314" s="1" t="n">
        <f aca="false">F314-G314</f>
        <v>3</v>
      </c>
      <c r="Q314" s="1" t="n">
        <f aca="false">F314+G314</f>
        <v>29</v>
      </c>
      <c r="R314" s="1" t="str">
        <f aca="false">IF(H314=M314,"Home",IF(H314=N314,"Away",IF(H314="PICK","Pick","N/A")))</f>
        <v>Home</v>
      </c>
      <c r="S314" s="1" t="n">
        <f aca="false">IF(R314="Home",P314,IF(R314="Away",-P314,""))</f>
        <v>3</v>
      </c>
      <c r="T314" s="1" t="str">
        <f aca="false">IF(R314="Pick","No Line",IF(S314="","N/A",IF(S314+I314&gt;0,"Favorite Covered",IF(S314+I314&lt;0,"Underdog Covered","Push"))))</f>
        <v>Favorite Covered</v>
      </c>
      <c r="U314" s="1" t="str">
        <f aca="false">IF(Q314&gt;J314,"Over",IF(Q314&lt;J314,"Under","Push"))</f>
        <v>Under</v>
      </c>
    </row>
    <row r="315" customFormat="false" ht="15" hidden="false" customHeight="false" outlineLevel="0" collapsed="false">
      <c r="A315" s="1" t="s">
        <v>249</v>
      </c>
      <c r="B315" s="1" t="n">
        <v>2011</v>
      </c>
      <c r="C315" s="1" t="s">
        <v>176</v>
      </c>
      <c r="D315" s="1" t="s">
        <v>115</v>
      </c>
      <c r="E315" s="1" t="s">
        <v>71</v>
      </c>
      <c r="F315" s="1" t="n">
        <v>17</v>
      </c>
      <c r="G315" s="1" t="n">
        <v>14</v>
      </c>
      <c r="H315" s="1" t="s">
        <v>116</v>
      </c>
      <c r="I315" s="1" t="n">
        <v>-7</v>
      </c>
      <c r="J315" s="1" t="n">
        <v>44</v>
      </c>
      <c r="K315" s="1" t="s">
        <v>155</v>
      </c>
      <c r="L315" s="1" t="b">
        <f aca="false">FALSE()</f>
        <v>0</v>
      </c>
      <c r="M315" s="1" t="str">
        <f aca="false">VLOOKUP(D315,'Team Reference'!$A:$B,2,FALSE())</f>
        <v>TEN</v>
      </c>
      <c r="N315" s="1" t="str">
        <f aca="false">VLOOKUP(E315,'Team Reference'!$A:$B,2,FALSE())</f>
        <v>DEN</v>
      </c>
      <c r="O315" s="1" t="str">
        <f aca="false">IF(F315&gt;G315,M315,IF(G315&gt;F315,N315,"Tie"))</f>
        <v>TEN</v>
      </c>
      <c r="P315" s="1" t="n">
        <f aca="false">F315-G315</f>
        <v>3</v>
      </c>
      <c r="Q315" s="1" t="n">
        <f aca="false">F315+G315</f>
        <v>31</v>
      </c>
      <c r="R315" s="1" t="str">
        <f aca="false">IF(H315=M315,"Home",IF(H315=N315,"Away",IF(H315="PICK","Pick","N/A")))</f>
        <v>Home</v>
      </c>
      <c r="S315" s="1" t="n">
        <f aca="false">IF(R315="Home",P315,IF(R315="Away",-P315,""))</f>
        <v>3</v>
      </c>
      <c r="T315" s="1" t="str">
        <f aca="false">IF(R315="Pick","No Line",IF(S315="","N/A",IF(S315+I315&gt;0,"Favorite Covered",IF(S315+I315&lt;0,"Underdog Covered","Push"))))</f>
        <v>Underdog Covered</v>
      </c>
      <c r="U315" s="1" t="str">
        <f aca="false">IF(Q315&gt;J315,"Over",IF(Q315&lt;J315,"Under","Push"))</f>
        <v>Under</v>
      </c>
    </row>
    <row r="316" customFormat="false" ht="15" hidden="false" customHeight="false" outlineLevel="0" collapsed="false">
      <c r="A316" s="1" t="s">
        <v>250</v>
      </c>
      <c r="B316" s="1" t="n">
        <v>2011</v>
      </c>
      <c r="C316" s="1" t="s">
        <v>176</v>
      </c>
      <c r="D316" s="1" t="s">
        <v>69</v>
      </c>
      <c r="E316" s="1" t="s">
        <v>117</v>
      </c>
      <c r="F316" s="1" t="n">
        <v>18</v>
      </c>
      <c r="G316" s="1" t="n">
        <v>16</v>
      </c>
      <c r="H316" s="1" t="s">
        <v>70</v>
      </c>
      <c r="I316" s="1" t="n">
        <v>-3.5</v>
      </c>
      <c r="J316" s="1" t="n">
        <v>45</v>
      </c>
      <c r="K316" s="1" t="s">
        <v>165</v>
      </c>
      <c r="L316" s="1" t="b">
        <f aca="false">FALSE()</f>
        <v>0</v>
      </c>
      <c r="M316" s="1" t="str">
        <f aca="false">VLOOKUP(D316,'Team Reference'!$A:$B,2,FALSE())</f>
        <v>DAL</v>
      </c>
      <c r="N316" s="1" t="str">
        <f aca="false">VLOOKUP(E316,'Team Reference'!$A:$B,2,FALSE())</f>
        <v>WAS</v>
      </c>
      <c r="O316" s="1" t="str">
        <f aca="false">IF(F316&gt;G316,M316,IF(G316&gt;F316,N316,"Tie"))</f>
        <v>DAL</v>
      </c>
      <c r="P316" s="1" t="n">
        <f aca="false">F316-G316</f>
        <v>2</v>
      </c>
      <c r="Q316" s="1" t="n">
        <f aca="false">F316+G316</f>
        <v>34</v>
      </c>
      <c r="R316" s="1" t="str">
        <f aca="false">IF(H316=M316,"Home",IF(H316=N316,"Away",IF(H316="PICK","Pick","N/A")))</f>
        <v>Home</v>
      </c>
      <c r="S316" s="1" t="n">
        <f aca="false">IF(R316="Home",P316,IF(R316="Away",-P316,""))</f>
        <v>2</v>
      </c>
      <c r="T316" s="1" t="str">
        <f aca="false">IF(R316="Pick","No Line",IF(S316="","N/A",IF(S316+I316&gt;0,"Favorite Covered",IF(S316+I316&lt;0,"Underdog Covered","Push"))))</f>
        <v>Underdog Covered</v>
      </c>
      <c r="U316" s="1" t="str">
        <f aca="false">IF(Q316&gt;J316,"Over",IF(Q316&lt;J316,"Under","Push"))</f>
        <v>Under</v>
      </c>
    </row>
    <row r="317" customFormat="false" ht="15" hidden="false" customHeight="false" outlineLevel="0" collapsed="false">
      <c r="A317" s="1" t="s">
        <v>251</v>
      </c>
      <c r="B317" s="1" t="n">
        <v>2011</v>
      </c>
      <c r="C317" s="1" t="s">
        <v>182</v>
      </c>
      <c r="D317" s="1" t="s">
        <v>53</v>
      </c>
      <c r="E317" s="1" t="s">
        <v>97</v>
      </c>
      <c r="F317" s="1" t="n">
        <v>27</v>
      </c>
      <c r="G317" s="1" t="n">
        <v>31</v>
      </c>
      <c r="H317" s="1" t="s">
        <v>98</v>
      </c>
      <c r="I317" s="1" t="n">
        <v>-1.5</v>
      </c>
      <c r="J317" s="1" t="n">
        <v>45</v>
      </c>
      <c r="K317" s="1" t="s">
        <v>177</v>
      </c>
      <c r="L317" s="1" t="b">
        <f aca="false">FALSE()</f>
        <v>0</v>
      </c>
      <c r="M317" s="1" t="str">
        <f aca="false">VLOOKUP(D317,'Team Reference'!$A:$B,2,FALSE())</f>
        <v>ARI</v>
      </c>
      <c r="N317" s="1" t="str">
        <f aca="false">VLOOKUP(E317,'Team Reference'!$A:$B,2,FALSE())</f>
        <v>NYG</v>
      </c>
      <c r="O317" s="1" t="str">
        <f aca="false">IF(F317&gt;G317,M317,IF(G317&gt;F317,N317,"Tie"))</f>
        <v>NYG</v>
      </c>
      <c r="P317" s="1" t="n">
        <f aca="false">F317-G317</f>
        <v>-4</v>
      </c>
      <c r="Q317" s="1" t="n">
        <f aca="false">F317+G317</f>
        <v>58</v>
      </c>
      <c r="R317" s="1" t="str">
        <f aca="false">IF(H317=M317,"Home",IF(H317=N317,"Away",IF(H317="PICK","Pick","N/A")))</f>
        <v>Away</v>
      </c>
      <c r="S317" s="1" t="n">
        <f aca="false">IF(R317="Home",P317,IF(R317="Away",-P317,""))</f>
        <v>4</v>
      </c>
      <c r="T317" s="1" t="str">
        <f aca="false">IF(R317="Pick","No Line",IF(S317="","N/A",IF(S317+I317&gt;0,"Favorite Covered",IF(S317+I317&lt;0,"Underdog Covered","Push"))))</f>
        <v>Favorite Covered</v>
      </c>
      <c r="U317" s="1" t="str">
        <f aca="false">IF(Q317&gt;J317,"Over",IF(Q317&lt;J317,"Under","Push"))</f>
        <v>Over</v>
      </c>
    </row>
    <row r="318" customFormat="false" ht="15" hidden="false" customHeight="false" outlineLevel="0" collapsed="false">
      <c r="A318" s="1" t="s">
        <v>251</v>
      </c>
      <c r="B318" s="1" t="n">
        <v>2011</v>
      </c>
      <c r="C318" s="1" t="s">
        <v>182</v>
      </c>
      <c r="D318" s="1" t="s">
        <v>57</v>
      </c>
      <c r="E318" s="1" t="s">
        <v>99</v>
      </c>
      <c r="F318" s="1" t="n">
        <v>34</v>
      </c>
      <c r="G318" s="1" t="n">
        <v>17</v>
      </c>
      <c r="H318" s="1" t="s">
        <v>58</v>
      </c>
      <c r="I318" s="1" t="n">
        <v>-5</v>
      </c>
      <c r="J318" s="1" t="n">
        <v>43.5</v>
      </c>
      <c r="K318" s="1" t="s">
        <v>178</v>
      </c>
      <c r="L318" s="1" t="b">
        <f aca="false">FALSE()</f>
        <v>0</v>
      </c>
      <c r="M318" s="1" t="str">
        <f aca="false">VLOOKUP(D318,'Team Reference'!$A:$B,2,FALSE())</f>
        <v>BAL</v>
      </c>
      <c r="N318" s="1" t="str">
        <f aca="false">VLOOKUP(E318,'Team Reference'!$A:$B,2,FALSE())</f>
        <v>NYJ</v>
      </c>
      <c r="O318" s="1" t="str">
        <f aca="false">IF(F318&gt;G318,M318,IF(G318&gt;F318,N318,"Tie"))</f>
        <v>BAL</v>
      </c>
      <c r="P318" s="1" t="n">
        <f aca="false">F318-G318</f>
        <v>17</v>
      </c>
      <c r="Q318" s="1" t="n">
        <f aca="false">F318+G318</f>
        <v>51</v>
      </c>
      <c r="R318" s="1" t="str">
        <f aca="false">IF(H318=M318,"Home",IF(H318=N318,"Away",IF(H318="PICK","Pick","N/A")))</f>
        <v>Home</v>
      </c>
      <c r="S318" s="1" t="n">
        <f aca="false">IF(R318="Home",P318,IF(R318="Away",-P318,""))</f>
        <v>17</v>
      </c>
      <c r="T318" s="1" t="str">
        <f aca="false">IF(R318="Pick","No Line",IF(S318="","N/A",IF(S318+I318&gt;0,"Favorite Covered",IF(S318+I318&lt;0,"Underdog Covered","Push"))))</f>
        <v>Favorite Covered</v>
      </c>
      <c r="U318" s="1" t="str">
        <f aca="false">IF(Q318&gt;J318,"Over",IF(Q318&lt;J318,"Under","Push"))</f>
        <v>Over</v>
      </c>
    </row>
    <row r="319" customFormat="false" ht="15" hidden="false" customHeight="false" outlineLevel="0" collapsed="false">
      <c r="A319" s="1" t="s">
        <v>251</v>
      </c>
      <c r="B319" s="1" t="n">
        <v>2011</v>
      </c>
      <c r="C319" s="1" t="s">
        <v>182</v>
      </c>
      <c r="D319" s="1" t="s">
        <v>63</v>
      </c>
      <c r="E319" s="1" t="s">
        <v>61</v>
      </c>
      <c r="F319" s="1" t="n">
        <v>34</v>
      </c>
      <c r="G319" s="1" t="n">
        <v>29</v>
      </c>
      <c r="H319" s="1" t="s">
        <v>64</v>
      </c>
      <c r="I319" s="1" t="n">
        <v>-7</v>
      </c>
      <c r="J319" s="1" t="n">
        <v>42</v>
      </c>
      <c r="K319" s="1" t="s">
        <v>145</v>
      </c>
      <c r="L319" s="1" t="b">
        <f aca="false">FALSE()</f>
        <v>0</v>
      </c>
      <c r="M319" s="1" t="str">
        <f aca="false">VLOOKUP(D319,'Team Reference'!$A:$B,2,FALSE())</f>
        <v>CHI</v>
      </c>
      <c r="N319" s="1" t="str">
        <f aca="false">VLOOKUP(E319,'Team Reference'!$A:$B,2,FALSE())</f>
        <v>CAR</v>
      </c>
      <c r="O319" s="1" t="str">
        <f aca="false">IF(F319&gt;G319,M319,IF(G319&gt;F319,N319,"Tie"))</f>
        <v>CHI</v>
      </c>
      <c r="P319" s="1" t="n">
        <f aca="false">F319-G319</f>
        <v>5</v>
      </c>
      <c r="Q319" s="1" t="n">
        <f aca="false">F319+G319</f>
        <v>63</v>
      </c>
      <c r="R319" s="1" t="str">
        <f aca="false">IF(H319=M319,"Home",IF(H319=N319,"Away",IF(H319="PICK","Pick","N/A")))</f>
        <v>Home</v>
      </c>
      <c r="S319" s="1" t="n">
        <f aca="false">IF(R319="Home",P319,IF(R319="Away",-P319,""))</f>
        <v>5</v>
      </c>
      <c r="T319" s="1" t="str">
        <f aca="false">IF(R319="Pick","No Line",IF(S319="","N/A",IF(S319+I319&gt;0,"Favorite Covered",IF(S319+I319&lt;0,"Underdog Covered","Push"))))</f>
        <v>Underdog Covered</v>
      </c>
      <c r="U319" s="1" t="str">
        <f aca="false">IF(Q319&gt;J319,"Over",IF(Q319&lt;J319,"Under","Push"))</f>
        <v>Over</v>
      </c>
    </row>
    <row r="320" customFormat="false" ht="15" hidden="false" customHeight="false" outlineLevel="0" collapsed="false">
      <c r="A320" s="1" t="s">
        <v>251</v>
      </c>
      <c r="B320" s="1" t="n">
        <v>2011</v>
      </c>
      <c r="C320" s="1" t="s">
        <v>182</v>
      </c>
      <c r="D320" s="1" t="s">
        <v>65</v>
      </c>
      <c r="E320" s="1" t="s">
        <v>59</v>
      </c>
      <c r="F320" s="1" t="n">
        <v>23</v>
      </c>
      <c r="G320" s="1" t="n">
        <v>20</v>
      </c>
      <c r="H320" s="1" t="s">
        <v>60</v>
      </c>
      <c r="I320" s="1" t="n">
        <v>-3</v>
      </c>
      <c r="J320" s="1" t="n">
        <v>43</v>
      </c>
      <c r="K320" s="1" t="s">
        <v>163</v>
      </c>
      <c r="L320" s="1" t="b">
        <f aca="false">FALSE()</f>
        <v>0</v>
      </c>
      <c r="M320" s="1" t="str">
        <f aca="false">VLOOKUP(D320,'Team Reference'!$A:$B,2,FALSE())</f>
        <v>CIN</v>
      </c>
      <c r="N320" s="1" t="str">
        <f aca="false">VLOOKUP(E320,'Team Reference'!$A:$B,2,FALSE())</f>
        <v>BUF</v>
      </c>
      <c r="O320" s="1" t="str">
        <f aca="false">IF(F320&gt;G320,M320,IF(G320&gt;F320,N320,"Tie"))</f>
        <v>CIN</v>
      </c>
      <c r="P320" s="1" t="n">
        <f aca="false">F320-G320</f>
        <v>3</v>
      </c>
      <c r="Q320" s="1" t="n">
        <f aca="false">F320+G320</f>
        <v>43</v>
      </c>
      <c r="R320" s="1" t="str">
        <f aca="false">IF(H320=M320,"Home",IF(H320=N320,"Away",IF(H320="PICK","Pick","N/A")))</f>
        <v>Away</v>
      </c>
      <c r="S320" s="1" t="n">
        <f aca="false">IF(R320="Home",P320,IF(R320="Away",-P320,""))</f>
        <v>-3</v>
      </c>
      <c r="T320" s="1" t="str">
        <f aca="false">IF(R320="Pick","No Line",IF(S320="","N/A",IF(S320+I320&gt;0,"Favorite Covered",IF(S320+I320&lt;0,"Underdog Covered","Push"))))</f>
        <v>Underdog Covered</v>
      </c>
      <c r="U320" s="1" t="str">
        <f aca="false">IF(Q320&gt;J320,"Over",IF(Q320&lt;J320,"Under","Push"))</f>
        <v>Push</v>
      </c>
    </row>
    <row r="321" customFormat="false" ht="15" hidden="false" customHeight="false" outlineLevel="0" collapsed="false">
      <c r="A321" s="1" t="s">
        <v>251</v>
      </c>
      <c r="B321" s="1" t="n">
        <v>2011</v>
      </c>
      <c r="C321" s="1" t="s">
        <v>182</v>
      </c>
      <c r="D321" s="1" t="s">
        <v>67</v>
      </c>
      <c r="E321" s="1" t="s">
        <v>115</v>
      </c>
      <c r="F321" s="1" t="n">
        <v>13</v>
      </c>
      <c r="G321" s="1" t="n">
        <v>31</v>
      </c>
      <c r="H321" s="1" t="s">
        <v>68</v>
      </c>
      <c r="I321" s="1" t="n">
        <v>-1.5</v>
      </c>
      <c r="J321" s="1" t="n">
        <v>37.5</v>
      </c>
      <c r="K321" s="1" t="s">
        <v>164</v>
      </c>
      <c r="L321" s="1" t="b">
        <f aca="false">FALSE()</f>
        <v>0</v>
      </c>
      <c r="M321" s="1" t="str">
        <f aca="false">VLOOKUP(D321,'Team Reference'!$A:$B,2,FALSE())</f>
        <v>CLE</v>
      </c>
      <c r="N321" s="1" t="str">
        <f aca="false">VLOOKUP(E321,'Team Reference'!$A:$B,2,FALSE())</f>
        <v>TEN</v>
      </c>
      <c r="O321" s="1" t="str">
        <f aca="false">IF(F321&gt;G321,M321,IF(G321&gt;F321,N321,"Tie"))</f>
        <v>TEN</v>
      </c>
      <c r="P321" s="1" t="n">
        <f aca="false">F321-G321</f>
        <v>-18</v>
      </c>
      <c r="Q321" s="1" t="n">
        <f aca="false">F321+G321</f>
        <v>44</v>
      </c>
      <c r="R321" s="1" t="str">
        <f aca="false">IF(H321=M321,"Home",IF(H321=N321,"Away",IF(H321="PICK","Pick","N/A")))</f>
        <v>Home</v>
      </c>
      <c r="S321" s="1" t="n">
        <f aca="false">IF(R321="Home",P321,IF(R321="Away",-P321,""))</f>
        <v>-18</v>
      </c>
      <c r="T321" s="1" t="str">
        <f aca="false">IF(R321="Pick","No Line",IF(S321="","N/A",IF(S321+I321&gt;0,"Favorite Covered",IF(S321+I321&lt;0,"Underdog Covered","Push"))))</f>
        <v>Underdog Covered</v>
      </c>
      <c r="U321" s="1" t="str">
        <f aca="false">IF(Q321&gt;J321,"Over",IF(Q321&lt;J321,"Under","Push"))</f>
        <v>Over</v>
      </c>
    </row>
    <row r="322" customFormat="false" ht="15" hidden="false" customHeight="false" outlineLevel="0" collapsed="false">
      <c r="A322" s="1" t="s">
        <v>251</v>
      </c>
      <c r="B322" s="1" t="n">
        <v>2011</v>
      </c>
      <c r="C322" s="1" t="s">
        <v>182</v>
      </c>
      <c r="D322" s="1" t="s">
        <v>69</v>
      </c>
      <c r="E322" s="1" t="s">
        <v>73</v>
      </c>
      <c r="F322" s="1" t="n">
        <v>30</v>
      </c>
      <c r="G322" s="1" t="n">
        <v>34</v>
      </c>
      <c r="H322" s="1" t="s">
        <v>70</v>
      </c>
      <c r="I322" s="1" t="n">
        <v>-2.5</v>
      </c>
      <c r="J322" s="1" t="n">
        <v>46.5</v>
      </c>
      <c r="K322" s="1" t="s">
        <v>165</v>
      </c>
      <c r="L322" s="1" t="b">
        <f aca="false">FALSE()</f>
        <v>0</v>
      </c>
      <c r="M322" s="1" t="str">
        <f aca="false">VLOOKUP(D322,'Team Reference'!$A:$B,2,FALSE())</f>
        <v>DAL</v>
      </c>
      <c r="N322" s="1" t="str">
        <f aca="false">VLOOKUP(E322,'Team Reference'!$A:$B,2,FALSE())</f>
        <v>DET</v>
      </c>
      <c r="O322" s="1" t="str">
        <f aca="false">IF(F322&gt;G322,M322,IF(G322&gt;F322,N322,"Tie"))</f>
        <v>DET</v>
      </c>
      <c r="P322" s="1" t="n">
        <f aca="false">F322-G322</f>
        <v>-4</v>
      </c>
      <c r="Q322" s="1" t="n">
        <f aca="false">F322+G322</f>
        <v>64</v>
      </c>
      <c r="R322" s="1" t="str">
        <f aca="false">IF(H322=M322,"Home",IF(H322=N322,"Away",IF(H322="PICK","Pick","N/A")))</f>
        <v>Home</v>
      </c>
      <c r="S322" s="1" t="n">
        <f aca="false">IF(R322="Home",P322,IF(R322="Away",-P322,""))</f>
        <v>-4</v>
      </c>
      <c r="T322" s="1" t="str">
        <f aca="false">IF(R322="Pick","No Line",IF(S322="","N/A",IF(S322+I322&gt;0,"Favorite Covered",IF(S322+I322&lt;0,"Underdog Covered","Push"))))</f>
        <v>Underdog Covered</v>
      </c>
      <c r="U322" s="1" t="str">
        <f aca="false">IF(Q322&gt;J322,"Over",IF(Q322&lt;J322,"Under","Push"))</f>
        <v>Over</v>
      </c>
    </row>
    <row r="323" customFormat="false" ht="15" hidden="false" customHeight="false" outlineLevel="0" collapsed="false">
      <c r="A323" s="1" t="s">
        <v>251</v>
      </c>
      <c r="B323" s="1" t="n">
        <v>2011</v>
      </c>
      <c r="C323" s="1" t="s">
        <v>182</v>
      </c>
      <c r="D323" s="1" t="s">
        <v>75</v>
      </c>
      <c r="E323" s="1" t="s">
        <v>71</v>
      </c>
      <c r="F323" s="1" t="n">
        <v>49</v>
      </c>
      <c r="G323" s="1" t="n">
        <v>23</v>
      </c>
      <c r="H323" s="1" t="s">
        <v>76</v>
      </c>
      <c r="I323" s="1" t="n">
        <v>-12</v>
      </c>
      <c r="J323" s="1" t="n">
        <v>46.5</v>
      </c>
      <c r="K323" s="1" t="s">
        <v>168</v>
      </c>
      <c r="L323" s="1" t="b">
        <f aca="false">FALSE()</f>
        <v>0</v>
      </c>
      <c r="M323" s="1" t="str">
        <f aca="false">VLOOKUP(D323,'Team Reference'!$A:$B,2,FALSE())</f>
        <v>GB</v>
      </c>
      <c r="N323" s="1" t="str">
        <f aca="false">VLOOKUP(E323,'Team Reference'!$A:$B,2,FALSE())</f>
        <v>DEN</v>
      </c>
      <c r="O323" s="1" t="str">
        <f aca="false">IF(F323&gt;G323,M323,IF(G323&gt;F323,N323,"Tie"))</f>
        <v>GB</v>
      </c>
      <c r="P323" s="1" t="n">
        <f aca="false">F323-G323</f>
        <v>26</v>
      </c>
      <c r="Q323" s="1" t="n">
        <f aca="false">F323+G323</f>
        <v>72</v>
      </c>
      <c r="R323" s="1" t="str">
        <f aca="false">IF(H323=M323,"Home",IF(H323=N323,"Away",IF(H323="PICK","Pick","N/A")))</f>
        <v>Home</v>
      </c>
      <c r="S323" s="1" t="n">
        <f aca="false">IF(R323="Home",P323,IF(R323="Away",-P323,""))</f>
        <v>26</v>
      </c>
      <c r="T323" s="1" t="str">
        <f aca="false">IF(R323="Pick","No Line",IF(S323="","N/A",IF(S323+I323&gt;0,"Favorite Covered",IF(S323+I323&lt;0,"Underdog Covered","Push"))))</f>
        <v>Favorite Covered</v>
      </c>
      <c r="U323" s="1" t="str">
        <f aca="false">IF(Q323&gt;J323,"Over",IF(Q323&lt;J323,"Under","Push"))</f>
        <v>Over</v>
      </c>
    </row>
    <row r="324" customFormat="false" ht="15" hidden="false" customHeight="false" outlineLevel="0" collapsed="false">
      <c r="A324" s="1" t="s">
        <v>251</v>
      </c>
      <c r="B324" s="1" t="n">
        <v>2011</v>
      </c>
      <c r="C324" s="1" t="s">
        <v>182</v>
      </c>
      <c r="D324" s="1" t="s">
        <v>77</v>
      </c>
      <c r="E324" s="1" t="s">
        <v>105</v>
      </c>
      <c r="F324" s="1" t="n">
        <v>17</v>
      </c>
      <c r="G324" s="1" t="n">
        <v>10</v>
      </c>
      <c r="H324" s="1" t="s">
        <v>78</v>
      </c>
      <c r="I324" s="1" t="n">
        <v>-4</v>
      </c>
      <c r="J324" s="1" t="n">
        <v>46.5</v>
      </c>
      <c r="K324" s="1" t="s">
        <v>146</v>
      </c>
      <c r="L324" s="1" t="b">
        <f aca="false">FALSE()</f>
        <v>0</v>
      </c>
      <c r="M324" s="1" t="str">
        <f aca="false">VLOOKUP(D324,'Team Reference'!$A:$B,2,FALSE())</f>
        <v>HOU</v>
      </c>
      <c r="N324" s="1" t="str">
        <f aca="false">VLOOKUP(E324,'Team Reference'!$A:$B,2,FALSE())</f>
        <v>PIT</v>
      </c>
      <c r="O324" s="1" t="str">
        <f aca="false">IF(F324&gt;G324,M324,IF(G324&gt;F324,N324,"Tie"))</f>
        <v>HOU</v>
      </c>
      <c r="P324" s="1" t="n">
        <f aca="false">F324-G324</f>
        <v>7</v>
      </c>
      <c r="Q324" s="1" t="n">
        <f aca="false">F324+G324</f>
        <v>27</v>
      </c>
      <c r="R324" s="1" t="str">
        <f aca="false">IF(H324=M324,"Home",IF(H324=N324,"Away",IF(H324="PICK","Pick","N/A")))</f>
        <v>Home</v>
      </c>
      <c r="S324" s="1" t="n">
        <f aca="false">IF(R324="Home",P324,IF(R324="Away",-P324,""))</f>
        <v>7</v>
      </c>
      <c r="T324" s="1" t="str">
        <f aca="false">IF(R324="Pick","No Line",IF(S324="","N/A",IF(S324+I324&gt;0,"Favorite Covered",IF(S324+I324&lt;0,"Underdog Covered","Push"))))</f>
        <v>Favorite Covered</v>
      </c>
      <c r="U324" s="1" t="str">
        <f aca="false">IF(Q324&gt;J324,"Over",IF(Q324&lt;J324,"Under","Push"))</f>
        <v>Under</v>
      </c>
    </row>
    <row r="325" customFormat="false" ht="15" hidden="false" customHeight="false" outlineLevel="0" collapsed="false">
      <c r="A325" s="1" t="s">
        <v>251</v>
      </c>
      <c r="B325" s="1" t="n">
        <v>2011</v>
      </c>
      <c r="C325" s="1" t="s">
        <v>182</v>
      </c>
      <c r="D325" s="1" t="s">
        <v>81</v>
      </c>
      <c r="E325" s="1" t="s">
        <v>95</v>
      </c>
      <c r="F325" s="1" t="n">
        <v>10</v>
      </c>
      <c r="G325" s="1" t="n">
        <v>23</v>
      </c>
      <c r="H325" s="1" t="s">
        <v>96</v>
      </c>
      <c r="I325" s="1" t="n">
        <v>-9</v>
      </c>
      <c r="J325" s="1" t="n">
        <v>45</v>
      </c>
      <c r="K325" s="1" t="s">
        <v>147</v>
      </c>
      <c r="L325" s="1" t="b">
        <f aca="false">FALSE()</f>
        <v>0</v>
      </c>
      <c r="M325" s="1" t="str">
        <f aca="false">VLOOKUP(D325,'Team Reference'!$A:$B,2,FALSE())</f>
        <v>JAX</v>
      </c>
      <c r="N325" s="1" t="str">
        <f aca="false">VLOOKUP(E325,'Team Reference'!$A:$B,2,FALSE())</f>
        <v>NO</v>
      </c>
      <c r="O325" s="1" t="str">
        <f aca="false">IF(F325&gt;G325,M325,IF(G325&gt;F325,N325,"Tie"))</f>
        <v>NO</v>
      </c>
      <c r="P325" s="1" t="n">
        <f aca="false">F325-G325</f>
        <v>-13</v>
      </c>
      <c r="Q325" s="1" t="n">
        <f aca="false">F325+G325</f>
        <v>33</v>
      </c>
      <c r="R325" s="1" t="str">
        <f aca="false">IF(H325=M325,"Home",IF(H325=N325,"Away",IF(H325="PICK","Pick","N/A")))</f>
        <v>Away</v>
      </c>
      <c r="S325" s="1" t="n">
        <f aca="false">IF(R325="Home",P325,IF(R325="Away",-P325,""))</f>
        <v>13</v>
      </c>
      <c r="T325" s="1" t="str">
        <f aca="false">IF(R325="Pick","No Line",IF(S325="","N/A",IF(S325+I325&gt;0,"Favorite Covered",IF(S325+I325&lt;0,"Underdog Covered","Push"))))</f>
        <v>Favorite Covered</v>
      </c>
      <c r="U325" s="1" t="str">
        <f aca="false">IF(Q325&gt;J325,"Over",IF(Q325&lt;J325,"Under","Push"))</f>
        <v>Under</v>
      </c>
    </row>
    <row r="326" customFormat="false" ht="15" hidden="false" customHeight="false" outlineLevel="0" collapsed="false">
      <c r="A326" s="1" t="s">
        <v>251</v>
      </c>
      <c r="B326" s="1" t="n">
        <v>2011</v>
      </c>
      <c r="C326" s="1" t="s">
        <v>182</v>
      </c>
      <c r="D326" s="1" t="s">
        <v>83</v>
      </c>
      <c r="E326" s="1" t="s">
        <v>91</v>
      </c>
      <c r="F326" s="1" t="n">
        <v>22</v>
      </c>
      <c r="G326" s="1" t="n">
        <v>17</v>
      </c>
      <c r="H326" s="1" t="s">
        <v>92</v>
      </c>
      <c r="I326" s="1" t="n">
        <v>-3</v>
      </c>
      <c r="J326" s="1" t="n">
        <v>40</v>
      </c>
      <c r="K326" s="1" t="s">
        <v>158</v>
      </c>
      <c r="L326" s="1" t="b">
        <f aca="false">FALSE()</f>
        <v>0</v>
      </c>
      <c r="M326" s="1" t="str">
        <f aca="false">VLOOKUP(D326,'Team Reference'!$A:$B,2,FALSE())</f>
        <v>KC</v>
      </c>
      <c r="N326" s="1" t="str">
        <f aca="false">VLOOKUP(E326,'Team Reference'!$A:$B,2,FALSE())</f>
        <v>MIN</v>
      </c>
      <c r="O326" s="1" t="str">
        <f aca="false">IF(F326&gt;G326,M326,IF(G326&gt;F326,N326,"Tie"))</f>
        <v>KC</v>
      </c>
      <c r="P326" s="1" t="n">
        <f aca="false">F326-G326</f>
        <v>5</v>
      </c>
      <c r="Q326" s="1" t="n">
        <f aca="false">F326+G326</f>
        <v>39</v>
      </c>
      <c r="R326" s="1" t="str">
        <f aca="false">IF(H326=M326,"Home",IF(H326=N326,"Away",IF(H326="PICK","Pick","N/A")))</f>
        <v>Away</v>
      </c>
      <c r="S326" s="1" t="n">
        <f aca="false">IF(R326="Home",P326,IF(R326="Away",-P326,""))</f>
        <v>-5</v>
      </c>
      <c r="T326" s="1" t="str">
        <f aca="false">IF(R326="Pick","No Line",IF(S326="","N/A",IF(S326+I326&gt;0,"Favorite Covered",IF(S326+I326&lt;0,"Underdog Covered","Push"))))</f>
        <v>Underdog Covered</v>
      </c>
      <c r="U326" s="1" t="str">
        <f aca="false">IF(Q326&gt;J326,"Over",IF(Q326&lt;J326,"Under","Push"))</f>
        <v>Under</v>
      </c>
    </row>
    <row r="327" customFormat="false" ht="15" hidden="false" customHeight="false" outlineLevel="0" collapsed="false">
      <c r="A327" s="1" t="s">
        <v>251</v>
      </c>
      <c r="B327" s="1" t="n">
        <v>2011</v>
      </c>
      <c r="C327" s="1" t="s">
        <v>182</v>
      </c>
      <c r="D327" s="1" t="s">
        <v>101</v>
      </c>
      <c r="E327" s="1" t="s">
        <v>93</v>
      </c>
      <c r="F327" s="1" t="n">
        <v>19</v>
      </c>
      <c r="G327" s="1" t="n">
        <v>31</v>
      </c>
      <c r="H327" s="1" t="s">
        <v>94</v>
      </c>
      <c r="I327" s="1" t="n">
        <v>-6.5</v>
      </c>
      <c r="J327" s="1" t="n">
        <v>55.5</v>
      </c>
      <c r="K327" s="1" t="s">
        <v>171</v>
      </c>
      <c r="L327" s="1" t="b">
        <f aca="false">FALSE()</f>
        <v>0</v>
      </c>
      <c r="M327" s="1" t="str">
        <f aca="false">VLOOKUP(D327,'Team Reference'!$A:$B,2,FALSE())</f>
        <v>OAK</v>
      </c>
      <c r="N327" s="1" t="str">
        <f aca="false">VLOOKUP(E327,'Team Reference'!$A:$B,2,FALSE())</f>
        <v>NE</v>
      </c>
      <c r="O327" s="1" t="str">
        <f aca="false">IF(F327&gt;G327,M327,IF(G327&gt;F327,N327,"Tie"))</f>
        <v>NE</v>
      </c>
      <c r="P327" s="1" t="n">
        <f aca="false">F327-G327</f>
        <v>-12</v>
      </c>
      <c r="Q327" s="1" t="n">
        <f aca="false">F327+G327</f>
        <v>50</v>
      </c>
      <c r="R327" s="1" t="str">
        <f aca="false">IF(H327=M327,"Home",IF(H327=N327,"Away",IF(H327="PICK","Pick","N/A")))</f>
        <v>Away</v>
      </c>
      <c r="S327" s="1" t="n">
        <f aca="false">IF(R327="Home",P327,IF(R327="Away",-P327,""))</f>
        <v>12</v>
      </c>
      <c r="T327" s="1" t="str">
        <f aca="false">IF(R327="Pick","No Line",IF(S327="","N/A",IF(S327+I327&gt;0,"Favorite Covered",IF(S327+I327&lt;0,"Underdog Covered","Push"))))</f>
        <v>Favorite Covered</v>
      </c>
      <c r="U327" s="1" t="str">
        <f aca="false">IF(Q327&gt;J327,"Over",IF(Q327&lt;J327,"Under","Push"))</f>
        <v>Under</v>
      </c>
    </row>
    <row r="328" customFormat="false" ht="15" hidden="false" customHeight="false" outlineLevel="0" collapsed="false">
      <c r="A328" s="1" t="s">
        <v>251</v>
      </c>
      <c r="B328" s="1" t="n">
        <v>2011</v>
      </c>
      <c r="C328" s="1" t="s">
        <v>182</v>
      </c>
      <c r="D328" s="1" t="s">
        <v>103</v>
      </c>
      <c r="E328" s="1" t="s">
        <v>108</v>
      </c>
      <c r="F328" s="1" t="n">
        <v>23</v>
      </c>
      <c r="G328" s="1" t="n">
        <v>24</v>
      </c>
      <c r="H328" s="1" t="s">
        <v>104</v>
      </c>
      <c r="I328" s="1" t="n">
        <v>-10</v>
      </c>
      <c r="J328" s="1" t="n">
        <v>43.5</v>
      </c>
      <c r="K328" s="1" t="s">
        <v>150</v>
      </c>
      <c r="L328" s="1" t="b">
        <f aca="false">FALSE()</f>
        <v>0</v>
      </c>
      <c r="M328" s="1" t="str">
        <f aca="false">VLOOKUP(D328,'Team Reference'!$A:$B,2,FALSE())</f>
        <v>PHI</v>
      </c>
      <c r="N328" s="1" t="str">
        <f aca="false">VLOOKUP(E328,'Team Reference'!$A:$B,2,FALSE())</f>
        <v>SF</v>
      </c>
      <c r="O328" s="1" t="str">
        <f aca="false">IF(F328&gt;G328,M328,IF(G328&gt;F328,N328,"Tie"))</f>
        <v>SF</v>
      </c>
      <c r="P328" s="1" t="n">
        <f aca="false">F328-G328</f>
        <v>-1</v>
      </c>
      <c r="Q328" s="1" t="n">
        <f aca="false">F328+G328</f>
        <v>47</v>
      </c>
      <c r="R328" s="1" t="str">
        <f aca="false">IF(H328=M328,"Home",IF(H328=N328,"Away",IF(H328="PICK","Pick","N/A")))</f>
        <v>Home</v>
      </c>
      <c r="S328" s="1" t="n">
        <f aca="false">IF(R328="Home",P328,IF(R328="Away",-P328,""))</f>
        <v>-1</v>
      </c>
      <c r="T328" s="1" t="str">
        <f aca="false">IF(R328="Pick","No Line",IF(S328="","N/A",IF(S328+I328&gt;0,"Favorite Covered",IF(S328+I328&lt;0,"Underdog Covered","Push"))))</f>
        <v>Underdog Covered</v>
      </c>
      <c r="U328" s="1" t="str">
        <f aca="false">IF(Q328&gt;J328,"Over",IF(Q328&lt;J328,"Under","Push"))</f>
        <v>Over</v>
      </c>
    </row>
    <row r="329" customFormat="false" ht="15" hidden="false" customHeight="false" outlineLevel="0" collapsed="false">
      <c r="A329" s="1" t="s">
        <v>251</v>
      </c>
      <c r="B329" s="1" t="n">
        <v>2011</v>
      </c>
      <c r="C329" s="1" t="s">
        <v>182</v>
      </c>
      <c r="D329" s="1" t="s">
        <v>107</v>
      </c>
      <c r="E329" s="1" t="s">
        <v>89</v>
      </c>
      <c r="F329" s="1" t="n">
        <v>26</v>
      </c>
      <c r="G329" s="1" t="n">
        <v>16</v>
      </c>
      <c r="H329" s="1" t="s">
        <v>86</v>
      </c>
      <c r="I329" s="1" t="n">
        <v>-7</v>
      </c>
      <c r="J329" s="1" t="n">
        <v>45</v>
      </c>
      <c r="K329" s="1" t="s">
        <v>172</v>
      </c>
      <c r="L329" s="1" t="b">
        <f aca="false">FALSE()</f>
        <v>0</v>
      </c>
      <c r="M329" s="1" t="str">
        <f aca="false">VLOOKUP(D329,'Team Reference'!$A:$B,2,FALSE())</f>
        <v>LAC</v>
      </c>
      <c r="N329" s="1" t="str">
        <f aca="false">VLOOKUP(E329,'Team Reference'!$A:$B,2,FALSE())</f>
        <v>MIA</v>
      </c>
      <c r="O329" s="1" t="str">
        <f aca="false">IF(F329&gt;G329,M329,IF(G329&gt;F329,N329,"Tie"))</f>
        <v>LAC</v>
      </c>
      <c r="P329" s="1" t="n">
        <f aca="false">F329-G329</f>
        <v>10</v>
      </c>
      <c r="Q329" s="1" t="n">
        <f aca="false">F329+G329</f>
        <v>42</v>
      </c>
      <c r="R329" s="1" t="str">
        <f aca="false">IF(H329=M329,"Home",IF(H329=N329,"Away",IF(H329="PICK","Pick","N/A")))</f>
        <v>Home</v>
      </c>
      <c r="S329" s="1" t="n">
        <f aca="false">IF(R329="Home",P329,IF(R329="Away",-P329,""))</f>
        <v>10</v>
      </c>
      <c r="T329" s="1" t="str">
        <f aca="false">IF(R329="Pick","No Line",IF(S329="","N/A",IF(S329+I329&gt;0,"Favorite Covered",IF(S329+I329&lt;0,"Underdog Covered","Push"))))</f>
        <v>Favorite Covered</v>
      </c>
      <c r="U329" s="1" t="str">
        <f aca="false">IF(Q329&gt;J329,"Over",IF(Q329&lt;J329,"Under","Push"))</f>
        <v>Under</v>
      </c>
    </row>
    <row r="330" customFormat="false" ht="15" hidden="false" customHeight="false" outlineLevel="0" collapsed="false">
      <c r="A330" s="1" t="s">
        <v>251</v>
      </c>
      <c r="B330" s="1" t="n">
        <v>2011</v>
      </c>
      <c r="C330" s="1" t="s">
        <v>182</v>
      </c>
      <c r="D330" s="1" t="s">
        <v>110</v>
      </c>
      <c r="E330" s="1" t="s">
        <v>55</v>
      </c>
      <c r="F330" s="1" t="n">
        <v>28</v>
      </c>
      <c r="G330" s="1" t="n">
        <v>30</v>
      </c>
      <c r="H330" s="1" t="s">
        <v>56</v>
      </c>
      <c r="I330" s="1" t="n">
        <v>-6</v>
      </c>
      <c r="J330" s="1" t="n">
        <v>39</v>
      </c>
      <c r="K330" s="1" t="s">
        <v>152</v>
      </c>
      <c r="L330" s="1" t="b">
        <f aca="false">FALSE()</f>
        <v>0</v>
      </c>
      <c r="M330" s="1" t="str">
        <f aca="false">VLOOKUP(D330,'Team Reference'!$A:$B,2,FALSE())</f>
        <v>SEA</v>
      </c>
      <c r="N330" s="1" t="str">
        <f aca="false">VLOOKUP(E330,'Team Reference'!$A:$B,2,FALSE())</f>
        <v>ATL</v>
      </c>
      <c r="O330" s="1" t="str">
        <f aca="false">IF(F330&gt;G330,M330,IF(G330&gt;F330,N330,"Tie"))</f>
        <v>ATL</v>
      </c>
      <c r="P330" s="1" t="n">
        <f aca="false">F330-G330</f>
        <v>-2</v>
      </c>
      <c r="Q330" s="1" t="n">
        <f aca="false">F330+G330</f>
        <v>58</v>
      </c>
      <c r="R330" s="1" t="str">
        <f aca="false">IF(H330=M330,"Home",IF(H330=N330,"Away",IF(H330="PICK","Pick","N/A")))</f>
        <v>Away</v>
      </c>
      <c r="S330" s="1" t="n">
        <f aca="false">IF(R330="Home",P330,IF(R330="Away",-P330,""))</f>
        <v>2</v>
      </c>
      <c r="T330" s="1" t="str">
        <f aca="false">IF(R330="Pick","No Line",IF(S330="","N/A",IF(S330+I330&gt;0,"Favorite Covered",IF(S330+I330&lt;0,"Underdog Covered","Push"))))</f>
        <v>Underdog Covered</v>
      </c>
      <c r="U330" s="1" t="str">
        <f aca="false">IF(Q330&gt;J330,"Over",IF(Q330&lt;J330,"Under","Push"))</f>
        <v>Over</v>
      </c>
    </row>
    <row r="331" customFormat="false" ht="15" hidden="false" customHeight="false" outlineLevel="0" collapsed="false">
      <c r="A331" s="1" t="s">
        <v>251</v>
      </c>
      <c r="B331" s="1" t="n">
        <v>2011</v>
      </c>
      <c r="C331" s="1" t="s">
        <v>182</v>
      </c>
      <c r="D331" s="1" t="s">
        <v>112</v>
      </c>
      <c r="E331" s="1" t="s">
        <v>117</v>
      </c>
      <c r="F331" s="1" t="n">
        <v>10</v>
      </c>
      <c r="G331" s="1" t="n">
        <v>17</v>
      </c>
      <c r="H331" s="1" t="s">
        <v>118</v>
      </c>
      <c r="I331" s="1" t="n">
        <v>-3</v>
      </c>
      <c r="J331" s="1" t="n">
        <v>44</v>
      </c>
      <c r="K331" s="1" t="s">
        <v>153</v>
      </c>
      <c r="L331" s="1" t="b">
        <f aca="false">FALSE()</f>
        <v>0</v>
      </c>
      <c r="M331" s="1" t="str">
        <f aca="false">VLOOKUP(D331,'Team Reference'!$A:$B,2,FALSE())</f>
        <v>LAR</v>
      </c>
      <c r="N331" s="1" t="str">
        <f aca="false">VLOOKUP(E331,'Team Reference'!$A:$B,2,FALSE())</f>
        <v>WAS</v>
      </c>
      <c r="O331" s="1" t="str">
        <f aca="false">IF(F331&gt;G331,M331,IF(G331&gt;F331,N331,"Tie"))</f>
        <v>WAS</v>
      </c>
      <c r="P331" s="1" t="n">
        <f aca="false">F331-G331</f>
        <v>-7</v>
      </c>
      <c r="Q331" s="1" t="n">
        <f aca="false">F331+G331</f>
        <v>27</v>
      </c>
      <c r="R331" s="1" t="str">
        <f aca="false">IF(H331=M331,"Home",IF(H331=N331,"Away",IF(H331="PICK","Pick","N/A")))</f>
        <v>Away</v>
      </c>
      <c r="S331" s="1" t="n">
        <f aca="false">IF(R331="Home",P331,IF(R331="Away",-P331,""))</f>
        <v>7</v>
      </c>
      <c r="T331" s="1" t="str">
        <f aca="false">IF(R331="Pick","No Line",IF(S331="","N/A",IF(S331+I331&gt;0,"Favorite Covered",IF(S331+I331&lt;0,"Underdog Covered","Push"))))</f>
        <v>Favorite Covered</v>
      </c>
      <c r="U331" s="1" t="str">
        <f aca="false">IF(Q331&gt;J331,"Over",IF(Q331&lt;J331,"Under","Push"))</f>
        <v>Under</v>
      </c>
    </row>
    <row r="332" customFormat="false" ht="15" hidden="false" customHeight="false" outlineLevel="0" collapsed="false">
      <c r="A332" s="1" t="s">
        <v>252</v>
      </c>
      <c r="B332" s="1" t="n">
        <v>2011</v>
      </c>
      <c r="C332" s="1" t="s">
        <v>182</v>
      </c>
      <c r="D332" s="1" t="s">
        <v>113</v>
      </c>
      <c r="E332" s="1" t="s">
        <v>79</v>
      </c>
      <c r="F332" s="1" t="n">
        <v>24</v>
      </c>
      <c r="G332" s="1" t="n">
        <v>17</v>
      </c>
      <c r="H332" s="1" t="s">
        <v>114</v>
      </c>
      <c r="I332" s="1" t="n">
        <v>-10</v>
      </c>
      <c r="J332" s="1" t="n">
        <v>40.5</v>
      </c>
      <c r="K332" s="1" t="s">
        <v>154</v>
      </c>
      <c r="L332" s="1" t="b">
        <f aca="false">FALSE()</f>
        <v>0</v>
      </c>
      <c r="M332" s="1" t="str">
        <f aca="false">VLOOKUP(D332,'Team Reference'!$A:$B,2,FALSE())</f>
        <v>TB</v>
      </c>
      <c r="N332" s="1" t="str">
        <f aca="false">VLOOKUP(E332,'Team Reference'!$A:$B,2,FALSE())</f>
        <v>IND</v>
      </c>
      <c r="O332" s="1" t="str">
        <f aca="false">IF(F332&gt;G332,M332,IF(G332&gt;F332,N332,"Tie"))</f>
        <v>TB</v>
      </c>
      <c r="P332" s="1" t="n">
        <f aca="false">F332-G332</f>
        <v>7</v>
      </c>
      <c r="Q332" s="1" t="n">
        <f aca="false">F332+G332</f>
        <v>41</v>
      </c>
      <c r="R332" s="1" t="str">
        <f aca="false">IF(H332=M332,"Home",IF(H332=N332,"Away",IF(H332="PICK","Pick","N/A")))</f>
        <v>Home</v>
      </c>
      <c r="S332" s="1" t="n">
        <f aca="false">IF(R332="Home",P332,IF(R332="Away",-P332,""))</f>
        <v>7</v>
      </c>
      <c r="T332" s="1" t="str">
        <f aca="false">IF(R332="Pick","No Line",IF(S332="","N/A",IF(S332+I332&gt;0,"Favorite Covered",IF(S332+I332&lt;0,"Underdog Covered","Push"))))</f>
        <v>Underdog Covered</v>
      </c>
      <c r="U332" s="1" t="str">
        <f aca="false">IF(Q332&gt;J332,"Over",IF(Q332&lt;J332,"Under","Push"))</f>
        <v>Over</v>
      </c>
    </row>
    <row r="333" customFormat="false" ht="15" hidden="false" customHeight="false" outlineLevel="0" collapsed="false">
      <c r="A333" s="1" t="s">
        <v>253</v>
      </c>
      <c r="B333" s="1" t="n">
        <v>2011</v>
      </c>
      <c r="C333" s="1" t="s">
        <v>185</v>
      </c>
      <c r="D333" s="1" t="s">
        <v>55</v>
      </c>
      <c r="E333" s="1" t="s">
        <v>75</v>
      </c>
      <c r="F333" s="1" t="n">
        <v>14</v>
      </c>
      <c r="G333" s="1" t="n">
        <v>25</v>
      </c>
      <c r="H333" s="1" t="s">
        <v>76</v>
      </c>
      <c r="I333" s="1" t="n">
        <v>-6.5</v>
      </c>
      <c r="J333" s="1" t="n">
        <v>53</v>
      </c>
      <c r="K333" s="1" t="s">
        <v>161</v>
      </c>
      <c r="L333" s="1" t="b">
        <f aca="false">FALSE()</f>
        <v>0</v>
      </c>
      <c r="M333" s="1" t="str">
        <f aca="false">VLOOKUP(D333,'Team Reference'!$A:$B,2,FALSE())</f>
        <v>ATL</v>
      </c>
      <c r="N333" s="1" t="str">
        <f aca="false">VLOOKUP(E333,'Team Reference'!$A:$B,2,FALSE())</f>
        <v>GB</v>
      </c>
      <c r="O333" s="1" t="str">
        <f aca="false">IF(F333&gt;G333,M333,IF(G333&gt;F333,N333,"Tie"))</f>
        <v>GB</v>
      </c>
      <c r="P333" s="1" t="n">
        <f aca="false">F333-G333</f>
        <v>-11</v>
      </c>
      <c r="Q333" s="1" t="n">
        <f aca="false">F333+G333</f>
        <v>39</v>
      </c>
      <c r="R333" s="1" t="str">
        <f aca="false">IF(H333=M333,"Home",IF(H333=N333,"Away",IF(H333="PICK","Pick","N/A")))</f>
        <v>Away</v>
      </c>
      <c r="S333" s="1" t="n">
        <f aca="false">IF(R333="Home",P333,IF(R333="Away",-P333,""))</f>
        <v>11</v>
      </c>
      <c r="T333" s="1" t="str">
        <f aca="false">IF(R333="Pick","No Line",IF(S333="","N/A",IF(S333+I333&gt;0,"Favorite Covered",IF(S333+I333&lt;0,"Underdog Covered","Push"))))</f>
        <v>Favorite Covered</v>
      </c>
      <c r="U333" s="1" t="str">
        <f aca="false">IF(Q333&gt;J333,"Over",IF(Q333&lt;J333,"Under","Push"))</f>
        <v>Under</v>
      </c>
    </row>
    <row r="334" customFormat="false" ht="15" hidden="false" customHeight="false" outlineLevel="0" collapsed="false">
      <c r="A334" s="1" t="s">
        <v>253</v>
      </c>
      <c r="B334" s="1" t="n">
        <v>2011</v>
      </c>
      <c r="C334" s="1" t="s">
        <v>185</v>
      </c>
      <c r="D334" s="1" t="s">
        <v>59</v>
      </c>
      <c r="E334" s="1" t="s">
        <v>103</v>
      </c>
      <c r="F334" s="1" t="n">
        <v>31</v>
      </c>
      <c r="G334" s="1" t="n">
        <v>24</v>
      </c>
      <c r="H334" s="1" t="s">
        <v>104</v>
      </c>
      <c r="I334" s="1" t="n">
        <v>-3</v>
      </c>
      <c r="J334" s="1" t="n">
        <v>53</v>
      </c>
      <c r="K334" s="1" t="s">
        <v>144</v>
      </c>
      <c r="L334" s="1" t="b">
        <f aca="false">FALSE()</f>
        <v>0</v>
      </c>
      <c r="M334" s="1" t="str">
        <f aca="false">VLOOKUP(D334,'Team Reference'!$A:$B,2,FALSE())</f>
        <v>BUF</v>
      </c>
      <c r="N334" s="1" t="str">
        <f aca="false">VLOOKUP(E334,'Team Reference'!$A:$B,2,FALSE())</f>
        <v>PHI</v>
      </c>
      <c r="O334" s="1" t="str">
        <f aca="false">IF(F334&gt;G334,M334,IF(G334&gt;F334,N334,"Tie"))</f>
        <v>BUF</v>
      </c>
      <c r="P334" s="1" t="n">
        <f aca="false">F334-G334</f>
        <v>7</v>
      </c>
      <c r="Q334" s="1" t="n">
        <f aca="false">F334+G334</f>
        <v>55</v>
      </c>
      <c r="R334" s="1" t="str">
        <f aca="false">IF(H334=M334,"Home",IF(H334=N334,"Away",IF(H334="PICK","Pick","N/A")))</f>
        <v>Away</v>
      </c>
      <c r="S334" s="1" t="n">
        <f aca="false">IF(R334="Home",P334,IF(R334="Away",-P334,""))</f>
        <v>-7</v>
      </c>
      <c r="T334" s="1" t="str">
        <f aca="false">IF(R334="Pick","No Line",IF(S334="","N/A",IF(S334+I334&gt;0,"Favorite Covered",IF(S334+I334&lt;0,"Underdog Covered","Push"))))</f>
        <v>Underdog Covered</v>
      </c>
      <c r="U334" s="1" t="str">
        <f aca="false">IF(Q334&gt;J334,"Over",IF(Q334&lt;J334,"Under","Push"))</f>
        <v>Over</v>
      </c>
    </row>
    <row r="335" customFormat="false" ht="15" hidden="false" customHeight="false" outlineLevel="0" collapsed="false">
      <c r="A335" s="1" t="s">
        <v>253</v>
      </c>
      <c r="B335" s="1" t="n">
        <v>2011</v>
      </c>
      <c r="C335" s="1" t="s">
        <v>185</v>
      </c>
      <c r="D335" s="1" t="s">
        <v>61</v>
      </c>
      <c r="E335" s="1" t="s">
        <v>95</v>
      </c>
      <c r="F335" s="1" t="n">
        <v>27</v>
      </c>
      <c r="G335" s="1" t="n">
        <v>30</v>
      </c>
      <c r="H335" s="1" t="s">
        <v>96</v>
      </c>
      <c r="I335" s="1" t="n">
        <v>-6.5</v>
      </c>
      <c r="J335" s="1" t="n">
        <v>51.5</v>
      </c>
      <c r="K335" s="1" t="s">
        <v>162</v>
      </c>
      <c r="L335" s="1" t="b">
        <f aca="false">FALSE()</f>
        <v>0</v>
      </c>
      <c r="M335" s="1" t="str">
        <f aca="false">VLOOKUP(D335,'Team Reference'!$A:$B,2,FALSE())</f>
        <v>CAR</v>
      </c>
      <c r="N335" s="1" t="str">
        <f aca="false">VLOOKUP(E335,'Team Reference'!$A:$B,2,FALSE())</f>
        <v>NO</v>
      </c>
      <c r="O335" s="1" t="str">
        <f aca="false">IF(F335&gt;G335,M335,IF(G335&gt;F335,N335,"Tie"))</f>
        <v>NO</v>
      </c>
      <c r="P335" s="1" t="n">
        <f aca="false">F335-G335</f>
        <v>-3</v>
      </c>
      <c r="Q335" s="1" t="n">
        <f aca="false">F335+G335</f>
        <v>57</v>
      </c>
      <c r="R335" s="1" t="str">
        <f aca="false">IF(H335=M335,"Home",IF(H335=N335,"Away",IF(H335="PICK","Pick","N/A")))</f>
        <v>Away</v>
      </c>
      <c r="S335" s="1" t="n">
        <f aca="false">IF(R335="Home",P335,IF(R335="Away",-P335,""))</f>
        <v>3</v>
      </c>
      <c r="T335" s="1" t="str">
        <f aca="false">IF(R335="Pick","No Line",IF(S335="","N/A",IF(S335+I335&gt;0,"Favorite Covered",IF(S335+I335&lt;0,"Underdog Covered","Push"))))</f>
        <v>Underdog Covered</v>
      </c>
      <c r="U335" s="1" t="str">
        <f aca="false">IF(Q335&gt;J335,"Over",IF(Q335&lt;J335,"Under","Push"))</f>
        <v>Over</v>
      </c>
    </row>
    <row r="336" customFormat="false" ht="15" hidden="false" customHeight="false" outlineLevel="0" collapsed="false">
      <c r="A336" s="1" t="s">
        <v>253</v>
      </c>
      <c r="B336" s="1" t="n">
        <v>2011</v>
      </c>
      <c r="C336" s="1" t="s">
        <v>185</v>
      </c>
      <c r="D336" s="1" t="s">
        <v>71</v>
      </c>
      <c r="E336" s="1" t="s">
        <v>107</v>
      </c>
      <c r="F336" s="1" t="n">
        <v>24</v>
      </c>
      <c r="G336" s="1" t="n">
        <v>29</v>
      </c>
      <c r="H336" s="1" t="s">
        <v>86</v>
      </c>
      <c r="I336" s="1" t="n">
        <v>-3.5</v>
      </c>
      <c r="J336" s="1" t="n">
        <v>46.5</v>
      </c>
      <c r="K336" s="1" t="s">
        <v>166</v>
      </c>
      <c r="L336" s="1" t="b">
        <f aca="false">FALSE()</f>
        <v>0</v>
      </c>
      <c r="M336" s="1" t="str">
        <f aca="false">VLOOKUP(D336,'Team Reference'!$A:$B,2,FALSE())</f>
        <v>DEN</v>
      </c>
      <c r="N336" s="1" t="str">
        <f aca="false">VLOOKUP(E336,'Team Reference'!$A:$B,2,FALSE())</f>
        <v>LAC</v>
      </c>
      <c r="O336" s="1" t="str">
        <f aca="false">IF(F336&gt;G336,M336,IF(G336&gt;F336,N336,"Tie"))</f>
        <v>LAC</v>
      </c>
      <c r="P336" s="1" t="n">
        <f aca="false">F336-G336</f>
        <v>-5</v>
      </c>
      <c r="Q336" s="1" t="n">
        <f aca="false">F336+G336</f>
        <v>53</v>
      </c>
      <c r="R336" s="1" t="str">
        <f aca="false">IF(H336=M336,"Home",IF(H336=N336,"Away",IF(H336="PICK","Pick","N/A")))</f>
        <v>Away</v>
      </c>
      <c r="S336" s="1" t="n">
        <f aca="false">IF(R336="Home",P336,IF(R336="Away",-P336,""))</f>
        <v>5</v>
      </c>
      <c r="T336" s="1" t="str">
        <f aca="false">IF(R336="Pick","No Line",IF(S336="","N/A",IF(S336+I336&gt;0,"Favorite Covered",IF(S336+I336&lt;0,"Underdog Covered","Push"))))</f>
        <v>Favorite Covered</v>
      </c>
      <c r="U336" s="1" t="str">
        <f aca="false">IF(Q336&gt;J336,"Over",IF(Q336&lt;J336,"Under","Push"))</f>
        <v>Over</v>
      </c>
    </row>
    <row r="337" customFormat="false" ht="15" hidden="false" customHeight="false" outlineLevel="0" collapsed="false">
      <c r="A337" s="1" t="s">
        <v>253</v>
      </c>
      <c r="B337" s="1" t="n">
        <v>2011</v>
      </c>
      <c r="C337" s="1" t="s">
        <v>185</v>
      </c>
      <c r="D337" s="1" t="s">
        <v>77</v>
      </c>
      <c r="E337" s="1" t="s">
        <v>101</v>
      </c>
      <c r="F337" s="1" t="n">
        <v>20</v>
      </c>
      <c r="G337" s="1" t="n">
        <v>25</v>
      </c>
      <c r="H337" s="1" t="s">
        <v>78</v>
      </c>
      <c r="I337" s="1" t="n">
        <v>-4.5</v>
      </c>
      <c r="J337" s="1" t="n">
        <v>48.5</v>
      </c>
      <c r="K337" s="1" t="s">
        <v>146</v>
      </c>
      <c r="L337" s="1" t="b">
        <f aca="false">FALSE()</f>
        <v>0</v>
      </c>
      <c r="M337" s="1" t="str">
        <f aca="false">VLOOKUP(D337,'Team Reference'!$A:$B,2,FALSE())</f>
        <v>HOU</v>
      </c>
      <c r="N337" s="1" t="str">
        <f aca="false">VLOOKUP(E337,'Team Reference'!$A:$B,2,FALSE())</f>
        <v>OAK</v>
      </c>
      <c r="O337" s="1" t="str">
        <f aca="false">IF(F337&gt;G337,M337,IF(G337&gt;F337,N337,"Tie"))</f>
        <v>OAK</v>
      </c>
      <c r="P337" s="1" t="n">
        <f aca="false">F337-G337</f>
        <v>-5</v>
      </c>
      <c r="Q337" s="1" t="n">
        <f aca="false">F337+G337</f>
        <v>45</v>
      </c>
      <c r="R337" s="1" t="str">
        <f aca="false">IF(H337=M337,"Home",IF(H337=N337,"Away",IF(H337="PICK","Pick","N/A")))</f>
        <v>Home</v>
      </c>
      <c r="S337" s="1" t="n">
        <f aca="false">IF(R337="Home",P337,IF(R337="Away",-P337,""))</f>
        <v>-5</v>
      </c>
      <c r="T337" s="1" t="str">
        <f aca="false">IF(R337="Pick","No Line",IF(S337="","N/A",IF(S337+I337&gt;0,"Favorite Covered",IF(S337+I337&lt;0,"Underdog Covered","Push"))))</f>
        <v>Underdog Covered</v>
      </c>
      <c r="U337" s="1" t="str">
        <f aca="false">IF(Q337&gt;J337,"Over",IF(Q337&lt;J337,"Under","Push"))</f>
        <v>Under</v>
      </c>
    </row>
    <row r="338" customFormat="false" ht="15" hidden="false" customHeight="false" outlineLevel="0" collapsed="false">
      <c r="A338" s="1" t="s">
        <v>253</v>
      </c>
      <c r="B338" s="1" t="n">
        <v>2011</v>
      </c>
      <c r="C338" s="1" t="s">
        <v>185</v>
      </c>
      <c r="D338" s="1" t="s">
        <v>79</v>
      </c>
      <c r="E338" s="1" t="s">
        <v>83</v>
      </c>
      <c r="F338" s="1" t="n">
        <v>24</v>
      </c>
      <c r="G338" s="1" t="n">
        <v>28</v>
      </c>
      <c r="H338" s="1" t="s">
        <v>80</v>
      </c>
      <c r="I338" s="1" t="n">
        <v>-1.5</v>
      </c>
      <c r="J338" s="1" t="n">
        <v>38</v>
      </c>
      <c r="K338" s="1" t="s">
        <v>169</v>
      </c>
      <c r="L338" s="1" t="b">
        <f aca="false">FALSE()</f>
        <v>0</v>
      </c>
      <c r="M338" s="1" t="str">
        <f aca="false">VLOOKUP(D338,'Team Reference'!$A:$B,2,FALSE())</f>
        <v>IND</v>
      </c>
      <c r="N338" s="1" t="str">
        <f aca="false">VLOOKUP(E338,'Team Reference'!$A:$B,2,FALSE())</f>
        <v>KC</v>
      </c>
      <c r="O338" s="1" t="str">
        <f aca="false">IF(F338&gt;G338,M338,IF(G338&gt;F338,N338,"Tie"))</f>
        <v>KC</v>
      </c>
      <c r="P338" s="1" t="n">
        <f aca="false">F338-G338</f>
        <v>-4</v>
      </c>
      <c r="Q338" s="1" t="n">
        <f aca="false">F338+G338</f>
        <v>52</v>
      </c>
      <c r="R338" s="1" t="str">
        <f aca="false">IF(H338=M338,"Home",IF(H338=N338,"Away",IF(H338="PICK","Pick","N/A")))</f>
        <v>Home</v>
      </c>
      <c r="S338" s="1" t="n">
        <f aca="false">IF(R338="Home",P338,IF(R338="Away",-P338,""))</f>
        <v>-4</v>
      </c>
      <c r="T338" s="1" t="str">
        <f aca="false">IF(R338="Pick","No Line",IF(S338="","N/A",IF(S338+I338&gt;0,"Favorite Covered",IF(S338+I338&lt;0,"Underdog Covered","Push"))))</f>
        <v>Underdog Covered</v>
      </c>
      <c r="U338" s="1" t="str">
        <f aca="false">IF(Q338&gt;J338,"Over",IF(Q338&lt;J338,"Under","Push"))</f>
        <v>Over</v>
      </c>
    </row>
    <row r="339" customFormat="false" ht="15" hidden="false" customHeight="false" outlineLevel="0" collapsed="false">
      <c r="A339" s="1" t="s">
        <v>253</v>
      </c>
      <c r="B339" s="1" t="n">
        <v>2011</v>
      </c>
      <c r="C339" s="1" t="s">
        <v>185</v>
      </c>
      <c r="D339" s="1" t="s">
        <v>81</v>
      </c>
      <c r="E339" s="1" t="s">
        <v>65</v>
      </c>
      <c r="F339" s="1" t="n">
        <v>20</v>
      </c>
      <c r="G339" s="1" t="n">
        <v>30</v>
      </c>
      <c r="H339" s="1" t="s">
        <v>66</v>
      </c>
      <c r="I339" s="1" t="n">
        <v>-2.5</v>
      </c>
      <c r="J339" s="1" t="n">
        <v>37</v>
      </c>
      <c r="K339" s="1" t="s">
        <v>147</v>
      </c>
      <c r="L339" s="1" t="b">
        <f aca="false">FALSE()</f>
        <v>0</v>
      </c>
      <c r="M339" s="1" t="str">
        <f aca="false">VLOOKUP(D339,'Team Reference'!$A:$B,2,FALSE())</f>
        <v>JAX</v>
      </c>
      <c r="N339" s="1" t="str">
        <f aca="false">VLOOKUP(E339,'Team Reference'!$A:$B,2,FALSE())</f>
        <v>CIN</v>
      </c>
      <c r="O339" s="1" t="str">
        <f aca="false">IF(F339&gt;G339,M339,IF(G339&gt;F339,N339,"Tie"))</f>
        <v>CIN</v>
      </c>
      <c r="P339" s="1" t="n">
        <f aca="false">F339-G339</f>
        <v>-10</v>
      </c>
      <c r="Q339" s="1" t="n">
        <f aca="false">F339+G339</f>
        <v>50</v>
      </c>
      <c r="R339" s="1" t="str">
        <f aca="false">IF(H339=M339,"Home",IF(H339=N339,"Away",IF(H339="PICK","Pick","N/A")))</f>
        <v>Away</v>
      </c>
      <c r="S339" s="1" t="n">
        <f aca="false">IF(R339="Home",P339,IF(R339="Away",-P339,""))</f>
        <v>10</v>
      </c>
      <c r="T339" s="1" t="str">
        <f aca="false">IF(R339="Pick","No Line",IF(S339="","N/A",IF(S339+I339&gt;0,"Favorite Covered",IF(S339+I339&lt;0,"Underdog Covered","Push"))))</f>
        <v>Favorite Covered</v>
      </c>
      <c r="U339" s="1" t="str">
        <f aca="false">IF(Q339&gt;J339,"Over",IF(Q339&lt;J339,"Under","Push"))</f>
        <v>Over</v>
      </c>
    </row>
    <row r="340" customFormat="false" ht="15" hidden="false" customHeight="false" outlineLevel="0" collapsed="false">
      <c r="A340" s="1" t="s">
        <v>253</v>
      </c>
      <c r="B340" s="1" t="n">
        <v>2011</v>
      </c>
      <c r="C340" s="1" t="s">
        <v>185</v>
      </c>
      <c r="D340" s="1" t="s">
        <v>91</v>
      </c>
      <c r="E340" s="1" t="s">
        <v>53</v>
      </c>
      <c r="F340" s="1" t="n">
        <v>34</v>
      </c>
      <c r="G340" s="1" t="n">
        <v>10</v>
      </c>
      <c r="H340" s="1" t="s">
        <v>92</v>
      </c>
      <c r="I340" s="1" t="n">
        <v>-3.5</v>
      </c>
      <c r="J340" s="1" t="n">
        <v>45</v>
      </c>
      <c r="K340" s="1" t="s">
        <v>170</v>
      </c>
      <c r="L340" s="1" t="b">
        <f aca="false">FALSE()</f>
        <v>0</v>
      </c>
      <c r="M340" s="1" t="str">
        <f aca="false">VLOOKUP(D340,'Team Reference'!$A:$B,2,FALSE())</f>
        <v>MIN</v>
      </c>
      <c r="N340" s="1" t="str">
        <f aca="false">VLOOKUP(E340,'Team Reference'!$A:$B,2,FALSE())</f>
        <v>ARI</v>
      </c>
      <c r="O340" s="1" t="str">
        <f aca="false">IF(F340&gt;G340,M340,IF(G340&gt;F340,N340,"Tie"))</f>
        <v>MIN</v>
      </c>
      <c r="P340" s="1" t="n">
        <f aca="false">F340-G340</f>
        <v>24</v>
      </c>
      <c r="Q340" s="1" t="n">
        <f aca="false">F340+G340</f>
        <v>44</v>
      </c>
      <c r="R340" s="1" t="str">
        <f aca="false">IF(H340=M340,"Home",IF(H340=N340,"Away",IF(H340="PICK","Pick","N/A")))</f>
        <v>Home</v>
      </c>
      <c r="S340" s="1" t="n">
        <f aca="false">IF(R340="Home",P340,IF(R340="Away",-P340,""))</f>
        <v>24</v>
      </c>
      <c r="T340" s="1" t="str">
        <f aca="false">IF(R340="Pick","No Line",IF(S340="","N/A",IF(S340+I340&gt;0,"Favorite Covered",IF(S340+I340&lt;0,"Underdog Covered","Push"))))</f>
        <v>Favorite Covered</v>
      </c>
      <c r="U340" s="1" t="str">
        <f aca="false">IF(Q340&gt;J340,"Over",IF(Q340&lt;J340,"Under","Push"))</f>
        <v>Under</v>
      </c>
    </row>
    <row r="341" customFormat="false" ht="15" hidden="false" customHeight="false" outlineLevel="0" collapsed="false">
      <c r="A341" s="1" t="s">
        <v>253</v>
      </c>
      <c r="B341" s="1" t="n">
        <v>2011</v>
      </c>
      <c r="C341" s="1" t="s">
        <v>185</v>
      </c>
      <c r="D341" s="1" t="s">
        <v>93</v>
      </c>
      <c r="E341" s="1" t="s">
        <v>99</v>
      </c>
      <c r="F341" s="1" t="n">
        <v>30</v>
      </c>
      <c r="G341" s="1" t="n">
        <v>21</v>
      </c>
      <c r="H341" s="1" t="s">
        <v>94</v>
      </c>
      <c r="I341" s="1" t="n">
        <v>-7.5</v>
      </c>
      <c r="J341" s="1" t="n">
        <v>50</v>
      </c>
      <c r="K341" s="1" t="s">
        <v>148</v>
      </c>
      <c r="L341" s="1" t="b">
        <f aca="false">FALSE()</f>
        <v>0</v>
      </c>
      <c r="M341" s="1" t="str">
        <f aca="false">VLOOKUP(D341,'Team Reference'!$A:$B,2,FALSE())</f>
        <v>NE</v>
      </c>
      <c r="N341" s="1" t="str">
        <f aca="false">VLOOKUP(E341,'Team Reference'!$A:$B,2,FALSE())</f>
        <v>NYJ</v>
      </c>
      <c r="O341" s="1" t="str">
        <f aca="false">IF(F341&gt;G341,M341,IF(G341&gt;F341,N341,"Tie"))</f>
        <v>NE</v>
      </c>
      <c r="P341" s="1" t="n">
        <f aca="false">F341-G341</f>
        <v>9</v>
      </c>
      <c r="Q341" s="1" t="n">
        <f aca="false">F341+G341</f>
        <v>51</v>
      </c>
      <c r="R341" s="1" t="str">
        <f aca="false">IF(H341=M341,"Home",IF(H341=N341,"Away",IF(H341="PICK","Pick","N/A")))</f>
        <v>Home</v>
      </c>
      <c r="S341" s="1" t="n">
        <f aca="false">IF(R341="Home",P341,IF(R341="Away",-P341,""))</f>
        <v>9</v>
      </c>
      <c r="T341" s="1" t="str">
        <f aca="false">IF(R341="Pick","No Line",IF(S341="","N/A",IF(S341+I341&gt;0,"Favorite Covered",IF(S341+I341&lt;0,"Underdog Covered","Push"))))</f>
        <v>Favorite Covered</v>
      </c>
      <c r="U341" s="1" t="str">
        <f aca="false">IF(Q341&gt;J341,"Over",IF(Q341&lt;J341,"Under","Push"))</f>
        <v>Over</v>
      </c>
    </row>
    <row r="342" customFormat="false" ht="15" hidden="false" customHeight="false" outlineLevel="0" collapsed="false">
      <c r="A342" s="1" t="s">
        <v>253</v>
      </c>
      <c r="B342" s="1" t="n">
        <v>2011</v>
      </c>
      <c r="C342" s="1" t="s">
        <v>185</v>
      </c>
      <c r="D342" s="1" t="s">
        <v>97</v>
      </c>
      <c r="E342" s="1" t="s">
        <v>110</v>
      </c>
      <c r="F342" s="1" t="n">
        <v>25</v>
      </c>
      <c r="G342" s="1" t="n">
        <v>36</v>
      </c>
      <c r="H342" s="1" t="s">
        <v>98</v>
      </c>
      <c r="I342" s="1" t="n">
        <v>-10</v>
      </c>
      <c r="J342" s="1" t="n">
        <v>43.5</v>
      </c>
      <c r="K342" s="1" t="s">
        <v>149</v>
      </c>
      <c r="L342" s="1" t="b">
        <f aca="false">FALSE()</f>
        <v>0</v>
      </c>
      <c r="M342" s="1" t="str">
        <f aca="false">VLOOKUP(D342,'Team Reference'!$A:$B,2,FALSE())</f>
        <v>NYG</v>
      </c>
      <c r="N342" s="1" t="str">
        <f aca="false">VLOOKUP(E342,'Team Reference'!$A:$B,2,FALSE())</f>
        <v>SEA</v>
      </c>
      <c r="O342" s="1" t="str">
        <f aca="false">IF(F342&gt;G342,M342,IF(G342&gt;F342,N342,"Tie"))</f>
        <v>SEA</v>
      </c>
      <c r="P342" s="1" t="n">
        <f aca="false">F342-G342</f>
        <v>-11</v>
      </c>
      <c r="Q342" s="1" t="n">
        <f aca="false">F342+G342</f>
        <v>61</v>
      </c>
      <c r="R342" s="1" t="str">
        <f aca="false">IF(H342=M342,"Home",IF(H342=N342,"Away",IF(H342="PICK","Pick","N/A")))</f>
        <v>Home</v>
      </c>
      <c r="S342" s="1" t="n">
        <f aca="false">IF(R342="Home",P342,IF(R342="Away",-P342,""))</f>
        <v>-11</v>
      </c>
      <c r="T342" s="1" t="str">
        <f aca="false">IF(R342="Pick","No Line",IF(S342="","N/A",IF(S342+I342&gt;0,"Favorite Covered",IF(S342+I342&lt;0,"Underdog Covered","Push"))))</f>
        <v>Underdog Covered</v>
      </c>
      <c r="U342" s="1" t="str">
        <f aca="false">IF(Q342&gt;J342,"Over",IF(Q342&lt;J342,"Under","Push"))</f>
        <v>Over</v>
      </c>
    </row>
    <row r="343" customFormat="false" ht="15" hidden="false" customHeight="false" outlineLevel="0" collapsed="false">
      <c r="A343" s="1" t="s">
        <v>253</v>
      </c>
      <c r="B343" s="1" t="n">
        <v>2011</v>
      </c>
      <c r="C343" s="1" t="s">
        <v>185</v>
      </c>
      <c r="D343" s="1" t="s">
        <v>105</v>
      </c>
      <c r="E343" s="1" t="s">
        <v>115</v>
      </c>
      <c r="F343" s="1" t="n">
        <v>38</v>
      </c>
      <c r="G343" s="1" t="n">
        <v>17</v>
      </c>
      <c r="H343" s="1" t="s">
        <v>106</v>
      </c>
      <c r="I343" s="1" t="n">
        <v>-3</v>
      </c>
      <c r="J343" s="1" t="n">
        <v>40</v>
      </c>
      <c r="K343" s="1" t="s">
        <v>151</v>
      </c>
      <c r="L343" s="1" t="b">
        <f aca="false">FALSE()</f>
        <v>0</v>
      </c>
      <c r="M343" s="1" t="str">
        <f aca="false">VLOOKUP(D343,'Team Reference'!$A:$B,2,FALSE())</f>
        <v>PIT</v>
      </c>
      <c r="N343" s="1" t="str">
        <f aca="false">VLOOKUP(E343,'Team Reference'!$A:$B,2,FALSE())</f>
        <v>TEN</v>
      </c>
      <c r="O343" s="1" t="str">
        <f aca="false">IF(F343&gt;G343,M343,IF(G343&gt;F343,N343,"Tie"))</f>
        <v>PIT</v>
      </c>
      <c r="P343" s="1" t="n">
        <f aca="false">F343-G343</f>
        <v>21</v>
      </c>
      <c r="Q343" s="1" t="n">
        <f aca="false">F343+G343</f>
        <v>55</v>
      </c>
      <c r="R343" s="1" t="str">
        <f aca="false">IF(H343=M343,"Home",IF(H343=N343,"Away",IF(H343="PICK","Pick","N/A")))</f>
        <v>Home</v>
      </c>
      <c r="S343" s="1" t="n">
        <f aca="false">IF(R343="Home",P343,IF(R343="Away",-P343,""))</f>
        <v>21</v>
      </c>
      <c r="T343" s="1" t="str">
        <f aca="false">IF(R343="Pick","No Line",IF(S343="","N/A",IF(S343+I343&gt;0,"Favorite Covered",IF(S343+I343&lt;0,"Underdog Covered","Push"))))</f>
        <v>Favorite Covered</v>
      </c>
      <c r="U343" s="1" t="str">
        <f aca="false">IF(Q343&gt;J343,"Over",IF(Q343&lt;J343,"Under","Push"))</f>
        <v>Over</v>
      </c>
    </row>
    <row r="344" customFormat="false" ht="15" hidden="false" customHeight="false" outlineLevel="0" collapsed="false">
      <c r="A344" s="1" t="s">
        <v>253</v>
      </c>
      <c r="B344" s="1" t="n">
        <v>2011</v>
      </c>
      <c r="C344" s="1" t="s">
        <v>185</v>
      </c>
      <c r="D344" s="1" t="s">
        <v>108</v>
      </c>
      <c r="E344" s="1" t="s">
        <v>113</v>
      </c>
      <c r="F344" s="1" t="n">
        <v>48</v>
      </c>
      <c r="G344" s="1" t="n">
        <v>3</v>
      </c>
      <c r="H344" s="1" t="s">
        <v>109</v>
      </c>
      <c r="I344" s="1" t="n">
        <v>-3</v>
      </c>
      <c r="J344" s="1" t="n">
        <v>41.5</v>
      </c>
      <c r="K344" s="1" t="s">
        <v>174</v>
      </c>
      <c r="L344" s="1" t="b">
        <f aca="false">FALSE()</f>
        <v>0</v>
      </c>
      <c r="M344" s="1" t="str">
        <f aca="false">VLOOKUP(D344,'Team Reference'!$A:$B,2,FALSE())</f>
        <v>SF</v>
      </c>
      <c r="N344" s="1" t="str">
        <f aca="false">VLOOKUP(E344,'Team Reference'!$A:$B,2,FALSE())</f>
        <v>TB</v>
      </c>
      <c r="O344" s="1" t="str">
        <f aca="false">IF(F344&gt;G344,M344,IF(G344&gt;F344,N344,"Tie"))</f>
        <v>SF</v>
      </c>
      <c r="P344" s="1" t="n">
        <f aca="false">F344-G344</f>
        <v>45</v>
      </c>
      <c r="Q344" s="1" t="n">
        <f aca="false">F344+G344</f>
        <v>51</v>
      </c>
      <c r="R344" s="1" t="str">
        <f aca="false">IF(H344=M344,"Home",IF(H344=N344,"Away",IF(H344="PICK","Pick","N/A")))</f>
        <v>Home</v>
      </c>
      <c r="S344" s="1" t="n">
        <f aca="false">IF(R344="Home",P344,IF(R344="Away",-P344,""))</f>
        <v>45</v>
      </c>
      <c r="T344" s="1" t="str">
        <f aca="false">IF(R344="Pick","No Line",IF(S344="","N/A",IF(S344+I344&gt;0,"Favorite Covered",IF(S344+I344&lt;0,"Underdog Covered","Push"))))</f>
        <v>Favorite Covered</v>
      </c>
      <c r="U344" s="1" t="str">
        <f aca="false">IF(Q344&gt;J344,"Over",IF(Q344&lt;J344,"Under","Push"))</f>
        <v>Over</v>
      </c>
    </row>
    <row r="345" customFormat="false" ht="15" hidden="false" customHeight="false" outlineLevel="0" collapsed="false">
      <c r="A345" s="1" t="s">
        <v>254</v>
      </c>
      <c r="B345" s="1" t="n">
        <v>2011</v>
      </c>
      <c r="C345" s="1" t="s">
        <v>185</v>
      </c>
      <c r="D345" s="1" t="s">
        <v>73</v>
      </c>
      <c r="E345" s="1" t="s">
        <v>63</v>
      </c>
      <c r="F345" s="1" t="n">
        <v>24</v>
      </c>
      <c r="G345" s="1" t="n">
        <v>13</v>
      </c>
      <c r="H345" s="1" t="s">
        <v>74</v>
      </c>
      <c r="I345" s="1" t="n">
        <v>-7</v>
      </c>
      <c r="J345" s="1" t="n">
        <v>47</v>
      </c>
      <c r="K345" s="1" t="s">
        <v>167</v>
      </c>
      <c r="L345" s="1" t="b">
        <f aca="false">FALSE()</f>
        <v>0</v>
      </c>
      <c r="M345" s="1" t="str">
        <f aca="false">VLOOKUP(D345,'Team Reference'!$A:$B,2,FALSE())</f>
        <v>DET</v>
      </c>
      <c r="N345" s="1" t="str">
        <f aca="false">VLOOKUP(E345,'Team Reference'!$A:$B,2,FALSE())</f>
        <v>CHI</v>
      </c>
      <c r="O345" s="1" t="str">
        <f aca="false">IF(F345&gt;G345,M345,IF(G345&gt;F345,N345,"Tie"))</f>
        <v>DET</v>
      </c>
      <c r="P345" s="1" t="n">
        <f aca="false">F345-G345</f>
        <v>11</v>
      </c>
      <c r="Q345" s="1" t="n">
        <f aca="false">F345+G345</f>
        <v>37</v>
      </c>
      <c r="R345" s="1" t="str">
        <f aca="false">IF(H345=M345,"Home",IF(H345=N345,"Away",IF(H345="PICK","Pick","N/A")))</f>
        <v>Home</v>
      </c>
      <c r="S345" s="1" t="n">
        <f aca="false">IF(R345="Home",P345,IF(R345="Away",-P345,""))</f>
        <v>11</v>
      </c>
      <c r="T345" s="1" t="str">
        <f aca="false">IF(R345="Pick","No Line",IF(S345="","N/A",IF(S345+I345&gt;0,"Favorite Covered",IF(S345+I345&lt;0,"Underdog Covered","Push"))))</f>
        <v>Favorite Covered</v>
      </c>
      <c r="U345" s="1" t="str">
        <f aca="false">IF(Q345&gt;J345,"Over",IF(Q345&lt;J345,"Under","Push"))</f>
        <v>Under</v>
      </c>
    </row>
    <row r="346" customFormat="false" ht="15" hidden="false" customHeight="false" outlineLevel="0" collapsed="false">
      <c r="A346" s="1" t="s">
        <v>255</v>
      </c>
      <c r="B346" s="1" t="n">
        <v>2011</v>
      </c>
      <c r="C346" s="1" t="s">
        <v>188</v>
      </c>
      <c r="D346" s="1" t="s">
        <v>55</v>
      </c>
      <c r="E346" s="1" t="s">
        <v>61</v>
      </c>
      <c r="F346" s="1" t="n">
        <v>31</v>
      </c>
      <c r="G346" s="1" t="n">
        <v>17</v>
      </c>
      <c r="H346" s="1" t="s">
        <v>56</v>
      </c>
      <c r="I346" s="1" t="n">
        <v>-3.5</v>
      </c>
      <c r="J346" s="1" t="n">
        <v>49.5</v>
      </c>
      <c r="K346" s="1" t="s">
        <v>161</v>
      </c>
      <c r="L346" s="1" t="b">
        <f aca="false">FALSE()</f>
        <v>0</v>
      </c>
      <c r="M346" s="1" t="str">
        <f aca="false">VLOOKUP(D346,'Team Reference'!$A:$B,2,FALSE())</f>
        <v>ATL</v>
      </c>
      <c r="N346" s="1" t="str">
        <f aca="false">VLOOKUP(E346,'Team Reference'!$A:$B,2,FALSE())</f>
        <v>CAR</v>
      </c>
      <c r="O346" s="1" t="str">
        <f aca="false">IF(F346&gt;G346,M346,IF(G346&gt;F346,N346,"Tie"))</f>
        <v>ATL</v>
      </c>
      <c r="P346" s="1" t="n">
        <f aca="false">F346-G346</f>
        <v>14</v>
      </c>
      <c r="Q346" s="1" t="n">
        <f aca="false">F346+G346</f>
        <v>48</v>
      </c>
      <c r="R346" s="1" t="str">
        <f aca="false">IF(H346=M346,"Home",IF(H346=N346,"Away",IF(H346="PICK","Pick","N/A")))</f>
        <v>Home</v>
      </c>
      <c r="S346" s="1" t="n">
        <f aca="false">IF(R346="Home",P346,IF(R346="Away",-P346,""))</f>
        <v>14</v>
      </c>
      <c r="T346" s="1" t="str">
        <f aca="false">IF(R346="Pick","No Line",IF(S346="","N/A",IF(S346+I346&gt;0,"Favorite Covered",IF(S346+I346&lt;0,"Underdog Covered","Push"))))</f>
        <v>Favorite Covered</v>
      </c>
      <c r="U346" s="1" t="str">
        <f aca="false">IF(Q346&gt;J346,"Over",IF(Q346&lt;J346,"Under","Push"))</f>
        <v>Under</v>
      </c>
    </row>
    <row r="347" customFormat="false" ht="15" hidden="false" customHeight="false" outlineLevel="0" collapsed="false">
      <c r="A347" s="1" t="s">
        <v>255</v>
      </c>
      <c r="B347" s="1" t="n">
        <v>2011</v>
      </c>
      <c r="C347" s="1" t="s">
        <v>188</v>
      </c>
      <c r="D347" s="1" t="s">
        <v>57</v>
      </c>
      <c r="E347" s="1" t="s">
        <v>77</v>
      </c>
      <c r="F347" s="1" t="n">
        <v>29</v>
      </c>
      <c r="G347" s="1" t="n">
        <v>14</v>
      </c>
      <c r="H347" s="1" t="s">
        <v>58</v>
      </c>
      <c r="I347" s="1" t="n">
        <v>-7</v>
      </c>
      <c r="J347" s="1" t="n">
        <v>43.5</v>
      </c>
      <c r="K347" s="1" t="s">
        <v>178</v>
      </c>
      <c r="L347" s="1" t="b">
        <f aca="false">FALSE()</f>
        <v>0</v>
      </c>
      <c r="M347" s="1" t="str">
        <f aca="false">VLOOKUP(D347,'Team Reference'!$A:$B,2,FALSE())</f>
        <v>BAL</v>
      </c>
      <c r="N347" s="1" t="str">
        <f aca="false">VLOOKUP(E347,'Team Reference'!$A:$B,2,FALSE())</f>
        <v>HOU</v>
      </c>
      <c r="O347" s="1" t="str">
        <f aca="false">IF(F347&gt;G347,M347,IF(G347&gt;F347,N347,"Tie"))</f>
        <v>BAL</v>
      </c>
      <c r="P347" s="1" t="n">
        <f aca="false">F347-G347</f>
        <v>15</v>
      </c>
      <c r="Q347" s="1" t="n">
        <f aca="false">F347+G347</f>
        <v>43</v>
      </c>
      <c r="R347" s="1" t="str">
        <f aca="false">IF(H347=M347,"Home",IF(H347=N347,"Away",IF(H347="PICK","Pick","N/A")))</f>
        <v>Home</v>
      </c>
      <c r="S347" s="1" t="n">
        <f aca="false">IF(R347="Home",P347,IF(R347="Away",-P347,""))</f>
        <v>15</v>
      </c>
      <c r="T347" s="1" t="str">
        <f aca="false">IF(R347="Pick","No Line",IF(S347="","N/A",IF(S347+I347&gt;0,"Favorite Covered",IF(S347+I347&lt;0,"Underdog Covered","Push"))))</f>
        <v>Favorite Covered</v>
      </c>
      <c r="U347" s="1" t="str">
        <f aca="false">IF(Q347&gt;J347,"Over",IF(Q347&lt;J347,"Under","Push"))</f>
        <v>Under</v>
      </c>
    </row>
    <row r="348" customFormat="false" ht="15" hidden="false" customHeight="false" outlineLevel="0" collapsed="false">
      <c r="A348" s="1" t="s">
        <v>255</v>
      </c>
      <c r="B348" s="1" t="n">
        <v>2011</v>
      </c>
      <c r="C348" s="1" t="s">
        <v>188</v>
      </c>
      <c r="D348" s="1" t="s">
        <v>63</v>
      </c>
      <c r="E348" s="1" t="s">
        <v>91</v>
      </c>
      <c r="F348" s="1" t="n">
        <v>39</v>
      </c>
      <c r="G348" s="1" t="n">
        <v>10</v>
      </c>
      <c r="H348" s="1" t="s">
        <v>64</v>
      </c>
      <c r="I348" s="1" t="n">
        <v>-2.5</v>
      </c>
      <c r="J348" s="1" t="n">
        <v>42</v>
      </c>
      <c r="K348" s="1" t="s">
        <v>145</v>
      </c>
      <c r="L348" s="1" t="b">
        <f aca="false">FALSE()</f>
        <v>0</v>
      </c>
      <c r="M348" s="1" t="str">
        <f aca="false">VLOOKUP(D348,'Team Reference'!$A:$B,2,FALSE())</f>
        <v>CHI</v>
      </c>
      <c r="N348" s="1" t="str">
        <f aca="false">VLOOKUP(E348,'Team Reference'!$A:$B,2,FALSE())</f>
        <v>MIN</v>
      </c>
      <c r="O348" s="1" t="str">
        <f aca="false">IF(F348&gt;G348,M348,IF(G348&gt;F348,N348,"Tie"))</f>
        <v>CHI</v>
      </c>
      <c r="P348" s="1" t="n">
        <f aca="false">F348-G348</f>
        <v>29</v>
      </c>
      <c r="Q348" s="1" t="n">
        <f aca="false">F348+G348</f>
        <v>49</v>
      </c>
      <c r="R348" s="1" t="str">
        <f aca="false">IF(H348=M348,"Home",IF(H348=N348,"Away",IF(H348="PICK","Pick","N/A")))</f>
        <v>Home</v>
      </c>
      <c r="S348" s="1" t="n">
        <f aca="false">IF(R348="Home",P348,IF(R348="Away",-P348,""))</f>
        <v>29</v>
      </c>
      <c r="T348" s="1" t="str">
        <f aca="false">IF(R348="Pick","No Line",IF(S348="","N/A",IF(S348+I348&gt;0,"Favorite Covered",IF(S348+I348&lt;0,"Underdog Covered","Push"))))</f>
        <v>Favorite Covered</v>
      </c>
      <c r="U348" s="1" t="str">
        <f aca="false">IF(Q348&gt;J348,"Over",IF(Q348&lt;J348,"Under","Push"))</f>
        <v>Over</v>
      </c>
    </row>
    <row r="349" customFormat="false" ht="15" hidden="false" customHeight="false" outlineLevel="0" collapsed="false">
      <c r="A349" s="1" t="s">
        <v>255</v>
      </c>
      <c r="B349" s="1" t="n">
        <v>2011</v>
      </c>
      <c r="C349" s="1" t="s">
        <v>188</v>
      </c>
      <c r="D349" s="1" t="s">
        <v>65</v>
      </c>
      <c r="E349" s="1" t="s">
        <v>79</v>
      </c>
      <c r="F349" s="1" t="n">
        <v>27</v>
      </c>
      <c r="G349" s="1" t="n">
        <v>17</v>
      </c>
      <c r="H349" s="1" t="s">
        <v>66</v>
      </c>
      <c r="I349" s="1" t="n">
        <v>-4.5</v>
      </c>
      <c r="J349" s="1" t="n">
        <v>40.5</v>
      </c>
      <c r="K349" s="1" t="s">
        <v>163</v>
      </c>
      <c r="L349" s="1" t="b">
        <f aca="false">FALSE()</f>
        <v>0</v>
      </c>
      <c r="M349" s="1" t="str">
        <f aca="false">VLOOKUP(D349,'Team Reference'!$A:$B,2,FALSE())</f>
        <v>CIN</v>
      </c>
      <c r="N349" s="1" t="str">
        <f aca="false">VLOOKUP(E349,'Team Reference'!$A:$B,2,FALSE())</f>
        <v>IND</v>
      </c>
      <c r="O349" s="1" t="str">
        <f aca="false">IF(F349&gt;G349,M349,IF(G349&gt;F349,N349,"Tie"))</f>
        <v>CIN</v>
      </c>
      <c r="P349" s="1" t="n">
        <f aca="false">F349-G349</f>
        <v>10</v>
      </c>
      <c r="Q349" s="1" t="n">
        <f aca="false">F349+G349</f>
        <v>44</v>
      </c>
      <c r="R349" s="1" t="str">
        <f aca="false">IF(H349=M349,"Home",IF(H349=N349,"Away",IF(H349="PICK","Pick","N/A")))</f>
        <v>Home</v>
      </c>
      <c r="S349" s="1" t="n">
        <f aca="false">IF(R349="Home",P349,IF(R349="Away",-P349,""))</f>
        <v>10</v>
      </c>
      <c r="T349" s="1" t="str">
        <f aca="false">IF(R349="Pick","No Line",IF(S349="","N/A",IF(S349+I349&gt;0,"Favorite Covered",IF(S349+I349&lt;0,"Underdog Covered","Push"))))</f>
        <v>Favorite Covered</v>
      </c>
      <c r="U349" s="1" t="str">
        <f aca="false">IF(Q349&gt;J349,"Over",IF(Q349&lt;J349,"Under","Push"))</f>
        <v>Over</v>
      </c>
    </row>
    <row r="350" customFormat="false" ht="15" hidden="false" customHeight="false" outlineLevel="0" collapsed="false">
      <c r="A350" s="1" t="s">
        <v>255</v>
      </c>
      <c r="B350" s="1" t="n">
        <v>2011</v>
      </c>
      <c r="C350" s="1" t="s">
        <v>188</v>
      </c>
      <c r="D350" s="1" t="s">
        <v>73</v>
      </c>
      <c r="E350" s="1" t="s">
        <v>108</v>
      </c>
      <c r="F350" s="1" t="n">
        <v>19</v>
      </c>
      <c r="G350" s="1" t="n">
        <v>25</v>
      </c>
      <c r="H350" s="1" t="s">
        <v>74</v>
      </c>
      <c r="I350" s="1" t="n">
        <v>-5</v>
      </c>
      <c r="J350" s="1" t="n">
        <v>45</v>
      </c>
      <c r="K350" s="1" t="s">
        <v>167</v>
      </c>
      <c r="L350" s="1" t="b">
        <f aca="false">FALSE()</f>
        <v>0</v>
      </c>
      <c r="M350" s="1" t="str">
        <f aca="false">VLOOKUP(D350,'Team Reference'!$A:$B,2,FALSE())</f>
        <v>DET</v>
      </c>
      <c r="N350" s="1" t="str">
        <f aca="false">VLOOKUP(E350,'Team Reference'!$A:$B,2,FALSE())</f>
        <v>SF</v>
      </c>
      <c r="O350" s="1" t="str">
        <f aca="false">IF(F350&gt;G350,M350,IF(G350&gt;F350,N350,"Tie"))</f>
        <v>SF</v>
      </c>
      <c r="P350" s="1" t="n">
        <f aca="false">F350-G350</f>
        <v>-6</v>
      </c>
      <c r="Q350" s="1" t="n">
        <f aca="false">F350+G350</f>
        <v>44</v>
      </c>
      <c r="R350" s="1" t="str">
        <f aca="false">IF(H350=M350,"Home",IF(H350=N350,"Away",IF(H350="PICK","Pick","N/A")))</f>
        <v>Home</v>
      </c>
      <c r="S350" s="1" t="n">
        <f aca="false">IF(R350="Home",P350,IF(R350="Away",-P350,""))</f>
        <v>-6</v>
      </c>
      <c r="T350" s="1" t="str">
        <f aca="false">IF(R350="Pick","No Line",IF(S350="","N/A",IF(S350+I350&gt;0,"Favorite Covered",IF(S350+I350&lt;0,"Underdog Covered","Push"))))</f>
        <v>Underdog Covered</v>
      </c>
      <c r="U350" s="1" t="str">
        <f aca="false">IF(Q350&gt;J350,"Over",IF(Q350&lt;J350,"Under","Push"))</f>
        <v>Under</v>
      </c>
    </row>
    <row r="351" customFormat="false" ht="15" hidden="false" customHeight="false" outlineLevel="0" collapsed="false">
      <c r="A351" s="1" t="s">
        <v>255</v>
      </c>
      <c r="B351" s="1" t="n">
        <v>2011</v>
      </c>
      <c r="C351" s="1" t="s">
        <v>188</v>
      </c>
      <c r="D351" s="1" t="s">
        <v>75</v>
      </c>
      <c r="E351" s="1" t="s">
        <v>112</v>
      </c>
      <c r="F351" s="1" t="n">
        <v>24</v>
      </c>
      <c r="G351" s="1" t="n">
        <v>3</v>
      </c>
      <c r="H351" s="1" t="s">
        <v>76</v>
      </c>
      <c r="I351" s="1" t="n">
        <v>-14</v>
      </c>
      <c r="J351" s="1" t="n">
        <v>47.5</v>
      </c>
      <c r="K351" s="1" t="s">
        <v>168</v>
      </c>
      <c r="L351" s="1" t="b">
        <f aca="false">FALSE()</f>
        <v>0</v>
      </c>
      <c r="M351" s="1" t="str">
        <f aca="false">VLOOKUP(D351,'Team Reference'!$A:$B,2,FALSE())</f>
        <v>GB</v>
      </c>
      <c r="N351" s="1" t="str">
        <f aca="false">VLOOKUP(E351,'Team Reference'!$A:$B,2,FALSE())</f>
        <v>LAR</v>
      </c>
      <c r="O351" s="1" t="str">
        <f aca="false">IF(F351&gt;G351,M351,IF(G351&gt;F351,N351,"Tie"))</f>
        <v>GB</v>
      </c>
      <c r="P351" s="1" t="n">
        <f aca="false">F351-G351</f>
        <v>21</v>
      </c>
      <c r="Q351" s="1" t="n">
        <f aca="false">F351+G351</f>
        <v>27</v>
      </c>
      <c r="R351" s="1" t="str">
        <f aca="false">IF(H351=M351,"Home",IF(H351=N351,"Away",IF(H351="PICK","Pick","N/A")))</f>
        <v>Home</v>
      </c>
      <c r="S351" s="1" t="n">
        <f aca="false">IF(R351="Home",P351,IF(R351="Away",-P351,""))</f>
        <v>21</v>
      </c>
      <c r="T351" s="1" t="str">
        <f aca="false">IF(R351="Pick","No Line",IF(S351="","N/A",IF(S351+I351&gt;0,"Favorite Covered",IF(S351+I351&lt;0,"Underdog Covered","Push"))))</f>
        <v>Favorite Covered</v>
      </c>
      <c r="U351" s="1" t="str">
        <f aca="false">IF(Q351&gt;J351,"Over",IF(Q351&lt;J351,"Under","Push"))</f>
        <v>Under</v>
      </c>
    </row>
    <row r="352" customFormat="false" ht="15" hidden="false" customHeight="false" outlineLevel="0" collapsed="false">
      <c r="A352" s="1" t="s">
        <v>255</v>
      </c>
      <c r="B352" s="1" t="n">
        <v>2011</v>
      </c>
      <c r="C352" s="1" t="s">
        <v>188</v>
      </c>
      <c r="D352" s="1" t="s">
        <v>93</v>
      </c>
      <c r="E352" s="1" t="s">
        <v>69</v>
      </c>
      <c r="F352" s="1" t="n">
        <v>20</v>
      </c>
      <c r="G352" s="1" t="n">
        <v>16</v>
      </c>
      <c r="H352" s="1" t="s">
        <v>94</v>
      </c>
      <c r="I352" s="1" t="n">
        <v>-7</v>
      </c>
      <c r="J352" s="1" t="n">
        <v>54.5</v>
      </c>
      <c r="K352" s="1" t="s">
        <v>148</v>
      </c>
      <c r="L352" s="1" t="b">
        <f aca="false">FALSE()</f>
        <v>0</v>
      </c>
      <c r="M352" s="1" t="str">
        <f aca="false">VLOOKUP(D352,'Team Reference'!$A:$B,2,FALSE())</f>
        <v>NE</v>
      </c>
      <c r="N352" s="1" t="str">
        <f aca="false">VLOOKUP(E352,'Team Reference'!$A:$B,2,FALSE())</f>
        <v>DAL</v>
      </c>
      <c r="O352" s="1" t="str">
        <f aca="false">IF(F352&gt;G352,M352,IF(G352&gt;F352,N352,"Tie"))</f>
        <v>NE</v>
      </c>
      <c r="P352" s="1" t="n">
        <f aca="false">F352-G352</f>
        <v>4</v>
      </c>
      <c r="Q352" s="1" t="n">
        <f aca="false">F352+G352</f>
        <v>36</v>
      </c>
      <c r="R352" s="1" t="str">
        <f aca="false">IF(H352=M352,"Home",IF(H352=N352,"Away",IF(H352="PICK","Pick","N/A")))</f>
        <v>Home</v>
      </c>
      <c r="S352" s="1" t="n">
        <f aca="false">IF(R352="Home",P352,IF(R352="Away",-P352,""))</f>
        <v>4</v>
      </c>
      <c r="T352" s="1" t="str">
        <f aca="false">IF(R352="Pick","No Line",IF(S352="","N/A",IF(S352+I352&gt;0,"Favorite Covered",IF(S352+I352&lt;0,"Underdog Covered","Push"))))</f>
        <v>Underdog Covered</v>
      </c>
      <c r="U352" s="1" t="str">
        <f aca="false">IF(Q352&gt;J352,"Over",IF(Q352&lt;J352,"Under","Push"))</f>
        <v>Under</v>
      </c>
    </row>
    <row r="353" customFormat="false" ht="15" hidden="false" customHeight="false" outlineLevel="0" collapsed="false">
      <c r="A353" s="1" t="s">
        <v>255</v>
      </c>
      <c r="B353" s="1" t="n">
        <v>2011</v>
      </c>
      <c r="C353" s="1" t="s">
        <v>188</v>
      </c>
      <c r="D353" s="1" t="s">
        <v>97</v>
      </c>
      <c r="E353" s="1" t="s">
        <v>59</v>
      </c>
      <c r="F353" s="1" t="n">
        <v>27</v>
      </c>
      <c r="G353" s="1" t="n">
        <v>24</v>
      </c>
      <c r="H353" s="1" t="s">
        <v>98</v>
      </c>
      <c r="I353" s="1" t="n">
        <v>-3</v>
      </c>
      <c r="J353" s="1" t="n">
        <v>49</v>
      </c>
      <c r="K353" s="1" t="s">
        <v>149</v>
      </c>
      <c r="L353" s="1" t="b">
        <f aca="false">FALSE()</f>
        <v>0</v>
      </c>
      <c r="M353" s="1" t="str">
        <f aca="false">VLOOKUP(D353,'Team Reference'!$A:$B,2,FALSE())</f>
        <v>NYG</v>
      </c>
      <c r="N353" s="1" t="str">
        <f aca="false">VLOOKUP(E353,'Team Reference'!$A:$B,2,FALSE())</f>
        <v>BUF</v>
      </c>
      <c r="O353" s="1" t="str">
        <f aca="false">IF(F353&gt;G353,M353,IF(G353&gt;F353,N353,"Tie"))</f>
        <v>NYG</v>
      </c>
      <c r="P353" s="1" t="n">
        <f aca="false">F353-G353</f>
        <v>3</v>
      </c>
      <c r="Q353" s="1" t="n">
        <f aca="false">F353+G353</f>
        <v>51</v>
      </c>
      <c r="R353" s="1" t="str">
        <f aca="false">IF(H353=M353,"Home",IF(H353=N353,"Away",IF(H353="PICK","Pick","N/A")))</f>
        <v>Home</v>
      </c>
      <c r="S353" s="1" t="n">
        <f aca="false">IF(R353="Home",P353,IF(R353="Away",-P353,""))</f>
        <v>3</v>
      </c>
      <c r="T353" s="1" t="str">
        <f aca="false">IF(R353="Pick","No Line",IF(S353="","N/A",IF(S353+I353&gt;0,"Favorite Covered",IF(S353+I353&lt;0,"Underdog Covered","Push"))))</f>
        <v>Push</v>
      </c>
      <c r="U353" s="1" t="str">
        <f aca="false">IF(Q353&gt;J353,"Over",IF(Q353&lt;J353,"Under","Push"))</f>
        <v>Over</v>
      </c>
    </row>
    <row r="354" customFormat="false" ht="15" hidden="false" customHeight="false" outlineLevel="0" collapsed="false">
      <c r="A354" s="1" t="s">
        <v>255</v>
      </c>
      <c r="B354" s="1" t="n">
        <v>2011</v>
      </c>
      <c r="C354" s="1" t="s">
        <v>188</v>
      </c>
      <c r="D354" s="1" t="s">
        <v>101</v>
      </c>
      <c r="E354" s="1" t="s">
        <v>67</v>
      </c>
      <c r="F354" s="1" t="n">
        <v>24</v>
      </c>
      <c r="G354" s="1" t="n">
        <v>17</v>
      </c>
      <c r="H354" s="1" t="s">
        <v>102</v>
      </c>
      <c r="I354" s="1" t="n">
        <v>-6.5</v>
      </c>
      <c r="J354" s="1" t="n">
        <v>45</v>
      </c>
      <c r="K354" s="1" t="s">
        <v>171</v>
      </c>
      <c r="L354" s="1" t="b">
        <f aca="false">FALSE()</f>
        <v>0</v>
      </c>
      <c r="M354" s="1" t="str">
        <f aca="false">VLOOKUP(D354,'Team Reference'!$A:$B,2,FALSE())</f>
        <v>OAK</v>
      </c>
      <c r="N354" s="1" t="str">
        <f aca="false">VLOOKUP(E354,'Team Reference'!$A:$B,2,FALSE())</f>
        <v>CLE</v>
      </c>
      <c r="O354" s="1" t="str">
        <f aca="false">IF(F354&gt;G354,M354,IF(G354&gt;F354,N354,"Tie"))</f>
        <v>OAK</v>
      </c>
      <c r="P354" s="1" t="n">
        <f aca="false">F354-G354</f>
        <v>7</v>
      </c>
      <c r="Q354" s="1" t="n">
        <f aca="false">F354+G354</f>
        <v>41</v>
      </c>
      <c r="R354" s="1" t="str">
        <f aca="false">IF(H354=M354,"Home",IF(H354=N354,"Away",IF(H354="PICK","Pick","N/A")))</f>
        <v>Home</v>
      </c>
      <c r="S354" s="1" t="n">
        <f aca="false">IF(R354="Home",P354,IF(R354="Away",-P354,""))</f>
        <v>7</v>
      </c>
      <c r="T354" s="1" t="str">
        <f aca="false">IF(R354="Pick","No Line",IF(S354="","N/A",IF(S354+I354&gt;0,"Favorite Covered",IF(S354+I354&lt;0,"Underdog Covered","Push"))))</f>
        <v>Favorite Covered</v>
      </c>
      <c r="U354" s="1" t="str">
        <f aca="false">IF(Q354&gt;J354,"Over",IF(Q354&lt;J354,"Under","Push"))</f>
        <v>Under</v>
      </c>
    </row>
    <row r="355" customFormat="false" ht="15" hidden="false" customHeight="false" outlineLevel="0" collapsed="false">
      <c r="A355" s="1" t="s">
        <v>255</v>
      </c>
      <c r="B355" s="1" t="n">
        <v>2011</v>
      </c>
      <c r="C355" s="1" t="s">
        <v>188</v>
      </c>
      <c r="D355" s="1" t="s">
        <v>105</v>
      </c>
      <c r="E355" s="1" t="s">
        <v>81</v>
      </c>
      <c r="F355" s="1" t="n">
        <v>17</v>
      </c>
      <c r="G355" s="1" t="n">
        <v>13</v>
      </c>
      <c r="H355" s="1" t="s">
        <v>106</v>
      </c>
      <c r="I355" s="1" t="n">
        <v>-12.5</v>
      </c>
      <c r="J355" s="1" t="n">
        <v>40</v>
      </c>
      <c r="K355" s="1" t="s">
        <v>151</v>
      </c>
      <c r="L355" s="1" t="b">
        <f aca="false">FALSE()</f>
        <v>0</v>
      </c>
      <c r="M355" s="1" t="str">
        <f aca="false">VLOOKUP(D355,'Team Reference'!$A:$B,2,FALSE())</f>
        <v>PIT</v>
      </c>
      <c r="N355" s="1" t="str">
        <f aca="false">VLOOKUP(E355,'Team Reference'!$A:$B,2,FALSE())</f>
        <v>JAX</v>
      </c>
      <c r="O355" s="1" t="str">
        <f aca="false">IF(F355&gt;G355,M355,IF(G355&gt;F355,N355,"Tie"))</f>
        <v>PIT</v>
      </c>
      <c r="P355" s="1" t="n">
        <f aca="false">F355-G355</f>
        <v>4</v>
      </c>
      <c r="Q355" s="1" t="n">
        <f aca="false">F355+G355</f>
        <v>30</v>
      </c>
      <c r="R355" s="1" t="str">
        <f aca="false">IF(H355=M355,"Home",IF(H355=N355,"Away",IF(H355="PICK","Pick","N/A")))</f>
        <v>Home</v>
      </c>
      <c r="S355" s="1" t="n">
        <f aca="false">IF(R355="Home",P355,IF(R355="Away",-P355,""))</f>
        <v>4</v>
      </c>
      <c r="T355" s="1" t="str">
        <f aca="false">IF(R355="Pick","No Line",IF(S355="","N/A",IF(S355+I355&gt;0,"Favorite Covered",IF(S355+I355&lt;0,"Underdog Covered","Push"))))</f>
        <v>Underdog Covered</v>
      </c>
      <c r="U355" s="1" t="str">
        <f aca="false">IF(Q355&gt;J355,"Over",IF(Q355&lt;J355,"Under","Push"))</f>
        <v>Under</v>
      </c>
    </row>
    <row r="356" customFormat="false" ht="15" hidden="false" customHeight="false" outlineLevel="0" collapsed="false">
      <c r="A356" s="1" t="s">
        <v>255</v>
      </c>
      <c r="B356" s="1" t="n">
        <v>2011</v>
      </c>
      <c r="C356" s="1" t="s">
        <v>188</v>
      </c>
      <c r="D356" s="1" t="s">
        <v>113</v>
      </c>
      <c r="E356" s="1" t="s">
        <v>95</v>
      </c>
      <c r="F356" s="1" t="n">
        <v>26</v>
      </c>
      <c r="G356" s="1" t="n">
        <v>20</v>
      </c>
      <c r="H356" s="1" t="s">
        <v>96</v>
      </c>
      <c r="I356" s="1" t="n">
        <v>-6.5</v>
      </c>
      <c r="J356" s="1" t="n">
        <v>49.5</v>
      </c>
      <c r="K356" s="1" t="s">
        <v>154</v>
      </c>
      <c r="L356" s="1" t="b">
        <f aca="false">FALSE()</f>
        <v>0</v>
      </c>
      <c r="M356" s="1" t="str">
        <f aca="false">VLOOKUP(D356,'Team Reference'!$A:$B,2,FALSE())</f>
        <v>TB</v>
      </c>
      <c r="N356" s="1" t="str">
        <f aca="false">VLOOKUP(E356,'Team Reference'!$A:$B,2,FALSE())</f>
        <v>NO</v>
      </c>
      <c r="O356" s="1" t="str">
        <f aca="false">IF(F356&gt;G356,M356,IF(G356&gt;F356,N356,"Tie"))</f>
        <v>TB</v>
      </c>
      <c r="P356" s="1" t="n">
        <f aca="false">F356-G356</f>
        <v>6</v>
      </c>
      <c r="Q356" s="1" t="n">
        <f aca="false">F356+G356</f>
        <v>46</v>
      </c>
      <c r="R356" s="1" t="str">
        <f aca="false">IF(H356=M356,"Home",IF(H356=N356,"Away",IF(H356="PICK","Pick","N/A")))</f>
        <v>Away</v>
      </c>
      <c r="S356" s="1" t="n">
        <f aca="false">IF(R356="Home",P356,IF(R356="Away",-P356,""))</f>
        <v>-6</v>
      </c>
      <c r="T356" s="1" t="str">
        <f aca="false">IF(R356="Pick","No Line",IF(S356="","N/A",IF(S356+I356&gt;0,"Favorite Covered",IF(S356+I356&lt;0,"Underdog Covered","Push"))))</f>
        <v>Underdog Covered</v>
      </c>
      <c r="U356" s="1" t="str">
        <f aca="false">IF(Q356&gt;J356,"Over",IF(Q356&lt;J356,"Under","Push"))</f>
        <v>Under</v>
      </c>
    </row>
    <row r="357" customFormat="false" ht="15" hidden="false" customHeight="false" outlineLevel="0" collapsed="false">
      <c r="A357" s="1" t="s">
        <v>255</v>
      </c>
      <c r="B357" s="1" t="n">
        <v>2011</v>
      </c>
      <c r="C357" s="1" t="s">
        <v>188</v>
      </c>
      <c r="D357" s="1" t="s">
        <v>117</v>
      </c>
      <c r="E357" s="1" t="s">
        <v>103</v>
      </c>
      <c r="F357" s="1" t="n">
        <v>13</v>
      </c>
      <c r="G357" s="1" t="n">
        <v>20</v>
      </c>
      <c r="H357" s="1" t="s">
        <v>104</v>
      </c>
      <c r="I357" s="1" t="n">
        <v>-3</v>
      </c>
      <c r="J357" s="1" t="n">
        <v>46.5</v>
      </c>
      <c r="K357" s="1" t="s">
        <v>156</v>
      </c>
      <c r="L357" s="1" t="b">
        <f aca="false">FALSE()</f>
        <v>0</v>
      </c>
      <c r="M357" s="1" t="str">
        <f aca="false">VLOOKUP(D357,'Team Reference'!$A:$B,2,FALSE())</f>
        <v>WAS</v>
      </c>
      <c r="N357" s="1" t="str">
        <f aca="false">VLOOKUP(E357,'Team Reference'!$A:$B,2,FALSE())</f>
        <v>PHI</v>
      </c>
      <c r="O357" s="1" t="str">
        <f aca="false">IF(F357&gt;G357,M357,IF(G357&gt;F357,N357,"Tie"))</f>
        <v>PHI</v>
      </c>
      <c r="P357" s="1" t="n">
        <f aca="false">F357-G357</f>
        <v>-7</v>
      </c>
      <c r="Q357" s="1" t="n">
        <f aca="false">F357+G357</f>
        <v>33</v>
      </c>
      <c r="R357" s="1" t="str">
        <f aca="false">IF(H357=M357,"Home",IF(H357=N357,"Away",IF(H357="PICK","Pick","N/A")))</f>
        <v>Away</v>
      </c>
      <c r="S357" s="1" t="n">
        <f aca="false">IF(R357="Home",P357,IF(R357="Away",-P357,""))</f>
        <v>7</v>
      </c>
      <c r="T357" s="1" t="str">
        <f aca="false">IF(R357="Pick","No Line",IF(S357="","N/A",IF(S357+I357&gt;0,"Favorite Covered",IF(S357+I357&lt;0,"Underdog Covered","Push"))))</f>
        <v>Favorite Covered</v>
      </c>
      <c r="U357" s="1" t="str">
        <f aca="false">IF(Q357&gt;J357,"Over",IF(Q357&lt;J357,"Under","Push"))</f>
        <v>Under</v>
      </c>
    </row>
    <row r="358" customFormat="false" ht="15" hidden="false" customHeight="false" outlineLevel="0" collapsed="false">
      <c r="A358" s="1" t="s">
        <v>256</v>
      </c>
      <c r="B358" s="1" t="n">
        <v>2011</v>
      </c>
      <c r="C358" s="1" t="s">
        <v>188</v>
      </c>
      <c r="D358" s="1" t="s">
        <v>99</v>
      </c>
      <c r="E358" s="1" t="s">
        <v>89</v>
      </c>
      <c r="F358" s="1" t="n">
        <v>24</v>
      </c>
      <c r="G358" s="1" t="n">
        <v>6</v>
      </c>
      <c r="H358" s="1" t="s">
        <v>100</v>
      </c>
      <c r="I358" s="1" t="n">
        <v>-7.5</v>
      </c>
      <c r="J358" s="1" t="n">
        <v>41.5</v>
      </c>
      <c r="K358" s="1" t="s">
        <v>149</v>
      </c>
      <c r="L358" s="1" t="b">
        <f aca="false">FALSE()</f>
        <v>0</v>
      </c>
      <c r="M358" s="1" t="str">
        <f aca="false">VLOOKUP(D358,'Team Reference'!$A:$B,2,FALSE())</f>
        <v>NYJ</v>
      </c>
      <c r="N358" s="1" t="str">
        <f aca="false">VLOOKUP(E358,'Team Reference'!$A:$B,2,FALSE())</f>
        <v>MIA</v>
      </c>
      <c r="O358" s="1" t="str">
        <f aca="false">IF(F358&gt;G358,M358,IF(G358&gt;F358,N358,"Tie"))</f>
        <v>NYJ</v>
      </c>
      <c r="P358" s="1" t="n">
        <f aca="false">F358-G358</f>
        <v>18</v>
      </c>
      <c r="Q358" s="1" t="n">
        <f aca="false">F358+G358</f>
        <v>30</v>
      </c>
      <c r="R358" s="1" t="str">
        <f aca="false">IF(H358=M358,"Home",IF(H358=N358,"Away",IF(H358="PICK","Pick","N/A")))</f>
        <v>Home</v>
      </c>
      <c r="S358" s="1" t="n">
        <f aca="false">IF(R358="Home",P358,IF(R358="Away",-P358,""))</f>
        <v>18</v>
      </c>
      <c r="T358" s="1" t="str">
        <f aca="false">IF(R358="Pick","No Line",IF(S358="","N/A",IF(S358+I358&gt;0,"Favorite Covered",IF(S358+I358&lt;0,"Underdog Covered","Push"))))</f>
        <v>Favorite Covered</v>
      </c>
      <c r="U358" s="1" t="str">
        <f aca="false">IF(Q358&gt;J358,"Over",IF(Q358&lt;J358,"Under","Push"))</f>
        <v>Under</v>
      </c>
    </row>
    <row r="359" customFormat="false" ht="15" hidden="false" customHeight="false" outlineLevel="0" collapsed="false">
      <c r="A359" s="1" t="s">
        <v>257</v>
      </c>
      <c r="B359" s="1" t="n">
        <v>2011</v>
      </c>
      <c r="C359" s="1" t="s">
        <v>191</v>
      </c>
      <c r="D359" s="1" t="s">
        <v>53</v>
      </c>
      <c r="E359" s="1" t="s">
        <v>105</v>
      </c>
      <c r="F359" s="1" t="n">
        <v>20</v>
      </c>
      <c r="G359" s="1" t="n">
        <v>32</v>
      </c>
      <c r="H359" s="1" t="s">
        <v>106</v>
      </c>
      <c r="I359" s="1" t="n">
        <v>-4.5</v>
      </c>
      <c r="J359" s="1" t="n">
        <v>46.5</v>
      </c>
      <c r="K359" s="1" t="s">
        <v>177</v>
      </c>
      <c r="L359" s="1" t="b">
        <f aca="false">FALSE()</f>
        <v>0</v>
      </c>
      <c r="M359" s="1" t="str">
        <f aca="false">VLOOKUP(D359,'Team Reference'!$A:$B,2,FALSE())</f>
        <v>ARI</v>
      </c>
      <c r="N359" s="1" t="str">
        <f aca="false">VLOOKUP(E359,'Team Reference'!$A:$B,2,FALSE())</f>
        <v>PIT</v>
      </c>
      <c r="O359" s="1" t="str">
        <f aca="false">IF(F359&gt;G359,M359,IF(G359&gt;F359,N359,"Tie"))</f>
        <v>PIT</v>
      </c>
      <c r="P359" s="1" t="n">
        <f aca="false">F359-G359</f>
        <v>-12</v>
      </c>
      <c r="Q359" s="1" t="n">
        <f aca="false">F359+G359</f>
        <v>52</v>
      </c>
      <c r="R359" s="1" t="str">
        <f aca="false">IF(H359=M359,"Home",IF(H359=N359,"Away",IF(H359="PICK","Pick","N/A")))</f>
        <v>Away</v>
      </c>
      <c r="S359" s="1" t="n">
        <f aca="false">IF(R359="Home",P359,IF(R359="Away",-P359,""))</f>
        <v>12</v>
      </c>
      <c r="T359" s="1" t="str">
        <f aca="false">IF(R359="Pick","No Line",IF(S359="","N/A",IF(S359+I359&gt;0,"Favorite Covered",IF(S359+I359&lt;0,"Underdog Covered","Push"))))</f>
        <v>Favorite Covered</v>
      </c>
      <c r="U359" s="1" t="str">
        <f aca="false">IF(Q359&gt;J359,"Over",IF(Q359&lt;J359,"Under","Push"))</f>
        <v>Over</v>
      </c>
    </row>
    <row r="360" customFormat="false" ht="15" hidden="false" customHeight="false" outlineLevel="0" collapsed="false">
      <c r="A360" s="1" t="s">
        <v>257</v>
      </c>
      <c r="B360" s="1" t="n">
        <v>2011</v>
      </c>
      <c r="C360" s="1" t="s">
        <v>191</v>
      </c>
      <c r="D360" s="1" t="s">
        <v>61</v>
      </c>
      <c r="E360" s="1" t="s">
        <v>117</v>
      </c>
      <c r="F360" s="1" t="n">
        <v>33</v>
      </c>
      <c r="G360" s="1" t="n">
        <v>20</v>
      </c>
      <c r="H360" s="1" t="s">
        <v>62</v>
      </c>
      <c r="I360" s="1" t="n">
        <v>-2.5</v>
      </c>
      <c r="J360" s="1" t="n">
        <v>44.5</v>
      </c>
      <c r="K360" s="1" t="s">
        <v>162</v>
      </c>
      <c r="L360" s="1" t="b">
        <f aca="false">FALSE()</f>
        <v>0</v>
      </c>
      <c r="M360" s="1" t="str">
        <f aca="false">VLOOKUP(D360,'Team Reference'!$A:$B,2,FALSE())</f>
        <v>CAR</v>
      </c>
      <c r="N360" s="1" t="str">
        <f aca="false">VLOOKUP(E360,'Team Reference'!$A:$B,2,FALSE())</f>
        <v>WAS</v>
      </c>
      <c r="O360" s="1" t="str">
        <f aca="false">IF(F360&gt;G360,M360,IF(G360&gt;F360,N360,"Tie"))</f>
        <v>CAR</v>
      </c>
      <c r="P360" s="1" t="n">
        <f aca="false">F360-G360</f>
        <v>13</v>
      </c>
      <c r="Q360" s="1" t="n">
        <f aca="false">F360+G360</f>
        <v>53</v>
      </c>
      <c r="R360" s="1" t="str">
        <f aca="false">IF(H360=M360,"Home",IF(H360=N360,"Away",IF(H360="PICK","Pick","N/A")))</f>
        <v>Home</v>
      </c>
      <c r="S360" s="1" t="n">
        <f aca="false">IF(R360="Home",P360,IF(R360="Away",-P360,""))</f>
        <v>13</v>
      </c>
      <c r="T360" s="1" t="str">
        <f aca="false">IF(R360="Pick","No Line",IF(S360="","N/A",IF(S360+I360&gt;0,"Favorite Covered",IF(S360+I360&lt;0,"Underdog Covered","Push"))))</f>
        <v>Favorite Covered</v>
      </c>
      <c r="U360" s="1" t="str">
        <f aca="false">IF(Q360&gt;J360,"Over",IF(Q360&lt;J360,"Under","Push"))</f>
        <v>Over</v>
      </c>
    </row>
    <row r="361" customFormat="false" ht="15" hidden="false" customHeight="false" outlineLevel="0" collapsed="false">
      <c r="A361" s="1" t="s">
        <v>257</v>
      </c>
      <c r="B361" s="1" t="n">
        <v>2011</v>
      </c>
      <c r="C361" s="1" t="s">
        <v>191</v>
      </c>
      <c r="D361" s="1" t="s">
        <v>67</v>
      </c>
      <c r="E361" s="1" t="s">
        <v>110</v>
      </c>
      <c r="F361" s="1" t="n">
        <v>6</v>
      </c>
      <c r="G361" s="1" t="n">
        <v>3</v>
      </c>
      <c r="H361" s="1" t="s">
        <v>68</v>
      </c>
      <c r="I361" s="1" t="n">
        <v>-3</v>
      </c>
      <c r="J361" s="1" t="n">
        <v>41</v>
      </c>
      <c r="K361" s="1" t="s">
        <v>164</v>
      </c>
      <c r="L361" s="1" t="b">
        <f aca="false">FALSE()</f>
        <v>0</v>
      </c>
      <c r="M361" s="1" t="str">
        <f aca="false">VLOOKUP(D361,'Team Reference'!$A:$B,2,FALSE())</f>
        <v>CLE</v>
      </c>
      <c r="N361" s="1" t="str">
        <f aca="false">VLOOKUP(E361,'Team Reference'!$A:$B,2,FALSE())</f>
        <v>SEA</v>
      </c>
      <c r="O361" s="1" t="str">
        <f aca="false">IF(F361&gt;G361,M361,IF(G361&gt;F361,N361,"Tie"))</f>
        <v>CLE</v>
      </c>
      <c r="P361" s="1" t="n">
        <f aca="false">F361-G361</f>
        <v>3</v>
      </c>
      <c r="Q361" s="1" t="n">
        <f aca="false">F361+G361</f>
        <v>9</v>
      </c>
      <c r="R361" s="1" t="str">
        <f aca="false">IF(H361=M361,"Home",IF(H361=N361,"Away",IF(H361="PICK","Pick","N/A")))</f>
        <v>Home</v>
      </c>
      <c r="S361" s="1" t="n">
        <f aca="false">IF(R361="Home",P361,IF(R361="Away",-P361,""))</f>
        <v>3</v>
      </c>
      <c r="T361" s="1" t="str">
        <f aca="false">IF(R361="Pick","No Line",IF(S361="","N/A",IF(S361+I361&gt;0,"Favorite Covered",IF(S361+I361&lt;0,"Underdog Covered","Push"))))</f>
        <v>Push</v>
      </c>
      <c r="U361" s="1" t="str">
        <f aca="false">IF(Q361&gt;J361,"Over",IF(Q361&lt;J361,"Under","Push"))</f>
        <v>Under</v>
      </c>
    </row>
    <row r="362" customFormat="false" ht="15" hidden="false" customHeight="false" outlineLevel="0" collapsed="false">
      <c r="A362" s="1" t="s">
        <v>257</v>
      </c>
      <c r="B362" s="1" t="n">
        <v>2011</v>
      </c>
      <c r="C362" s="1" t="s">
        <v>191</v>
      </c>
      <c r="D362" s="1" t="s">
        <v>69</v>
      </c>
      <c r="E362" s="1" t="s">
        <v>112</v>
      </c>
      <c r="F362" s="1" t="n">
        <v>34</v>
      </c>
      <c r="G362" s="1" t="n">
        <v>7</v>
      </c>
      <c r="H362" s="1" t="s">
        <v>70</v>
      </c>
      <c r="I362" s="1" t="n">
        <v>-14</v>
      </c>
      <c r="J362" s="1" t="n">
        <v>43</v>
      </c>
      <c r="K362" s="1" t="s">
        <v>165</v>
      </c>
      <c r="L362" s="1" t="b">
        <f aca="false">FALSE()</f>
        <v>0</v>
      </c>
      <c r="M362" s="1" t="str">
        <f aca="false">VLOOKUP(D362,'Team Reference'!$A:$B,2,FALSE())</f>
        <v>DAL</v>
      </c>
      <c r="N362" s="1" t="str">
        <f aca="false">VLOOKUP(E362,'Team Reference'!$A:$B,2,FALSE())</f>
        <v>LAR</v>
      </c>
      <c r="O362" s="1" t="str">
        <f aca="false">IF(F362&gt;G362,M362,IF(G362&gt;F362,N362,"Tie"))</f>
        <v>DAL</v>
      </c>
      <c r="P362" s="1" t="n">
        <f aca="false">F362-G362</f>
        <v>27</v>
      </c>
      <c r="Q362" s="1" t="n">
        <f aca="false">F362+G362</f>
        <v>41</v>
      </c>
      <c r="R362" s="1" t="str">
        <f aca="false">IF(H362=M362,"Home",IF(H362=N362,"Away",IF(H362="PICK","Pick","N/A")))</f>
        <v>Home</v>
      </c>
      <c r="S362" s="1" t="n">
        <f aca="false">IF(R362="Home",P362,IF(R362="Away",-P362,""))</f>
        <v>27</v>
      </c>
      <c r="T362" s="1" t="str">
        <f aca="false">IF(R362="Pick","No Line",IF(S362="","N/A",IF(S362+I362&gt;0,"Favorite Covered",IF(S362+I362&lt;0,"Underdog Covered","Push"))))</f>
        <v>Favorite Covered</v>
      </c>
      <c r="U362" s="1" t="str">
        <f aca="false">IF(Q362&gt;J362,"Over",IF(Q362&lt;J362,"Under","Push"))</f>
        <v>Under</v>
      </c>
    </row>
    <row r="363" customFormat="false" ht="15" hidden="false" customHeight="false" outlineLevel="0" collapsed="false">
      <c r="A363" s="1" t="s">
        <v>257</v>
      </c>
      <c r="B363" s="1" t="n">
        <v>2011</v>
      </c>
      <c r="C363" s="1" t="s">
        <v>191</v>
      </c>
      <c r="D363" s="1" t="s">
        <v>73</v>
      </c>
      <c r="E363" s="1" t="s">
        <v>55</v>
      </c>
      <c r="F363" s="1" t="n">
        <v>16</v>
      </c>
      <c r="G363" s="1" t="n">
        <v>23</v>
      </c>
      <c r="H363" s="1" t="s">
        <v>74</v>
      </c>
      <c r="I363" s="1" t="n">
        <v>-4.5</v>
      </c>
      <c r="J363" s="1" t="n">
        <v>47</v>
      </c>
      <c r="K363" s="1" t="s">
        <v>167</v>
      </c>
      <c r="L363" s="1" t="b">
        <f aca="false">FALSE()</f>
        <v>0</v>
      </c>
      <c r="M363" s="1" t="str">
        <f aca="false">VLOOKUP(D363,'Team Reference'!$A:$B,2,FALSE())</f>
        <v>DET</v>
      </c>
      <c r="N363" s="1" t="str">
        <f aca="false">VLOOKUP(E363,'Team Reference'!$A:$B,2,FALSE())</f>
        <v>ATL</v>
      </c>
      <c r="O363" s="1" t="str">
        <f aca="false">IF(F363&gt;G363,M363,IF(G363&gt;F363,N363,"Tie"))</f>
        <v>ATL</v>
      </c>
      <c r="P363" s="1" t="n">
        <f aca="false">F363-G363</f>
        <v>-7</v>
      </c>
      <c r="Q363" s="1" t="n">
        <f aca="false">F363+G363</f>
        <v>39</v>
      </c>
      <c r="R363" s="1" t="str">
        <f aca="false">IF(H363=M363,"Home",IF(H363=N363,"Away",IF(H363="PICK","Pick","N/A")))</f>
        <v>Home</v>
      </c>
      <c r="S363" s="1" t="n">
        <f aca="false">IF(R363="Home",P363,IF(R363="Away",-P363,""))</f>
        <v>-7</v>
      </c>
      <c r="T363" s="1" t="str">
        <f aca="false">IF(R363="Pick","No Line",IF(S363="","N/A",IF(S363+I363&gt;0,"Favorite Covered",IF(S363+I363&lt;0,"Underdog Covered","Push"))))</f>
        <v>Underdog Covered</v>
      </c>
      <c r="U363" s="1" t="str">
        <f aca="false">IF(Q363&gt;J363,"Over",IF(Q363&lt;J363,"Under","Push"))</f>
        <v>Under</v>
      </c>
    </row>
    <row r="364" customFormat="false" ht="15" hidden="false" customHeight="false" outlineLevel="0" collapsed="false">
      <c r="A364" s="1" t="s">
        <v>257</v>
      </c>
      <c r="B364" s="1" t="n">
        <v>2011</v>
      </c>
      <c r="C364" s="1" t="s">
        <v>191</v>
      </c>
      <c r="D364" s="1" t="s">
        <v>89</v>
      </c>
      <c r="E364" s="1" t="s">
        <v>71</v>
      </c>
      <c r="F364" s="1" t="n">
        <v>15</v>
      </c>
      <c r="G364" s="1" t="n">
        <v>18</v>
      </c>
      <c r="H364" s="1" t="s">
        <v>72</v>
      </c>
      <c r="I364" s="1" t="n">
        <v>-1</v>
      </c>
      <c r="J364" s="1" t="n">
        <v>41.5</v>
      </c>
      <c r="K364" s="1" t="s">
        <v>179</v>
      </c>
      <c r="L364" s="1" t="b">
        <f aca="false">FALSE()</f>
        <v>0</v>
      </c>
      <c r="M364" s="1" t="str">
        <f aca="false">VLOOKUP(D364,'Team Reference'!$A:$B,2,FALSE())</f>
        <v>MIA</v>
      </c>
      <c r="N364" s="1" t="str">
        <f aca="false">VLOOKUP(E364,'Team Reference'!$A:$B,2,FALSE())</f>
        <v>DEN</v>
      </c>
      <c r="O364" s="1" t="str">
        <f aca="false">IF(F364&gt;G364,M364,IF(G364&gt;F364,N364,"Tie"))</f>
        <v>DEN</v>
      </c>
      <c r="P364" s="1" t="n">
        <f aca="false">F364-G364</f>
        <v>-3</v>
      </c>
      <c r="Q364" s="1" t="n">
        <f aca="false">F364+G364</f>
        <v>33</v>
      </c>
      <c r="R364" s="1" t="str">
        <f aca="false">IF(H364=M364,"Home",IF(H364=N364,"Away",IF(H364="PICK","Pick","N/A")))</f>
        <v>Away</v>
      </c>
      <c r="S364" s="1" t="n">
        <f aca="false">IF(R364="Home",P364,IF(R364="Away",-P364,""))</f>
        <v>3</v>
      </c>
      <c r="T364" s="1" t="str">
        <f aca="false">IF(R364="Pick","No Line",IF(S364="","N/A",IF(S364+I364&gt;0,"Favorite Covered",IF(S364+I364&lt;0,"Underdog Covered","Push"))))</f>
        <v>Favorite Covered</v>
      </c>
      <c r="U364" s="1" t="str">
        <f aca="false">IF(Q364&gt;J364,"Over",IF(Q364&lt;J364,"Under","Push"))</f>
        <v>Under</v>
      </c>
    </row>
    <row r="365" customFormat="false" ht="15" hidden="false" customHeight="false" outlineLevel="0" collapsed="false">
      <c r="A365" s="1" t="s">
        <v>257</v>
      </c>
      <c r="B365" s="1" t="n">
        <v>2011</v>
      </c>
      <c r="C365" s="1" t="s">
        <v>191</v>
      </c>
      <c r="D365" s="1" t="s">
        <v>91</v>
      </c>
      <c r="E365" s="1" t="s">
        <v>75</v>
      </c>
      <c r="F365" s="1" t="n">
        <v>27</v>
      </c>
      <c r="G365" s="1" t="n">
        <v>33</v>
      </c>
      <c r="H365" s="1" t="s">
        <v>76</v>
      </c>
      <c r="I365" s="1" t="n">
        <v>-11</v>
      </c>
      <c r="J365" s="1" t="n">
        <v>47</v>
      </c>
      <c r="K365" s="1" t="s">
        <v>170</v>
      </c>
      <c r="L365" s="1" t="b">
        <f aca="false">FALSE()</f>
        <v>0</v>
      </c>
      <c r="M365" s="1" t="str">
        <f aca="false">VLOOKUP(D365,'Team Reference'!$A:$B,2,FALSE())</f>
        <v>MIN</v>
      </c>
      <c r="N365" s="1" t="str">
        <f aca="false">VLOOKUP(E365,'Team Reference'!$A:$B,2,FALSE())</f>
        <v>GB</v>
      </c>
      <c r="O365" s="1" t="str">
        <f aca="false">IF(F365&gt;G365,M365,IF(G365&gt;F365,N365,"Tie"))</f>
        <v>GB</v>
      </c>
      <c r="P365" s="1" t="n">
        <f aca="false">F365-G365</f>
        <v>-6</v>
      </c>
      <c r="Q365" s="1" t="n">
        <f aca="false">F365+G365</f>
        <v>60</v>
      </c>
      <c r="R365" s="1" t="str">
        <f aca="false">IF(H365=M365,"Home",IF(H365=N365,"Away",IF(H365="PICK","Pick","N/A")))</f>
        <v>Away</v>
      </c>
      <c r="S365" s="1" t="n">
        <f aca="false">IF(R365="Home",P365,IF(R365="Away",-P365,""))</f>
        <v>6</v>
      </c>
      <c r="T365" s="1" t="str">
        <f aca="false">IF(R365="Pick","No Line",IF(S365="","N/A",IF(S365+I365&gt;0,"Favorite Covered",IF(S365+I365&lt;0,"Underdog Covered","Push"))))</f>
        <v>Underdog Covered</v>
      </c>
      <c r="U365" s="1" t="str">
        <f aca="false">IF(Q365&gt;J365,"Over",IF(Q365&lt;J365,"Under","Push"))</f>
        <v>Over</v>
      </c>
    </row>
    <row r="366" customFormat="false" ht="15" hidden="false" customHeight="false" outlineLevel="0" collapsed="false">
      <c r="A366" s="1" t="s">
        <v>257</v>
      </c>
      <c r="B366" s="1" t="n">
        <v>2011</v>
      </c>
      <c r="C366" s="1" t="s">
        <v>191</v>
      </c>
      <c r="D366" s="1" t="s">
        <v>95</v>
      </c>
      <c r="E366" s="1" t="s">
        <v>79</v>
      </c>
      <c r="F366" s="1" t="n">
        <v>62</v>
      </c>
      <c r="G366" s="1" t="n">
        <v>7</v>
      </c>
      <c r="H366" s="1" t="s">
        <v>96</v>
      </c>
      <c r="I366" s="1" t="n">
        <v>-14</v>
      </c>
      <c r="J366" s="1" t="n">
        <v>49</v>
      </c>
      <c r="K366" s="1" t="s">
        <v>142</v>
      </c>
      <c r="L366" s="1" t="b">
        <f aca="false">FALSE()</f>
        <v>0</v>
      </c>
      <c r="M366" s="1" t="str">
        <f aca="false">VLOOKUP(D366,'Team Reference'!$A:$B,2,FALSE())</f>
        <v>NO</v>
      </c>
      <c r="N366" s="1" t="str">
        <f aca="false">VLOOKUP(E366,'Team Reference'!$A:$B,2,FALSE())</f>
        <v>IND</v>
      </c>
      <c r="O366" s="1" t="str">
        <f aca="false">IF(F366&gt;G366,M366,IF(G366&gt;F366,N366,"Tie"))</f>
        <v>NO</v>
      </c>
      <c r="P366" s="1" t="n">
        <f aca="false">F366-G366</f>
        <v>55</v>
      </c>
      <c r="Q366" s="1" t="n">
        <f aca="false">F366+G366</f>
        <v>69</v>
      </c>
      <c r="R366" s="1" t="str">
        <f aca="false">IF(H366=M366,"Home",IF(H366=N366,"Away",IF(H366="PICK","Pick","N/A")))</f>
        <v>Home</v>
      </c>
      <c r="S366" s="1" t="n">
        <f aca="false">IF(R366="Home",P366,IF(R366="Away",-P366,""))</f>
        <v>55</v>
      </c>
      <c r="T366" s="1" t="str">
        <f aca="false">IF(R366="Pick","No Line",IF(S366="","N/A",IF(S366+I366&gt;0,"Favorite Covered",IF(S366+I366&lt;0,"Underdog Covered","Push"))))</f>
        <v>Favorite Covered</v>
      </c>
      <c r="U366" s="1" t="str">
        <f aca="false">IF(Q366&gt;J366,"Over",IF(Q366&lt;J366,"Under","Push"))</f>
        <v>Over</v>
      </c>
    </row>
    <row r="367" customFormat="false" ht="15" hidden="false" customHeight="false" outlineLevel="0" collapsed="false">
      <c r="A367" s="1" t="s">
        <v>257</v>
      </c>
      <c r="B367" s="1" t="n">
        <v>2011</v>
      </c>
      <c r="C367" s="1" t="s">
        <v>191</v>
      </c>
      <c r="D367" s="1" t="s">
        <v>99</v>
      </c>
      <c r="E367" s="1" t="s">
        <v>107</v>
      </c>
      <c r="F367" s="1" t="n">
        <v>27</v>
      </c>
      <c r="G367" s="1" t="n">
        <v>21</v>
      </c>
      <c r="H367" s="1" t="s">
        <v>86</v>
      </c>
      <c r="I367" s="1" t="n">
        <v>-1</v>
      </c>
      <c r="J367" s="1" t="n">
        <v>43.5</v>
      </c>
      <c r="K367" s="1" t="s">
        <v>149</v>
      </c>
      <c r="L367" s="1" t="b">
        <f aca="false">FALSE()</f>
        <v>0</v>
      </c>
      <c r="M367" s="1" t="str">
        <f aca="false">VLOOKUP(D367,'Team Reference'!$A:$B,2,FALSE())</f>
        <v>NYJ</v>
      </c>
      <c r="N367" s="1" t="str">
        <f aca="false">VLOOKUP(E367,'Team Reference'!$A:$B,2,FALSE())</f>
        <v>LAC</v>
      </c>
      <c r="O367" s="1" t="str">
        <f aca="false">IF(F367&gt;G367,M367,IF(G367&gt;F367,N367,"Tie"))</f>
        <v>NYJ</v>
      </c>
      <c r="P367" s="1" t="n">
        <f aca="false">F367-G367</f>
        <v>6</v>
      </c>
      <c r="Q367" s="1" t="n">
        <f aca="false">F367+G367</f>
        <v>48</v>
      </c>
      <c r="R367" s="1" t="str">
        <f aca="false">IF(H367=M367,"Home",IF(H367=N367,"Away",IF(H367="PICK","Pick","N/A")))</f>
        <v>Away</v>
      </c>
      <c r="S367" s="1" t="n">
        <f aca="false">IF(R367="Home",P367,IF(R367="Away",-P367,""))</f>
        <v>-6</v>
      </c>
      <c r="T367" s="1" t="str">
        <f aca="false">IF(R367="Pick","No Line",IF(S367="","N/A",IF(S367+I367&gt;0,"Favorite Covered",IF(S367+I367&lt;0,"Underdog Covered","Push"))))</f>
        <v>Underdog Covered</v>
      </c>
      <c r="U367" s="1" t="str">
        <f aca="false">IF(Q367&gt;J367,"Over",IF(Q367&lt;J367,"Under","Push"))</f>
        <v>Over</v>
      </c>
    </row>
    <row r="368" customFormat="false" ht="15" hidden="false" customHeight="false" outlineLevel="0" collapsed="false">
      <c r="A368" s="1" t="s">
        <v>257</v>
      </c>
      <c r="B368" s="1" t="n">
        <v>2011</v>
      </c>
      <c r="C368" s="1" t="s">
        <v>191</v>
      </c>
      <c r="D368" s="1" t="s">
        <v>101</v>
      </c>
      <c r="E368" s="1" t="s">
        <v>83</v>
      </c>
      <c r="F368" s="1" t="n">
        <v>0</v>
      </c>
      <c r="G368" s="1" t="n">
        <v>28</v>
      </c>
      <c r="H368" s="1" t="s">
        <v>102</v>
      </c>
      <c r="I368" s="1" t="n">
        <v>-3.5</v>
      </c>
      <c r="J368" s="1" t="n">
        <v>41.5</v>
      </c>
      <c r="K368" s="1" t="s">
        <v>171</v>
      </c>
      <c r="L368" s="1" t="b">
        <f aca="false">FALSE()</f>
        <v>0</v>
      </c>
      <c r="M368" s="1" t="str">
        <f aca="false">VLOOKUP(D368,'Team Reference'!$A:$B,2,FALSE())</f>
        <v>OAK</v>
      </c>
      <c r="N368" s="1" t="str">
        <f aca="false">VLOOKUP(E368,'Team Reference'!$A:$B,2,FALSE())</f>
        <v>KC</v>
      </c>
      <c r="O368" s="1" t="str">
        <f aca="false">IF(F368&gt;G368,M368,IF(G368&gt;F368,N368,"Tie"))</f>
        <v>KC</v>
      </c>
      <c r="P368" s="1" t="n">
        <f aca="false">F368-G368</f>
        <v>-28</v>
      </c>
      <c r="Q368" s="1" t="n">
        <f aca="false">F368+G368</f>
        <v>28</v>
      </c>
      <c r="R368" s="1" t="str">
        <f aca="false">IF(H368=M368,"Home",IF(H368=N368,"Away",IF(H368="PICK","Pick","N/A")))</f>
        <v>Home</v>
      </c>
      <c r="S368" s="1" t="n">
        <f aca="false">IF(R368="Home",P368,IF(R368="Away",-P368,""))</f>
        <v>-28</v>
      </c>
      <c r="T368" s="1" t="str">
        <f aca="false">IF(R368="Pick","No Line",IF(S368="","N/A",IF(S368+I368&gt;0,"Favorite Covered",IF(S368+I368&lt;0,"Underdog Covered","Push"))))</f>
        <v>Underdog Covered</v>
      </c>
      <c r="U368" s="1" t="str">
        <f aca="false">IF(Q368&gt;J368,"Over",IF(Q368&lt;J368,"Under","Push"))</f>
        <v>Under</v>
      </c>
    </row>
    <row r="369" customFormat="false" ht="15" hidden="false" customHeight="false" outlineLevel="0" collapsed="false">
      <c r="A369" s="1" t="s">
        <v>257</v>
      </c>
      <c r="B369" s="1" t="n">
        <v>2011</v>
      </c>
      <c r="C369" s="1" t="s">
        <v>191</v>
      </c>
      <c r="D369" s="1" t="s">
        <v>113</v>
      </c>
      <c r="E369" s="1" t="s">
        <v>63</v>
      </c>
      <c r="F369" s="1" t="n">
        <v>18</v>
      </c>
      <c r="G369" s="1" t="n">
        <v>24</v>
      </c>
      <c r="H369" s="1" t="s">
        <v>64</v>
      </c>
      <c r="I369" s="1" t="n">
        <v>-2</v>
      </c>
      <c r="J369" s="1" t="n">
        <v>44</v>
      </c>
      <c r="K369" s="1" t="s">
        <v>195</v>
      </c>
      <c r="L369" s="1" t="b">
        <f aca="false">FALSE()</f>
        <v>0</v>
      </c>
      <c r="M369" s="1" t="str">
        <f aca="false">VLOOKUP(D369,'Team Reference'!$A:$B,2,FALSE())</f>
        <v>TB</v>
      </c>
      <c r="N369" s="1" t="str">
        <f aca="false">VLOOKUP(E369,'Team Reference'!$A:$B,2,FALSE())</f>
        <v>CHI</v>
      </c>
      <c r="O369" s="1" t="str">
        <f aca="false">IF(F369&gt;G369,M369,IF(G369&gt;F369,N369,"Tie"))</f>
        <v>CHI</v>
      </c>
      <c r="P369" s="1" t="n">
        <f aca="false">F369-G369</f>
        <v>-6</v>
      </c>
      <c r="Q369" s="1" t="n">
        <f aca="false">F369+G369</f>
        <v>42</v>
      </c>
      <c r="R369" s="1" t="str">
        <f aca="false">IF(H369=M369,"Home",IF(H369=N369,"Away",IF(H369="PICK","Pick","N/A")))</f>
        <v>Away</v>
      </c>
      <c r="S369" s="1" t="n">
        <f aca="false">IF(R369="Home",P369,IF(R369="Away",-P369,""))</f>
        <v>6</v>
      </c>
      <c r="T369" s="1" t="str">
        <f aca="false">IF(R369="Pick","No Line",IF(S369="","N/A",IF(S369+I369&gt;0,"Favorite Covered",IF(S369+I369&lt;0,"Underdog Covered","Push"))))</f>
        <v>Favorite Covered</v>
      </c>
      <c r="U369" s="1" t="str">
        <f aca="false">IF(Q369&gt;J369,"Over",IF(Q369&lt;J369,"Under","Push"))</f>
        <v>Under</v>
      </c>
    </row>
    <row r="370" customFormat="false" ht="15" hidden="false" customHeight="false" outlineLevel="0" collapsed="false">
      <c r="A370" s="1" t="s">
        <v>257</v>
      </c>
      <c r="B370" s="1" t="n">
        <v>2011</v>
      </c>
      <c r="C370" s="1" t="s">
        <v>191</v>
      </c>
      <c r="D370" s="1" t="s">
        <v>115</v>
      </c>
      <c r="E370" s="1" t="s">
        <v>77</v>
      </c>
      <c r="F370" s="1" t="n">
        <v>7</v>
      </c>
      <c r="G370" s="1" t="n">
        <v>41</v>
      </c>
      <c r="H370" s="1" t="s">
        <v>116</v>
      </c>
      <c r="I370" s="1" t="n">
        <v>-2.5</v>
      </c>
      <c r="J370" s="1" t="n">
        <v>44</v>
      </c>
      <c r="K370" s="1" t="s">
        <v>155</v>
      </c>
      <c r="L370" s="1" t="b">
        <f aca="false">FALSE()</f>
        <v>0</v>
      </c>
      <c r="M370" s="1" t="str">
        <f aca="false">VLOOKUP(D370,'Team Reference'!$A:$B,2,FALSE())</f>
        <v>TEN</v>
      </c>
      <c r="N370" s="1" t="str">
        <f aca="false">VLOOKUP(E370,'Team Reference'!$A:$B,2,FALSE())</f>
        <v>HOU</v>
      </c>
      <c r="O370" s="1" t="str">
        <f aca="false">IF(F370&gt;G370,M370,IF(G370&gt;F370,N370,"Tie"))</f>
        <v>HOU</v>
      </c>
      <c r="P370" s="1" t="n">
        <f aca="false">F370-G370</f>
        <v>-34</v>
      </c>
      <c r="Q370" s="1" t="n">
        <f aca="false">F370+G370</f>
        <v>48</v>
      </c>
      <c r="R370" s="1" t="str">
        <f aca="false">IF(H370=M370,"Home",IF(H370=N370,"Away",IF(H370="PICK","Pick","N/A")))</f>
        <v>Home</v>
      </c>
      <c r="S370" s="1" t="n">
        <f aca="false">IF(R370="Home",P370,IF(R370="Away",-P370,""))</f>
        <v>-34</v>
      </c>
      <c r="T370" s="1" t="str">
        <f aca="false">IF(R370="Pick","No Line",IF(S370="","N/A",IF(S370+I370&gt;0,"Favorite Covered",IF(S370+I370&lt;0,"Underdog Covered","Push"))))</f>
        <v>Underdog Covered</v>
      </c>
      <c r="U370" s="1" t="str">
        <f aca="false">IF(Q370&gt;J370,"Over",IF(Q370&lt;J370,"Under","Push"))</f>
        <v>Over</v>
      </c>
    </row>
    <row r="371" customFormat="false" ht="15" hidden="false" customHeight="false" outlineLevel="0" collapsed="false">
      <c r="A371" s="1" t="s">
        <v>258</v>
      </c>
      <c r="B371" s="1" t="n">
        <v>2011</v>
      </c>
      <c r="C371" s="1" t="s">
        <v>191</v>
      </c>
      <c r="D371" s="1" t="s">
        <v>81</v>
      </c>
      <c r="E371" s="1" t="s">
        <v>57</v>
      </c>
      <c r="F371" s="1" t="n">
        <v>12</v>
      </c>
      <c r="G371" s="1" t="n">
        <v>7</v>
      </c>
      <c r="H371" s="1" t="s">
        <v>58</v>
      </c>
      <c r="I371" s="1" t="n">
        <v>-10.5</v>
      </c>
      <c r="J371" s="1" t="n">
        <v>39</v>
      </c>
      <c r="K371" s="1" t="s">
        <v>147</v>
      </c>
      <c r="L371" s="1" t="b">
        <f aca="false">FALSE()</f>
        <v>0</v>
      </c>
      <c r="M371" s="1" t="str">
        <f aca="false">VLOOKUP(D371,'Team Reference'!$A:$B,2,FALSE())</f>
        <v>JAX</v>
      </c>
      <c r="N371" s="1" t="str">
        <f aca="false">VLOOKUP(E371,'Team Reference'!$A:$B,2,FALSE())</f>
        <v>BAL</v>
      </c>
      <c r="O371" s="1" t="str">
        <f aca="false">IF(F371&gt;G371,M371,IF(G371&gt;F371,N371,"Tie"))</f>
        <v>JAX</v>
      </c>
      <c r="P371" s="1" t="n">
        <f aca="false">F371-G371</f>
        <v>5</v>
      </c>
      <c r="Q371" s="1" t="n">
        <f aca="false">F371+G371</f>
        <v>19</v>
      </c>
      <c r="R371" s="1" t="str">
        <f aca="false">IF(H371=M371,"Home",IF(H371=N371,"Away",IF(H371="PICK","Pick","N/A")))</f>
        <v>Away</v>
      </c>
      <c r="S371" s="1" t="n">
        <f aca="false">IF(R371="Home",P371,IF(R371="Away",-P371,""))</f>
        <v>-5</v>
      </c>
      <c r="T371" s="1" t="str">
        <f aca="false">IF(R371="Pick","No Line",IF(S371="","N/A",IF(S371+I371&gt;0,"Favorite Covered",IF(S371+I371&lt;0,"Underdog Covered","Push"))))</f>
        <v>Underdog Covered</v>
      </c>
      <c r="U371" s="1" t="str">
        <f aca="false">IF(Q371&gt;J371,"Over",IF(Q371&lt;J371,"Under","Push"))</f>
        <v>Under</v>
      </c>
    </row>
    <row r="372" customFormat="false" ht="15" hidden="false" customHeight="false" outlineLevel="0" collapsed="false">
      <c r="A372" s="1" t="s">
        <v>259</v>
      </c>
      <c r="B372" s="1" t="n">
        <v>2011</v>
      </c>
      <c r="C372" s="1" t="s">
        <v>194</v>
      </c>
      <c r="D372" s="1" t="s">
        <v>57</v>
      </c>
      <c r="E372" s="1" t="s">
        <v>53</v>
      </c>
      <c r="F372" s="1" t="n">
        <v>30</v>
      </c>
      <c r="G372" s="1" t="n">
        <v>27</v>
      </c>
      <c r="H372" s="1" t="s">
        <v>58</v>
      </c>
      <c r="I372" s="1" t="n">
        <v>-11.5</v>
      </c>
      <c r="J372" s="1" t="n">
        <v>43</v>
      </c>
      <c r="K372" s="1" t="s">
        <v>178</v>
      </c>
      <c r="L372" s="1" t="b">
        <f aca="false">FALSE()</f>
        <v>0</v>
      </c>
      <c r="M372" s="1" t="str">
        <f aca="false">VLOOKUP(D372,'Team Reference'!$A:$B,2,FALSE())</f>
        <v>BAL</v>
      </c>
      <c r="N372" s="1" t="str">
        <f aca="false">VLOOKUP(E372,'Team Reference'!$A:$B,2,FALSE())</f>
        <v>ARI</v>
      </c>
      <c r="O372" s="1" t="str">
        <f aca="false">IF(F372&gt;G372,M372,IF(G372&gt;F372,N372,"Tie"))</f>
        <v>BAL</v>
      </c>
      <c r="P372" s="1" t="n">
        <f aca="false">F372-G372</f>
        <v>3</v>
      </c>
      <c r="Q372" s="1" t="n">
        <f aca="false">F372+G372</f>
        <v>57</v>
      </c>
      <c r="R372" s="1" t="str">
        <f aca="false">IF(H372=M372,"Home",IF(H372=N372,"Away",IF(H372="PICK","Pick","N/A")))</f>
        <v>Home</v>
      </c>
      <c r="S372" s="1" t="n">
        <f aca="false">IF(R372="Home",P372,IF(R372="Away",-P372,""))</f>
        <v>3</v>
      </c>
      <c r="T372" s="1" t="str">
        <f aca="false">IF(R372="Pick","No Line",IF(S372="","N/A",IF(S372+I372&gt;0,"Favorite Covered",IF(S372+I372&lt;0,"Underdog Covered","Push"))))</f>
        <v>Underdog Covered</v>
      </c>
      <c r="U372" s="1" t="str">
        <f aca="false">IF(Q372&gt;J372,"Over",IF(Q372&lt;J372,"Under","Push"))</f>
        <v>Over</v>
      </c>
    </row>
    <row r="373" customFormat="false" ht="15" hidden="false" customHeight="false" outlineLevel="0" collapsed="false">
      <c r="A373" s="1" t="s">
        <v>259</v>
      </c>
      <c r="B373" s="1" t="n">
        <v>2011</v>
      </c>
      <c r="C373" s="1" t="s">
        <v>194</v>
      </c>
      <c r="D373" s="1" t="s">
        <v>59</v>
      </c>
      <c r="E373" s="1" t="s">
        <v>117</v>
      </c>
      <c r="F373" s="1" t="n">
        <v>23</v>
      </c>
      <c r="G373" s="1" t="n">
        <v>0</v>
      </c>
      <c r="H373" s="1" t="s">
        <v>60</v>
      </c>
      <c r="I373" s="1" t="n">
        <v>-4</v>
      </c>
      <c r="J373" s="1" t="n">
        <v>46.5</v>
      </c>
      <c r="K373" s="1" t="s">
        <v>199</v>
      </c>
      <c r="L373" s="1" t="b">
        <f aca="false">FALSE()</f>
        <v>0</v>
      </c>
      <c r="M373" s="1" t="str">
        <f aca="false">VLOOKUP(D373,'Team Reference'!$A:$B,2,FALSE())</f>
        <v>BUF</v>
      </c>
      <c r="N373" s="1" t="str">
        <f aca="false">VLOOKUP(E373,'Team Reference'!$A:$B,2,FALSE())</f>
        <v>WAS</v>
      </c>
      <c r="O373" s="1" t="str">
        <f aca="false">IF(F373&gt;G373,M373,IF(G373&gt;F373,N373,"Tie"))</f>
        <v>BUF</v>
      </c>
      <c r="P373" s="1" t="n">
        <f aca="false">F373-G373</f>
        <v>23</v>
      </c>
      <c r="Q373" s="1" t="n">
        <f aca="false">F373+G373</f>
        <v>23</v>
      </c>
      <c r="R373" s="1" t="str">
        <f aca="false">IF(H373=M373,"Home",IF(H373=N373,"Away",IF(H373="PICK","Pick","N/A")))</f>
        <v>Home</v>
      </c>
      <c r="S373" s="1" t="n">
        <f aca="false">IF(R373="Home",P373,IF(R373="Away",-P373,""))</f>
        <v>23</v>
      </c>
      <c r="T373" s="1" t="str">
        <f aca="false">IF(R373="Pick","No Line",IF(S373="","N/A",IF(S373+I373&gt;0,"Favorite Covered",IF(S373+I373&lt;0,"Underdog Covered","Push"))))</f>
        <v>Favorite Covered</v>
      </c>
      <c r="U373" s="1" t="str">
        <f aca="false">IF(Q373&gt;J373,"Over",IF(Q373&lt;J373,"Under","Push"))</f>
        <v>Under</v>
      </c>
    </row>
    <row r="374" customFormat="false" ht="15" hidden="false" customHeight="false" outlineLevel="0" collapsed="false">
      <c r="A374" s="1" t="s">
        <v>259</v>
      </c>
      <c r="B374" s="1" t="n">
        <v>2011</v>
      </c>
      <c r="C374" s="1" t="s">
        <v>194</v>
      </c>
      <c r="D374" s="1" t="s">
        <v>61</v>
      </c>
      <c r="E374" s="1" t="s">
        <v>91</v>
      </c>
      <c r="F374" s="1" t="n">
        <v>21</v>
      </c>
      <c r="G374" s="1" t="n">
        <v>24</v>
      </c>
      <c r="H374" s="1" t="s">
        <v>62</v>
      </c>
      <c r="I374" s="1" t="n">
        <v>-3</v>
      </c>
      <c r="J374" s="1" t="n">
        <v>47</v>
      </c>
      <c r="K374" s="1" t="s">
        <v>162</v>
      </c>
      <c r="L374" s="1" t="b">
        <f aca="false">FALSE()</f>
        <v>0</v>
      </c>
      <c r="M374" s="1" t="str">
        <f aca="false">VLOOKUP(D374,'Team Reference'!$A:$B,2,FALSE())</f>
        <v>CAR</v>
      </c>
      <c r="N374" s="1" t="str">
        <f aca="false">VLOOKUP(E374,'Team Reference'!$A:$B,2,FALSE())</f>
        <v>MIN</v>
      </c>
      <c r="O374" s="1" t="str">
        <f aca="false">IF(F374&gt;G374,M374,IF(G374&gt;F374,N374,"Tie"))</f>
        <v>MIN</v>
      </c>
      <c r="P374" s="1" t="n">
        <f aca="false">F374-G374</f>
        <v>-3</v>
      </c>
      <c r="Q374" s="1" t="n">
        <f aca="false">F374+G374</f>
        <v>45</v>
      </c>
      <c r="R374" s="1" t="str">
        <f aca="false">IF(H374=M374,"Home",IF(H374=N374,"Away",IF(H374="PICK","Pick","N/A")))</f>
        <v>Home</v>
      </c>
      <c r="S374" s="1" t="n">
        <f aca="false">IF(R374="Home",P374,IF(R374="Away",-P374,""))</f>
        <v>-3</v>
      </c>
      <c r="T374" s="1" t="str">
        <f aca="false">IF(R374="Pick","No Line",IF(S374="","N/A",IF(S374+I374&gt;0,"Favorite Covered",IF(S374+I374&lt;0,"Underdog Covered","Push"))))</f>
        <v>Underdog Covered</v>
      </c>
      <c r="U374" s="1" t="str">
        <f aca="false">IF(Q374&gt;J374,"Over",IF(Q374&lt;J374,"Under","Push"))</f>
        <v>Under</v>
      </c>
    </row>
    <row r="375" customFormat="false" ht="15" hidden="false" customHeight="false" outlineLevel="0" collapsed="false">
      <c r="A375" s="1" t="s">
        <v>259</v>
      </c>
      <c r="B375" s="1" t="n">
        <v>2011</v>
      </c>
      <c r="C375" s="1" t="s">
        <v>194</v>
      </c>
      <c r="D375" s="1" t="s">
        <v>71</v>
      </c>
      <c r="E375" s="1" t="s">
        <v>73</v>
      </c>
      <c r="F375" s="1" t="n">
        <v>10</v>
      </c>
      <c r="G375" s="1" t="n">
        <v>45</v>
      </c>
      <c r="H375" s="1" t="s">
        <v>74</v>
      </c>
      <c r="I375" s="1" t="n">
        <v>-3.5</v>
      </c>
      <c r="J375" s="1" t="n">
        <v>43.5</v>
      </c>
      <c r="K375" s="1" t="s">
        <v>166</v>
      </c>
      <c r="L375" s="1" t="b">
        <f aca="false">FALSE()</f>
        <v>0</v>
      </c>
      <c r="M375" s="1" t="str">
        <f aca="false">VLOOKUP(D375,'Team Reference'!$A:$B,2,FALSE())</f>
        <v>DEN</v>
      </c>
      <c r="N375" s="1" t="str">
        <f aca="false">VLOOKUP(E375,'Team Reference'!$A:$B,2,FALSE())</f>
        <v>DET</v>
      </c>
      <c r="O375" s="1" t="str">
        <f aca="false">IF(F375&gt;G375,M375,IF(G375&gt;F375,N375,"Tie"))</f>
        <v>DET</v>
      </c>
      <c r="P375" s="1" t="n">
        <f aca="false">F375-G375</f>
        <v>-35</v>
      </c>
      <c r="Q375" s="1" t="n">
        <f aca="false">F375+G375</f>
        <v>55</v>
      </c>
      <c r="R375" s="1" t="str">
        <f aca="false">IF(H375=M375,"Home",IF(H375=N375,"Away",IF(H375="PICK","Pick","N/A")))</f>
        <v>Away</v>
      </c>
      <c r="S375" s="1" t="n">
        <f aca="false">IF(R375="Home",P375,IF(R375="Away",-P375,""))</f>
        <v>35</v>
      </c>
      <c r="T375" s="1" t="str">
        <f aca="false">IF(R375="Pick","No Line",IF(S375="","N/A",IF(S375+I375&gt;0,"Favorite Covered",IF(S375+I375&lt;0,"Underdog Covered","Push"))))</f>
        <v>Favorite Covered</v>
      </c>
      <c r="U375" s="1" t="str">
        <f aca="false">IF(Q375&gt;J375,"Over",IF(Q375&lt;J375,"Under","Push"))</f>
        <v>Over</v>
      </c>
    </row>
    <row r="376" customFormat="false" ht="15" hidden="false" customHeight="false" outlineLevel="0" collapsed="false">
      <c r="A376" s="1" t="s">
        <v>259</v>
      </c>
      <c r="B376" s="1" t="n">
        <v>2011</v>
      </c>
      <c r="C376" s="1" t="s">
        <v>194</v>
      </c>
      <c r="D376" s="1" t="s">
        <v>77</v>
      </c>
      <c r="E376" s="1" t="s">
        <v>81</v>
      </c>
      <c r="F376" s="1" t="n">
        <v>24</v>
      </c>
      <c r="G376" s="1" t="n">
        <v>14</v>
      </c>
      <c r="H376" s="1" t="s">
        <v>78</v>
      </c>
      <c r="I376" s="1" t="n">
        <v>-10</v>
      </c>
      <c r="J376" s="1" t="n">
        <v>41</v>
      </c>
      <c r="K376" s="1" t="s">
        <v>146</v>
      </c>
      <c r="L376" s="1" t="b">
        <f aca="false">FALSE()</f>
        <v>0</v>
      </c>
      <c r="M376" s="1" t="str">
        <f aca="false">VLOOKUP(D376,'Team Reference'!$A:$B,2,FALSE())</f>
        <v>HOU</v>
      </c>
      <c r="N376" s="1" t="str">
        <f aca="false">VLOOKUP(E376,'Team Reference'!$A:$B,2,FALSE())</f>
        <v>JAX</v>
      </c>
      <c r="O376" s="1" t="str">
        <f aca="false">IF(F376&gt;G376,M376,IF(G376&gt;F376,N376,"Tie"))</f>
        <v>HOU</v>
      </c>
      <c r="P376" s="1" t="n">
        <f aca="false">F376-G376</f>
        <v>10</v>
      </c>
      <c r="Q376" s="1" t="n">
        <f aca="false">F376+G376</f>
        <v>38</v>
      </c>
      <c r="R376" s="1" t="str">
        <f aca="false">IF(H376=M376,"Home",IF(H376=N376,"Away",IF(H376="PICK","Pick","N/A")))</f>
        <v>Home</v>
      </c>
      <c r="S376" s="1" t="n">
        <f aca="false">IF(R376="Home",P376,IF(R376="Away",-P376,""))</f>
        <v>10</v>
      </c>
      <c r="T376" s="1" t="str">
        <f aca="false">IF(R376="Pick","No Line",IF(S376="","N/A",IF(S376+I376&gt;0,"Favorite Covered",IF(S376+I376&lt;0,"Underdog Covered","Push"))))</f>
        <v>Push</v>
      </c>
      <c r="U376" s="1" t="str">
        <f aca="false">IF(Q376&gt;J376,"Over",IF(Q376&lt;J376,"Under","Push"))</f>
        <v>Under</v>
      </c>
    </row>
    <row r="377" customFormat="false" ht="15" hidden="false" customHeight="false" outlineLevel="0" collapsed="false">
      <c r="A377" s="1" t="s">
        <v>259</v>
      </c>
      <c r="B377" s="1" t="n">
        <v>2011</v>
      </c>
      <c r="C377" s="1" t="s">
        <v>194</v>
      </c>
      <c r="D377" s="1" t="s">
        <v>97</v>
      </c>
      <c r="E377" s="1" t="s">
        <v>89</v>
      </c>
      <c r="F377" s="1" t="n">
        <v>20</v>
      </c>
      <c r="G377" s="1" t="n">
        <v>17</v>
      </c>
      <c r="H377" s="1" t="s">
        <v>98</v>
      </c>
      <c r="I377" s="1" t="n">
        <v>-10</v>
      </c>
      <c r="J377" s="1" t="n">
        <v>43.5</v>
      </c>
      <c r="K377" s="1" t="s">
        <v>149</v>
      </c>
      <c r="L377" s="1" t="b">
        <f aca="false">FALSE()</f>
        <v>0</v>
      </c>
      <c r="M377" s="1" t="str">
        <f aca="false">VLOOKUP(D377,'Team Reference'!$A:$B,2,FALSE())</f>
        <v>NYG</v>
      </c>
      <c r="N377" s="1" t="str">
        <f aca="false">VLOOKUP(E377,'Team Reference'!$A:$B,2,FALSE())</f>
        <v>MIA</v>
      </c>
      <c r="O377" s="1" t="str">
        <f aca="false">IF(F377&gt;G377,M377,IF(G377&gt;F377,N377,"Tie"))</f>
        <v>NYG</v>
      </c>
      <c r="P377" s="1" t="n">
        <f aca="false">F377-G377</f>
        <v>3</v>
      </c>
      <c r="Q377" s="1" t="n">
        <f aca="false">F377+G377</f>
        <v>37</v>
      </c>
      <c r="R377" s="1" t="str">
        <f aca="false">IF(H377=M377,"Home",IF(H377=N377,"Away",IF(H377="PICK","Pick","N/A")))</f>
        <v>Home</v>
      </c>
      <c r="S377" s="1" t="n">
        <f aca="false">IF(R377="Home",P377,IF(R377="Away",-P377,""))</f>
        <v>3</v>
      </c>
      <c r="T377" s="1" t="str">
        <f aca="false">IF(R377="Pick","No Line",IF(S377="","N/A",IF(S377+I377&gt;0,"Favorite Covered",IF(S377+I377&lt;0,"Underdog Covered","Push"))))</f>
        <v>Underdog Covered</v>
      </c>
      <c r="U377" s="1" t="str">
        <f aca="false">IF(Q377&gt;J377,"Over",IF(Q377&lt;J377,"Under","Push"))</f>
        <v>Under</v>
      </c>
    </row>
    <row r="378" customFormat="false" ht="15" hidden="false" customHeight="false" outlineLevel="0" collapsed="false">
      <c r="A378" s="1" t="s">
        <v>259</v>
      </c>
      <c r="B378" s="1" t="n">
        <v>2011</v>
      </c>
      <c r="C378" s="1" t="s">
        <v>194</v>
      </c>
      <c r="D378" s="1" t="s">
        <v>103</v>
      </c>
      <c r="E378" s="1" t="s">
        <v>69</v>
      </c>
      <c r="F378" s="1" t="n">
        <v>34</v>
      </c>
      <c r="G378" s="1" t="n">
        <v>7</v>
      </c>
      <c r="H378" s="1" t="s">
        <v>104</v>
      </c>
      <c r="I378" s="1" t="n">
        <v>-3</v>
      </c>
      <c r="J378" s="1" t="n">
        <v>49.5</v>
      </c>
      <c r="K378" s="1" t="s">
        <v>150</v>
      </c>
      <c r="L378" s="1" t="b">
        <f aca="false">FALSE()</f>
        <v>0</v>
      </c>
      <c r="M378" s="1" t="str">
        <f aca="false">VLOOKUP(D378,'Team Reference'!$A:$B,2,FALSE())</f>
        <v>PHI</v>
      </c>
      <c r="N378" s="1" t="str">
        <f aca="false">VLOOKUP(E378,'Team Reference'!$A:$B,2,FALSE())</f>
        <v>DAL</v>
      </c>
      <c r="O378" s="1" t="str">
        <f aca="false">IF(F378&gt;G378,M378,IF(G378&gt;F378,N378,"Tie"))</f>
        <v>PHI</v>
      </c>
      <c r="P378" s="1" t="n">
        <f aca="false">F378-G378</f>
        <v>27</v>
      </c>
      <c r="Q378" s="1" t="n">
        <f aca="false">F378+G378</f>
        <v>41</v>
      </c>
      <c r="R378" s="1" t="str">
        <f aca="false">IF(H378=M378,"Home",IF(H378=N378,"Away",IF(H378="PICK","Pick","N/A")))</f>
        <v>Home</v>
      </c>
      <c r="S378" s="1" t="n">
        <f aca="false">IF(R378="Home",P378,IF(R378="Away",-P378,""))</f>
        <v>27</v>
      </c>
      <c r="T378" s="1" t="str">
        <f aca="false">IF(R378="Pick","No Line",IF(S378="","N/A",IF(S378+I378&gt;0,"Favorite Covered",IF(S378+I378&lt;0,"Underdog Covered","Push"))))</f>
        <v>Favorite Covered</v>
      </c>
      <c r="U378" s="1" t="str">
        <f aca="false">IF(Q378&gt;J378,"Over",IF(Q378&lt;J378,"Under","Push"))</f>
        <v>Under</v>
      </c>
    </row>
    <row r="379" customFormat="false" ht="15" hidden="false" customHeight="false" outlineLevel="0" collapsed="false">
      <c r="A379" s="1" t="s">
        <v>259</v>
      </c>
      <c r="B379" s="1" t="n">
        <v>2011</v>
      </c>
      <c r="C379" s="1" t="s">
        <v>194</v>
      </c>
      <c r="D379" s="1" t="s">
        <v>105</v>
      </c>
      <c r="E379" s="1" t="s">
        <v>93</v>
      </c>
      <c r="F379" s="1" t="n">
        <v>25</v>
      </c>
      <c r="G379" s="1" t="n">
        <v>17</v>
      </c>
      <c r="H379" s="1" t="s">
        <v>94</v>
      </c>
      <c r="I379" s="1" t="n">
        <v>-3</v>
      </c>
      <c r="J379" s="1" t="n">
        <v>52</v>
      </c>
      <c r="K379" s="1" t="s">
        <v>151</v>
      </c>
      <c r="L379" s="1" t="b">
        <f aca="false">FALSE()</f>
        <v>0</v>
      </c>
      <c r="M379" s="1" t="str">
        <f aca="false">VLOOKUP(D379,'Team Reference'!$A:$B,2,FALSE())</f>
        <v>PIT</v>
      </c>
      <c r="N379" s="1" t="str">
        <f aca="false">VLOOKUP(E379,'Team Reference'!$A:$B,2,FALSE())</f>
        <v>NE</v>
      </c>
      <c r="O379" s="1" t="str">
        <f aca="false">IF(F379&gt;G379,M379,IF(G379&gt;F379,N379,"Tie"))</f>
        <v>PIT</v>
      </c>
      <c r="P379" s="1" t="n">
        <f aca="false">F379-G379</f>
        <v>8</v>
      </c>
      <c r="Q379" s="1" t="n">
        <f aca="false">F379+G379</f>
        <v>42</v>
      </c>
      <c r="R379" s="1" t="str">
        <f aca="false">IF(H379=M379,"Home",IF(H379=N379,"Away",IF(H379="PICK","Pick","N/A")))</f>
        <v>Away</v>
      </c>
      <c r="S379" s="1" t="n">
        <f aca="false">IF(R379="Home",P379,IF(R379="Away",-P379,""))</f>
        <v>-8</v>
      </c>
      <c r="T379" s="1" t="str">
        <f aca="false">IF(R379="Pick","No Line",IF(S379="","N/A",IF(S379+I379&gt;0,"Favorite Covered",IF(S379+I379&lt;0,"Underdog Covered","Push"))))</f>
        <v>Underdog Covered</v>
      </c>
      <c r="U379" s="1" t="str">
        <f aca="false">IF(Q379&gt;J379,"Over",IF(Q379&lt;J379,"Under","Push"))</f>
        <v>Under</v>
      </c>
    </row>
    <row r="380" customFormat="false" ht="15" hidden="false" customHeight="false" outlineLevel="0" collapsed="false">
      <c r="A380" s="1" t="s">
        <v>259</v>
      </c>
      <c r="B380" s="1" t="n">
        <v>2011</v>
      </c>
      <c r="C380" s="1" t="s">
        <v>194</v>
      </c>
      <c r="D380" s="1" t="s">
        <v>108</v>
      </c>
      <c r="E380" s="1" t="s">
        <v>67</v>
      </c>
      <c r="F380" s="1" t="n">
        <v>20</v>
      </c>
      <c r="G380" s="1" t="n">
        <v>10</v>
      </c>
      <c r="H380" s="1" t="s">
        <v>109</v>
      </c>
      <c r="I380" s="1" t="n">
        <v>-9.5</v>
      </c>
      <c r="J380" s="1" t="n">
        <v>38.5</v>
      </c>
      <c r="K380" s="1" t="s">
        <v>174</v>
      </c>
      <c r="L380" s="1" t="b">
        <f aca="false">FALSE()</f>
        <v>0</v>
      </c>
      <c r="M380" s="1" t="str">
        <f aca="false">VLOOKUP(D380,'Team Reference'!$A:$B,2,FALSE())</f>
        <v>SF</v>
      </c>
      <c r="N380" s="1" t="str">
        <f aca="false">VLOOKUP(E380,'Team Reference'!$A:$B,2,FALSE())</f>
        <v>CLE</v>
      </c>
      <c r="O380" s="1" t="str">
        <f aca="false">IF(F380&gt;G380,M380,IF(G380&gt;F380,N380,"Tie"))</f>
        <v>SF</v>
      </c>
      <c r="P380" s="1" t="n">
        <f aca="false">F380-G380</f>
        <v>10</v>
      </c>
      <c r="Q380" s="1" t="n">
        <f aca="false">F380+G380</f>
        <v>30</v>
      </c>
      <c r="R380" s="1" t="str">
        <f aca="false">IF(H380=M380,"Home",IF(H380=N380,"Away",IF(H380="PICK","Pick","N/A")))</f>
        <v>Home</v>
      </c>
      <c r="S380" s="1" t="n">
        <f aca="false">IF(R380="Home",P380,IF(R380="Away",-P380,""))</f>
        <v>10</v>
      </c>
      <c r="T380" s="1" t="str">
        <f aca="false">IF(R380="Pick","No Line",IF(S380="","N/A",IF(S380+I380&gt;0,"Favorite Covered",IF(S380+I380&lt;0,"Underdog Covered","Push"))))</f>
        <v>Favorite Covered</v>
      </c>
      <c r="U380" s="1" t="str">
        <f aca="false">IF(Q380&gt;J380,"Over",IF(Q380&lt;J380,"Under","Push"))</f>
        <v>Under</v>
      </c>
    </row>
    <row r="381" customFormat="false" ht="15" hidden="false" customHeight="false" outlineLevel="0" collapsed="false">
      <c r="A381" s="1" t="s">
        <v>259</v>
      </c>
      <c r="B381" s="1" t="n">
        <v>2011</v>
      </c>
      <c r="C381" s="1" t="s">
        <v>194</v>
      </c>
      <c r="D381" s="1" t="s">
        <v>110</v>
      </c>
      <c r="E381" s="1" t="s">
        <v>65</v>
      </c>
      <c r="F381" s="1" t="n">
        <v>12</v>
      </c>
      <c r="G381" s="1" t="n">
        <v>34</v>
      </c>
      <c r="H381" s="1" t="s">
        <v>66</v>
      </c>
      <c r="I381" s="1" t="n">
        <v>-1.5</v>
      </c>
      <c r="J381" s="1" t="n">
        <v>37.5</v>
      </c>
      <c r="K381" s="1" t="s">
        <v>152</v>
      </c>
      <c r="L381" s="1" t="b">
        <f aca="false">FALSE()</f>
        <v>0</v>
      </c>
      <c r="M381" s="1" t="str">
        <f aca="false">VLOOKUP(D381,'Team Reference'!$A:$B,2,FALSE())</f>
        <v>SEA</v>
      </c>
      <c r="N381" s="1" t="str">
        <f aca="false">VLOOKUP(E381,'Team Reference'!$A:$B,2,FALSE())</f>
        <v>CIN</v>
      </c>
      <c r="O381" s="1" t="str">
        <f aca="false">IF(F381&gt;G381,M381,IF(G381&gt;F381,N381,"Tie"))</f>
        <v>CIN</v>
      </c>
      <c r="P381" s="1" t="n">
        <f aca="false">F381-G381</f>
        <v>-22</v>
      </c>
      <c r="Q381" s="1" t="n">
        <f aca="false">F381+G381</f>
        <v>46</v>
      </c>
      <c r="R381" s="1" t="str">
        <f aca="false">IF(H381=M381,"Home",IF(H381=N381,"Away",IF(H381="PICK","Pick","N/A")))</f>
        <v>Away</v>
      </c>
      <c r="S381" s="1" t="n">
        <f aca="false">IF(R381="Home",P381,IF(R381="Away",-P381,""))</f>
        <v>22</v>
      </c>
      <c r="T381" s="1" t="str">
        <f aca="false">IF(R381="Pick","No Line",IF(S381="","N/A",IF(S381+I381&gt;0,"Favorite Covered",IF(S381+I381&lt;0,"Underdog Covered","Push"))))</f>
        <v>Favorite Covered</v>
      </c>
      <c r="U381" s="1" t="str">
        <f aca="false">IF(Q381&gt;J381,"Over",IF(Q381&lt;J381,"Under","Push"))</f>
        <v>Over</v>
      </c>
    </row>
    <row r="382" customFormat="false" ht="15" hidden="false" customHeight="false" outlineLevel="0" collapsed="false">
      <c r="A382" s="1" t="s">
        <v>259</v>
      </c>
      <c r="B382" s="1" t="n">
        <v>2011</v>
      </c>
      <c r="C382" s="1" t="s">
        <v>194</v>
      </c>
      <c r="D382" s="1" t="s">
        <v>112</v>
      </c>
      <c r="E382" s="1" t="s">
        <v>95</v>
      </c>
      <c r="F382" s="1" t="n">
        <v>31</v>
      </c>
      <c r="G382" s="1" t="n">
        <v>21</v>
      </c>
      <c r="H382" s="1" t="s">
        <v>96</v>
      </c>
      <c r="I382" s="1" t="n">
        <v>-14</v>
      </c>
      <c r="J382" s="1" t="n">
        <v>48.5</v>
      </c>
      <c r="K382" s="1" t="s">
        <v>153</v>
      </c>
      <c r="L382" s="1" t="b">
        <f aca="false">FALSE()</f>
        <v>0</v>
      </c>
      <c r="M382" s="1" t="str">
        <f aca="false">VLOOKUP(D382,'Team Reference'!$A:$B,2,FALSE())</f>
        <v>LAR</v>
      </c>
      <c r="N382" s="1" t="str">
        <f aca="false">VLOOKUP(E382,'Team Reference'!$A:$B,2,FALSE())</f>
        <v>NO</v>
      </c>
      <c r="O382" s="1" t="str">
        <f aca="false">IF(F382&gt;G382,M382,IF(G382&gt;F382,N382,"Tie"))</f>
        <v>LAR</v>
      </c>
      <c r="P382" s="1" t="n">
        <f aca="false">F382-G382</f>
        <v>10</v>
      </c>
      <c r="Q382" s="1" t="n">
        <f aca="false">F382+G382</f>
        <v>52</v>
      </c>
      <c r="R382" s="1" t="str">
        <f aca="false">IF(H382=M382,"Home",IF(H382=N382,"Away",IF(H382="PICK","Pick","N/A")))</f>
        <v>Away</v>
      </c>
      <c r="S382" s="1" t="n">
        <f aca="false">IF(R382="Home",P382,IF(R382="Away",-P382,""))</f>
        <v>-10</v>
      </c>
      <c r="T382" s="1" t="str">
        <f aca="false">IF(R382="Pick","No Line",IF(S382="","N/A",IF(S382+I382&gt;0,"Favorite Covered",IF(S382+I382&lt;0,"Underdog Covered","Push"))))</f>
        <v>Underdog Covered</v>
      </c>
      <c r="U382" s="1" t="str">
        <f aca="false">IF(Q382&gt;J382,"Over",IF(Q382&lt;J382,"Under","Push"))</f>
        <v>Over</v>
      </c>
    </row>
    <row r="383" customFormat="false" ht="15" hidden="false" customHeight="false" outlineLevel="0" collapsed="false">
      <c r="A383" s="1" t="s">
        <v>259</v>
      </c>
      <c r="B383" s="1" t="n">
        <v>2011</v>
      </c>
      <c r="C383" s="1" t="s">
        <v>194</v>
      </c>
      <c r="D383" s="1" t="s">
        <v>115</v>
      </c>
      <c r="E383" s="1" t="s">
        <v>79</v>
      </c>
      <c r="F383" s="1" t="n">
        <v>27</v>
      </c>
      <c r="G383" s="1" t="n">
        <v>10</v>
      </c>
      <c r="H383" s="1" t="s">
        <v>116</v>
      </c>
      <c r="I383" s="1" t="n">
        <v>-7.5</v>
      </c>
      <c r="J383" s="1" t="n">
        <v>43.5</v>
      </c>
      <c r="K383" s="1" t="s">
        <v>155</v>
      </c>
      <c r="L383" s="1" t="b">
        <f aca="false">FALSE()</f>
        <v>0</v>
      </c>
      <c r="M383" s="1" t="str">
        <f aca="false">VLOOKUP(D383,'Team Reference'!$A:$B,2,FALSE())</f>
        <v>TEN</v>
      </c>
      <c r="N383" s="1" t="str">
        <f aca="false">VLOOKUP(E383,'Team Reference'!$A:$B,2,FALSE())</f>
        <v>IND</v>
      </c>
      <c r="O383" s="1" t="str">
        <f aca="false">IF(F383&gt;G383,M383,IF(G383&gt;F383,N383,"Tie"))</f>
        <v>TEN</v>
      </c>
      <c r="P383" s="1" t="n">
        <f aca="false">F383-G383</f>
        <v>17</v>
      </c>
      <c r="Q383" s="1" t="n">
        <f aca="false">F383+G383</f>
        <v>37</v>
      </c>
      <c r="R383" s="1" t="str">
        <f aca="false">IF(H383=M383,"Home",IF(H383=N383,"Away",IF(H383="PICK","Pick","N/A")))</f>
        <v>Home</v>
      </c>
      <c r="S383" s="1" t="n">
        <f aca="false">IF(R383="Home",P383,IF(R383="Away",-P383,""))</f>
        <v>17</v>
      </c>
      <c r="T383" s="1" t="str">
        <f aca="false">IF(R383="Pick","No Line",IF(S383="","N/A",IF(S383+I383&gt;0,"Favorite Covered",IF(S383+I383&lt;0,"Underdog Covered","Push"))))</f>
        <v>Favorite Covered</v>
      </c>
      <c r="U383" s="1" t="str">
        <f aca="false">IF(Q383&gt;J383,"Over",IF(Q383&lt;J383,"Under","Push"))</f>
        <v>Under</v>
      </c>
    </row>
    <row r="384" customFormat="false" ht="15" hidden="false" customHeight="false" outlineLevel="0" collapsed="false">
      <c r="A384" s="1" t="s">
        <v>260</v>
      </c>
      <c r="B384" s="1" t="n">
        <v>2011</v>
      </c>
      <c r="C384" s="1" t="s">
        <v>194</v>
      </c>
      <c r="D384" s="1" t="s">
        <v>83</v>
      </c>
      <c r="E384" s="1" t="s">
        <v>107</v>
      </c>
      <c r="F384" s="1" t="n">
        <v>23</v>
      </c>
      <c r="G384" s="1" t="n">
        <v>20</v>
      </c>
      <c r="H384" s="1" t="s">
        <v>86</v>
      </c>
      <c r="I384" s="1" t="n">
        <v>-3</v>
      </c>
      <c r="J384" s="1" t="n">
        <v>44.5</v>
      </c>
      <c r="K384" s="1" t="s">
        <v>158</v>
      </c>
      <c r="L384" s="1" t="b">
        <f aca="false">FALSE()</f>
        <v>0</v>
      </c>
      <c r="M384" s="1" t="str">
        <f aca="false">VLOOKUP(D384,'Team Reference'!$A:$B,2,FALSE())</f>
        <v>KC</v>
      </c>
      <c r="N384" s="1" t="str">
        <f aca="false">VLOOKUP(E384,'Team Reference'!$A:$B,2,FALSE())</f>
        <v>LAC</v>
      </c>
      <c r="O384" s="1" t="str">
        <f aca="false">IF(F384&gt;G384,M384,IF(G384&gt;F384,N384,"Tie"))</f>
        <v>KC</v>
      </c>
      <c r="P384" s="1" t="n">
        <f aca="false">F384-G384</f>
        <v>3</v>
      </c>
      <c r="Q384" s="1" t="n">
        <f aca="false">F384+G384</f>
        <v>43</v>
      </c>
      <c r="R384" s="1" t="str">
        <f aca="false">IF(H384=M384,"Home",IF(H384=N384,"Away",IF(H384="PICK","Pick","N/A")))</f>
        <v>Away</v>
      </c>
      <c r="S384" s="1" t="n">
        <f aca="false">IF(R384="Home",P384,IF(R384="Away",-P384,""))</f>
        <v>-3</v>
      </c>
      <c r="T384" s="1" t="str">
        <f aca="false">IF(R384="Pick","No Line",IF(S384="","N/A",IF(S384+I384&gt;0,"Favorite Covered",IF(S384+I384&lt;0,"Underdog Covered","Push"))))</f>
        <v>Underdog Covered</v>
      </c>
      <c r="U384" s="1" t="str">
        <f aca="false">IF(Q384&gt;J384,"Over",IF(Q384&lt;J384,"Under","Push"))</f>
        <v>Under</v>
      </c>
    </row>
    <row r="385" customFormat="false" ht="15" hidden="false" customHeight="false" outlineLevel="0" collapsed="false">
      <c r="A385" s="1" t="s">
        <v>261</v>
      </c>
      <c r="B385" s="1" t="n">
        <v>2011</v>
      </c>
      <c r="C385" s="1" t="s">
        <v>198</v>
      </c>
      <c r="D385" s="1" t="s">
        <v>53</v>
      </c>
      <c r="E385" s="1" t="s">
        <v>112</v>
      </c>
      <c r="F385" s="1" t="n">
        <v>19</v>
      </c>
      <c r="G385" s="1" t="n">
        <v>13</v>
      </c>
      <c r="H385" s="1" t="s">
        <v>54</v>
      </c>
      <c r="I385" s="1" t="n">
        <v>-3</v>
      </c>
      <c r="J385" s="1" t="n">
        <v>41.5</v>
      </c>
      <c r="K385" s="1" t="s">
        <v>177</v>
      </c>
      <c r="L385" s="1" t="b">
        <f aca="false">FALSE()</f>
        <v>0</v>
      </c>
      <c r="M385" s="1" t="str">
        <f aca="false">VLOOKUP(D385,'Team Reference'!$A:$B,2,FALSE())</f>
        <v>ARI</v>
      </c>
      <c r="N385" s="1" t="str">
        <f aca="false">VLOOKUP(E385,'Team Reference'!$A:$B,2,FALSE())</f>
        <v>LAR</v>
      </c>
      <c r="O385" s="1" t="str">
        <f aca="false">IF(F385&gt;G385,M385,IF(G385&gt;F385,N385,"Tie"))</f>
        <v>ARI</v>
      </c>
      <c r="P385" s="1" t="n">
        <f aca="false">F385-G385</f>
        <v>6</v>
      </c>
      <c r="Q385" s="1" t="n">
        <f aca="false">F385+G385</f>
        <v>32</v>
      </c>
      <c r="R385" s="1" t="str">
        <f aca="false">IF(H385=M385,"Home",IF(H385=N385,"Away",IF(H385="PICK","Pick","N/A")))</f>
        <v>Home</v>
      </c>
      <c r="S385" s="1" t="n">
        <f aca="false">IF(R385="Home",P385,IF(R385="Away",-P385,""))</f>
        <v>6</v>
      </c>
      <c r="T385" s="1" t="str">
        <f aca="false">IF(R385="Pick","No Line",IF(S385="","N/A",IF(S385+I385&gt;0,"Favorite Covered",IF(S385+I385&lt;0,"Underdog Covered","Push"))))</f>
        <v>Favorite Covered</v>
      </c>
      <c r="U385" s="1" t="str">
        <f aca="false">IF(Q385&gt;J385,"Over",IF(Q385&lt;J385,"Under","Push"))</f>
        <v>Under</v>
      </c>
    </row>
    <row r="386" customFormat="false" ht="15" hidden="false" customHeight="false" outlineLevel="0" collapsed="false">
      <c r="A386" s="1" t="s">
        <v>261</v>
      </c>
      <c r="B386" s="1" t="n">
        <v>2011</v>
      </c>
      <c r="C386" s="1" t="s">
        <v>198</v>
      </c>
      <c r="D386" s="1" t="s">
        <v>59</v>
      </c>
      <c r="E386" s="1" t="s">
        <v>99</v>
      </c>
      <c r="F386" s="1" t="n">
        <v>11</v>
      </c>
      <c r="G386" s="1" t="n">
        <v>27</v>
      </c>
      <c r="H386" s="1" t="s">
        <v>60</v>
      </c>
      <c r="I386" s="1" t="n">
        <v>-2.5</v>
      </c>
      <c r="J386" s="1" t="n">
        <v>45</v>
      </c>
      <c r="K386" s="1" t="s">
        <v>144</v>
      </c>
      <c r="L386" s="1" t="b">
        <f aca="false">FALSE()</f>
        <v>0</v>
      </c>
      <c r="M386" s="1" t="str">
        <f aca="false">VLOOKUP(D386,'Team Reference'!$A:$B,2,FALSE())</f>
        <v>BUF</v>
      </c>
      <c r="N386" s="1" t="str">
        <f aca="false">VLOOKUP(E386,'Team Reference'!$A:$B,2,FALSE())</f>
        <v>NYJ</v>
      </c>
      <c r="O386" s="1" t="str">
        <f aca="false">IF(F386&gt;G386,M386,IF(G386&gt;F386,N386,"Tie"))</f>
        <v>NYJ</v>
      </c>
      <c r="P386" s="1" t="n">
        <f aca="false">F386-G386</f>
        <v>-16</v>
      </c>
      <c r="Q386" s="1" t="n">
        <f aca="false">F386+G386</f>
        <v>38</v>
      </c>
      <c r="R386" s="1" t="str">
        <f aca="false">IF(H386=M386,"Home",IF(H386=N386,"Away",IF(H386="PICK","Pick","N/A")))</f>
        <v>Home</v>
      </c>
      <c r="S386" s="1" t="n">
        <f aca="false">IF(R386="Home",P386,IF(R386="Away",-P386,""))</f>
        <v>-16</v>
      </c>
      <c r="T386" s="1" t="str">
        <f aca="false">IF(R386="Pick","No Line",IF(S386="","N/A",IF(S386+I386&gt;0,"Favorite Covered",IF(S386+I386&lt;0,"Underdog Covered","Push"))))</f>
        <v>Underdog Covered</v>
      </c>
      <c r="U386" s="1" t="str">
        <f aca="false">IF(Q386&gt;J386,"Over",IF(Q386&lt;J386,"Under","Push"))</f>
        <v>Under</v>
      </c>
    </row>
    <row r="387" customFormat="false" ht="15" hidden="false" customHeight="false" outlineLevel="0" collapsed="false">
      <c r="A387" s="1" t="s">
        <v>261</v>
      </c>
      <c r="B387" s="1" t="n">
        <v>2011</v>
      </c>
      <c r="C387" s="1" t="s">
        <v>198</v>
      </c>
      <c r="D387" s="1" t="s">
        <v>69</v>
      </c>
      <c r="E387" s="1" t="s">
        <v>110</v>
      </c>
      <c r="F387" s="1" t="n">
        <v>23</v>
      </c>
      <c r="G387" s="1" t="n">
        <v>13</v>
      </c>
      <c r="H387" s="1" t="s">
        <v>70</v>
      </c>
      <c r="I387" s="1" t="n">
        <v>-11</v>
      </c>
      <c r="J387" s="1" t="n">
        <v>45</v>
      </c>
      <c r="K387" s="1" t="s">
        <v>165</v>
      </c>
      <c r="L387" s="1" t="b">
        <f aca="false">FALSE()</f>
        <v>0</v>
      </c>
      <c r="M387" s="1" t="str">
        <f aca="false">VLOOKUP(D387,'Team Reference'!$A:$B,2,FALSE())</f>
        <v>DAL</v>
      </c>
      <c r="N387" s="1" t="str">
        <f aca="false">VLOOKUP(E387,'Team Reference'!$A:$B,2,FALSE())</f>
        <v>SEA</v>
      </c>
      <c r="O387" s="1" t="str">
        <f aca="false">IF(F387&gt;G387,M387,IF(G387&gt;F387,N387,"Tie"))</f>
        <v>DAL</v>
      </c>
      <c r="P387" s="1" t="n">
        <f aca="false">F387-G387</f>
        <v>10</v>
      </c>
      <c r="Q387" s="1" t="n">
        <f aca="false">F387+G387</f>
        <v>36</v>
      </c>
      <c r="R387" s="1" t="str">
        <f aca="false">IF(H387=M387,"Home",IF(H387=N387,"Away",IF(H387="PICK","Pick","N/A")))</f>
        <v>Home</v>
      </c>
      <c r="S387" s="1" t="n">
        <f aca="false">IF(R387="Home",P387,IF(R387="Away",-P387,""))</f>
        <v>10</v>
      </c>
      <c r="T387" s="1" t="str">
        <f aca="false">IF(R387="Pick","No Line",IF(S387="","N/A",IF(S387+I387&gt;0,"Favorite Covered",IF(S387+I387&lt;0,"Underdog Covered","Push"))))</f>
        <v>Underdog Covered</v>
      </c>
      <c r="U387" s="1" t="str">
        <f aca="false">IF(Q387&gt;J387,"Over",IF(Q387&lt;J387,"Under","Push"))</f>
        <v>Under</v>
      </c>
    </row>
    <row r="388" customFormat="false" ht="15" hidden="false" customHeight="false" outlineLevel="0" collapsed="false">
      <c r="A388" s="1" t="s">
        <v>261</v>
      </c>
      <c r="B388" s="1" t="n">
        <v>2011</v>
      </c>
      <c r="C388" s="1" t="s">
        <v>198</v>
      </c>
      <c r="D388" s="1" t="s">
        <v>77</v>
      </c>
      <c r="E388" s="1" t="s">
        <v>67</v>
      </c>
      <c r="F388" s="1" t="n">
        <v>30</v>
      </c>
      <c r="G388" s="1" t="n">
        <v>12</v>
      </c>
      <c r="H388" s="1" t="s">
        <v>78</v>
      </c>
      <c r="I388" s="1" t="n">
        <v>-10.5</v>
      </c>
      <c r="J388" s="1" t="n">
        <v>41</v>
      </c>
      <c r="K388" s="1" t="s">
        <v>146</v>
      </c>
      <c r="L388" s="1" t="b">
        <f aca="false">FALSE()</f>
        <v>0</v>
      </c>
      <c r="M388" s="1" t="str">
        <f aca="false">VLOOKUP(D388,'Team Reference'!$A:$B,2,FALSE())</f>
        <v>HOU</v>
      </c>
      <c r="N388" s="1" t="str">
        <f aca="false">VLOOKUP(E388,'Team Reference'!$A:$B,2,FALSE())</f>
        <v>CLE</v>
      </c>
      <c r="O388" s="1" t="str">
        <f aca="false">IF(F388&gt;G388,M388,IF(G388&gt;F388,N388,"Tie"))</f>
        <v>HOU</v>
      </c>
      <c r="P388" s="1" t="n">
        <f aca="false">F388-G388</f>
        <v>18</v>
      </c>
      <c r="Q388" s="1" t="n">
        <f aca="false">F388+G388</f>
        <v>42</v>
      </c>
      <c r="R388" s="1" t="str">
        <f aca="false">IF(H388=M388,"Home",IF(H388=N388,"Away",IF(H388="PICK","Pick","N/A")))</f>
        <v>Home</v>
      </c>
      <c r="S388" s="1" t="n">
        <f aca="false">IF(R388="Home",P388,IF(R388="Away",-P388,""))</f>
        <v>18</v>
      </c>
      <c r="T388" s="1" t="str">
        <f aca="false">IF(R388="Pick","No Line",IF(S388="","N/A",IF(S388+I388&gt;0,"Favorite Covered",IF(S388+I388&lt;0,"Underdog Covered","Push"))))</f>
        <v>Favorite Covered</v>
      </c>
      <c r="U388" s="1" t="str">
        <f aca="false">IF(Q388&gt;J388,"Over",IF(Q388&lt;J388,"Under","Push"))</f>
        <v>Over</v>
      </c>
    </row>
    <row r="389" customFormat="false" ht="15" hidden="false" customHeight="false" outlineLevel="0" collapsed="false">
      <c r="A389" s="1" t="s">
        <v>261</v>
      </c>
      <c r="B389" s="1" t="n">
        <v>2011</v>
      </c>
      <c r="C389" s="1" t="s">
        <v>198</v>
      </c>
      <c r="D389" s="1" t="s">
        <v>79</v>
      </c>
      <c r="E389" s="1" t="s">
        <v>55</v>
      </c>
      <c r="F389" s="1" t="n">
        <v>7</v>
      </c>
      <c r="G389" s="1" t="n">
        <v>31</v>
      </c>
      <c r="H389" s="1" t="s">
        <v>56</v>
      </c>
      <c r="I389" s="1" t="n">
        <v>-7</v>
      </c>
      <c r="J389" s="1" t="n">
        <v>45.5</v>
      </c>
      <c r="K389" s="1" t="s">
        <v>169</v>
      </c>
      <c r="L389" s="1" t="b">
        <f aca="false">FALSE()</f>
        <v>0</v>
      </c>
      <c r="M389" s="1" t="str">
        <f aca="false">VLOOKUP(D389,'Team Reference'!$A:$B,2,FALSE())</f>
        <v>IND</v>
      </c>
      <c r="N389" s="1" t="str">
        <f aca="false">VLOOKUP(E389,'Team Reference'!$A:$B,2,FALSE())</f>
        <v>ATL</v>
      </c>
      <c r="O389" s="1" t="str">
        <f aca="false">IF(F389&gt;G389,M389,IF(G389&gt;F389,N389,"Tie"))</f>
        <v>ATL</v>
      </c>
      <c r="P389" s="1" t="n">
        <f aca="false">F389-G389</f>
        <v>-24</v>
      </c>
      <c r="Q389" s="1" t="n">
        <f aca="false">F389+G389</f>
        <v>38</v>
      </c>
      <c r="R389" s="1" t="str">
        <f aca="false">IF(H389=M389,"Home",IF(H389=N389,"Away",IF(H389="PICK","Pick","N/A")))</f>
        <v>Away</v>
      </c>
      <c r="S389" s="1" t="n">
        <f aca="false">IF(R389="Home",P389,IF(R389="Away",-P389,""))</f>
        <v>24</v>
      </c>
      <c r="T389" s="1" t="str">
        <f aca="false">IF(R389="Pick","No Line",IF(S389="","N/A",IF(S389+I389&gt;0,"Favorite Covered",IF(S389+I389&lt;0,"Underdog Covered","Push"))))</f>
        <v>Favorite Covered</v>
      </c>
      <c r="U389" s="1" t="str">
        <f aca="false">IF(Q389&gt;J389,"Over",IF(Q389&lt;J389,"Under","Push"))</f>
        <v>Under</v>
      </c>
    </row>
    <row r="390" customFormat="false" ht="15" hidden="false" customHeight="false" outlineLevel="0" collapsed="false">
      <c r="A390" s="1" t="s">
        <v>261</v>
      </c>
      <c r="B390" s="1" t="n">
        <v>2011</v>
      </c>
      <c r="C390" s="1" t="s">
        <v>198</v>
      </c>
      <c r="D390" s="1" t="s">
        <v>83</v>
      </c>
      <c r="E390" s="1" t="s">
        <v>89</v>
      </c>
      <c r="F390" s="1" t="n">
        <v>3</v>
      </c>
      <c r="G390" s="1" t="n">
        <v>31</v>
      </c>
      <c r="H390" s="1" t="s">
        <v>84</v>
      </c>
      <c r="I390" s="1" t="n">
        <v>-4</v>
      </c>
      <c r="J390" s="1" t="n">
        <v>40.5</v>
      </c>
      <c r="K390" s="1" t="s">
        <v>158</v>
      </c>
      <c r="L390" s="1" t="b">
        <f aca="false">FALSE()</f>
        <v>0</v>
      </c>
      <c r="M390" s="1" t="str">
        <f aca="false">VLOOKUP(D390,'Team Reference'!$A:$B,2,FALSE())</f>
        <v>KC</v>
      </c>
      <c r="N390" s="1" t="str">
        <f aca="false">VLOOKUP(E390,'Team Reference'!$A:$B,2,FALSE())</f>
        <v>MIA</v>
      </c>
      <c r="O390" s="1" t="str">
        <f aca="false">IF(F390&gt;G390,M390,IF(G390&gt;F390,N390,"Tie"))</f>
        <v>MIA</v>
      </c>
      <c r="P390" s="1" t="n">
        <f aca="false">F390-G390</f>
        <v>-28</v>
      </c>
      <c r="Q390" s="1" t="n">
        <f aca="false">F390+G390</f>
        <v>34</v>
      </c>
      <c r="R390" s="1" t="str">
        <f aca="false">IF(H390=M390,"Home",IF(H390=N390,"Away",IF(H390="PICK","Pick","N/A")))</f>
        <v>Home</v>
      </c>
      <c r="S390" s="1" t="n">
        <f aca="false">IF(R390="Home",P390,IF(R390="Away",-P390,""))</f>
        <v>-28</v>
      </c>
      <c r="T390" s="1" t="str">
        <f aca="false">IF(R390="Pick","No Line",IF(S390="","N/A",IF(S390+I390&gt;0,"Favorite Covered",IF(S390+I390&lt;0,"Underdog Covered","Push"))))</f>
        <v>Underdog Covered</v>
      </c>
      <c r="U390" s="1" t="str">
        <f aca="false">IF(Q390&gt;J390,"Over",IF(Q390&lt;J390,"Under","Push"))</f>
        <v>Under</v>
      </c>
    </row>
    <row r="391" customFormat="false" ht="15" hidden="false" customHeight="false" outlineLevel="0" collapsed="false">
      <c r="A391" s="1" t="s">
        <v>261</v>
      </c>
      <c r="B391" s="1" t="n">
        <v>2011</v>
      </c>
      <c r="C391" s="1" t="s">
        <v>198</v>
      </c>
      <c r="D391" s="1" t="s">
        <v>93</v>
      </c>
      <c r="E391" s="1" t="s">
        <v>97</v>
      </c>
      <c r="F391" s="1" t="n">
        <v>20</v>
      </c>
      <c r="G391" s="1" t="n">
        <v>24</v>
      </c>
      <c r="H391" s="1" t="s">
        <v>94</v>
      </c>
      <c r="I391" s="1" t="n">
        <v>-9</v>
      </c>
      <c r="J391" s="1" t="n">
        <v>51</v>
      </c>
      <c r="K391" s="1" t="s">
        <v>148</v>
      </c>
      <c r="L391" s="1" t="b">
        <f aca="false">FALSE()</f>
        <v>0</v>
      </c>
      <c r="M391" s="1" t="str">
        <f aca="false">VLOOKUP(D391,'Team Reference'!$A:$B,2,FALSE())</f>
        <v>NE</v>
      </c>
      <c r="N391" s="1" t="str">
        <f aca="false">VLOOKUP(E391,'Team Reference'!$A:$B,2,FALSE())</f>
        <v>NYG</v>
      </c>
      <c r="O391" s="1" t="str">
        <f aca="false">IF(F391&gt;G391,M391,IF(G391&gt;F391,N391,"Tie"))</f>
        <v>NYG</v>
      </c>
      <c r="P391" s="1" t="n">
        <f aca="false">F391-G391</f>
        <v>-4</v>
      </c>
      <c r="Q391" s="1" t="n">
        <f aca="false">F391+G391</f>
        <v>44</v>
      </c>
      <c r="R391" s="1" t="str">
        <f aca="false">IF(H391=M391,"Home",IF(H391=N391,"Away",IF(H391="PICK","Pick","N/A")))</f>
        <v>Home</v>
      </c>
      <c r="S391" s="1" t="n">
        <f aca="false">IF(R391="Home",P391,IF(R391="Away",-P391,""))</f>
        <v>-4</v>
      </c>
      <c r="T391" s="1" t="str">
        <f aca="false">IF(R391="Pick","No Line",IF(S391="","N/A",IF(S391+I391&gt;0,"Favorite Covered",IF(S391+I391&lt;0,"Underdog Covered","Push"))))</f>
        <v>Underdog Covered</v>
      </c>
      <c r="U391" s="1" t="str">
        <f aca="false">IF(Q391&gt;J391,"Over",IF(Q391&lt;J391,"Under","Push"))</f>
        <v>Under</v>
      </c>
    </row>
    <row r="392" customFormat="false" ht="15" hidden="false" customHeight="false" outlineLevel="0" collapsed="false">
      <c r="A392" s="1" t="s">
        <v>261</v>
      </c>
      <c r="B392" s="1" t="n">
        <v>2011</v>
      </c>
      <c r="C392" s="1" t="s">
        <v>198</v>
      </c>
      <c r="D392" s="1" t="s">
        <v>95</v>
      </c>
      <c r="E392" s="1" t="s">
        <v>113</v>
      </c>
      <c r="F392" s="1" t="n">
        <v>27</v>
      </c>
      <c r="G392" s="1" t="n">
        <v>16</v>
      </c>
      <c r="H392" s="1" t="s">
        <v>96</v>
      </c>
      <c r="I392" s="1" t="n">
        <v>-9</v>
      </c>
      <c r="J392" s="1" t="n">
        <v>50.5</v>
      </c>
      <c r="K392" s="1" t="s">
        <v>142</v>
      </c>
      <c r="L392" s="1" t="b">
        <f aca="false">FALSE()</f>
        <v>0</v>
      </c>
      <c r="M392" s="1" t="str">
        <f aca="false">VLOOKUP(D392,'Team Reference'!$A:$B,2,FALSE())</f>
        <v>NO</v>
      </c>
      <c r="N392" s="1" t="str">
        <f aca="false">VLOOKUP(E392,'Team Reference'!$A:$B,2,FALSE())</f>
        <v>TB</v>
      </c>
      <c r="O392" s="1" t="str">
        <f aca="false">IF(F392&gt;G392,M392,IF(G392&gt;F392,N392,"Tie"))</f>
        <v>NO</v>
      </c>
      <c r="P392" s="1" t="n">
        <f aca="false">F392-G392</f>
        <v>11</v>
      </c>
      <c r="Q392" s="1" t="n">
        <f aca="false">F392+G392</f>
        <v>43</v>
      </c>
      <c r="R392" s="1" t="str">
        <f aca="false">IF(H392=M392,"Home",IF(H392=N392,"Away",IF(H392="PICK","Pick","N/A")))</f>
        <v>Home</v>
      </c>
      <c r="S392" s="1" t="n">
        <f aca="false">IF(R392="Home",P392,IF(R392="Away",-P392,""))</f>
        <v>11</v>
      </c>
      <c r="T392" s="1" t="str">
        <f aca="false">IF(R392="Pick","No Line",IF(S392="","N/A",IF(S392+I392&gt;0,"Favorite Covered",IF(S392+I392&lt;0,"Underdog Covered","Push"))))</f>
        <v>Favorite Covered</v>
      </c>
      <c r="U392" s="1" t="str">
        <f aca="false">IF(Q392&gt;J392,"Over",IF(Q392&lt;J392,"Under","Push"))</f>
        <v>Under</v>
      </c>
    </row>
    <row r="393" customFormat="false" ht="15" hidden="false" customHeight="false" outlineLevel="0" collapsed="false">
      <c r="A393" s="1" t="s">
        <v>261</v>
      </c>
      <c r="B393" s="1" t="n">
        <v>2011</v>
      </c>
      <c r="C393" s="1" t="s">
        <v>198</v>
      </c>
      <c r="D393" s="1" t="s">
        <v>101</v>
      </c>
      <c r="E393" s="1" t="s">
        <v>71</v>
      </c>
      <c r="F393" s="1" t="n">
        <v>24</v>
      </c>
      <c r="G393" s="1" t="n">
        <v>38</v>
      </c>
      <c r="H393" s="1" t="s">
        <v>102</v>
      </c>
      <c r="I393" s="1" t="n">
        <v>-7.5</v>
      </c>
      <c r="J393" s="1" t="n">
        <v>42.5</v>
      </c>
      <c r="K393" s="1" t="s">
        <v>171</v>
      </c>
      <c r="L393" s="1" t="b">
        <f aca="false">FALSE()</f>
        <v>0</v>
      </c>
      <c r="M393" s="1" t="str">
        <f aca="false">VLOOKUP(D393,'Team Reference'!$A:$B,2,FALSE())</f>
        <v>OAK</v>
      </c>
      <c r="N393" s="1" t="str">
        <f aca="false">VLOOKUP(E393,'Team Reference'!$A:$B,2,FALSE())</f>
        <v>DEN</v>
      </c>
      <c r="O393" s="1" t="str">
        <f aca="false">IF(F393&gt;G393,M393,IF(G393&gt;F393,N393,"Tie"))</f>
        <v>DEN</v>
      </c>
      <c r="P393" s="1" t="n">
        <f aca="false">F393-G393</f>
        <v>-14</v>
      </c>
      <c r="Q393" s="1" t="n">
        <f aca="false">F393+G393</f>
        <v>62</v>
      </c>
      <c r="R393" s="1" t="str">
        <f aca="false">IF(H393=M393,"Home",IF(H393=N393,"Away",IF(H393="PICK","Pick","N/A")))</f>
        <v>Home</v>
      </c>
      <c r="S393" s="1" t="n">
        <f aca="false">IF(R393="Home",P393,IF(R393="Away",-P393,""))</f>
        <v>-14</v>
      </c>
      <c r="T393" s="1" t="str">
        <f aca="false">IF(R393="Pick","No Line",IF(S393="","N/A",IF(S393+I393&gt;0,"Favorite Covered",IF(S393+I393&lt;0,"Underdog Covered","Push"))))</f>
        <v>Underdog Covered</v>
      </c>
      <c r="U393" s="1" t="str">
        <f aca="false">IF(Q393&gt;J393,"Over",IF(Q393&lt;J393,"Under","Push"))</f>
        <v>Over</v>
      </c>
    </row>
    <row r="394" customFormat="false" ht="15" hidden="false" customHeight="false" outlineLevel="0" collapsed="false">
      <c r="A394" s="1" t="s">
        <v>261</v>
      </c>
      <c r="B394" s="1" t="n">
        <v>2011</v>
      </c>
      <c r="C394" s="1" t="s">
        <v>198</v>
      </c>
      <c r="D394" s="1" t="s">
        <v>105</v>
      </c>
      <c r="E394" s="1" t="s">
        <v>57</v>
      </c>
      <c r="F394" s="1" t="n">
        <v>20</v>
      </c>
      <c r="G394" s="1" t="n">
        <v>23</v>
      </c>
      <c r="H394" s="1" t="s">
        <v>106</v>
      </c>
      <c r="I394" s="1" t="n">
        <v>-3.5</v>
      </c>
      <c r="J394" s="1" t="n">
        <v>42</v>
      </c>
      <c r="K394" s="1" t="s">
        <v>151</v>
      </c>
      <c r="L394" s="1" t="b">
        <f aca="false">FALSE()</f>
        <v>0</v>
      </c>
      <c r="M394" s="1" t="str">
        <f aca="false">VLOOKUP(D394,'Team Reference'!$A:$B,2,FALSE())</f>
        <v>PIT</v>
      </c>
      <c r="N394" s="1" t="str">
        <f aca="false">VLOOKUP(E394,'Team Reference'!$A:$B,2,FALSE())</f>
        <v>BAL</v>
      </c>
      <c r="O394" s="1" t="str">
        <f aca="false">IF(F394&gt;G394,M394,IF(G394&gt;F394,N394,"Tie"))</f>
        <v>BAL</v>
      </c>
      <c r="P394" s="1" t="n">
        <f aca="false">F394-G394</f>
        <v>-3</v>
      </c>
      <c r="Q394" s="1" t="n">
        <f aca="false">F394+G394</f>
        <v>43</v>
      </c>
      <c r="R394" s="1" t="str">
        <f aca="false">IF(H394=M394,"Home",IF(H394=N394,"Away",IF(H394="PICK","Pick","N/A")))</f>
        <v>Home</v>
      </c>
      <c r="S394" s="1" t="n">
        <f aca="false">IF(R394="Home",P394,IF(R394="Away",-P394,""))</f>
        <v>-3</v>
      </c>
      <c r="T394" s="1" t="str">
        <f aca="false">IF(R394="Pick","No Line",IF(S394="","N/A",IF(S394+I394&gt;0,"Favorite Covered",IF(S394+I394&lt;0,"Underdog Covered","Push"))))</f>
        <v>Underdog Covered</v>
      </c>
      <c r="U394" s="1" t="str">
        <f aca="false">IF(Q394&gt;J394,"Over",IF(Q394&lt;J394,"Under","Push"))</f>
        <v>Over</v>
      </c>
    </row>
    <row r="395" customFormat="false" ht="15" hidden="false" customHeight="false" outlineLevel="0" collapsed="false">
      <c r="A395" s="1" t="s">
        <v>261</v>
      </c>
      <c r="B395" s="1" t="n">
        <v>2011</v>
      </c>
      <c r="C395" s="1" t="s">
        <v>198</v>
      </c>
      <c r="D395" s="1" t="s">
        <v>107</v>
      </c>
      <c r="E395" s="1" t="s">
        <v>75</v>
      </c>
      <c r="F395" s="1" t="n">
        <v>38</v>
      </c>
      <c r="G395" s="1" t="n">
        <v>45</v>
      </c>
      <c r="H395" s="1" t="s">
        <v>76</v>
      </c>
      <c r="I395" s="1" t="n">
        <v>-6</v>
      </c>
      <c r="J395" s="1" t="n">
        <v>51</v>
      </c>
      <c r="K395" s="1" t="s">
        <v>172</v>
      </c>
      <c r="L395" s="1" t="b">
        <f aca="false">FALSE()</f>
        <v>0</v>
      </c>
      <c r="M395" s="1" t="str">
        <f aca="false">VLOOKUP(D395,'Team Reference'!$A:$B,2,FALSE())</f>
        <v>LAC</v>
      </c>
      <c r="N395" s="1" t="str">
        <f aca="false">VLOOKUP(E395,'Team Reference'!$A:$B,2,FALSE())</f>
        <v>GB</v>
      </c>
      <c r="O395" s="1" t="str">
        <f aca="false">IF(F395&gt;G395,M395,IF(G395&gt;F395,N395,"Tie"))</f>
        <v>GB</v>
      </c>
      <c r="P395" s="1" t="n">
        <f aca="false">F395-G395</f>
        <v>-7</v>
      </c>
      <c r="Q395" s="1" t="n">
        <f aca="false">F395+G395</f>
        <v>83</v>
      </c>
      <c r="R395" s="1" t="str">
        <f aca="false">IF(H395=M395,"Home",IF(H395=N395,"Away",IF(H395="PICK","Pick","N/A")))</f>
        <v>Away</v>
      </c>
      <c r="S395" s="1" t="n">
        <f aca="false">IF(R395="Home",P395,IF(R395="Away",-P395,""))</f>
        <v>7</v>
      </c>
      <c r="T395" s="1" t="str">
        <f aca="false">IF(R395="Pick","No Line",IF(S395="","N/A",IF(S395+I395&gt;0,"Favorite Covered",IF(S395+I395&lt;0,"Underdog Covered","Push"))))</f>
        <v>Favorite Covered</v>
      </c>
      <c r="U395" s="1" t="str">
        <f aca="false">IF(Q395&gt;J395,"Over",IF(Q395&lt;J395,"Under","Push"))</f>
        <v>Over</v>
      </c>
    </row>
    <row r="396" customFormat="false" ht="15" hidden="false" customHeight="false" outlineLevel="0" collapsed="false">
      <c r="A396" s="1" t="s">
        <v>261</v>
      </c>
      <c r="B396" s="1" t="n">
        <v>2011</v>
      </c>
      <c r="C396" s="1" t="s">
        <v>198</v>
      </c>
      <c r="D396" s="1" t="s">
        <v>115</v>
      </c>
      <c r="E396" s="1" t="s">
        <v>65</v>
      </c>
      <c r="F396" s="1" t="n">
        <v>17</v>
      </c>
      <c r="G396" s="1" t="n">
        <v>24</v>
      </c>
      <c r="H396" s="1" t="s">
        <v>116</v>
      </c>
      <c r="I396" s="1" t="n">
        <v>-3</v>
      </c>
      <c r="J396" s="1" t="n">
        <v>41.5</v>
      </c>
      <c r="K396" s="1" t="s">
        <v>155</v>
      </c>
      <c r="L396" s="1" t="b">
        <f aca="false">FALSE()</f>
        <v>0</v>
      </c>
      <c r="M396" s="1" t="str">
        <f aca="false">VLOOKUP(D396,'Team Reference'!$A:$B,2,FALSE())</f>
        <v>TEN</v>
      </c>
      <c r="N396" s="1" t="str">
        <f aca="false">VLOOKUP(E396,'Team Reference'!$A:$B,2,FALSE())</f>
        <v>CIN</v>
      </c>
      <c r="O396" s="1" t="str">
        <f aca="false">IF(F396&gt;G396,M396,IF(G396&gt;F396,N396,"Tie"))</f>
        <v>CIN</v>
      </c>
      <c r="P396" s="1" t="n">
        <f aca="false">F396-G396</f>
        <v>-7</v>
      </c>
      <c r="Q396" s="1" t="n">
        <f aca="false">F396+G396</f>
        <v>41</v>
      </c>
      <c r="R396" s="1" t="str">
        <f aca="false">IF(H396=M396,"Home",IF(H396=N396,"Away",IF(H396="PICK","Pick","N/A")))</f>
        <v>Home</v>
      </c>
      <c r="S396" s="1" t="n">
        <f aca="false">IF(R396="Home",P396,IF(R396="Away",-P396,""))</f>
        <v>-7</v>
      </c>
      <c r="T396" s="1" t="str">
        <f aca="false">IF(R396="Pick","No Line",IF(S396="","N/A",IF(S396+I396&gt;0,"Favorite Covered",IF(S396+I396&lt;0,"Underdog Covered","Push"))))</f>
        <v>Underdog Covered</v>
      </c>
      <c r="U396" s="1" t="str">
        <f aca="false">IF(Q396&gt;J396,"Over",IF(Q396&lt;J396,"Under","Push"))</f>
        <v>Under</v>
      </c>
    </row>
    <row r="397" customFormat="false" ht="15" hidden="false" customHeight="false" outlineLevel="0" collapsed="false">
      <c r="A397" s="1" t="s">
        <v>261</v>
      </c>
      <c r="B397" s="1" t="n">
        <v>2011</v>
      </c>
      <c r="C397" s="1" t="s">
        <v>198</v>
      </c>
      <c r="D397" s="1" t="s">
        <v>117</v>
      </c>
      <c r="E397" s="1" t="s">
        <v>108</v>
      </c>
      <c r="F397" s="1" t="n">
        <v>11</v>
      </c>
      <c r="G397" s="1" t="n">
        <v>19</v>
      </c>
      <c r="H397" s="1" t="s">
        <v>109</v>
      </c>
      <c r="I397" s="1" t="n">
        <v>-4.5</v>
      </c>
      <c r="J397" s="1" t="n">
        <v>37.5</v>
      </c>
      <c r="K397" s="1" t="s">
        <v>156</v>
      </c>
      <c r="L397" s="1" t="b">
        <f aca="false">FALSE()</f>
        <v>0</v>
      </c>
      <c r="M397" s="1" t="str">
        <f aca="false">VLOOKUP(D397,'Team Reference'!$A:$B,2,FALSE())</f>
        <v>WAS</v>
      </c>
      <c r="N397" s="1" t="str">
        <f aca="false">VLOOKUP(E397,'Team Reference'!$A:$B,2,FALSE())</f>
        <v>SF</v>
      </c>
      <c r="O397" s="1" t="str">
        <f aca="false">IF(F397&gt;G397,M397,IF(G397&gt;F397,N397,"Tie"))</f>
        <v>SF</v>
      </c>
      <c r="P397" s="1" t="n">
        <f aca="false">F397-G397</f>
        <v>-8</v>
      </c>
      <c r="Q397" s="1" t="n">
        <f aca="false">F397+G397</f>
        <v>30</v>
      </c>
      <c r="R397" s="1" t="str">
        <f aca="false">IF(H397=M397,"Home",IF(H397=N397,"Away",IF(H397="PICK","Pick","N/A")))</f>
        <v>Away</v>
      </c>
      <c r="S397" s="1" t="n">
        <f aca="false">IF(R397="Home",P397,IF(R397="Away",-P397,""))</f>
        <v>8</v>
      </c>
      <c r="T397" s="1" t="str">
        <f aca="false">IF(R397="Pick","No Line",IF(S397="","N/A",IF(S397+I397&gt;0,"Favorite Covered",IF(S397+I397&lt;0,"Underdog Covered","Push"))))</f>
        <v>Favorite Covered</v>
      </c>
      <c r="U397" s="1" t="str">
        <f aca="false">IF(Q397&gt;J397,"Over",IF(Q397&lt;J397,"Under","Push"))</f>
        <v>Under</v>
      </c>
    </row>
    <row r="398" customFormat="false" ht="15" hidden="false" customHeight="false" outlineLevel="0" collapsed="false">
      <c r="A398" s="1" t="s">
        <v>262</v>
      </c>
      <c r="B398" s="1" t="n">
        <v>2011</v>
      </c>
      <c r="C398" s="1" t="s">
        <v>198</v>
      </c>
      <c r="D398" s="1" t="s">
        <v>103</v>
      </c>
      <c r="E398" s="1" t="s">
        <v>63</v>
      </c>
      <c r="F398" s="1" t="n">
        <v>24</v>
      </c>
      <c r="G398" s="1" t="n">
        <v>30</v>
      </c>
      <c r="H398" s="1" t="s">
        <v>104</v>
      </c>
      <c r="I398" s="1" t="n">
        <v>-8</v>
      </c>
      <c r="J398" s="1" t="n">
        <v>47.5</v>
      </c>
      <c r="K398" s="1" t="s">
        <v>150</v>
      </c>
      <c r="L398" s="1" t="b">
        <f aca="false">FALSE()</f>
        <v>0</v>
      </c>
      <c r="M398" s="1" t="str">
        <f aca="false">VLOOKUP(D398,'Team Reference'!$A:$B,2,FALSE())</f>
        <v>PHI</v>
      </c>
      <c r="N398" s="1" t="str">
        <f aca="false">VLOOKUP(E398,'Team Reference'!$A:$B,2,FALSE())</f>
        <v>CHI</v>
      </c>
      <c r="O398" s="1" t="str">
        <f aca="false">IF(F398&gt;G398,M398,IF(G398&gt;F398,N398,"Tie"))</f>
        <v>CHI</v>
      </c>
      <c r="P398" s="1" t="n">
        <f aca="false">F398-G398</f>
        <v>-6</v>
      </c>
      <c r="Q398" s="1" t="n">
        <f aca="false">F398+G398</f>
        <v>54</v>
      </c>
      <c r="R398" s="1" t="str">
        <f aca="false">IF(H398=M398,"Home",IF(H398=N398,"Away",IF(H398="PICK","Pick","N/A")))</f>
        <v>Home</v>
      </c>
      <c r="S398" s="1" t="n">
        <f aca="false">IF(R398="Home",P398,IF(R398="Away",-P398,""))</f>
        <v>-6</v>
      </c>
      <c r="T398" s="1" t="str">
        <f aca="false">IF(R398="Pick","No Line",IF(S398="","N/A",IF(S398+I398&gt;0,"Favorite Covered",IF(S398+I398&lt;0,"Underdog Covered","Push"))))</f>
        <v>Underdog Covered</v>
      </c>
      <c r="U398" s="1" t="str">
        <f aca="false">IF(Q398&gt;J398,"Over",IF(Q398&lt;J398,"Under","Push"))</f>
        <v>Over</v>
      </c>
    </row>
    <row r="399" customFormat="false" ht="15" hidden="false" customHeight="false" outlineLevel="0" collapsed="false">
      <c r="A399" s="1" t="s">
        <v>263</v>
      </c>
      <c r="B399" s="1" t="n">
        <v>2011</v>
      </c>
      <c r="C399" s="1" t="s">
        <v>203</v>
      </c>
      <c r="D399" s="1" t="s">
        <v>107</v>
      </c>
      <c r="E399" s="1" t="s">
        <v>101</v>
      </c>
      <c r="F399" s="1" t="n">
        <v>17</v>
      </c>
      <c r="G399" s="1" t="n">
        <v>24</v>
      </c>
      <c r="H399" s="1" t="s">
        <v>86</v>
      </c>
      <c r="I399" s="1" t="n">
        <v>-7</v>
      </c>
      <c r="J399" s="1" t="n">
        <v>48</v>
      </c>
      <c r="K399" s="1" t="s">
        <v>172</v>
      </c>
      <c r="L399" s="1" t="b">
        <f aca="false">FALSE()</f>
        <v>0</v>
      </c>
      <c r="M399" s="1" t="str">
        <f aca="false">VLOOKUP(D399,'Team Reference'!$A:$B,2,FALSE())</f>
        <v>LAC</v>
      </c>
      <c r="N399" s="1" t="str">
        <f aca="false">VLOOKUP(E399,'Team Reference'!$A:$B,2,FALSE())</f>
        <v>OAK</v>
      </c>
      <c r="O399" s="1" t="str">
        <f aca="false">IF(F399&gt;G399,M399,IF(G399&gt;F399,N399,"Tie"))</f>
        <v>OAK</v>
      </c>
      <c r="P399" s="1" t="n">
        <f aca="false">F399-G399</f>
        <v>-7</v>
      </c>
      <c r="Q399" s="1" t="n">
        <f aca="false">F399+G399</f>
        <v>41</v>
      </c>
      <c r="R399" s="1" t="str">
        <f aca="false">IF(H399=M399,"Home",IF(H399=N399,"Away",IF(H399="PICK","Pick","N/A")))</f>
        <v>Home</v>
      </c>
      <c r="S399" s="1" t="n">
        <f aca="false">IF(R399="Home",P399,IF(R399="Away",-P399,""))</f>
        <v>-7</v>
      </c>
      <c r="T399" s="1" t="str">
        <f aca="false">IF(R399="Pick","No Line",IF(S399="","N/A",IF(S399+I399&gt;0,"Favorite Covered",IF(S399+I399&lt;0,"Underdog Covered","Push"))))</f>
        <v>Underdog Covered</v>
      </c>
      <c r="U399" s="1" t="str">
        <f aca="false">IF(Q399&gt;J399,"Over",IF(Q399&lt;J399,"Under","Push"))</f>
        <v>Under</v>
      </c>
    </row>
    <row r="400" customFormat="false" ht="15" hidden="false" customHeight="false" outlineLevel="0" collapsed="false">
      <c r="A400" s="1" t="s">
        <v>264</v>
      </c>
      <c r="B400" s="1" t="n">
        <v>2011</v>
      </c>
      <c r="C400" s="1" t="s">
        <v>203</v>
      </c>
      <c r="D400" s="1" t="s">
        <v>55</v>
      </c>
      <c r="E400" s="1" t="s">
        <v>95</v>
      </c>
      <c r="F400" s="1" t="n">
        <v>23</v>
      </c>
      <c r="G400" s="1" t="n">
        <v>26</v>
      </c>
      <c r="H400" s="1" t="s">
        <v>56</v>
      </c>
      <c r="I400" s="1" t="n">
        <v>-1</v>
      </c>
      <c r="J400" s="1" t="n">
        <v>50</v>
      </c>
      <c r="K400" s="1" t="s">
        <v>161</v>
      </c>
      <c r="L400" s="1" t="b">
        <f aca="false">FALSE()</f>
        <v>0</v>
      </c>
      <c r="M400" s="1" t="str">
        <f aca="false">VLOOKUP(D400,'Team Reference'!$A:$B,2,FALSE())</f>
        <v>ATL</v>
      </c>
      <c r="N400" s="1" t="str">
        <f aca="false">VLOOKUP(E400,'Team Reference'!$A:$B,2,FALSE())</f>
        <v>NO</v>
      </c>
      <c r="O400" s="1" t="str">
        <f aca="false">IF(F400&gt;G400,M400,IF(G400&gt;F400,N400,"Tie"))</f>
        <v>NO</v>
      </c>
      <c r="P400" s="1" t="n">
        <f aca="false">F400-G400</f>
        <v>-3</v>
      </c>
      <c r="Q400" s="1" t="n">
        <f aca="false">F400+G400</f>
        <v>49</v>
      </c>
      <c r="R400" s="1" t="str">
        <f aca="false">IF(H400=M400,"Home",IF(H400=N400,"Away",IF(H400="PICK","Pick","N/A")))</f>
        <v>Home</v>
      </c>
      <c r="S400" s="1" t="n">
        <f aca="false">IF(R400="Home",P400,IF(R400="Away",-P400,""))</f>
        <v>-3</v>
      </c>
      <c r="T400" s="1" t="str">
        <f aca="false">IF(R400="Pick","No Line",IF(S400="","N/A",IF(S400+I400&gt;0,"Favorite Covered",IF(S400+I400&lt;0,"Underdog Covered","Push"))))</f>
        <v>Underdog Covered</v>
      </c>
      <c r="U400" s="1" t="str">
        <f aca="false">IF(Q400&gt;J400,"Over",IF(Q400&lt;J400,"Under","Push"))</f>
        <v>Under</v>
      </c>
    </row>
    <row r="401" customFormat="false" ht="15" hidden="false" customHeight="false" outlineLevel="0" collapsed="false">
      <c r="A401" s="1" t="s">
        <v>264</v>
      </c>
      <c r="B401" s="1" t="n">
        <v>2011</v>
      </c>
      <c r="C401" s="1" t="s">
        <v>203</v>
      </c>
      <c r="D401" s="1" t="s">
        <v>61</v>
      </c>
      <c r="E401" s="1" t="s">
        <v>115</v>
      </c>
      <c r="F401" s="1" t="n">
        <v>3</v>
      </c>
      <c r="G401" s="1" t="n">
        <v>30</v>
      </c>
      <c r="H401" s="1" t="s">
        <v>62</v>
      </c>
      <c r="I401" s="1" t="n">
        <v>-3.5</v>
      </c>
      <c r="J401" s="1" t="n">
        <v>47.5</v>
      </c>
      <c r="K401" s="1" t="s">
        <v>162</v>
      </c>
      <c r="L401" s="1" t="b">
        <f aca="false">FALSE()</f>
        <v>0</v>
      </c>
      <c r="M401" s="1" t="str">
        <f aca="false">VLOOKUP(D401,'Team Reference'!$A:$B,2,FALSE())</f>
        <v>CAR</v>
      </c>
      <c r="N401" s="1" t="str">
        <f aca="false">VLOOKUP(E401,'Team Reference'!$A:$B,2,FALSE())</f>
        <v>TEN</v>
      </c>
      <c r="O401" s="1" t="str">
        <f aca="false">IF(F401&gt;G401,M401,IF(G401&gt;F401,N401,"Tie"))</f>
        <v>TEN</v>
      </c>
      <c r="P401" s="1" t="n">
        <f aca="false">F401-G401</f>
        <v>-27</v>
      </c>
      <c r="Q401" s="1" t="n">
        <f aca="false">F401+G401</f>
        <v>33</v>
      </c>
      <c r="R401" s="1" t="str">
        <f aca="false">IF(H401=M401,"Home",IF(H401=N401,"Away",IF(H401="PICK","Pick","N/A")))</f>
        <v>Home</v>
      </c>
      <c r="S401" s="1" t="n">
        <f aca="false">IF(R401="Home",P401,IF(R401="Away",-P401,""))</f>
        <v>-27</v>
      </c>
      <c r="T401" s="1" t="str">
        <f aca="false">IF(R401="Pick","No Line",IF(S401="","N/A",IF(S401+I401&gt;0,"Favorite Covered",IF(S401+I401&lt;0,"Underdog Covered","Push"))))</f>
        <v>Underdog Covered</v>
      </c>
      <c r="U401" s="1" t="str">
        <f aca="false">IF(Q401&gt;J401,"Over",IF(Q401&lt;J401,"Under","Push"))</f>
        <v>Under</v>
      </c>
    </row>
    <row r="402" customFormat="false" ht="15" hidden="false" customHeight="false" outlineLevel="0" collapsed="false">
      <c r="A402" s="1" t="s">
        <v>264</v>
      </c>
      <c r="B402" s="1" t="n">
        <v>2011</v>
      </c>
      <c r="C402" s="1" t="s">
        <v>203</v>
      </c>
      <c r="D402" s="1" t="s">
        <v>63</v>
      </c>
      <c r="E402" s="1" t="s">
        <v>73</v>
      </c>
      <c r="F402" s="1" t="n">
        <v>37</v>
      </c>
      <c r="G402" s="1" t="n">
        <v>13</v>
      </c>
      <c r="H402" s="1" t="s">
        <v>64</v>
      </c>
      <c r="I402" s="1" t="n">
        <v>-3</v>
      </c>
      <c r="J402" s="1" t="n">
        <v>42.5</v>
      </c>
      <c r="K402" s="1" t="s">
        <v>145</v>
      </c>
      <c r="L402" s="1" t="b">
        <f aca="false">FALSE()</f>
        <v>0</v>
      </c>
      <c r="M402" s="1" t="str">
        <f aca="false">VLOOKUP(D402,'Team Reference'!$A:$B,2,FALSE())</f>
        <v>CHI</v>
      </c>
      <c r="N402" s="1" t="str">
        <f aca="false">VLOOKUP(E402,'Team Reference'!$A:$B,2,FALSE())</f>
        <v>DET</v>
      </c>
      <c r="O402" s="1" t="str">
        <f aca="false">IF(F402&gt;G402,M402,IF(G402&gt;F402,N402,"Tie"))</f>
        <v>CHI</v>
      </c>
      <c r="P402" s="1" t="n">
        <f aca="false">F402-G402</f>
        <v>24</v>
      </c>
      <c r="Q402" s="1" t="n">
        <f aca="false">F402+G402</f>
        <v>50</v>
      </c>
      <c r="R402" s="1" t="str">
        <f aca="false">IF(H402=M402,"Home",IF(H402=N402,"Away",IF(H402="PICK","Pick","N/A")))</f>
        <v>Home</v>
      </c>
      <c r="S402" s="1" t="n">
        <f aca="false">IF(R402="Home",P402,IF(R402="Away",-P402,""))</f>
        <v>24</v>
      </c>
      <c r="T402" s="1" t="str">
        <f aca="false">IF(R402="Pick","No Line",IF(S402="","N/A",IF(S402+I402&gt;0,"Favorite Covered",IF(S402+I402&lt;0,"Underdog Covered","Push"))))</f>
        <v>Favorite Covered</v>
      </c>
      <c r="U402" s="1" t="str">
        <f aca="false">IF(Q402&gt;J402,"Over",IF(Q402&lt;J402,"Under","Push"))</f>
        <v>Over</v>
      </c>
    </row>
    <row r="403" customFormat="false" ht="15" hidden="false" customHeight="false" outlineLevel="0" collapsed="false">
      <c r="A403" s="1" t="s">
        <v>264</v>
      </c>
      <c r="B403" s="1" t="n">
        <v>2011</v>
      </c>
      <c r="C403" s="1" t="s">
        <v>203</v>
      </c>
      <c r="D403" s="1" t="s">
        <v>65</v>
      </c>
      <c r="E403" s="1" t="s">
        <v>105</v>
      </c>
      <c r="F403" s="1" t="n">
        <v>17</v>
      </c>
      <c r="G403" s="1" t="n">
        <v>24</v>
      </c>
      <c r="H403" s="1" t="s">
        <v>106</v>
      </c>
      <c r="I403" s="1" t="n">
        <v>-4</v>
      </c>
      <c r="J403" s="1" t="n">
        <v>40.5</v>
      </c>
      <c r="K403" s="1" t="s">
        <v>163</v>
      </c>
      <c r="L403" s="1" t="b">
        <f aca="false">FALSE()</f>
        <v>0</v>
      </c>
      <c r="M403" s="1" t="str">
        <f aca="false">VLOOKUP(D403,'Team Reference'!$A:$B,2,FALSE())</f>
        <v>CIN</v>
      </c>
      <c r="N403" s="1" t="str">
        <f aca="false">VLOOKUP(E403,'Team Reference'!$A:$B,2,FALSE())</f>
        <v>PIT</v>
      </c>
      <c r="O403" s="1" t="str">
        <f aca="false">IF(F403&gt;G403,M403,IF(G403&gt;F403,N403,"Tie"))</f>
        <v>PIT</v>
      </c>
      <c r="P403" s="1" t="n">
        <f aca="false">F403-G403</f>
        <v>-7</v>
      </c>
      <c r="Q403" s="1" t="n">
        <f aca="false">F403+G403</f>
        <v>41</v>
      </c>
      <c r="R403" s="1" t="str">
        <f aca="false">IF(H403=M403,"Home",IF(H403=N403,"Away",IF(H403="PICK","Pick","N/A")))</f>
        <v>Away</v>
      </c>
      <c r="S403" s="1" t="n">
        <f aca="false">IF(R403="Home",P403,IF(R403="Away",-P403,""))</f>
        <v>7</v>
      </c>
      <c r="T403" s="1" t="str">
        <f aca="false">IF(R403="Pick","No Line",IF(S403="","N/A",IF(S403+I403&gt;0,"Favorite Covered",IF(S403+I403&lt;0,"Underdog Covered","Push"))))</f>
        <v>Favorite Covered</v>
      </c>
      <c r="U403" s="1" t="str">
        <f aca="false">IF(Q403&gt;J403,"Over",IF(Q403&lt;J403,"Under","Push"))</f>
        <v>Over</v>
      </c>
    </row>
    <row r="404" customFormat="false" ht="15" hidden="false" customHeight="false" outlineLevel="0" collapsed="false">
      <c r="A404" s="1" t="s">
        <v>264</v>
      </c>
      <c r="B404" s="1" t="n">
        <v>2011</v>
      </c>
      <c r="C404" s="1" t="s">
        <v>203</v>
      </c>
      <c r="D404" s="1" t="s">
        <v>67</v>
      </c>
      <c r="E404" s="1" t="s">
        <v>112</v>
      </c>
      <c r="F404" s="1" t="n">
        <v>12</v>
      </c>
      <c r="G404" s="1" t="n">
        <v>13</v>
      </c>
      <c r="H404" s="1" t="s">
        <v>68</v>
      </c>
      <c r="I404" s="1" t="n">
        <v>-3</v>
      </c>
      <c r="J404" s="1" t="n">
        <v>36.5</v>
      </c>
      <c r="K404" s="1" t="s">
        <v>164</v>
      </c>
      <c r="L404" s="1" t="b">
        <f aca="false">FALSE()</f>
        <v>0</v>
      </c>
      <c r="M404" s="1" t="str">
        <f aca="false">VLOOKUP(D404,'Team Reference'!$A:$B,2,FALSE())</f>
        <v>CLE</v>
      </c>
      <c r="N404" s="1" t="str">
        <f aca="false">VLOOKUP(E404,'Team Reference'!$A:$B,2,FALSE())</f>
        <v>LAR</v>
      </c>
      <c r="O404" s="1" t="str">
        <f aca="false">IF(F404&gt;G404,M404,IF(G404&gt;F404,N404,"Tie"))</f>
        <v>LAR</v>
      </c>
      <c r="P404" s="1" t="n">
        <f aca="false">F404-G404</f>
        <v>-1</v>
      </c>
      <c r="Q404" s="1" t="n">
        <f aca="false">F404+G404</f>
        <v>25</v>
      </c>
      <c r="R404" s="1" t="str">
        <f aca="false">IF(H404=M404,"Home",IF(H404=N404,"Away",IF(H404="PICK","Pick","N/A")))</f>
        <v>Home</v>
      </c>
      <c r="S404" s="1" t="n">
        <f aca="false">IF(R404="Home",P404,IF(R404="Away",-P404,""))</f>
        <v>-1</v>
      </c>
      <c r="T404" s="1" t="str">
        <f aca="false">IF(R404="Pick","No Line",IF(S404="","N/A",IF(S404+I404&gt;0,"Favorite Covered",IF(S404+I404&lt;0,"Underdog Covered","Push"))))</f>
        <v>Underdog Covered</v>
      </c>
      <c r="U404" s="1" t="str">
        <f aca="false">IF(Q404&gt;J404,"Over",IF(Q404&lt;J404,"Under","Push"))</f>
        <v>Under</v>
      </c>
    </row>
    <row r="405" customFormat="false" ht="15" hidden="false" customHeight="false" outlineLevel="0" collapsed="false">
      <c r="A405" s="1" t="s">
        <v>264</v>
      </c>
      <c r="B405" s="1" t="n">
        <v>2011</v>
      </c>
      <c r="C405" s="1" t="s">
        <v>203</v>
      </c>
      <c r="D405" s="1" t="s">
        <v>69</v>
      </c>
      <c r="E405" s="1" t="s">
        <v>59</v>
      </c>
      <c r="F405" s="1" t="n">
        <v>44</v>
      </c>
      <c r="G405" s="1" t="n">
        <v>7</v>
      </c>
      <c r="H405" s="1" t="s">
        <v>70</v>
      </c>
      <c r="I405" s="1" t="n">
        <v>-4.5</v>
      </c>
      <c r="J405" s="1" t="n">
        <v>49</v>
      </c>
      <c r="K405" s="1" t="s">
        <v>165</v>
      </c>
      <c r="L405" s="1" t="b">
        <f aca="false">FALSE()</f>
        <v>0</v>
      </c>
      <c r="M405" s="1" t="str">
        <f aca="false">VLOOKUP(D405,'Team Reference'!$A:$B,2,FALSE())</f>
        <v>DAL</v>
      </c>
      <c r="N405" s="1" t="str">
        <f aca="false">VLOOKUP(E405,'Team Reference'!$A:$B,2,FALSE())</f>
        <v>BUF</v>
      </c>
      <c r="O405" s="1" t="str">
        <f aca="false">IF(F405&gt;G405,M405,IF(G405&gt;F405,N405,"Tie"))</f>
        <v>DAL</v>
      </c>
      <c r="P405" s="1" t="n">
        <f aca="false">F405-G405</f>
        <v>37</v>
      </c>
      <c r="Q405" s="1" t="n">
        <f aca="false">F405+G405</f>
        <v>51</v>
      </c>
      <c r="R405" s="1" t="str">
        <f aca="false">IF(H405=M405,"Home",IF(H405=N405,"Away",IF(H405="PICK","Pick","N/A")))</f>
        <v>Home</v>
      </c>
      <c r="S405" s="1" t="n">
        <f aca="false">IF(R405="Home",P405,IF(R405="Away",-P405,""))</f>
        <v>37</v>
      </c>
      <c r="T405" s="1" t="str">
        <f aca="false">IF(R405="Pick","No Line",IF(S405="","N/A",IF(S405+I405&gt;0,"Favorite Covered",IF(S405+I405&lt;0,"Underdog Covered","Push"))))</f>
        <v>Favorite Covered</v>
      </c>
      <c r="U405" s="1" t="str">
        <f aca="false">IF(Q405&gt;J405,"Over",IF(Q405&lt;J405,"Under","Push"))</f>
        <v>Over</v>
      </c>
    </row>
    <row r="406" customFormat="false" ht="15" hidden="false" customHeight="false" outlineLevel="0" collapsed="false">
      <c r="A406" s="1" t="s">
        <v>264</v>
      </c>
      <c r="B406" s="1" t="n">
        <v>2011</v>
      </c>
      <c r="C406" s="1" t="s">
        <v>203</v>
      </c>
      <c r="D406" s="1" t="s">
        <v>79</v>
      </c>
      <c r="E406" s="1" t="s">
        <v>81</v>
      </c>
      <c r="F406" s="1" t="n">
        <v>3</v>
      </c>
      <c r="G406" s="1" t="n">
        <v>17</v>
      </c>
      <c r="H406" s="1" t="s">
        <v>82</v>
      </c>
      <c r="I406" s="1" t="n">
        <v>-3</v>
      </c>
      <c r="J406" s="1" t="n">
        <v>37.5</v>
      </c>
      <c r="K406" s="1" t="s">
        <v>169</v>
      </c>
      <c r="L406" s="1" t="b">
        <f aca="false">FALSE()</f>
        <v>0</v>
      </c>
      <c r="M406" s="1" t="str">
        <f aca="false">VLOOKUP(D406,'Team Reference'!$A:$B,2,FALSE())</f>
        <v>IND</v>
      </c>
      <c r="N406" s="1" t="str">
        <f aca="false">VLOOKUP(E406,'Team Reference'!$A:$B,2,FALSE())</f>
        <v>JAX</v>
      </c>
      <c r="O406" s="1" t="str">
        <f aca="false">IF(F406&gt;G406,M406,IF(G406&gt;F406,N406,"Tie"))</f>
        <v>JAX</v>
      </c>
      <c r="P406" s="1" t="n">
        <f aca="false">F406-G406</f>
        <v>-14</v>
      </c>
      <c r="Q406" s="1" t="n">
        <f aca="false">F406+G406</f>
        <v>20</v>
      </c>
      <c r="R406" s="1" t="str">
        <f aca="false">IF(H406=M406,"Home",IF(H406=N406,"Away",IF(H406="PICK","Pick","N/A")))</f>
        <v>Away</v>
      </c>
      <c r="S406" s="1" t="n">
        <f aca="false">IF(R406="Home",P406,IF(R406="Away",-P406,""))</f>
        <v>14</v>
      </c>
      <c r="T406" s="1" t="str">
        <f aca="false">IF(R406="Pick","No Line",IF(S406="","N/A",IF(S406+I406&gt;0,"Favorite Covered",IF(S406+I406&lt;0,"Underdog Covered","Push"))))</f>
        <v>Favorite Covered</v>
      </c>
      <c r="U406" s="1" t="str">
        <f aca="false">IF(Q406&gt;J406,"Over",IF(Q406&lt;J406,"Under","Push"))</f>
        <v>Under</v>
      </c>
    </row>
    <row r="407" customFormat="false" ht="15" hidden="false" customHeight="false" outlineLevel="0" collapsed="false">
      <c r="A407" s="1" t="s">
        <v>264</v>
      </c>
      <c r="B407" s="1" t="n">
        <v>2011</v>
      </c>
      <c r="C407" s="1" t="s">
        <v>203</v>
      </c>
      <c r="D407" s="1" t="s">
        <v>83</v>
      </c>
      <c r="E407" s="1" t="s">
        <v>71</v>
      </c>
      <c r="F407" s="1" t="n">
        <v>10</v>
      </c>
      <c r="G407" s="1" t="n">
        <v>17</v>
      </c>
      <c r="H407" s="1" t="s">
        <v>84</v>
      </c>
      <c r="I407" s="1" t="n">
        <v>-3.5</v>
      </c>
      <c r="J407" s="1" t="n">
        <v>42.5</v>
      </c>
      <c r="K407" s="1" t="s">
        <v>158</v>
      </c>
      <c r="L407" s="1" t="b">
        <f aca="false">FALSE()</f>
        <v>0</v>
      </c>
      <c r="M407" s="1" t="str">
        <f aca="false">VLOOKUP(D407,'Team Reference'!$A:$B,2,FALSE())</f>
        <v>KC</v>
      </c>
      <c r="N407" s="1" t="str">
        <f aca="false">VLOOKUP(E407,'Team Reference'!$A:$B,2,FALSE())</f>
        <v>DEN</v>
      </c>
      <c r="O407" s="1" t="str">
        <f aca="false">IF(F407&gt;G407,M407,IF(G407&gt;F407,N407,"Tie"))</f>
        <v>DEN</v>
      </c>
      <c r="P407" s="1" t="n">
        <f aca="false">F407-G407</f>
        <v>-7</v>
      </c>
      <c r="Q407" s="1" t="n">
        <f aca="false">F407+G407</f>
        <v>27</v>
      </c>
      <c r="R407" s="1" t="str">
        <f aca="false">IF(H407=M407,"Home",IF(H407=N407,"Away",IF(H407="PICK","Pick","N/A")))</f>
        <v>Home</v>
      </c>
      <c r="S407" s="1" t="n">
        <f aca="false">IF(R407="Home",P407,IF(R407="Away",-P407,""))</f>
        <v>-7</v>
      </c>
      <c r="T407" s="1" t="str">
        <f aca="false">IF(R407="Pick","No Line",IF(S407="","N/A",IF(S407+I407&gt;0,"Favorite Covered",IF(S407+I407&lt;0,"Underdog Covered","Push"))))</f>
        <v>Underdog Covered</v>
      </c>
      <c r="U407" s="1" t="str">
        <f aca="false">IF(Q407&gt;J407,"Over",IF(Q407&lt;J407,"Under","Push"))</f>
        <v>Under</v>
      </c>
    </row>
    <row r="408" customFormat="false" ht="15" hidden="false" customHeight="false" outlineLevel="0" collapsed="false">
      <c r="A408" s="1" t="s">
        <v>264</v>
      </c>
      <c r="B408" s="1" t="n">
        <v>2011</v>
      </c>
      <c r="C408" s="1" t="s">
        <v>203</v>
      </c>
      <c r="D408" s="1" t="s">
        <v>89</v>
      </c>
      <c r="E408" s="1" t="s">
        <v>117</v>
      </c>
      <c r="F408" s="1" t="n">
        <v>20</v>
      </c>
      <c r="G408" s="1" t="n">
        <v>9</v>
      </c>
      <c r="H408" s="1" t="s">
        <v>90</v>
      </c>
      <c r="I408" s="1" t="n">
        <v>-4</v>
      </c>
      <c r="J408" s="1" t="n">
        <v>38</v>
      </c>
      <c r="K408" s="1" t="s">
        <v>179</v>
      </c>
      <c r="L408" s="1" t="b">
        <f aca="false">FALSE()</f>
        <v>0</v>
      </c>
      <c r="M408" s="1" t="str">
        <f aca="false">VLOOKUP(D408,'Team Reference'!$A:$B,2,FALSE())</f>
        <v>MIA</v>
      </c>
      <c r="N408" s="1" t="str">
        <f aca="false">VLOOKUP(E408,'Team Reference'!$A:$B,2,FALSE())</f>
        <v>WAS</v>
      </c>
      <c r="O408" s="1" t="str">
        <f aca="false">IF(F408&gt;G408,M408,IF(G408&gt;F408,N408,"Tie"))</f>
        <v>MIA</v>
      </c>
      <c r="P408" s="1" t="n">
        <f aca="false">F408-G408</f>
        <v>11</v>
      </c>
      <c r="Q408" s="1" t="n">
        <f aca="false">F408+G408</f>
        <v>29</v>
      </c>
      <c r="R408" s="1" t="str">
        <f aca="false">IF(H408=M408,"Home",IF(H408=N408,"Away",IF(H408="PICK","Pick","N/A")))</f>
        <v>Home</v>
      </c>
      <c r="S408" s="1" t="n">
        <f aca="false">IF(R408="Home",P408,IF(R408="Away",-P408,""))</f>
        <v>11</v>
      </c>
      <c r="T408" s="1" t="str">
        <f aca="false">IF(R408="Pick","No Line",IF(S408="","N/A",IF(S408+I408&gt;0,"Favorite Covered",IF(S408+I408&lt;0,"Underdog Covered","Push"))))</f>
        <v>Favorite Covered</v>
      </c>
      <c r="U408" s="1" t="str">
        <f aca="false">IF(Q408&gt;J408,"Over",IF(Q408&lt;J408,"Under","Push"))</f>
        <v>Under</v>
      </c>
    </row>
    <row r="409" customFormat="false" ht="15" hidden="false" customHeight="false" outlineLevel="0" collapsed="false">
      <c r="A409" s="1" t="s">
        <v>264</v>
      </c>
      <c r="B409" s="1" t="n">
        <v>2011</v>
      </c>
      <c r="C409" s="1" t="s">
        <v>203</v>
      </c>
      <c r="D409" s="1" t="s">
        <v>99</v>
      </c>
      <c r="E409" s="1" t="s">
        <v>93</v>
      </c>
      <c r="F409" s="1" t="n">
        <v>16</v>
      </c>
      <c r="G409" s="1" t="n">
        <v>37</v>
      </c>
      <c r="H409" s="1" t="s">
        <v>100</v>
      </c>
      <c r="I409" s="1" t="n">
        <v>-2.5</v>
      </c>
      <c r="J409" s="1" t="n">
        <v>47</v>
      </c>
      <c r="K409" s="1" t="s">
        <v>149</v>
      </c>
      <c r="L409" s="1" t="b">
        <f aca="false">FALSE()</f>
        <v>0</v>
      </c>
      <c r="M409" s="1" t="str">
        <f aca="false">VLOOKUP(D409,'Team Reference'!$A:$B,2,FALSE())</f>
        <v>NYJ</v>
      </c>
      <c r="N409" s="1" t="str">
        <f aca="false">VLOOKUP(E409,'Team Reference'!$A:$B,2,FALSE())</f>
        <v>NE</v>
      </c>
      <c r="O409" s="1" t="str">
        <f aca="false">IF(F409&gt;G409,M409,IF(G409&gt;F409,N409,"Tie"))</f>
        <v>NE</v>
      </c>
      <c r="P409" s="1" t="n">
        <f aca="false">F409-G409</f>
        <v>-21</v>
      </c>
      <c r="Q409" s="1" t="n">
        <f aca="false">F409+G409</f>
        <v>53</v>
      </c>
      <c r="R409" s="1" t="str">
        <f aca="false">IF(H409=M409,"Home",IF(H409=N409,"Away",IF(H409="PICK","Pick","N/A")))</f>
        <v>Home</v>
      </c>
      <c r="S409" s="1" t="n">
        <f aca="false">IF(R409="Home",P409,IF(R409="Away",-P409,""))</f>
        <v>-21</v>
      </c>
      <c r="T409" s="1" t="str">
        <f aca="false">IF(R409="Pick","No Line",IF(S409="","N/A",IF(S409+I409&gt;0,"Favorite Covered",IF(S409+I409&lt;0,"Underdog Covered","Push"))))</f>
        <v>Underdog Covered</v>
      </c>
      <c r="U409" s="1" t="str">
        <f aca="false">IF(Q409&gt;J409,"Over",IF(Q409&lt;J409,"Under","Push"))</f>
        <v>Over</v>
      </c>
    </row>
    <row r="410" customFormat="false" ht="15" hidden="false" customHeight="false" outlineLevel="0" collapsed="false">
      <c r="A410" s="1" t="s">
        <v>264</v>
      </c>
      <c r="B410" s="1" t="n">
        <v>2011</v>
      </c>
      <c r="C410" s="1" t="s">
        <v>203</v>
      </c>
      <c r="D410" s="1" t="s">
        <v>103</v>
      </c>
      <c r="E410" s="1" t="s">
        <v>53</v>
      </c>
      <c r="F410" s="1" t="n">
        <v>17</v>
      </c>
      <c r="G410" s="1" t="n">
        <v>21</v>
      </c>
      <c r="H410" s="1" t="s">
        <v>104</v>
      </c>
      <c r="I410" s="1" t="n">
        <v>-13</v>
      </c>
      <c r="J410" s="1" t="n">
        <v>47.5</v>
      </c>
      <c r="K410" s="1" t="s">
        <v>150</v>
      </c>
      <c r="L410" s="1" t="b">
        <f aca="false">FALSE()</f>
        <v>0</v>
      </c>
      <c r="M410" s="1" t="str">
        <f aca="false">VLOOKUP(D410,'Team Reference'!$A:$B,2,FALSE())</f>
        <v>PHI</v>
      </c>
      <c r="N410" s="1" t="str">
        <f aca="false">VLOOKUP(E410,'Team Reference'!$A:$B,2,FALSE())</f>
        <v>ARI</v>
      </c>
      <c r="O410" s="1" t="str">
        <f aca="false">IF(F410&gt;G410,M410,IF(G410&gt;F410,N410,"Tie"))</f>
        <v>ARI</v>
      </c>
      <c r="P410" s="1" t="n">
        <f aca="false">F410-G410</f>
        <v>-4</v>
      </c>
      <c r="Q410" s="1" t="n">
        <f aca="false">F410+G410</f>
        <v>38</v>
      </c>
      <c r="R410" s="1" t="str">
        <f aca="false">IF(H410=M410,"Home",IF(H410=N410,"Away",IF(H410="PICK","Pick","N/A")))</f>
        <v>Home</v>
      </c>
      <c r="S410" s="1" t="n">
        <f aca="false">IF(R410="Home",P410,IF(R410="Away",-P410,""))</f>
        <v>-4</v>
      </c>
      <c r="T410" s="1" t="str">
        <f aca="false">IF(R410="Pick","No Line",IF(S410="","N/A",IF(S410+I410&gt;0,"Favorite Covered",IF(S410+I410&lt;0,"Underdog Covered","Push"))))</f>
        <v>Underdog Covered</v>
      </c>
      <c r="U410" s="1" t="str">
        <f aca="false">IF(Q410&gt;J410,"Over",IF(Q410&lt;J410,"Under","Push"))</f>
        <v>Under</v>
      </c>
    </row>
    <row r="411" customFormat="false" ht="15" hidden="false" customHeight="false" outlineLevel="0" collapsed="false">
      <c r="A411" s="1" t="s">
        <v>264</v>
      </c>
      <c r="B411" s="1" t="n">
        <v>2011</v>
      </c>
      <c r="C411" s="1" t="s">
        <v>203</v>
      </c>
      <c r="D411" s="1" t="s">
        <v>108</v>
      </c>
      <c r="E411" s="1" t="s">
        <v>97</v>
      </c>
      <c r="F411" s="1" t="n">
        <v>27</v>
      </c>
      <c r="G411" s="1" t="n">
        <v>20</v>
      </c>
      <c r="H411" s="1" t="s">
        <v>109</v>
      </c>
      <c r="I411" s="1" t="n">
        <v>-4</v>
      </c>
      <c r="J411" s="1" t="n">
        <v>42.5</v>
      </c>
      <c r="K411" s="1" t="s">
        <v>174</v>
      </c>
      <c r="L411" s="1" t="b">
        <f aca="false">FALSE()</f>
        <v>0</v>
      </c>
      <c r="M411" s="1" t="str">
        <f aca="false">VLOOKUP(D411,'Team Reference'!$A:$B,2,FALSE())</f>
        <v>SF</v>
      </c>
      <c r="N411" s="1" t="str">
        <f aca="false">VLOOKUP(E411,'Team Reference'!$A:$B,2,FALSE())</f>
        <v>NYG</v>
      </c>
      <c r="O411" s="1" t="str">
        <f aca="false">IF(F411&gt;G411,M411,IF(G411&gt;F411,N411,"Tie"))</f>
        <v>SF</v>
      </c>
      <c r="P411" s="1" t="n">
        <f aca="false">F411-G411</f>
        <v>7</v>
      </c>
      <c r="Q411" s="1" t="n">
        <f aca="false">F411+G411</f>
        <v>47</v>
      </c>
      <c r="R411" s="1" t="str">
        <f aca="false">IF(H411=M411,"Home",IF(H411=N411,"Away",IF(H411="PICK","Pick","N/A")))</f>
        <v>Home</v>
      </c>
      <c r="S411" s="1" t="n">
        <f aca="false">IF(R411="Home",P411,IF(R411="Away",-P411,""))</f>
        <v>7</v>
      </c>
      <c r="T411" s="1" t="str">
        <f aca="false">IF(R411="Pick","No Line",IF(S411="","N/A",IF(S411+I411&gt;0,"Favorite Covered",IF(S411+I411&lt;0,"Underdog Covered","Push"))))</f>
        <v>Favorite Covered</v>
      </c>
      <c r="U411" s="1" t="str">
        <f aca="false">IF(Q411&gt;J411,"Over",IF(Q411&lt;J411,"Under","Push"))</f>
        <v>Over</v>
      </c>
    </row>
    <row r="412" customFormat="false" ht="15" hidden="false" customHeight="false" outlineLevel="0" collapsed="false">
      <c r="A412" s="1" t="s">
        <v>264</v>
      </c>
      <c r="B412" s="1" t="n">
        <v>2011</v>
      </c>
      <c r="C412" s="1" t="s">
        <v>203</v>
      </c>
      <c r="D412" s="1" t="s">
        <v>110</v>
      </c>
      <c r="E412" s="1" t="s">
        <v>57</v>
      </c>
      <c r="F412" s="1" t="n">
        <v>22</v>
      </c>
      <c r="G412" s="1" t="n">
        <v>17</v>
      </c>
      <c r="H412" s="1" t="s">
        <v>58</v>
      </c>
      <c r="I412" s="1" t="n">
        <v>-7</v>
      </c>
      <c r="J412" s="1" t="n">
        <v>39</v>
      </c>
      <c r="K412" s="1" t="s">
        <v>152</v>
      </c>
      <c r="L412" s="1" t="b">
        <f aca="false">FALSE()</f>
        <v>0</v>
      </c>
      <c r="M412" s="1" t="str">
        <f aca="false">VLOOKUP(D412,'Team Reference'!$A:$B,2,FALSE())</f>
        <v>SEA</v>
      </c>
      <c r="N412" s="1" t="str">
        <f aca="false">VLOOKUP(E412,'Team Reference'!$A:$B,2,FALSE())</f>
        <v>BAL</v>
      </c>
      <c r="O412" s="1" t="str">
        <f aca="false">IF(F412&gt;G412,M412,IF(G412&gt;F412,N412,"Tie"))</f>
        <v>SEA</v>
      </c>
      <c r="P412" s="1" t="n">
        <f aca="false">F412-G412</f>
        <v>5</v>
      </c>
      <c r="Q412" s="1" t="n">
        <f aca="false">F412+G412</f>
        <v>39</v>
      </c>
      <c r="R412" s="1" t="str">
        <f aca="false">IF(H412=M412,"Home",IF(H412=N412,"Away",IF(H412="PICK","Pick","N/A")))</f>
        <v>Away</v>
      </c>
      <c r="S412" s="1" t="n">
        <f aca="false">IF(R412="Home",P412,IF(R412="Away",-P412,""))</f>
        <v>-5</v>
      </c>
      <c r="T412" s="1" t="str">
        <f aca="false">IF(R412="Pick","No Line",IF(S412="","N/A",IF(S412+I412&gt;0,"Favorite Covered",IF(S412+I412&lt;0,"Underdog Covered","Push"))))</f>
        <v>Underdog Covered</v>
      </c>
      <c r="U412" s="1" t="str">
        <f aca="false">IF(Q412&gt;J412,"Over",IF(Q412&lt;J412,"Under","Push"))</f>
        <v>Push</v>
      </c>
    </row>
    <row r="413" customFormat="false" ht="15" hidden="false" customHeight="false" outlineLevel="0" collapsed="false">
      <c r="A413" s="1" t="s">
        <v>264</v>
      </c>
      <c r="B413" s="1" t="n">
        <v>2011</v>
      </c>
      <c r="C413" s="1" t="s">
        <v>203</v>
      </c>
      <c r="D413" s="1" t="s">
        <v>113</v>
      </c>
      <c r="E413" s="1" t="s">
        <v>77</v>
      </c>
      <c r="F413" s="1" t="n">
        <v>9</v>
      </c>
      <c r="G413" s="1" t="n">
        <v>37</v>
      </c>
      <c r="H413" s="1" t="s">
        <v>78</v>
      </c>
      <c r="I413" s="1" t="n">
        <v>-4</v>
      </c>
      <c r="J413" s="1" t="n">
        <v>45.5</v>
      </c>
      <c r="K413" s="1" t="s">
        <v>154</v>
      </c>
      <c r="L413" s="1" t="b">
        <f aca="false">FALSE()</f>
        <v>0</v>
      </c>
      <c r="M413" s="1" t="str">
        <f aca="false">VLOOKUP(D413,'Team Reference'!$A:$B,2,FALSE())</f>
        <v>TB</v>
      </c>
      <c r="N413" s="1" t="str">
        <f aca="false">VLOOKUP(E413,'Team Reference'!$A:$B,2,FALSE())</f>
        <v>HOU</v>
      </c>
      <c r="O413" s="1" t="str">
        <f aca="false">IF(F413&gt;G413,M413,IF(G413&gt;F413,N413,"Tie"))</f>
        <v>HOU</v>
      </c>
      <c r="P413" s="1" t="n">
        <f aca="false">F413-G413</f>
        <v>-28</v>
      </c>
      <c r="Q413" s="1" t="n">
        <f aca="false">F413+G413</f>
        <v>46</v>
      </c>
      <c r="R413" s="1" t="str">
        <f aca="false">IF(H413=M413,"Home",IF(H413=N413,"Away",IF(H413="PICK","Pick","N/A")))</f>
        <v>Away</v>
      </c>
      <c r="S413" s="1" t="n">
        <f aca="false">IF(R413="Home",P413,IF(R413="Away",-P413,""))</f>
        <v>28</v>
      </c>
      <c r="T413" s="1" t="str">
        <f aca="false">IF(R413="Pick","No Line",IF(S413="","N/A",IF(S413+I413&gt;0,"Favorite Covered",IF(S413+I413&lt;0,"Underdog Covered","Push"))))</f>
        <v>Favorite Covered</v>
      </c>
      <c r="U413" s="1" t="str">
        <f aca="false">IF(Q413&gt;J413,"Over",IF(Q413&lt;J413,"Under","Push"))</f>
        <v>Over</v>
      </c>
    </row>
    <row r="414" customFormat="false" ht="15" hidden="false" customHeight="false" outlineLevel="0" collapsed="false">
      <c r="A414" s="1" t="s">
        <v>265</v>
      </c>
      <c r="B414" s="1" t="n">
        <v>2011</v>
      </c>
      <c r="C414" s="1" t="s">
        <v>203</v>
      </c>
      <c r="D414" s="1" t="s">
        <v>75</v>
      </c>
      <c r="E414" s="1" t="s">
        <v>91</v>
      </c>
      <c r="F414" s="1" t="n">
        <v>45</v>
      </c>
      <c r="G414" s="1" t="n">
        <v>7</v>
      </c>
      <c r="H414" s="1" t="s">
        <v>76</v>
      </c>
      <c r="I414" s="1" t="n">
        <v>-13</v>
      </c>
      <c r="J414" s="1" t="n">
        <v>50</v>
      </c>
      <c r="K414" s="1" t="s">
        <v>168</v>
      </c>
      <c r="L414" s="1" t="b">
        <f aca="false">FALSE()</f>
        <v>0</v>
      </c>
      <c r="M414" s="1" t="str">
        <f aca="false">VLOOKUP(D414,'Team Reference'!$A:$B,2,FALSE())</f>
        <v>GB</v>
      </c>
      <c r="N414" s="1" t="str">
        <f aca="false">VLOOKUP(E414,'Team Reference'!$A:$B,2,FALSE())</f>
        <v>MIN</v>
      </c>
      <c r="O414" s="1" t="str">
        <f aca="false">IF(F414&gt;G414,M414,IF(G414&gt;F414,N414,"Tie"))</f>
        <v>GB</v>
      </c>
      <c r="P414" s="1" t="n">
        <f aca="false">F414-G414</f>
        <v>38</v>
      </c>
      <c r="Q414" s="1" t="n">
        <f aca="false">F414+G414</f>
        <v>52</v>
      </c>
      <c r="R414" s="1" t="str">
        <f aca="false">IF(H414=M414,"Home",IF(H414=N414,"Away",IF(H414="PICK","Pick","N/A")))</f>
        <v>Home</v>
      </c>
      <c r="S414" s="1" t="n">
        <f aca="false">IF(R414="Home",P414,IF(R414="Away",-P414,""))</f>
        <v>38</v>
      </c>
      <c r="T414" s="1" t="str">
        <f aca="false">IF(R414="Pick","No Line",IF(S414="","N/A",IF(S414+I414&gt;0,"Favorite Covered",IF(S414+I414&lt;0,"Underdog Covered","Push"))))</f>
        <v>Favorite Covered</v>
      </c>
      <c r="U414" s="1" t="str">
        <f aca="false">IF(Q414&gt;J414,"Over",IF(Q414&lt;J414,"Under","Push"))</f>
        <v>Over</v>
      </c>
    </row>
    <row r="415" customFormat="false" ht="15" hidden="false" customHeight="false" outlineLevel="0" collapsed="false">
      <c r="A415" s="1" t="s">
        <v>266</v>
      </c>
      <c r="B415" s="1" t="n">
        <v>2011</v>
      </c>
      <c r="C415" s="1" t="s">
        <v>207</v>
      </c>
      <c r="D415" s="1" t="s">
        <v>71</v>
      </c>
      <c r="E415" s="1" t="s">
        <v>99</v>
      </c>
      <c r="F415" s="1" t="n">
        <v>17</v>
      </c>
      <c r="G415" s="1" t="n">
        <v>13</v>
      </c>
      <c r="H415" s="1" t="s">
        <v>100</v>
      </c>
      <c r="I415" s="1" t="n">
        <v>-6.5</v>
      </c>
      <c r="J415" s="1" t="n">
        <v>38.5</v>
      </c>
      <c r="K415" s="1" t="s">
        <v>166</v>
      </c>
      <c r="L415" s="1" t="b">
        <f aca="false">FALSE()</f>
        <v>0</v>
      </c>
      <c r="M415" s="1" t="str">
        <f aca="false">VLOOKUP(D415,'Team Reference'!$A:$B,2,FALSE())</f>
        <v>DEN</v>
      </c>
      <c r="N415" s="1" t="str">
        <f aca="false">VLOOKUP(E415,'Team Reference'!$A:$B,2,FALSE())</f>
        <v>NYJ</v>
      </c>
      <c r="O415" s="1" t="str">
        <f aca="false">IF(F415&gt;G415,M415,IF(G415&gt;F415,N415,"Tie"))</f>
        <v>DEN</v>
      </c>
      <c r="P415" s="1" t="n">
        <f aca="false">F415-G415</f>
        <v>4</v>
      </c>
      <c r="Q415" s="1" t="n">
        <f aca="false">F415+G415</f>
        <v>30</v>
      </c>
      <c r="R415" s="1" t="str">
        <f aca="false">IF(H415=M415,"Home",IF(H415=N415,"Away",IF(H415="PICK","Pick","N/A")))</f>
        <v>Away</v>
      </c>
      <c r="S415" s="1" t="n">
        <f aca="false">IF(R415="Home",P415,IF(R415="Away",-P415,""))</f>
        <v>-4</v>
      </c>
      <c r="T415" s="1" t="str">
        <f aca="false">IF(R415="Pick","No Line",IF(S415="","N/A",IF(S415+I415&gt;0,"Favorite Covered",IF(S415+I415&lt;0,"Underdog Covered","Push"))))</f>
        <v>Underdog Covered</v>
      </c>
      <c r="U415" s="1" t="str">
        <f aca="false">IF(Q415&gt;J415,"Over",IF(Q415&lt;J415,"Under","Push"))</f>
        <v>Under</v>
      </c>
    </row>
    <row r="416" customFormat="false" ht="15" hidden="false" customHeight="false" outlineLevel="0" collapsed="false">
      <c r="A416" s="1" t="s">
        <v>267</v>
      </c>
      <c r="B416" s="1" t="n">
        <v>2011</v>
      </c>
      <c r="C416" s="1" t="s">
        <v>207</v>
      </c>
      <c r="D416" s="1" t="s">
        <v>55</v>
      </c>
      <c r="E416" s="1" t="s">
        <v>115</v>
      </c>
      <c r="F416" s="1" t="n">
        <v>23</v>
      </c>
      <c r="G416" s="1" t="n">
        <v>17</v>
      </c>
      <c r="H416" s="1" t="s">
        <v>56</v>
      </c>
      <c r="I416" s="1" t="n">
        <v>-6.5</v>
      </c>
      <c r="J416" s="1" t="n">
        <v>44</v>
      </c>
      <c r="K416" s="1" t="s">
        <v>161</v>
      </c>
      <c r="L416" s="1" t="b">
        <f aca="false">FALSE()</f>
        <v>0</v>
      </c>
      <c r="M416" s="1" t="str">
        <f aca="false">VLOOKUP(D416,'Team Reference'!$A:$B,2,FALSE())</f>
        <v>ATL</v>
      </c>
      <c r="N416" s="1" t="str">
        <f aca="false">VLOOKUP(E416,'Team Reference'!$A:$B,2,FALSE())</f>
        <v>TEN</v>
      </c>
      <c r="O416" s="1" t="str">
        <f aca="false">IF(F416&gt;G416,M416,IF(G416&gt;F416,N416,"Tie"))</f>
        <v>ATL</v>
      </c>
      <c r="P416" s="1" t="n">
        <f aca="false">F416-G416</f>
        <v>6</v>
      </c>
      <c r="Q416" s="1" t="n">
        <f aca="false">F416+G416</f>
        <v>40</v>
      </c>
      <c r="R416" s="1" t="str">
        <f aca="false">IF(H416=M416,"Home",IF(H416=N416,"Away",IF(H416="PICK","Pick","N/A")))</f>
        <v>Home</v>
      </c>
      <c r="S416" s="1" t="n">
        <f aca="false">IF(R416="Home",P416,IF(R416="Away",-P416,""))</f>
        <v>6</v>
      </c>
      <c r="T416" s="1" t="str">
        <f aca="false">IF(R416="Pick","No Line",IF(S416="","N/A",IF(S416+I416&gt;0,"Favorite Covered",IF(S416+I416&lt;0,"Underdog Covered","Push"))))</f>
        <v>Underdog Covered</v>
      </c>
      <c r="U416" s="1" t="str">
        <f aca="false">IF(Q416&gt;J416,"Over",IF(Q416&lt;J416,"Under","Push"))</f>
        <v>Under</v>
      </c>
    </row>
    <row r="417" customFormat="false" ht="15" hidden="false" customHeight="false" outlineLevel="0" collapsed="false">
      <c r="A417" s="1" t="s">
        <v>267</v>
      </c>
      <c r="B417" s="1" t="n">
        <v>2011</v>
      </c>
      <c r="C417" s="1" t="s">
        <v>207</v>
      </c>
      <c r="D417" s="1" t="s">
        <v>57</v>
      </c>
      <c r="E417" s="1" t="s">
        <v>65</v>
      </c>
      <c r="F417" s="1" t="n">
        <v>31</v>
      </c>
      <c r="G417" s="1" t="n">
        <v>24</v>
      </c>
      <c r="H417" s="1" t="s">
        <v>58</v>
      </c>
      <c r="I417" s="1" t="n">
        <v>-7</v>
      </c>
      <c r="J417" s="1" t="n">
        <v>40.5</v>
      </c>
      <c r="K417" s="1" t="s">
        <v>178</v>
      </c>
      <c r="L417" s="1" t="b">
        <f aca="false">FALSE()</f>
        <v>0</v>
      </c>
      <c r="M417" s="1" t="str">
        <f aca="false">VLOOKUP(D417,'Team Reference'!$A:$B,2,FALSE())</f>
        <v>BAL</v>
      </c>
      <c r="N417" s="1" t="str">
        <f aca="false">VLOOKUP(E417,'Team Reference'!$A:$B,2,FALSE())</f>
        <v>CIN</v>
      </c>
      <c r="O417" s="1" t="str">
        <f aca="false">IF(F417&gt;G417,M417,IF(G417&gt;F417,N417,"Tie"))</f>
        <v>BAL</v>
      </c>
      <c r="P417" s="1" t="n">
        <f aca="false">F417-G417</f>
        <v>7</v>
      </c>
      <c r="Q417" s="1" t="n">
        <f aca="false">F417+G417</f>
        <v>55</v>
      </c>
      <c r="R417" s="1" t="str">
        <f aca="false">IF(H417=M417,"Home",IF(H417=N417,"Away",IF(H417="PICK","Pick","N/A")))</f>
        <v>Home</v>
      </c>
      <c r="S417" s="1" t="n">
        <f aca="false">IF(R417="Home",P417,IF(R417="Away",-P417,""))</f>
        <v>7</v>
      </c>
      <c r="T417" s="1" t="str">
        <f aca="false">IF(R417="Pick","No Line",IF(S417="","N/A",IF(S417+I417&gt;0,"Favorite Covered",IF(S417+I417&lt;0,"Underdog Covered","Push"))))</f>
        <v>Push</v>
      </c>
      <c r="U417" s="1" t="str">
        <f aca="false">IF(Q417&gt;J417,"Over",IF(Q417&lt;J417,"Under","Push"))</f>
        <v>Over</v>
      </c>
    </row>
    <row r="418" customFormat="false" ht="15" hidden="false" customHeight="false" outlineLevel="0" collapsed="false">
      <c r="A418" s="1" t="s">
        <v>267</v>
      </c>
      <c r="B418" s="1" t="n">
        <v>2011</v>
      </c>
      <c r="C418" s="1" t="s">
        <v>207</v>
      </c>
      <c r="D418" s="1" t="s">
        <v>63</v>
      </c>
      <c r="E418" s="1" t="s">
        <v>107</v>
      </c>
      <c r="F418" s="1" t="n">
        <v>31</v>
      </c>
      <c r="G418" s="1" t="n">
        <v>20</v>
      </c>
      <c r="H418" s="1" t="s">
        <v>64</v>
      </c>
      <c r="I418" s="1" t="n">
        <v>-4.5</v>
      </c>
      <c r="J418" s="1" t="n">
        <v>45.5</v>
      </c>
      <c r="K418" s="1" t="s">
        <v>145</v>
      </c>
      <c r="L418" s="1" t="b">
        <f aca="false">FALSE()</f>
        <v>0</v>
      </c>
      <c r="M418" s="1" t="str">
        <f aca="false">VLOOKUP(D418,'Team Reference'!$A:$B,2,FALSE())</f>
        <v>CHI</v>
      </c>
      <c r="N418" s="1" t="str">
        <f aca="false">VLOOKUP(E418,'Team Reference'!$A:$B,2,FALSE())</f>
        <v>LAC</v>
      </c>
      <c r="O418" s="1" t="str">
        <f aca="false">IF(F418&gt;G418,M418,IF(G418&gt;F418,N418,"Tie"))</f>
        <v>CHI</v>
      </c>
      <c r="P418" s="1" t="n">
        <f aca="false">F418-G418</f>
        <v>11</v>
      </c>
      <c r="Q418" s="1" t="n">
        <f aca="false">F418+G418</f>
        <v>51</v>
      </c>
      <c r="R418" s="1" t="str">
        <f aca="false">IF(H418=M418,"Home",IF(H418=N418,"Away",IF(H418="PICK","Pick","N/A")))</f>
        <v>Home</v>
      </c>
      <c r="S418" s="1" t="n">
        <f aca="false">IF(R418="Home",P418,IF(R418="Away",-P418,""))</f>
        <v>11</v>
      </c>
      <c r="T418" s="1" t="str">
        <f aca="false">IF(R418="Pick","No Line",IF(S418="","N/A",IF(S418+I418&gt;0,"Favorite Covered",IF(S418+I418&lt;0,"Underdog Covered","Push"))))</f>
        <v>Favorite Covered</v>
      </c>
      <c r="U418" s="1" t="str">
        <f aca="false">IF(Q418&gt;J418,"Over",IF(Q418&lt;J418,"Under","Push"))</f>
        <v>Over</v>
      </c>
    </row>
    <row r="419" customFormat="false" ht="15" hidden="false" customHeight="false" outlineLevel="0" collapsed="false">
      <c r="A419" s="1" t="s">
        <v>267</v>
      </c>
      <c r="B419" s="1" t="n">
        <v>2011</v>
      </c>
      <c r="C419" s="1" t="s">
        <v>207</v>
      </c>
      <c r="D419" s="1" t="s">
        <v>67</v>
      </c>
      <c r="E419" s="1" t="s">
        <v>81</v>
      </c>
      <c r="F419" s="1" t="n">
        <v>14</v>
      </c>
      <c r="G419" s="1" t="n">
        <v>10</v>
      </c>
      <c r="H419" s="1" t="s">
        <v>68</v>
      </c>
      <c r="I419" s="1" t="n">
        <v>-1.5</v>
      </c>
      <c r="J419" s="1" t="n">
        <v>34.5</v>
      </c>
      <c r="K419" s="1" t="s">
        <v>164</v>
      </c>
      <c r="L419" s="1" t="b">
        <f aca="false">FALSE()</f>
        <v>0</v>
      </c>
      <c r="M419" s="1" t="str">
        <f aca="false">VLOOKUP(D419,'Team Reference'!$A:$B,2,FALSE())</f>
        <v>CLE</v>
      </c>
      <c r="N419" s="1" t="str">
        <f aca="false">VLOOKUP(E419,'Team Reference'!$A:$B,2,FALSE())</f>
        <v>JAX</v>
      </c>
      <c r="O419" s="1" t="str">
        <f aca="false">IF(F419&gt;G419,M419,IF(G419&gt;F419,N419,"Tie"))</f>
        <v>CLE</v>
      </c>
      <c r="P419" s="1" t="n">
        <f aca="false">F419-G419</f>
        <v>4</v>
      </c>
      <c r="Q419" s="1" t="n">
        <f aca="false">F419+G419</f>
        <v>24</v>
      </c>
      <c r="R419" s="1" t="str">
        <f aca="false">IF(H419=M419,"Home",IF(H419=N419,"Away",IF(H419="PICK","Pick","N/A")))</f>
        <v>Home</v>
      </c>
      <c r="S419" s="1" t="n">
        <f aca="false">IF(R419="Home",P419,IF(R419="Away",-P419,""))</f>
        <v>4</v>
      </c>
      <c r="T419" s="1" t="str">
        <f aca="false">IF(R419="Pick","No Line",IF(S419="","N/A",IF(S419+I419&gt;0,"Favorite Covered",IF(S419+I419&lt;0,"Underdog Covered","Push"))))</f>
        <v>Favorite Covered</v>
      </c>
      <c r="U419" s="1" t="str">
        <f aca="false">IF(Q419&gt;J419,"Over",IF(Q419&lt;J419,"Under","Push"))</f>
        <v>Under</v>
      </c>
    </row>
    <row r="420" customFormat="false" ht="15" hidden="false" customHeight="false" outlineLevel="0" collapsed="false">
      <c r="A420" s="1" t="s">
        <v>267</v>
      </c>
      <c r="B420" s="1" t="n">
        <v>2011</v>
      </c>
      <c r="C420" s="1" t="s">
        <v>207</v>
      </c>
      <c r="D420" s="1" t="s">
        <v>73</v>
      </c>
      <c r="E420" s="1" t="s">
        <v>61</v>
      </c>
      <c r="F420" s="1" t="n">
        <v>49</v>
      </c>
      <c r="G420" s="1" t="n">
        <v>35</v>
      </c>
      <c r="H420" s="1" t="s">
        <v>74</v>
      </c>
      <c r="I420" s="1" t="n">
        <v>-7</v>
      </c>
      <c r="J420" s="1" t="n">
        <v>47.5</v>
      </c>
      <c r="K420" s="1" t="s">
        <v>167</v>
      </c>
      <c r="L420" s="1" t="b">
        <f aca="false">FALSE()</f>
        <v>0</v>
      </c>
      <c r="M420" s="1" t="str">
        <f aca="false">VLOOKUP(D420,'Team Reference'!$A:$B,2,FALSE())</f>
        <v>DET</v>
      </c>
      <c r="N420" s="1" t="str">
        <f aca="false">VLOOKUP(E420,'Team Reference'!$A:$B,2,FALSE())</f>
        <v>CAR</v>
      </c>
      <c r="O420" s="1" t="str">
        <f aca="false">IF(F420&gt;G420,M420,IF(G420&gt;F420,N420,"Tie"))</f>
        <v>DET</v>
      </c>
      <c r="P420" s="1" t="n">
        <f aca="false">F420-G420</f>
        <v>14</v>
      </c>
      <c r="Q420" s="1" t="n">
        <f aca="false">F420+G420</f>
        <v>84</v>
      </c>
      <c r="R420" s="1" t="str">
        <f aca="false">IF(H420=M420,"Home",IF(H420=N420,"Away",IF(H420="PICK","Pick","N/A")))</f>
        <v>Home</v>
      </c>
      <c r="S420" s="1" t="n">
        <f aca="false">IF(R420="Home",P420,IF(R420="Away",-P420,""))</f>
        <v>14</v>
      </c>
      <c r="T420" s="1" t="str">
        <f aca="false">IF(R420="Pick","No Line",IF(S420="","N/A",IF(S420+I420&gt;0,"Favorite Covered",IF(S420+I420&lt;0,"Underdog Covered","Push"))))</f>
        <v>Favorite Covered</v>
      </c>
      <c r="U420" s="1" t="str">
        <f aca="false">IF(Q420&gt;J420,"Over",IF(Q420&lt;J420,"Under","Push"))</f>
        <v>Over</v>
      </c>
    </row>
    <row r="421" customFormat="false" ht="15" hidden="false" customHeight="false" outlineLevel="0" collapsed="false">
      <c r="A421" s="1" t="s">
        <v>267</v>
      </c>
      <c r="B421" s="1" t="n">
        <v>2011</v>
      </c>
      <c r="C421" s="1" t="s">
        <v>207</v>
      </c>
      <c r="D421" s="1" t="s">
        <v>75</v>
      </c>
      <c r="E421" s="1" t="s">
        <v>113</v>
      </c>
      <c r="F421" s="1" t="n">
        <v>35</v>
      </c>
      <c r="G421" s="1" t="n">
        <v>26</v>
      </c>
      <c r="H421" s="1" t="s">
        <v>76</v>
      </c>
      <c r="I421" s="1" t="n">
        <v>-13.5</v>
      </c>
      <c r="J421" s="1" t="n">
        <v>49</v>
      </c>
      <c r="K421" s="1" t="s">
        <v>168</v>
      </c>
      <c r="L421" s="1" t="b">
        <f aca="false">FALSE()</f>
        <v>0</v>
      </c>
      <c r="M421" s="1" t="str">
        <f aca="false">VLOOKUP(D421,'Team Reference'!$A:$B,2,FALSE())</f>
        <v>GB</v>
      </c>
      <c r="N421" s="1" t="str">
        <f aca="false">VLOOKUP(E421,'Team Reference'!$A:$B,2,FALSE())</f>
        <v>TB</v>
      </c>
      <c r="O421" s="1" t="str">
        <f aca="false">IF(F421&gt;G421,M421,IF(G421&gt;F421,N421,"Tie"))</f>
        <v>GB</v>
      </c>
      <c r="P421" s="1" t="n">
        <f aca="false">F421-G421</f>
        <v>9</v>
      </c>
      <c r="Q421" s="1" t="n">
        <f aca="false">F421+G421</f>
        <v>61</v>
      </c>
      <c r="R421" s="1" t="str">
        <f aca="false">IF(H421=M421,"Home",IF(H421=N421,"Away",IF(H421="PICK","Pick","N/A")))</f>
        <v>Home</v>
      </c>
      <c r="S421" s="1" t="n">
        <f aca="false">IF(R421="Home",P421,IF(R421="Away",-P421,""))</f>
        <v>9</v>
      </c>
      <c r="T421" s="1" t="str">
        <f aca="false">IF(R421="Pick","No Line",IF(S421="","N/A",IF(S421+I421&gt;0,"Favorite Covered",IF(S421+I421&lt;0,"Underdog Covered","Push"))))</f>
        <v>Underdog Covered</v>
      </c>
      <c r="U421" s="1" t="str">
        <f aca="false">IF(Q421&gt;J421,"Over",IF(Q421&lt;J421,"Under","Push"))</f>
        <v>Over</v>
      </c>
    </row>
    <row r="422" customFormat="false" ht="15" hidden="false" customHeight="false" outlineLevel="0" collapsed="false">
      <c r="A422" s="1" t="s">
        <v>267</v>
      </c>
      <c r="B422" s="1" t="n">
        <v>2011</v>
      </c>
      <c r="C422" s="1" t="s">
        <v>207</v>
      </c>
      <c r="D422" s="1" t="s">
        <v>89</v>
      </c>
      <c r="E422" s="1" t="s">
        <v>59</v>
      </c>
      <c r="F422" s="1" t="n">
        <v>35</v>
      </c>
      <c r="G422" s="1" t="n">
        <v>8</v>
      </c>
      <c r="H422" s="1" t="s">
        <v>90</v>
      </c>
      <c r="I422" s="1" t="n">
        <v>-3</v>
      </c>
      <c r="J422" s="1" t="n">
        <v>44</v>
      </c>
      <c r="K422" s="1" t="s">
        <v>179</v>
      </c>
      <c r="L422" s="1" t="b">
        <f aca="false">FALSE()</f>
        <v>0</v>
      </c>
      <c r="M422" s="1" t="str">
        <f aca="false">VLOOKUP(D422,'Team Reference'!$A:$B,2,FALSE())</f>
        <v>MIA</v>
      </c>
      <c r="N422" s="1" t="str">
        <f aca="false">VLOOKUP(E422,'Team Reference'!$A:$B,2,FALSE())</f>
        <v>BUF</v>
      </c>
      <c r="O422" s="1" t="str">
        <f aca="false">IF(F422&gt;G422,M422,IF(G422&gt;F422,N422,"Tie"))</f>
        <v>MIA</v>
      </c>
      <c r="P422" s="1" t="n">
        <f aca="false">F422-G422</f>
        <v>27</v>
      </c>
      <c r="Q422" s="1" t="n">
        <f aca="false">F422+G422</f>
        <v>43</v>
      </c>
      <c r="R422" s="1" t="str">
        <f aca="false">IF(H422=M422,"Home",IF(H422=N422,"Away",IF(H422="PICK","Pick","N/A")))</f>
        <v>Home</v>
      </c>
      <c r="S422" s="1" t="n">
        <f aca="false">IF(R422="Home",P422,IF(R422="Away",-P422,""))</f>
        <v>27</v>
      </c>
      <c r="T422" s="1" t="str">
        <f aca="false">IF(R422="Pick","No Line",IF(S422="","N/A",IF(S422+I422&gt;0,"Favorite Covered",IF(S422+I422&lt;0,"Underdog Covered","Push"))))</f>
        <v>Favorite Covered</v>
      </c>
      <c r="U422" s="1" t="str">
        <f aca="false">IF(Q422&gt;J422,"Over",IF(Q422&lt;J422,"Under","Push"))</f>
        <v>Under</v>
      </c>
    </row>
    <row r="423" customFormat="false" ht="15" hidden="false" customHeight="false" outlineLevel="0" collapsed="false">
      <c r="A423" s="1" t="s">
        <v>267</v>
      </c>
      <c r="B423" s="1" t="n">
        <v>2011</v>
      </c>
      <c r="C423" s="1" t="s">
        <v>207</v>
      </c>
      <c r="D423" s="1" t="s">
        <v>91</v>
      </c>
      <c r="E423" s="1" t="s">
        <v>101</v>
      </c>
      <c r="F423" s="1" t="n">
        <v>21</v>
      </c>
      <c r="G423" s="1" t="n">
        <v>27</v>
      </c>
      <c r="H423" s="1" t="s">
        <v>92</v>
      </c>
      <c r="I423" s="1" t="n">
        <v>-2</v>
      </c>
      <c r="J423" s="1" t="n">
        <v>46.5</v>
      </c>
      <c r="K423" s="1" t="s">
        <v>170</v>
      </c>
      <c r="L423" s="1" t="b">
        <f aca="false">FALSE()</f>
        <v>0</v>
      </c>
      <c r="M423" s="1" t="str">
        <f aca="false">VLOOKUP(D423,'Team Reference'!$A:$B,2,FALSE())</f>
        <v>MIN</v>
      </c>
      <c r="N423" s="1" t="str">
        <f aca="false">VLOOKUP(E423,'Team Reference'!$A:$B,2,FALSE())</f>
        <v>OAK</v>
      </c>
      <c r="O423" s="1" t="str">
        <f aca="false">IF(F423&gt;G423,M423,IF(G423&gt;F423,N423,"Tie"))</f>
        <v>OAK</v>
      </c>
      <c r="P423" s="1" t="n">
        <f aca="false">F423-G423</f>
        <v>-6</v>
      </c>
      <c r="Q423" s="1" t="n">
        <f aca="false">F423+G423</f>
        <v>48</v>
      </c>
      <c r="R423" s="1" t="str">
        <f aca="false">IF(H423=M423,"Home",IF(H423=N423,"Away",IF(H423="PICK","Pick","N/A")))</f>
        <v>Home</v>
      </c>
      <c r="S423" s="1" t="n">
        <f aca="false">IF(R423="Home",P423,IF(R423="Away",-P423,""))</f>
        <v>-6</v>
      </c>
      <c r="T423" s="1" t="str">
        <f aca="false">IF(R423="Pick","No Line",IF(S423="","N/A",IF(S423+I423&gt;0,"Favorite Covered",IF(S423+I423&lt;0,"Underdog Covered","Push"))))</f>
        <v>Underdog Covered</v>
      </c>
      <c r="U423" s="1" t="str">
        <f aca="false">IF(Q423&gt;J423,"Over",IF(Q423&lt;J423,"Under","Push"))</f>
        <v>Over</v>
      </c>
    </row>
    <row r="424" customFormat="false" ht="15" hidden="false" customHeight="false" outlineLevel="0" collapsed="false">
      <c r="A424" s="1" t="s">
        <v>267</v>
      </c>
      <c r="B424" s="1" t="n">
        <v>2011</v>
      </c>
      <c r="C424" s="1" t="s">
        <v>207</v>
      </c>
      <c r="D424" s="1" t="s">
        <v>97</v>
      </c>
      <c r="E424" s="1" t="s">
        <v>103</v>
      </c>
      <c r="F424" s="1" t="n">
        <v>10</v>
      </c>
      <c r="G424" s="1" t="n">
        <v>17</v>
      </c>
      <c r="H424" s="1" t="s">
        <v>98</v>
      </c>
      <c r="I424" s="1" t="n">
        <v>-6</v>
      </c>
      <c r="J424" s="1" t="n">
        <v>45.5</v>
      </c>
      <c r="K424" s="1" t="s">
        <v>149</v>
      </c>
      <c r="L424" s="1" t="b">
        <f aca="false">FALSE()</f>
        <v>0</v>
      </c>
      <c r="M424" s="1" t="str">
        <f aca="false">VLOOKUP(D424,'Team Reference'!$A:$B,2,FALSE())</f>
        <v>NYG</v>
      </c>
      <c r="N424" s="1" t="str">
        <f aca="false">VLOOKUP(E424,'Team Reference'!$A:$B,2,FALSE())</f>
        <v>PHI</v>
      </c>
      <c r="O424" s="1" t="str">
        <f aca="false">IF(F424&gt;G424,M424,IF(G424&gt;F424,N424,"Tie"))</f>
        <v>PHI</v>
      </c>
      <c r="P424" s="1" t="n">
        <f aca="false">F424-G424</f>
        <v>-7</v>
      </c>
      <c r="Q424" s="1" t="n">
        <f aca="false">F424+G424</f>
        <v>27</v>
      </c>
      <c r="R424" s="1" t="str">
        <f aca="false">IF(H424=M424,"Home",IF(H424=N424,"Away",IF(H424="PICK","Pick","N/A")))</f>
        <v>Home</v>
      </c>
      <c r="S424" s="1" t="n">
        <f aca="false">IF(R424="Home",P424,IF(R424="Away",-P424,""))</f>
        <v>-7</v>
      </c>
      <c r="T424" s="1" t="str">
        <f aca="false">IF(R424="Pick","No Line",IF(S424="","N/A",IF(S424+I424&gt;0,"Favorite Covered",IF(S424+I424&lt;0,"Underdog Covered","Push"))))</f>
        <v>Underdog Covered</v>
      </c>
      <c r="U424" s="1" t="str">
        <f aca="false">IF(Q424&gt;J424,"Over",IF(Q424&lt;J424,"Under","Push"))</f>
        <v>Under</v>
      </c>
    </row>
    <row r="425" customFormat="false" ht="15" hidden="false" customHeight="false" outlineLevel="0" collapsed="false">
      <c r="A425" s="1" t="s">
        <v>267</v>
      </c>
      <c r="B425" s="1" t="n">
        <v>2011</v>
      </c>
      <c r="C425" s="1" t="s">
        <v>207</v>
      </c>
      <c r="D425" s="1" t="s">
        <v>108</v>
      </c>
      <c r="E425" s="1" t="s">
        <v>53</v>
      </c>
      <c r="F425" s="1" t="n">
        <v>23</v>
      </c>
      <c r="G425" s="1" t="n">
        <v>7</v>
      </c>
      <c r="H425" s="1" t="s">
        <v>109</v>
      </c>
      <c r="I425" s="1" t="n">
        <v>-10</v>
      </c>
      <c r="J425" s="1" t="n">
        <v>40.5</v>
      </c>
      <c r="K425" s="1" t="s">
        <v>174</v>
      </c>
      <c r="L425" s="1" t="b">
        <f aca="false">FALSE()</f>
        <v>0</v>
      </c>
      <c r="M425" s="1" t="str">
        <f aca="false">VLOOKUP(D425,'Team Reference'!$A:$B,2,FALSE())</f>
        <v>SF</v>
      </c>
      <c r="N425" s="1" t="str">
        <f aca="false">VLOOKUP(E425,'Team Reference'!$A:$B,2,FALSE())</f>
        <v>ARI</v>
      </c>
      <c r="O425" s="1" t="str">
        <f aca="false">IF(F425&gt;G425,M425,IF(G425&gt;F425,N425,"Tie"))</f>
        <v>SF</v>
      </c>
      <c r="P425" s="1" t="n">
        <f aca="false">F425-G425</f>
        <v>16</v>
      </c>
      <c r="Q425" s="1" t="n">
        <f aca="false">F425+G425</f>
        <v>30</v>
      </c>
      <c r="R425" s="1" t="str">
        <f aca="false">IF(H425=M425,"Home",IF(H425=N425,"Away",IF(H425="PICK","Pick","N/A")))</f>
        <v>Home</v>
      </c>
      <c r="S425" s="1" t="n">
        <f aca="false">IF(R425="Home",P425,IF(R425="Away",-P425,""))</f>
        <v>16</v>
      </c>
      <c r="T425" s="1" t="str">
        <f aca="false">IF(R425="Pick","No Line",IF(S425="","N/A",IF(S425+I425&gt;0,"Favorite Covered",IF(S425+I425&lt;0,"Underdog Covered","Push"))))</f>
        <v>Favorite Covered</v>
      </c>
      <c r="U425" s="1" t="str">
        <f aca="false">IF(Q425&gt;J425,"Over",IF(Q425&lt;J425,"Under","Push"))</f>
        <v>Under</v>
      </c>
    </row>
    <row r="426" customFormat="false" ht="15" hidden="false" customHeight="false" outlineLevel="0" collapsed="false">
      <c r="A426" s="1" t="s">
        <v>267</v>
      </c>
      <c r="B426" s="1" t="n">
        <v>2011</v>
      </c>
      <c r="C426" s="1" t="s">
        <v>207</v>
      </c>
      <c r="D426" s="1" t="s">
        <v>112</v>
      </c>
      <c r="E426" s="1" t="s">
        <v>110</v>
      </c>
      <c r="F426" s="1" t="n">
        <v>7</v>
      </c>
      <c r="G426" s="1" t="n">
        <v>24</v>
      </c>
      <c r="H426" s="1" t="s">
        <v>88</v>
      </c>
      <c r="I426" s="1" t="n">
        <v>-3</v>
      </c>
      <c r="J426" s="1" t="n">
        <v>40</v>
      </c>
      <c r="K426" s="1" t="s">
        <v>153</v>
      </c>
      <c r="L426" s="1" t="b">
        <f aca="false">FALSE()</f>
        <v>0</v>
      </c>
      <c r="M426" s="1" t="str">
        <f aca="false">VLOOKUP(D426,'Team Reference'!$A:$B,2,FALSE())</f>
        <v>LAR</v>
      </c>
      <c r="N426" s="1" t="str">
        <f aca="false">VLOOKUP(E426,'Team Reference'!$A:$B,2,FALSE())</f>
        <v>SEA</v>
      </c>
      <c r="O426" s="1" t="str">
        <f aca="false">IF(F426&gt;G426,M426,IF(G426&gt;F426,N426,"Tie"))</f>
        <v>SEA</v>
      </c>
      <c r="P426" s="1" t="n">
        <f aca="false">F426-G426</f>
        <v>-17</v>
      </c>
      <c r="Q426" s="1" t="n">
        <f aca="false">F426+G426</f>
        <v>31</v>
      </c>
      <c r="R426" s="1" t="str">
        <f aca="false">IF(H426=M426,"Home",IF(H426=N426,"Away",IF(H426="PICK","Pick","N/A")))</f>
        <v>Home</v>
      </c>
      <c r="S426" s="1" t="n">
        <f aca="false">IF(R426="Home",P426,IF(R426="Away",-P426,""))</f>
        <v>-17</v>
      </c>
      <c r="T426" s="1" t="str">
        <f aca="false">IF(R426="Pick","No Line",IF(S426="","N/A",IF(S426+I426&gt;0,"Favorite Covered",IF(S426+I426&lt;0,"Underdog Covered","Push"))))</f>
        <v>Underdog Covered</v>
      </c>
      <c r="U426" s="1" t="str">
        <f aca="false">IF(Q426&gt;J426,"Over",IF(Q426&lt;J426,"Under","Push"))</f>
        <v>Under</v>
      </c>
    </row>
    <row r="427" customFormat="false" ht="15" hidden="false" customHeight="false" outlineLevel="0" collapsed="false">
      <c r="A427" s="1" t="s">
        <v>267</v>
      </c>
      <c r="B427" s="1" t="n">
        <v>2011</v>
      </c>
      <c r="C427" s="1" t="s">
        <v>207</v>
      </c>
      <c r="D427" s="1" t="s">
        <v>117</v>
      </c>
      <c r="E427" s="1" t="s">
        <v>69</v>
      </c>
      <c r="F427" s="1" t="n">
        <v>24</v>
      </c>
      <c r="G427" s="1" t="n">
        <v>27</v>
      </c>
      <c r="H427" s="1" t="s">
        <v>70</v>
      </c>
      <c r="I427" s="1" t="n">
        <v>-7</v>
      </c>
      <c r="J427" s="1" t="n">
        <v>43</v>
      </c>
      <c r="K427" s="1" t="s">
        <v>156</v>
      </c>
      <c r="L427" s="1" t="b">
        <f aca="false">FALSE()</f>
        <v>0</v>
      </c>
      <c r="M427" s="1" t="str">
        <f aca="false">VLOOKUP(D427,'Team Reference'!$A:$B,2,FALSE())</f>
        <v>WAS</v>
      </c>
      <c r="N427" s="1" t="str">
        <f aca="false">VLOOKUP(E427,'Team Reference'!$A:$B,2,FALSE())</f>
        <v>DAL</v>
      </c>
      <c r="O427" s="1" t="str">
        <f aca="false">IF(F427&gt;G427,M427,IF(G427&gt;F427,N427,"Tie"))</f>
        <v>DAL</v>
      </c>
      <c r="P427" s="1" t="n">
        <f aca="false">F427-G427</f>
        <v>-3</v>
      </c>
      <c r="Q427" s="1" t="n">
        <f aca="false">F427+G427</f>
        <v>51</v>
      </c>
      <c r="R427" s="1" t="str">
        <f aca="false">IF(H427=M427,"Home",IF(H427=N427,"Away",IF(H427="PICK","Pick","N/A")))</f>
        <v>Away</v>
      </c>
      <c r="S427" s="1" t="n">
        <f aca="false">IF(R427="Home",P427,IF(R427="Away",-P427,""))</f>
        <v>3</v>
      </c>
      <c r="T427" s="1" t="str">
        <f aca="false">IF(R427="Pick","No Line",IF(S427="","N/A",IF(S427+I427&gt;0,"Favorite Covered",IF(S427+I427&lt;0,"Underdog Covered","Push"))))</f>
        <v>Underdog Covered</v>
      </c>
      <c r="U427" s="1" t="str">
        <f aca="false">IF(Q427&gt;J427,"Over",IF(Q427&lt;J427,"Under","Push"))</f>
        <v>Over</v>
      </c>
    </row>
    <row r="428" customFormat="false" ht="15" hidden="false" customHeight="false" outlineLevel="0" collapsed="false">
      <c r="A428" s="1" t="s">
        <v>268</v>
      </c>
      <c r="B428" s="1" t="n">
        <v>2011</v>
      </c>
      <c r="C428" s="1" t="s">
        <v>207</v>
      </c>
      <c r="D428" s="1" t="s">
        <v>93</v>
      </c>
      <c r="E428" s="1" t="s">
        <v>83</v>
      </c>
      <c r="F428" s="1" t="n">
        <v>34</v>
      </c>
      <c r="G428" s="1" t="n">
        <v>3</v>
      </c>
      <c r="H428" s="1" t="s">
        <v>94</v>
      </c>
      <c r="I428" s="1" t="n">
        <v>-17</v>
      </c>
      <c r="J428" s="1" t="n">
        <v>47</v>
      </c>
      <c r="K428" s="1" t="s">
        <v>148</v>
      </c>
      <c r="L428" s="1" t="b">
        <f aca="false">FALSE()</f>
        <v>0</v>
      </c>
      <c r="M428" s="1" t="str">
        <f aca="false">VLOOKUP(D428,'Team Reference'!$A:$B,2,FALSE())</f>
        <v>NE</v>
      </c>
      <c r="N428" s="1" t="str">
        <f aca="false">VLOOKUP(E428,'Team Reference'!$A:$B,2,FALSE())</f>
        <v>KC</v>
      </c>
      <c r="O428" s="1" t="str">
        <f aca="false">IF(F428&gt;G428,M428,IF(G428&gt;F428,N428,"Tie"))</f>
        <v>NE</v>
      </c>
      <c r="P428" s="1" t="n">
        <f aca="false">F428-G428</f>
        <v>31</v>
      </c>
      <c r="Q428" s="1" t="n">
        <f aca="false">F428+G428</f>
        <v>37</v>
      </c>
      <c r="R428" s="1" t="str">
        <f aca="false">IF(H428=M428,"Home",IF(H428=N428,"Away",IF(H428="PICK","Pick","N/A")))</f>
        <v>Home</v>
      </c>
      <c r="S428" s="1" t="n">
        <f aca="false">IF(R428="Home",P428,IF(R428="Away",-P428,""))</f>
        <v>31</v>
      </c>
      <c r="T428" s="1" t="str">
        <f aca="false">IF(R428="Pick","No Line",IF(S428="","N/A",IF(S428+I428&gt;0,"Favorite Covered",IF(S428+I428&lt;0,"Underdog Covered","Push"))))</f>
        <v>Favorite Covered</v>
      </c>
      <c r="U428" s="1" t="str">
        <f aca="false">IF(Q428&gt;J428,"Over",IF(Q428&lt;J428,"Under","Push"))</f>
        <v>Under</v>
      </c>
    </row>
    <row r="429" customFormat="false" ht="15" hidden="false" customHeight="false" outlineLevel="0" collapsed="false">
      <c r="A429" s="1" t="s">
        <v>269</v>
      </c>
      <c r="B429" s="1" t="n">
        <v>2011</v>
      </c>
      <c r="C429" s="1" t="s">
        <v>211</v>
      </c>
      <c r="D429" s="1" t="s">
        <v>57</v>
      </c>
      <c r="E429" s="1" t="s">
        <v>108</v>
      </c>
      <c r="F429" s="1" t="n">
        <v>16</v>
      </c>
      <c r="G429" s="1" t="n">
        <v>6</v>
      </c>
      <c r="H429" s="1" t="s">
        <v>58</v>
      </c>
      <c r="I429" s="1" t="n">
        <v>-3.5</v>
      </c>
      <c r="J429" s="1" t="n">
        <v>40.5</v>
      </c>
      <c r="K429" s="1" t="s">
        <v>178</v>
      </c>
      <c r="L429" s="1" t="b">
        <f aca="false">FALSE()</f>
        <v>0</v>
      </c>
      <c r="M429" s="1" t="str">
        <f aca="false">VLOOKUP(D429,'Team Reference'!$A:$B,2,FALSE())</f>
        <v>BAL</v>
      </c>
      <c r="N429" s="1" t="str">
        <f aca="false">VLOOKUP(E429,'Team Reference'!$A:$B,2,FALSE())</f>
        <v>SF</v>
      </c>
      <c r="O429" s="1" t="str">
        <f aca="false">IF(F429&gt;G429,M429,IF(G429&gt;F429,N429,"Tie"))</f>
        <v>BAL</v>
      </c>
      <c r="P429" s="1" t="n">
        <f aca="false">F429-G429</f>
        <v>10</v>
      </c>
      <c r="Q429" s="1" t="n">
        <f aca="false">F429+G429</f>
        <v>22</v>
      </c>
      <c r="R429" s="1" t="str">
        <f aca="false">IF(H429=M429,"Home",IF(H429=N429,"Away",IF(H429="PICK","Pick","N/A")))</f>
        <v>Home</v>
      </c>
      <c r="S429" s="1" t="n">
        <f aca="false">IF(R429="Home",P429,IF(R429="Away",-P429,""))</f>
        <v>10</v>
      </c>
      <c r="T429" s="1" t="str">
        <f aca="false">IF(R429="Pick","No Line",IF(S429="","N/A",IF(S429+I429&gt;0,"Favorite Covered",IF(S429+I429&lt;0,"Underdog Covered","Push"))))</f>
        <v>Favorite Covered</v>
      </c>
      <c r="U429" s="1" t="str">
        <f aca="false">IF(Q429&gt;J429,"Over",IF(Q429&lt;J429,"Under","Push"))</f>
        <v>Under</v>
      </c>
    </row>
    <row r="430" customFormat="false" ht="15" hidden="false" customHeight="false" outlineLevel="0" collapsed="false">
      <c r="A430" s="1" t="s">
        <v>269</v>
      </c>
      <c r="B430" s="1" t="n">
        <v>2011</v>
      </c>
      <c r="C430" s="1" t="s">
        <v>211</v>
      </c>
      <c r="D430" s="1" t="s">
        <v>69</v>
      </c>
      <c r="E430" s="1" t="s">
        <v>89</v>
      </c>
      <c r="F430" s="1" t="n">
        <v>20</v>
      </c>
      <c r="G430" s="1" t="n">
        <v>19</v>
      </c>
      <c r="H430" s="1" t="s">
        <v>70</v>
      </c>
      <c r="I430" s="1" t="n">
        <v>-7</v>
      </c>
      <c r="J430" s="1" t="n">
        <v>46</v>
      </c>
      <c r="K430" s="1" t="s">
        <v>165</v>
      </c>
      <c r="L430" s="1" t="b">
        <f aca="false">FALSE()</f>
        <v>0</v>
      </c>
      <c r="M430" s="1" t="str">
        <f aca="false">VLOOKUP(D430,'Team Reference'!$A:$B,2,FALSE())</f>
        <v>DAL</v>
      </c>
      <c r="N430" s="1" t="str">
        <f aca="false">VLOOKUP(E430,'Team Reference'!$A:$B,2,FALSE())</f>
        <v>MIA</v>
      </c>
      <c r="O430" s="1" t="str">
        <f aca="false">IF(F430&gt;G430,M430,IF(G430&gt;F430,N430,"Tie"))</f>
        <v>DAL</v>
      </c>
      <c r="P430" s="1" t="n">
        <f aca="false">F430-G430</f>
        <v>1</v>
      </c>
      <c r="Q430" s="1" t="n">
        <f aca="false">F430+G430</f>
        <v>39</v>
      </c>
      <c r="R430" s="1" t="str">
        <f aca="false">IF(H430=M430,"Home",IF(H430=N430,"Away",IF(H430="PICK","Pick","N/A")))</f>
        <v>Home</v>
      </c>
      <c r="S430" s="1" t="n">
        <f aca="false">IF(R430="Home",P430,IF(R430="Away",-P430,""))</f>
        <v>1</v>
      </c>
      <c r="T430" s="1" t="str">
        <f aca="false">IF(R430="Pick","No Line",IF(S430="","N/A",IF(S430+I430&gt;0,"Favorite Covered",IF(S430+I430&lt;0,"Underdog Covered","Push"))))</f>
        <v>Underdog Covered</v>
      </c>
      <c r="U430" s="1" t="str">
        <f aca="false">IF(Q430&gt;J430,"Over",IF(Q430&lt;J430,"Under","Push"))</f>
        <v>Under</v>
      </c>
    </row>
    <row r="431" customFormat="false" ht="15" hidden="false" customHeight="false" outlineLevel="0" collapsed="false">
      <c r="A431" s="1" t="s">
        <v>269</v>
      </c>
      <c r="B431" s="1" t="n">
        <v>2011</v>
      </c>
      <c r="C431" s="1" t="s">
        <v>211</v>
      </c>
      <c r="D431" s="1" t="s">
        <v>73</v>
      </c>
      <c r="E431" s="1" t="s">
        <v>75</v>
      </c>
      <c r="F431" s="1" t="n">
        <v>15</v>
      </c>
      <c r="G431" s="1" t="n">
        <v>27</v>
      </c>
      <c r="H431" s="1" t="s">
        <v>76</v>
      </c>
      <c r="I431" s="1" t="n">
        <v>-4.5</v>
      </c>
      <c r="J431" s="1" t="n">
        <v>55</v>
      </c>
      <c r="K431" s="1" t="s">
        <v>167</v>
      </c>
      <c r="L431" s="1" t="b">
        <f aca="false">FALSE()</f>
        <v>0</v>
      </c>
      <c r="M431" s="1" t="str">
        <f aca="false">VLOOKUP(D431,'Team Reference'!$A:$B,2,FALSE())</f>
        <v>DET</v>
      </c>
      <c r="N431" s="1" t="str">
        <f aca="false">VLOOKUP(E431,'Team Reference'!$A:$B,2,FALSE())</f>
        <v>GB</v>
      </c>
      <c r="O431" s="1" t="str">
        <f aca="false">IF(F431&gt;G431,M431,IF(G431&gt;F431,N431,"Tie"))</f>
        <v>GB</v>
      </c>
      <c r="P431" s="1" t="n">
        <f aca="false">F431-G431</f>
        <v>-12</v>
      </c>
      <c r="Q431" s="1" t="n">
        <f aca="false">F431+G431</f>
        <v>42</v>
      </c>
      <c r="R431" s="1" t="str">
        <f aca="false">IF(H431=M431,"Home",IF(H431=N431,"Away",IF(H431="PICK","Pick","N/A")))</f>
        <v>Away</v>
      </c>
      <c r="S431" s="1" t="n">
        <f aca="false">IF(R431="Home",P431,IF(R431="Away",-P431,""))</f>
        <v>12</v>
      </c>
      <c r="T431" s="1" t="str">
        <f aca="false">IF(R431="Pick","No Line",IF(S431="","N/A",IF(S431+I431&gt;0,"Favorite Covered",IF(S431+I431&lt;0,"Underdog Covered","Push"))))</f>
        <v>Favorite Covered</v>
      </c>
      <c r="U431" s="1" t="str">
        <f aca="false">IF(Q431&gt;J431,"Over",IF(Q431&lt;J431,"Under","Push"))</f>
        <v>Under</v>
      </c>
    </row>
    <row r="432" customFormat="false" ht="15" hidden="false" customHeight="false" outlineLevel="0" collapsed="false">
      <c r="A432" s="1" t="s">
        <v>270</v>
      </c>
      <c r="B432" s="1" t="n">
        <v>2011</v>
      </c>
      <c r="C432" s="1" t="s">
        <v>211</v>
      </c>
      <c r="D432" s="1" t="s">
        <v>55</v>
      </c>
      <c r="E432" s="1" t="s">
        <v>91</v>
      </c>
      <c r="F432" s="1" t="n">
        <v>24</v>
      </c>
      <c r="G432" s="1" t="n">
        <v>14</v>
      </c>
      <c r="H432" s="1" t="s">
        <v>56</v>
      </c>
      <c r="I432" s="1" t="n">
        <v>-10</v>
      </c>
      <c r="J432" s="1" t="n">
        <v>44</v>
      </c>
      <c r="K432" s="1" t="s">
        <v>161</v>
      </c>
      <c r="L432" s="1" t="b">
        <f aca="false">FALSE()</f>
        <v>0</v>
      </c>
      <c r="M432" s="1" t="str">
        <f aca="false">VLOOKUP(D432,'Team Reference'!$A:$B,2,FALSE())</f>
        <v>ATL</v>
      </c>
      <c r="N432" s="1" t="str">
        <f aca="false">VLOOKUP(E432,'Team Reference'!$A:$B,2,FALSE())</f>
        <v>MIN</v>
      </c>
      <c r="O432" s="1" t="str">
        <f aca="false">IF(F432&gt;G432,M432,IF(G432&gt;F432,N432,"Tie"))</f>
        <v>ATL</v>
      </c>
      <c r="P432" s="1" t="n">
        <f aca="false">F432-G432</f>
        <v>10</v>
      </c>
      <c r="Q432" s="1" t="n">
        <f aca="false">F432+G432</f>
        <v>38</v>
      </c>
      <c r="R432" s="1" t="str">
        <f aca="false">IF(H432=M432,"Home",IF(H432=N432,"Away",IF(H432="PICK","Pick","N/A")))</f>
        <v>Home</v>
      </c>
      <c r="S432" s="1" t="n">
        <f aca="false">IF(R432="Home",P432,IF(R432="Away",-P432,""))</f>
        <v>10</v>
      </c>
      <c r="T432" s="1" t="str">
        <f aca="false">IF(R432="Pick","No Line",IF(S432="","N/A",IF(S432+I432&gt;0,"Favorite Covered",IF(S432+I432&lt;0,"Underdog Covered","Push"))))</f>
        <v>Push</v>
      </c>
      <c r="U432" s="1" t="str">
        <f aca="false">IF(Q432&gt;J432,"Over",IF(Q432&lt;J432,"Under","Push"))</f>
        <v>Under</v>
      </c>
    </row>
    <row r="433" customFormat="false" ht="15" hidden="false" customHeight="false" outlineLevel="0" collapsed="false">
      <c r="A433" s="1" t="s">
        <v>270</v>
      </c>
      <c r="B433" s="1" t="n">
        <v>2011</v>
      </c>
      <c r="C433" s="1" t="s">
        <v>211</v>
      </c>
      <c r="D433" s="1" t="s">
        <v>65</v>
      </c>
      <c r="E433" s="1" t="s">
        <v>67</v>
      </c>
      <c r="F433" s="1" t="n">
        <v>23</v>
      </c>
      <c r="G433" s="1" t="n">
        <v>20</v>
      </c>
      <c r="H433" s="1" t="s">
        <v>66</v>
      </c>
      <c r="I433" s="1" t="n">
        <v>-7</v>
      </c>
      <c r="J433" s="1" t="n">
        <v>38</v>
      </c>
      <c r="K433" s="1" t="s">
        <v>163</v>
      </c>
      <c r="L433" s="1" t="b">
        <f aca="false">FALSE()</f>
        <v>0</v>
      </c>
      <c r="M433" s="1" t="str">
        <f aca="false">VLOOKUP(D433,'Team Reference'!$A:$B,2,FALSE())</f>
        <v>CIN</v>
      </c>
      <c r="N433" s="1" t="str">
        <f aca="false">VLOOKUP(E433,'Team Reference'!$A:$B,2,FALSE())</f>
        <v>CLE</v>
      </c>
      <c r="O433" s="1" t="str">
        <f aca="false">IF(F433&gt;G433,M433,IF(G433&gt;F433,N433,"Tie"))</f>
        <v>CIN</v>
      </c>
      <c r="P433" s="1" t="n">
        <f aca="false">F433-G433</f>
        <v>3</v>
      </c>
      <c r="Q433" s="1" t="n">
        <f aca="false">F433+G433</f>
        <v>43</v>
      </c>
      <c r="R433" s="1" t="str">
        <f aca="false">IF(H433=M433,"Home",IF(H433=N433,"Away",IF(H433="PICK","Pick","N/A")))</f>
        <v>Home</v>
      </c>
      <c r="S433" s="1" t="n">
        <f aca="false">IF(R433="Home",P433,IF(R433="Away",-P433,""))</f>
        <v>3</v>
      </c>
      <c r="T433" s="1" t="str">
        <f aca="false">IF(R433="Pick","No Line",IF(S433="","N/A",IF(S433+I433&gt;0,"Favorite Covered",IF(S433+I433&lt;0,"Underdog Covered","Push"))))</f>
        <v>Underdog Covered</v>
      </c>
      <c r="U433" s="1" t="str">
        <f aca="false">IF(Q433&gt;J433,"Over",IF(Q433&lt;J433,"Under","Push"))</f>
        <v>Over</v>
      </c>
    </row>
    <row r="434" customFormat="false" ht="15" hidden="false" customHeight="false" outlineLevel="0" collapsed="false">
      <c r="A434" s="1" t="s">
        <v>270</v>
      </c>
      <c r="B434" s="1" t="n">
        <v>2011</v>
      </c>
      <c r="C434" s="1" t="s">
        <v>211</v>
      </c>
      <c r="D434" s="1" t="s">
        <v>79</v>
      </c>
      <c r="E434" s="1" t="s">
        <v>61</v>
      </c>
      <c r="F434" s="1" t="n">
        <v>19</v>
      </c>
      <c r="G434" s="1" t="n">
        <v>27</v>
      </c>
      <c r="H434" s="1" t="s">
        <v>62</v>
      </c>
      <c r="I434" s="1" t="n">
        <v>-3.5</v>
      </c>
      <c r="J434" s="1" t="n">
        <v>46.5</v>
      </c>
      <c r="K434" s="1" t="s">
        <v>169</v>
      </c>
      <c r="L434" s="1" t="b">
        <f aca="false">FALSE()</f>
        <v>0</v>
      </c>
      <c r="M434" s="1" t="str">
        <f aca="false">VLOOKUP(D434,'Team Reference'!$A:$B,2,FALSE())</f>
        <v>IND</v>
      </c>
      <c r="N434" s="1" t="str">
        <f aca="false">VLOOKUP(E434,'Team Reference'!$A:$B,2,FALSE())</f>
        <v>CAR</v>
      </c>
      <c r="O434" s="1" t="str">
        <f aca="false">IF(F434&gt;G434,M434,IF(G434&gt;F434,N434,"Tie"))</f>
        <v>CAR</v>
      </c>
      <c r="P434" s="1" t="n">
        <f aca="false">F434-G434</f>
        <v>-8</v>
      </c>
      <c r="Q434" s="1" t="n">
        <f aca="false">F434+G434</f>
        <v>46</v>
      </c>
      <c r="R434" s="1" t="str">
        <f aca="false">IF(H434=M434,"Home",IF(H434=N434,"Away",IF(H434="PICK","Pick","N/A")))</f>
        <v>Away</v>
      </c>
      <c r="S434" s="1" t="n">
        <f aca="false">IF(R434="Home",P434,IF(R434="Away",-P434,""))</f>
        <v>8</v>
      </c>
      <c r="T434" s="1" t="str">
        <f aca="false">IF(R434="Pick","No Line",IF(S434="","N/A",IF(S434+I434&gt;0,"Favorite Covered",IF(S434+I434&lt;0,"Underdog Covered","Push"))))</f>
        <v>Favorite Covered</v>
      </c>
      <c r="U434" s="1" t="str">
        <f aca="false">IF(Q434&gt;J434,"Over",IF(Q434&lt;J434,"Under","Push"))</f>
        <v>Under</v>
      </c>
    </row>
    <row r="435" customFormat="false" ht="15" hidden="false" customHeight="false" outlineLevel="0" collapsed="false">
      <c r="A435" s="1" t="s">
        <v>270</v>
      </c>
      <c r="B435" s="1" t="n">
        <v>2011</v>
      </c>
      <c r="C435" s="1" t="s">
        <v>211</v>
      </c>
      <c r="D435" s="1" t="s">
        <v>81</v>
      </c>
      <c r="E435" s="1" t="s">
        <v>77</v>
      </c>
      <c r="F435" s="1" t="n">
        <v>13</v>
      </c>
      <c r="G435" s="1" t="n">
        <v>20</v>
      </c>
      <c r="H435" s="1" t="s">
        <v>78</v>
      </c>
      <c r="I435" s="1" t="n">
        <v>-6.5</v>
      </c>
      <c r="J435" s="1" t="n">
        <v>37</v>
      </c>
      <c r="K435" s="1" t="s">
        <v>147</v>
      </c>
      <c r="L435" s="1" t="b">
        <f aca="false">FALSE()</f>
        <v>0</v>
      </c>
      <c r="M435" s="1" t="str">
        <f aca="false">VLOOKUP(D435,'Team Reference'!$A:$B,2,FALSE())</f>
        <v>JAX</v>
      </c>
      <c r="N435" s="1" t="str">
        <f aca="false">VLOOKUP(E435,'Team Reference'!$A:$B,2,FALSE())</f>
        <v>HOU</v>
      </c>
      <c r="O435" s="1" t="str">
        <f aca="false">IF(F435&gt;G435,M435,IF(G435&gt;F435,N435,"Tie"))</f>
        <v>HOU</v>
      </c>
      <c r="P435" s="1" t="n">
        <f aca="false">F435-G435</f>
        <v>-7</v>
      </c>
      <c r="Q435" s="1" t="n">
        <f aca="false">F435+G435</f>
        <v>33</v>
      </c>
      <c r="R435" s="1" t="str">
        <f aca="false">IF(H435=M435,"Home",IF(H435=N435,"Away",IF(H435="PICK","Pick","N/A")))</f>
        <v>Away</v>
      </c>
      <c r="S435" s="1" t="n">
        <f aca="false">IF(R435="Home",P435,IF(R435="Away",-P435,""))</f>
        <v>7</v>
      </c>
      <c r="T435" s="1" t="str">
        <f aca="false">IF(R435="Pick","No Line",IF(S435="","N/A",IF(S435+I435&gt;0,"Favorite Covered",IF(S435+I435&lt;0,"Underdog Covered","Push"))))</f>
        <v>Favorite Covered</v>
      </c>
      <c r="U435" s="1" t="str">
        <f aca="false">IF(Q435&gt;J435,"Over",IF(Q435&lt;J435,"Under","Push"))</f>
        <v>Under</v>
      </c>
    </row>
    <row r="436" customFormat="false" ht="15" hidden="false" customHeight="false" outlineLevel="0" collapsed="false">
      <c r="A436" s="1" t="s">
        <v>270</v>
      </c>
      <c r="B436" s="1" t="n">
        <v>2011</v>
      </c>
      <c r="C436" s="1" t="s">
        <v>211</v>
      </c>
      <c r="D436" s="1" t="s">
        <v>83</v>
      </c>
      <c r="E436" s="1" t="s">
        <v>105</v>
      </c>
      <c r="F436" s="1" t="n">
        <v>9</v>
      </c>
      <c r="G436" s="1" t="n">
        <v>13</v>
      </c>
      <c r="H436" s="1" t="s">
        <v>106</v>
      </c>
      <c r="I436" s="1" t="n">
        <v>-10.5</v>
      </c>
      <c r="J436" s="1" t="n">
        <v>40.5</v>
      </c>
      <c r="K436" s="1" t="s">
        <v>158</v>
      </c>
      <c r="L436" s="1" t="b">
        <f aca="false">FALSE()</f>
        <v>0</v>
      </c>
      <c r="M436" s="1" t="str">
        <f aca="false">VLOOKUP(D436,'Team Reference'!$A:$B,2,FALSE())</f>
        <v>KC</v>
      </c>
      <c r="N436" s="1" t="str">
        <f aca="false">VLOOKUP(E436,'Team Reference'!$A:$B,2,FALSE())</f>
        <v>PIT</v>
      </c>
      <c r="O436" s="1" t="str">
        <f aca="false">IF(F436&gt;G436,M436,IF(G436&gt;F436,N436,"Tie"))</f>
        <v>PIT</v>
      </c>
      <c r="P436" s="1" t="n">
        <f aca="false">F436-G436</f>
        <v>-4</v>
      </c>
      <c r="Q436" s="1" t="n">
        <f aca="false">F436+G436</f>
        <v>22</v>
      </c>
      <c r="R436" s="1" t="str">
        <f aca="false">IF(H436=M436,"Home",IF(H436=N436,"Away",IF(H436="PICK","Pick","N/A")))</f>
        <v>Away</v>
      </c>
      <c r="S436" s="1" t="n">
        <f aca="false">IF(R436="Home",P436,IF(R436="Away",-P436,""))</f>
        <v>4</v>
      </c>
      <c r="T436" s="1" t="str">
        <f aca="false">IF(R436="Pick","No Line",IF(S436="","N/A",IF(S436+I436&gt;0,"Favorite Covered",IF(S436+I436&lt;0,"Underdog Covered","Push"))))</f>
        <v>Underdog Covered</v>
      </c>
      <c r="U436" s="1" t="str">
        <f aca="false">IF(Q436&gt;J436,"Over",IF(Q436&lt;J436,"Under","Push"))</f>
        <v>Under</v>
      </c>
    </row>
    <row r="437" customFormat="false" ht="15" hidden="false" customHeight="false" outlineLevel="0" collapsed="false">
      <c r="A437" s="1" t="s">
        <v>270</v>
      </c>
      <c r="B437" s="1" t="n">
        <v>2011</v>
      </c>
      <c r="C437" s="1" t="s">
        <v>211</v>
      </c>
      <c r="D437" s="1" t="s">
        <v>99</v>
      </c>
      <c r="E437" s="1" t="s">
        <v>59</v>
      </c>
      <c r="F437" s="1" t="n">
        <v>28</v>
      </c>
      <c r="G437" s="1" t="n">
        <v>24</v>
      </c>
      <c r="H437" s="1" t="s">
        <v>100</v>
      </c>
      <c r="I437" s="1" t="n">
        <v>-9.5</v>
      </c>
      <c r="J437" s="1" t="n">
        <v>42.5</v>
      </c>
      <c r="K437" s="1" t="s">
        <v>149</v>
      </c>
      <c r="L437" s="1" t="b">
        <f aca="false">FALSE()</f>
        <v>0</v>
      </c>
      <c r="M437" s="1" t="str">
        <f aca="false">VLOOKUP(D437,'Team Reference'!$A:$B,2,FALSE())</f>
        <v>NYJ</v>
      </c>
      <c r="N437" s="1" t="str">
        <f aca="false">VLOOKUP(E437,'Team Reference'!$A:$B,2,FALSE())</f>
        <v>BUF</v>
      </c>
      <c r="O437" s="1" t="str">
        <f aca="false">IF(F437&gt;G437,M437,IF(G437&gt;F437,N437,"Tie"))</f>
        <v>NYJ</v>
      </c>
      <c r="P437" s="1" t="n">
        <f aca="false">F437-G437</f>
        <v>4</v>
      </c>
      <c r="Q437" s="1" t="n">
        <f aca="false">F437+G437</f>
        <v>52</v>
      </c>
      <c r="R437" s="1" t="str">
        <f aca="false">IF(H437=M437,"Home",IF(H437=N437,"Away",IF(H437="PICK","Pick","N/A")))</f>
        <v>Home</v>
      </c>
      <c r="S437" s="1" t="n">
        <f aca="false">IF(R437="Home",P437,IF(R437="Away",-P437,""))</f>
        <v>4</v>
      </c>
      <c r="T437" s="1" t="str">
        <f aca="false">IF(R437="Pick","No Line",IF(S437="","N/A",IF(S437+I437&gt;0,"Favorite Covered",IF(S437+I437&lt;0,"Underdog Covered","Push"))))</f>
        <v>Underdog Covered</v>
      </c>
      <c r="U437" s="1" t="str">
        <f aca="false">IF(Q437&gt;J437,"Over",IF(Q437&lt;J437,"Under","Push"))</f>
        <v>Over</v>
      </c>
    </row>
    <row r="438" customFormat="false" ht="15" hidden="false" customHeight="false" outlineLevel="0" collapsed="false">
      <c r="A438" s="1" t="s">
        <v>270</v>
      </c>
      <c r="B438" s="1" t="n">
        <v>2011</v>
      </c>
      <c r="C438" s="1" t="s">
        <v>211</v>
      </c>
      <c r="D438" s="1" t="s">
        <v>101</v>
      </c>
      <c r="E438" s="1" t="s">
        <v>63</v>
      </c>
      <c r="F438" s="1" t="n">
        <v>25</v>
      </c>
      <c r="G438" s="1" t="n">
        <v>20</v>
      </c>
      <c r="H438" s="1" t="s">
        <v>102</v>
      </c>
      <c r="I438" s="1" t="n">
        <v>-3</v>
      </c>
      <c r="J438" s="1" t="n">
        <v>41</v>
      </c>
      <c r="K438" s="1" t="s">
        <v>171</v>
      </c>
      <c r="L438" s="1" t="b">
        <f aca="false">FALSE()</f>
        <v>0</v>
      </c>
      <c r="M438" s="1" t="str">
        <f aca="false">VLOOKUP(D438,'Team Reference'!$A:$B,2,FALSE())</f>
        <v>OAK</v>
      </c>
      <c r="N438" s="1" t="str">
        <f aca="false">VLOOKUP(E438,'Team Reference'!$A:$B,2,FALSE())</f>
        <v>CHI</v>
      </c>
      <c r="O438" s="1" t="str">
        <f aca="false">IF(F438&gt;G438,M438,IF(G438&gt;F438,N438,"Tie"))</f>
        <v>OAK</v>
      </c>
      <c r="P438" s="1" t="n">
        <f aca="false">F438-G438</f>
        <v>5</v>
      </c>
      <c r="Q438" s="1" t="n">
        <f aca="false">F438+G438</f>
        <v>45</v>
      </c>
      <c r="R438" s="1" t="str">
        <f aca="false">IF(H438=M438,"Home",IF(H438=N438,"Away",IF(H438="PICK","Pick","N/A")))</f>
        <v>Home</v>
      </c>
      <c r="S438" s="1" t="n">
        <f aca="false">IF(R438="Home",P438,IF(R438="Away",-P438,""))</f>
        <v>5</v>
      </c>
      <c r="T438" s="1" t="str">
        <f aca="false">IF(R438="Pick","No Line",IF(S438="","N/A",IF(S438+I438&gt;0,"Favorite Covered",IF(S438+I438&lt;0,"Underdog Covered","Push"))))</f>
        <v>Favorite Covered</v>
      </c>
      <c r="U438" s="1" t="str">
        <f aca="false">IF(Q438&gt;J438,"Over",IF(Q438&lt;J438,"Under","Push"))</f>
        <v>Over</v>
      </c>
    </row>
    <row r="439" customFormat="false" ht="15" hidden="false" customHeight="false" outlineLevel="0" collapsed="false">
      <c r="A439" s="1" t="s">
        <v>270</v>
      </c>
      <c r="B439" s="1" t="n">
        <v>2011</v>
      </c>
      <c r="C439" s="1" t="s">
        <v>211</v>
      </c>
      <c r="D439" s="1" t="s">
        <v>103</v>
      </c>
      <c r="E439" s="1" t="s">
        <v>93</v>
      </c>
      <c r="F439" s="1" t="n">
        <v>20</v>
      </c>
      <c r="G439" s="1" t="n">
        <v>38</v>
      </c>
      <c r="H439" s="1" t="s">
        <v>94</v>
      </c>
      <c r="I439" s="1" t="n">
        <v>-3.5</v>
      </c>
      <c r="J439" s="1" t="n">
        <v>50.5</v>
      </c>
      <c r="K439" s="1" t="s">
        <v>150</v>
      </c>
      <c r="L439" s="1" t="b">
        <f aca="false">FALSE()</f>
        <v>0</v>
      </c>
      <c r="M439" s="1" t="str">
        <f aca="false">VLOOKUP(D439,'Team Reference'!$A:$B,2,FALSE())</f>
        <v>PHI</v>
      </c>
      <c r="N439" s="1" t="str">
        <f aca="false">VLOOKUP(E439,'Team Reference'!$A:$B,2,FALSE())</f>
        <v>NE</v>
      </c>
      <c r="O439" s="1" t="str">
        <f aca="false">IF(F439&gt;G439,M439,IF(G439&gt;F439,N439,"Tie"))</f>
        <v>NE</v>
      </c>
      <c r="P439" s="1" t="n">
        <f aca="false">F439-G439</f>
        <v>-18</v>
      </c>
      <c r="Q439" s="1" t="n">
        <f aca="false">F439+G439</f>
        <v>58</v>
      </c>
      <c r="R439" s="1" t="str">
        <f aca="false">IF(H439=M439,"Home",IF(H439=N439,"Away",IF(H439="PICK","Pick","N/A")))</f>
        <v>Away</v>
      </c>
      <c r="S439" s="1" t="n">
        <f aca="false">IF(R439="Home",P439,IF(R439="Away",-P439,""))</f>
        <v>18</v>
      </c>
      <c r="T439" s="1" t="str">
        <f aca="false">IF(R439="Pick","No Line",IF(S439="","N/A",IF(S439+I439&gt;0,"Favorite Covered",IF(S439+I439&lt;0,"Underdog Covered","Push"))))</f>
        <v>Favorite Covered</v>
      </c>
      <c r="U439" s="1" t="str">
        <f aca="false">IF(Q439&gt;J439,"Over",IF(Q439&lt;J439,"Under","Push"))</f>
        <v>Over</v>
      </c>
    </row>
    <row r="440" customFormat="false" ht="15" hidden="false" customHeight="false" outlineLevel="0" collapsed="false">
      <c r="A440" s="1" t="s">
        <v>270</v>
      </c>
      <c r="B440" s="1" t="n">
        <v>2011</v>
      </c>
      <c r="C440" s="1" t="s">
        <v>211</v>
      </c>
      <c r="D440" s="1" t="s">
        <v>107</v>
      </c>
      <c r="E440" s="1" t="s">
        <v>71</v>
      </c>
      <c r="F440" s="1" t="n">
        <v>13</v>
      </c>
      <c r="G440" s="1" t="n">
        <v>16</v>
      </c>
      <c r="H440" s="1" t="s">
        <v>86</v>
      </c>
      <c r="I440" s="1" t="n">
        <v>-5.5</v>
      </c>
      <c r="J440" s="1" t="n">
        <v>42</v>
      </c>
      <c r="K440" s="1" t="s">
        <v>172</v>
      </c>
      <c r="L440" s="1" t="b">
        <f aca="false">FALSE()</f>
        <v>0</v>
      </c>
      <c r="M440" s="1" t="str">
        <f aca="false">VLOOKUP(D440,'Team Reference'!$A:$B,2,FALSE())</f>
        <v>LAC</v>
      </c>
      <c r="N440" s="1" t="str">
        <f aca="false">VLOOKUP(E440,'Team Reference'!$A:$B,2,FALSE())</f>
        <v>DEN</v>
      </c>
      <c r="O440" s="1" t="str">
        <f aca="false">IF(F440&gt;G440,M440,IF(G440&gt;F440,N440,"Tie"))</f>
        <v>DEN</v>
      </c>
      <c r="P440" s="1" t="n">
        <f aca="false">F440-G440</f>
        <v>-3</v>
      </c>
      <c r="Q440" s="1" t="n">
        <f aca="false">F440+G440</f>
        <v>29</v>
      </c>
      <c r="R440" s="1" t="str">
        <f aca="false">IF(H440=M440,"Home",IF(H440=N440,"Away",IF(H440="PICK","Pick","N/A")))</f>
        <v>Home</v>
      </c>
      <c r="S440" s="1" t="n">
        <f aca="false">IF(R440="Home",P440,IF(R440="Away",-P440,""))</f>
        <v>-3</v>
      </c>
      <c r="T440" s="1" t="str">
        <f aca="false">IF(R440="Pick","No Line",IF(S440="","N/A",IF(S440+I440&gt;0,"Favorite Covered",IF(S440+I440&lt;0,"Underdog Covered","Push"))))</f>
        <v>Underdog Covered</v>
      </c>
      <c r="U440" s="1" t="str">
        <f aca="false">IF(Q440&gt;J440,"Over",IF(Q440&lt;J440,"Under","Push"))</f>
        <v>Under</v>
      </c>
    </row>
    <row r="441" customFormat="false" ht="15" hidden="false" customHeight="false" outlineLevel="0" collapsed="false">
      <c r="A441" s="1" t="s">
        <v>270</v>
      </c>
      <c r="B441" s="1" t="n">
        <v>2011</v>
      </c>
      <c r="C441" s="1" t="s">
        <v>211</v>
      </c>
      <c r="D441" s="1" t="s">
        <v>110</v>
      </c>
      <c r="E441" s="1" t="s">
        <v>117</v>
      </c>
      <c r="F441" s="1" t="n">
        <v>17</v>
      </c>
      <c r="G441" s="1" t="n">
        <v>23</v>
      </c>
      <c r="H441" s="1" t="s">
        <v>111</v>
      </c>
      <c r="I441" s="1" t="n">
        <v>-3</v>
      </c>
      <c r="J441" s="1" t="n">
        <v>37.5</v>
      </c>
      <c r="K441" s="1" t="s">
        <v>152</v>
      </c>
      <c r="L441" s="1" t="b">
        <f aca="false">FALSE()</f>
        <v>0</v>
      </c>
      <c r="M441" s="1" t="str">
        <f aca="false">VLOOKUP(D441,'Team Reference'!$A:$B,2,FALSE())</f>
        <v>SEA</v>
      </c>
      <c r="N441" s="1" t="str">
        <f aca="false">VLOOKUP(E441,'Team Reference'!$A:$B,2,FALSE())</f>
        <v>WAS</v>
      </c>
      <c r="O441" s="1" t="str">
        <f aca="false">IF(F441&gt;G441,M441,IF(G441&gt;F441,N441,"Tie"))</f>
        <v>WAS</v>
      </c>
      <c r="P441" s="1" t="n">
        <f aca="false">F441-G441</f>
        <v>-6</v>
      </c>
      <c r="Q441" s="1" t="n">
        <f aca="false">F441+G441</f>
        <v>40</v>
      </c>
      <c r="R441" s="1" t="str">
        <f aca="false">IF(H441=M441,"Home",IF(H441=N441,"Away",IF(H441="PICK","Pick","N/A")))</f>
        <v>Home</v>
      </c>
      <c r="S441" s="1" t="n">
        <f aca="false">IF(R441="Home",P441,IF(R441="Away",-P441,""))</f>
        <v>-6</v>
      </c>
      <c r="T441" s="1" t="str">
        <f aca="false">IF(R441="Pick","No Line",IF(S441="","N/A",IF(S441+I441&gt;0,"Favorite Covered",IF(S441+I441&lt;0,"Underdog Covered","Push"))))</f>
        <v>Underdog Covered</v>
      </c>
      <c r="U441" s="1" t="str">
        <f aca="false">IF(Q441&gt;J441,"Over",IF(Q441&lt;J441,"Under","Push"))</f>
        <v>Over</v>
      </c>
    </row>
    <row r="442" customFormat="false" ht="15" hidden="false" customHeight="false" outlineLevel="0" collapsed="false">
      <c r="A442" s="1" t="s">
        <v>270</v>
      </c>
      <c r="B442" s="1" t="n">
        <v>2011</v>
      </c>
      <c r="C442" s="1" t="s">
        <v>211</v>
      </c>
      <c r="D442" s="1" t="s">
        <v>112</v>
      </c>
      <c r="E442" s="1" t="s">
        <v>53</v>
      </c>
      <c r="F442" s="1" t="n">
        <v>20</v>
      </c>
      <c r="G442" s="1" t="n">
        <v>23</v>
      </c>
      <c r="H442" s="1" t="s">
        <v>88</v>
      </c>
      <c r="I442" s="1" t="n">
        <v>-2.5</v>
      </c>
      <c r="J442" s="1" t="n">
        <v>40</v>
      </c>
      <c r="K442" s="1" t="s">
        <v>153</v>
      </c>
      <c r="L442" s="1" t="b">
        <f aca="false">FALSE()</f>
        <v>0</v>
      </c>
      <c r="M442" s="1" t="str">
        <f aca="false">VLOOKUP(D442,'Team Reference'!$A:$B,2,FALSE())</f>
        <v>LAR</v>
      </c>
      <c r="N442" s="1" t="str">
        <f aca="false">VLOOKUP(E442,'Team Reference'!$A:$B,2,FALSE())</f>
        <v>ARI</v>
      </c>
      <c r="O442" s="1" t="str">
        <f aca="false">IF(F442&gt;G442,M442,IF(G442&gt;F442,N442,"Tie"))</f>
        <v>ARI</v>
      </c>
      <c r="P442" s="1" t="n">
        <f aca="false">F442-G442</f>
        <v>-3</v>
      </c>
      <c r="Q442" s="1" t="n">
        <f aca="false">F442+G442</f>
        <v>43</v>
      </c>
      <c r="R442" s="1" t="str">
        <f aca="false">IF(H442=M442,"Home",IF(H442=N442,"Away",IF(H442="PICK","Pick","N/A")))</f>
        <v>Home</v>
      </c>
      <c r="S442" s="1" t="n">
        <f aca="false">IF(R442="Home",P442,IF(R442="Away",-P442,""))</f>
        <v>-3</v>
      </c>
      <c r="T442" s="1" t="str">
        <f aca="false">IF(R442="Pick","No Line",IF(S442="","N/A",IF(S442+I442&gt;0,"Favorite Covered",IF(S442+I442&lt;0,"Underdog Covered","Push"))))</f>
        <v>Underdog Covered</v>
      </c>
      <c r="U442" s="1" t="str">
        <f aca="false">IF(Q442&gt;J442,"Over",IF(Q442&lt;J442,"Under","Push"))</f>
        <v>Over</v>
      </c>
    </row>
    <row r="443" customFormat="false" ht="15" hidden="false" customHeight="false" outlineLevel="0" collapsed="false">
      <c r="A443" s="1" t="s">
        <v>270</v>
      </c>
      <c r="B443" s="1" t="n">
        <v>2011</v>
      </c>
      <c r="C443" s="1" t="s">
        <v>211</v>
      </c>
      <c r="D443" s="1" t="s">
        <v>115</v>
      </c>
      <c r="E443" s="1" t="s">
        <v>113</v>
      </c>
      <c r="F443" s="1" t="n">
        <v>23</v>
      </c>
      <c r="G443" s="1" t="n">
        <v>17</v>
      </c>
      <c r="H443" s="1" t="s">
        <v>116</v>
      </c>
      <c r="I443" s="1" t="n">
        <v>-3</v>
      </c>
      <c r="J443" s="1" t="n">
        <v>44</v>
      </c>
      <c r="K443" s="1" t="s">
        <v>155</v>
      </c>
      <c r="L443" s="1" t="b">
        <f aca="false">FALSE()</f>
        <v>0</v>
      </c>
      <c r="M443" s="1" t="str">
        <f aca="false">VLOOKUP(D443,'Team Reference'!$A:$B,2,FALSE())</f>
        <v>TEN</v>
      </c>
      <c r="N443" s="1" t="str">
        <f aca="false">VLOOKUP(E443,'Team Reference'!$A:$B,2,FALSE())</f>
        <v>TB</v>
      </c>
      <c r="O443" s="1" t="str">
        <f aca="false">IF(F443&gt;G443,M443,IF(G443&gt;F443,N443,"Tie"))</f>
        <v>TEN</v>
      </c>
      <c r="P443" s="1" t="n">
        <f aca="false">F443-G443</f>
        <v>6</v>
      </c>
      <c r="Q443" s="1" t="n">
        <f aca="false">F443+G443</f>
        <v>40</v>
      </c>
      <c r="R443" s="1" t="str">
        <f aca="false">IF(H443=M443,"Home",IF(H443=N443,"Away",IF(H443="PICK","Pick","N/A")))</f>
        <v>Home</v>
      </c>
      <c r="S443" s="1" t="n">
        <f aca="false">IF(R443="Home",P443,IF(R443="Away",-P443,""))</f>
        <v>6</v>
      </c>
      <c r="T443" s="1" t="str">
        <f aca="false">IF(R443="Pick","No Line",IF(S443="","N/A",IF(S443+I443&gt;0,"Favorite Covered",IF(S443+I443&lt;0,"Underdog Covered","Push"))))</f>
        <v>Favorite Covered</v>
      </c>
      <c r="U443" s="1" t="str">
        <f aca="false">IF(Q443&gt;J443,"Over",IF(Q443&lt;J443,"Under","Push"))</f>
        <v>Under</v>
      </c>
    </row>
    <row r="444" customFormat="false" ht="15" hidden="false" customHeight="false" outlineLevel="0" collapsed="false">
      <c r="A444" s="1" t="s">
        <v>271</v>
      </c>
      <c r="B444" s="1" t="n">
        <v>2011</v>
      </c>
      <c r="C444" s="1" t="s">
        <v>211</v>
      </c>
      <c r="D444" s="1" t="s">
        <v>95</v>
      </c>
      <c r="E444" s="1" t="s">
        <v>97</v>
      </c>
      <c r="F444" s="1" t="n">
        <v>49</v>
      </c>
      <c r="G444" s="1" t="n">
        <v>24</v>
      </c>
      <c r="H444" s="1" t="s">
        <v>96</v>
      </c>
      <c r="I444" s="1" t="n">
        <v>-7</v>
      </c>
      <c r="J444" s="1" t="n">
        <v>51</v>
      </c>
      <c r="K444" s="1" t="s">
        <v>142</v>
      </c>
      <c r="L444" s="1" t="b">
        <f aca="false">FALSE()</f>
        <v>0</v>
      </c>
      <c r="M444" s="1" t="str">
        <f aca="false">VLOOKUP(D444,'Team Reference'!$A:$B,2,FALSE())</f>
        <v>NO</v>
      </c>
      <c r="N444" s="1" t="str">
        <f aca="false">VLOOKUP(E444,'Team Reference'!$A:$B,2,FALSE())</f>
        <v>NYG</v>
      </c>
      <c r="O444" s="1" t="str">
        <f aca="false">IF(F444&gt;G444,M444,IF(G444&gt;F444,N444,"Tie"))</f>
        <v>NO</v>
      </c>
      <c r="P444" s="1" t="n">
        <f aca="false">F444-G444</f>
        <v>25</v>
      </c>
      <c r="Q444" s="1" t="n">
        <f aca="false">F444+G444</f>
        <v>73</v>
      </c>
      <c r="R444" s="1" t="str">
        <f aca="false">IF(H444=M444,"Home",IF(H444=N444,"Away",IF(H444="PICK","Pick","N/A")))</f>
        <v>Home</v>
      </c>
      <c r="S444" s="1" t="n">
        <f aca="false">IF(R444="Home",P444,IF(R444="Away",-P444,""))</f>
        <v>25</v>
      </c>
      <c r="T444" s="1" t="str">
        <f aca="false">IF(R444="Pick","No Line",IF(S444="","N/A",IF(S444+I444&gt;0,"Favorite Covered",IF(S444+I444&lt;0,"Underdog Covered","Push"))))</f>
        <v>Favorite Covered</v>
      </c>
      <c r="U444" s="1" t="str">
        <f aca="false">IF(Q444&gt;J444,"Over",IF(Q444&lt;J444,"Under","Push"))</f>
        <v>Over</v>
      </c>
    </row>
    <row r="445" customFormat="false" ht="15" hidden="false" customHeight="false" outlineLevel="0" collapsed="false">
      <c r="A445" s="1" t="s">
        <v>272</v>
      </c>
      <c r="B445" s="1" t="n">
        <v>2011</v>
      </c>
      <c r="C445" s="1" t="s">
        <v>215</v>
      </c>
      <c r="D445" s="1" t="s">
        <v>110</v>
      </c>
      <c r="E445" s="1" t="s">
        <v>103</v>
      </c>
      <c r="F445" s="1" t="n">
        <v>31</v>
      </c>
      <c r="G445" s="1" t="n">
        <v>14</v>
      </c>
      <c r="H445" s="1" t="s">
        <v>104</v>
      </c>
      <c r="I445" s="1" t="n">
        <v>-3</v>
      </c>
      <c r="J445" s="1" t="n">
        <v>43.5</v>
      </c>
      <c r="K445" s="1" t="s">
        <v>152</v>
      </c>
      <c r="L445" s="1" t="b">
        <f aca="false">FALSE()</f>
        <v>0</v>
      </c>
      <c r="M445" s="1" t="str">
        <f aca="false">VLOOKUP(D445,'Team Reference'!$A:$B,2,FALSE())</f>
        <v>SEA</v>
      </c>
      <c r="N445" s="1" t="str">
        <f aca="false">VLOOKUP(E445,'Team Reference'!$A:$B,2,FALSE())</f>
        <v>PHI</v>
      </c>
      <c r="O445" s="1" t="str">
        <f aca="false">IF(F445&gt;G445,M445,IF(G445&gt;F445,N445,"Tie"))</f>
        <v>SEA</v>
      </c>
      <c r="P445" s="1" t="n">
        <f aca="false">F445-G445</f>
        <v>17</v>
      </c>
      <c r="Q445" s="1" t="n">
        <f aca="false">F445+G445</f>
        <v>45</v>
      </c>
      <c r="R445" s="1" t="str">
        <f aca="false">IF(H445=M445,"Home",IF(H445=N445,"Away",IF(H445="PICK","Pick","N/A")))</f>
        <v>Away</v>
      </c>
      <c r="S445" s="1" t="n">
        <f aca="false">IF(R445="Home",P445,IF(R445="Away",-P445,""))</f>
        <v>-17</v>
      </c>
      <c r="T445" s="1" t="str">
        <f aca="false">IF(R445="Pick","No Line",IF(S445="","N/A",IF(S445+I445&gt;0,"Favorite Covered",IF(S445+I445&lt;0,"Underdog Covered","Push"))))</f>
        <v>Underdog Covered</v>
      </c>
      <c r="U445" s="1" t="str">
        <f aca="false">IF(Q445&gt;J445,"Over",IF(Q445&lt;J445,"Under","Push"))</f>
        <v>Over</v>
      </c>
    </row>
    <row r="446" customFormat="false" ht="15" hidden="false" customHeight="false" outlineLevel="0" collapsed="false">
      <c r="A446" s="1" t="s">
        <v>273</v>
      </c>
      <c r="B446" s="1" t="n">
        <v>2011</v>
      </c>
      <c r="C446" s="1" t="s">
        <v>215</v>
      </c>
      <c r="D446" s="1" t="s">
        <v>53</v>
      </c>
      <c r="E446" s="1" t="s">
        <v>69</v>
      </c>
      <c r="F446" s="1" t="n">
        <v>19</v>
      </c>
      <c r="G446" s="1" t="n">
        <v>13</v>
      </c>
      <c r="H446" s="1" t="s">
        <v>70</v>
      </c>
      <c r="I446" s="1" t="n">
        <v>-4.5</v>
      </c>
      <c r="J446" s="1" t="n">
        <v>46.5</v>
      </c>
      <c r="K446" s="1" t="s">
        <v>177</v>
      </c>
      <c r="L446" s="1" t="b">
        <f aca="false">FALSE()</f>
        <v>0</v>
      </c>
      <c r="M446" s="1" t="str">
        <f aca="false">VLOOKUP(D446,'Team Reference'!$A:$B,2,FALSE())</f>
        <v>ARI</v>
      </c>
      <c r="N446" s="1" t="str">
        <f aca="false">VLOOKUP(E446,'Team Reference'!$A:$B,2,FALSE())</f>
        <v>DAL</v>
      </c>
      <c r="O446" s="1" t="str">
        <f aca="false">IF(F446&gt;G446,M446,IF(G446&gt;F446,N446,"Tie"))</f>
        <v>ARI</v>
      </c>
      <c r="P446" s="1" t="n">
        <f aca="false">F446-G446</f>
        <v>6</v>
      </c>
      <c r="Q446" s="1" t="n">
        <f aca="false">F446+G446</f>
        <v>32</v>
      </c>
      <c r="R446" s="1" t="str">
        <f aca="false">IF(H446=M446,"Home",IF(H446=N446,"Away",IF(H446="PICK","Pick","N/A")))</f>
        <v>Away</v>
      </c>
      <c r="S446" s="1" t="n">
        <f aca="false">IF(R446="Home",P446,IF(R446="Away",-P446,""))</f>
        <v>-6</v>
      </c>
      <c r="T446" s="1" t="str">
        <f aca="false">IF(R446="Pick","No Line",IF(S446="","N/A",IF(S446+I446&gt;0,"Favorite Covered",IF(S446+I446&lt;0,"Underdog Covered","Push"))))</f>
        <v>Underdog Covered</v>
      </c>
      <c r="U446" s="1" t="str">
        <f aca="false">IF(Q446&gt;J446,"Over",IF(Q446&lt;J446,"Under","Push"))</f>
        <v>Under</v>
      </c>
    </row>
    <row r="447" customFormat="false" ht="15" hidden="false" customHeight="false" outlineLevel="0" collapsed="false">
      <c r="A447" s="1" t="s">
        <v>273</v>
      </c>
      <c r="B447" s="1" t="n">
        <v>2011</v>
      </c>
      <c r="C447" s="1" t="s">
        <v>215</v>
      </c>
      <c r="D447" s="1" t="s">
        <v>59</v>
      </c>
      <c r="E447" s="1" t="s">
        <v>115</v>
      </c>
      <c r="F447" s="1" t="n">
        <v>17</v>
      </c>
      <c r="G447" s="1" t="n">
        <v>23</v>
      </c>
      <c r="H447" s="1" t="s">
        <v>60</v>
      </c>
      <c r="I447" s="1" t="n">
        <v>-1</v>
      </c>
      <c r="J447" s="1" t="n">
        <v>44</v>
      </c>
      <c r="K447" s="1" t="s">
        <v>144</v>
      </c>
      <c r="L447" s="1" t="b">
        <f aca="false">FALSE()</f>
        <v>0</v>
      </c>
      <c r="M447" s="1" t="str">
        <f aca="false">VLOOKUP(D447,'Team Reference'!$A:$B,2,FALSE())</f>
        <v>BUF</v>
      </c>
      <c r="N447" s="1" t="str">
        <f aca="false">VLOOKUP(E447,'Team Reference'!$A:$B,2,FALSE())</f>
        <v>TEN</v>
      </c>
      <c r="O447" s="1" t="str">
        <f aca="false">IF(F447&gt;G447,M447,IF(G447&gt;F447,N447,"Tie"))</f>
        <v>TEN</v>
      </c>
      <c r="P447" s="1" t="n">
        <f aca="false">F447-G447</f>
        <v>-6</v>
      </c>
      <c r="Q447" s="1" t="n">
        <f aca="false">F447+G447</f>
        <v>40</v>
      </c>
      <c r="R447" s="1" t="str">
        <f aca="false">IF(H447=M447,"Home",IF(H447=N447,"Away",IF(H447="PICK","Pick","N/A")))</f>
        <v>Home</v>
      </c>
      <c r="S447" s="1" t="n">
        <f aca="false">IF(R447="Home",P447,IF(R447="Away",-P447,""))</f>
        <v>-6</v>
      </c>
      <c r="T447" s="1" t="str">
        <f aca="false">IF(R447="Pick","No Line",IF(S447="","N/A",IF(S447+I447&gt;0,"Favorite Covered",IF(S447+I447&lt;0,"Underdog Covered","Push"))))</f>
        <v>Underdog Covered</v>
      </c>
      <c r="U447" s="1" t="str">
        <f aca="false">IF(Q447&gt;J447,"Over",IF(Q447&lt;J447,"Under","Push"))</f>
        <v>Under</v>
      </c>
    </row>
    <row r="448" customFormat="false" ht="15" hidden="false" customHeight="false" outlineLevel="0" collapsed="false">
      <c r="A448" s="1" t="s">
        <v>273</v>
      </c>
      <c r="B448" s="1" t="n">
        <v>2011</v>
      </c>
      <c r="C448" s="1" t="s">
        <v>215</v>
      </c>
      <c r="D448" s="1" t="s">
        <v>63</v>
      </c>
      <c r="E448" s="1" t="s">
        <v>83</v>
      </c>
      <c r="F448" s="1" t="n">
        <v>3</v>
      </c>
      <c r="G448" s="1" t="n">
        <v>10</v>
      </c>
      <c r="H448" s="1" t="s">
        <v>64</v>
      </c>
      <c r="I448" s="1" t="n">
        <v>-9</v>
      </c>
      <c r="J448" s="1" t="n">
        <v>35</v>
      </c>
      <c r="K448" s="1" t="s">
        <v>145</v>
      </c>
      <c r="L448" s="1" t="b">
        <f aca="false">FALSE()</f>
        <v>0</v>
      </c>
      <c r="M448" s="1" t="str">
        <f aca="false">VLOOKUP(D448,'Team Reference'!$A:$B,2,FALSE())</f>
        <v>CHI</v>
      </c>
      <c r="N448" s="1" t="str">
        <f aca="false">VLOOKUP(E448,'Team Reference'!$A:$B,2,FALSE())</f>
        <v>KC</v>
      </c>
      <c r="O448" s="1" t="str">
        <f aca="false">IF(F448&gt;G448,M448,IF(G448&gt;F448,N448,"Tie"))</f>
        <v>KC</v>
      </c>
      <c r="P448" s="1" t="n">
        <f aca="false">F448-G448</f>
        <v>-7</v>
      </c>
      <c r="Q448" s="1" t="n">
        <f aca="false">F448+G448</f>
        <v>13</v>
      </c>
      <c r="R448" s="1" t="str">
        <f aca="false">IF(H448=M448,"Home",IF(H448=N448,"Away",IF(H448="PICK","Pick","N/A")))</f>
        <v>Home</v>
      </c>
      <c r="S448" s="1" t="n">
        <f aca="false">IF(R448="Home",P448,IF(R448="Away",-P448,""))</f>
        <v>-7</v>
      </c>
      <c r="T448" s="1" t="str">
        <f aca="false">IF(R448="Pick","No Line",IF(S448="","N/A",IF(S448+I448&gt;0,"Favorite Covered",IF(S448+I448&lt;0,"Underdog Covered","Push"))))</f>
        <v>Underdog Covered</v>
      </c>
      <c r="U448" s="1" t="str">
        <f aca="false">IF(Q448&gt;J448,"Over",IF(Q448&lt;J448,"Under","Push"))</f>
        <v>Under</v>
      </c>
    </row>
    <row r="449" customFormat="false" ht="15" hidden="false" customHeight="false" outlineLevel="0" collapsed="false">
      <c r="A449" s="1" t="s">
        <v>273</v>
      </c>
      <c r="B449" s="1" t="n">
        <v>2011</v>
      </c>
      <c r="C449" s="1" t="s">
        <v>215</v>
      </c>
      <c r="D449" s="1" t="s">
        <v>67</v>
      </c>
      <c r="E449" s="1" t="s">
        <v>57</v>
      </c>
      <c r="F449" s="1" t="n">
        <v>10</v>
      </c>
      <c r="G449" s="1" t="n">
        <v>24</v>
      </c>
      <c r="H449" s="1" t="s">
        <v>58</v>
      </c>
      <c r="I449" s="1" t="n">
        <v>-7</v>
      </c>
      <c r="J449" s="1" t="n">
        <v>38.5</v>
      </c>
      <c r="K449" s="1" t="s">
        <v>164</v>
      </c>
      <c r="L449" s="1" t="b">
        <f aca="false">FALSE()</f>
        <v>0</v>
      </c>
      <c r="M449" s="1" t="str">
        <f aca="false">VLOOKUP(D449,'Team Reference'!$A:$B,2,FALSE())</f>
        <v>CLE</v>
      </c>
      <c r="N449" s="1" t="str">
        <f aca="false">VLOOKUP(E449,'Team Reference'!$A:$B,2,FALSE())</f>
        <v>BAL</v>
      </c>
      <c r="O449" s="1" t="str">
        <f aca="false">IF(F449&gt;G449,M449,IF(G449&gt;F449,N449,"Tie"))</f>
        <v>BAL</v>
      </c>
      <c r="P449" s="1" t="n">
        <f aca="false">F449-G449</f>
        <v>-14</v>
      </c>
      <c r="Q449" s="1" t="n">
        <f aca="false">F449+G449</f>
        <v>34</v>
      </c>
      <c r="R449" s="1" t="str">
        <f aca="false">IF(H449=M449,"Home",IF(H449=N449,"Away",IF(H449="PICK","Pick","N/A")))</f>
        <v>Away</v>
      </c>
      <c r="S449" s="1" t="n">
        <f aca="false">IF(R449="Home",P449,IF(R449="Away",-P449,""))</f>
        <v>14</v>
      </c>
      <c r="T449" s="1" t="str">
        <f aca="false">IF(R449="Pick","No Line",IF(S449="","N/A",IF(S449+I449&gt;0,"Favorite Covered",IF(S449+I449&lt;0,"Underdog Covered","Push"))))</f>
        <v>Favorite Covered</v>
      </c>
      <c r="U449" s="1" t="str">
        <f aca="false">IF(Q449&gt;J449,"Over",IF(Q449&lt;J449,"Under","Push"))</f>
        <v>Under</v>
      </c>
    </row>
    <row r="450" customFormat="false" ht="15" hidden="false" customHeight="false" outlineLevel="0" collapsed="false">
      <c r="A450" s="1" t="s">
        <v>273</v>
      </c>
      <c r="B450" s="1" t="n">
        <v>2011</v>
      </c>
      <c r="C450" s="1" t="s">
        <v>215</v>
      </c>
      <c r="D450" s="1" t="s">
        <v>77</v>
      </c>
      <c r="E450" s="1" t="s">
        <v>55</v>
      </c>
      <c r="F450" s="1" t="n">
        <v>17</v>
      </c>
      <c r="G450" s="1" t="n">
        <v>10</v>
      </c>
      <c r="H450" s="1" t="s">
        <v>56</v>
      </c>
      <c r="I450" s="1" t="n">
        <v>-2</v>
      </c>
      <c r="J450" s="1" t="n">
        <v>38</v>
      </c>
      <c r="K450" s="1" t="s">
        <v>146</v>
      </c>
      <c r="L450" s="1" t="b">
        <f aca="false">FALSE()</f>
        <v>0</v>
      </c>
      <c r="M450" s="1" t="str">
        <f aca="false">VLOOKUP(D450,'Team Reference'!$A:$B,2,FALSE())</f>
        <v>HOU</v>
      </c>
      <c r="N450" s="1" t="str">
        <f aca="false">VLOOKUP(E450,'Team Reference'!$A:$B,2,FALSE())</f>
        <v>ATL</v>
      </c>
      <c r="O450" s="1" t="str">
        <f aca="false">IF(F450&gt;G450,M450,IF(G450&gt;F450,N450,"Tie"))</f>
        <v>HOU</v>
      </c>
      <c r="P450" s="1" t="n">
        <f aca="false">F450-G450</f>
        <v>7</v>
      </c>
      <c r="Q450" s="1" t="n">
        <f aca="false">F450+G450</f>
        <v>27</v>
      </c>
      <c r="R450" s="1" t="str">
        <f aca="false">IF(H450=M450,"Home",IF(H450=N450,"Away",IF(H450="PICK","Pick","N/A")))</f>
        <v>Away</v>
      </c>
      <c r="S450" s="1" t="n">
        <f aca="false">IF(R450="Home",P450,IF(R450="Away",-P450,""))</f>
        <v>-7</v>
      </c>
      <c r="T450" s="1" t="str">
        <f aca="false">IF(R450="Pick","No Line",IF(S450="","N/A",IF(S450+I450&gt;0,"Favorite Covered",IF(S450+I450&lt;0,"Underdog Covered","Push"))))</f>
        <v>Underdog Covered</v>
      </c>
      <c r="U450" s="1" t="str">
        <f aca="false">IF(Q450&gt;J450,"Over",IF(Q450&lt;J450,"Under","Push"))</f>
        <v>Under</v>
      </c>
    </row>
    <row r="451" customFormat="false" ht="15" hidden="false" customHeight="false" outlineLevel="0" collapsed="false">
      <c r="A451" s="1" t="s">
        <v>273</v>
      </c>
      <c r="B451" s="1" t="n">
        <v>2011</v>
      </c>
      <c r="C451" s="1" t="s">
        <v>215</v>
      </c>
      <c r="D451" s="1" t="s">
        <v>89</v>
      </c>
      <c r="E451" s="1" t="s">
        <v>101</v>
      </c>
      <c r="F451" s="1" t="n">
        <v>34</v>
      </c>
      <c r="G451" s="1" t="n">
        <v>14</v>
      </c>
      <c r="H451" s="1" t="s">
        <v>90</v>
      </c>
      <c r="I451" s="1" t="n">
        <v>-3</v>
      </c>
      <c r="J451" s="1" t="n">
        <v>43</v>
      </c>
      <c r="K451" s="1" t="s">
        <v>179</v>
      </c>
      <c r="L451" s="1" t="b">
        <f aca="false">FALSE()</f>
        <v>0</v>
      </c>
      <c r="M451" s="1" t="str">
        <f aca="false">VLOOKUP(D451,'Team Reference'!$A:$B,2,FALSE())</f>
        <v>MIA</v>
      </c>
      <c r="N451" s="1" t="str">
        <f aca="false">VLOOKUP(E451,'Team Reference'!$A:$B,2,FALSE())</f>
        <v>OAK</v>
      </c>
      <c r="O451" s="1" t="str">
        <f aca="false">IF(F451&gt;G451,M451,IF(G451&gt;F451,N451,"Tie"))</f>
        <v>MIA</v>
      </c>
      <c r="P451" s="1" t="n">
        <f aca="false">F451-G451</f>
        <v>20</v>
      </c>
      <c r="Q451" s="1" t="n">
        <f aca="false">F451+G451</f>
        <v>48</v>
      </c>
      <c r="R451" s="1" t="str">
        <f aca="false">IF(H451=M451,"Home",IF(H451=N451,"Away",IF(H451="PICK","Pick","N/A")))</f>
        <v>Home</v>
      </c>
      <c r="S451" s="1" t="n">
        <f aca="false">IF(R451="Home",P451,IF(R451="Away",-P451,""))</f>
        <v>20</v>
      </c>
      <c r="T451" s="1" t="str">
        <f aca="false">IF(R451="Pick","No Line",IF(S451="","N/A",IF(S451+I451&gt;0,"Favorite Covered",IF(S451+I451&lt;0,"Underdog Covered","Push"))))</f>
        <v>Favorite Covered</v>
      </c>
      <c r="U451" s="1" t="str">
        <f aca="false">IF(Q451&gt;J451,"Over",IF(Q451&lt;J451,"Under","Push"))</f>
        <v>Over</v>
      </c>
    </row>
    <row r="452" customFormat="false" ht="15" hidden="false" customHeight="false" outlineLevel="0" collapsed="false">
      <c r="A452" s="1" t="s">
        <v>273</v>
      </c>
      <c r="B452" s="1" t="n">
        <v>2011</v>
      </c>
      <c r="C452" s="1" t="s">
        <v>215</v>
      </c>
      <c r="D452" s="1" t="s">
        <v>91</v>
      </c>
      <c r="E452" s="1" t="s">
        <v>71</v>
      </c>
      <c r="F452" s="1" t="n">
        <v>32</v>
      </c>
      <c r="G452" s="1" t="n">
        <v>35</v>
      </c>
      <c r="H452" s="1" t="s">
        <v>92</v>
      </c>
      <c r="I452" s="1" t="n">
        <v>-1.5</v>
      </c>
      <c r="J452" s="1" t="n">
        <v>37.5</v>
      </c>
      <c r="K452" s="1" t="s">
        <v>170</v>
      </c>
      <c r="L452" s="1" t="b">
        <f aca="false">FALSE()</f>
        <v>0</v>
      </c>
      <c r="M452" s="1" t="str">
        <f aca="false">VLOOKUP(D452,'Team Reference'!$A:$B,2,FALSE())</f>
        <v>MIN</v>
      </c>
      <c r="N452" s="1" t="str">
        <f aca="false">VLOOKUP(E452,'Team Reference'!$A:$B,2,FALSE())</f>
        <v>DEN</v>
      </c>
      <c r="O452" s="1" t="str">
        <f aca="false">IF(F452&gt;G452,M452,IF(G452&gt;F452,N452,"Tie"))</f>
        <v>DEN</v>
      </c>
      <c r="P452" s="1" t="n">
        <f aca="false">F452-G452</f>
        <v>-3</v>
      </c>
      <c r="Q452" s="1" t="n">
        <f aca="false">F452+G452</f>
        <v>67</v>
      </c>
      <c r="R452" s="1" t="str">
        <f aca="false">IF(H452=M452,"Home",IF(H452=N452,"Away",IF(H452="PICK","Pick","N/A")))</f>
        <v>Home</v>
      </c>
      <c r="S452" s="1" t="n">
        <f aca="false">IF(R452="Home",P452,IF(R452="Away",-P452,""))</f>
        <v>-3</v>
      </c>
      <c r="T452" s="1" t="str">
        <f aca="false">IF(R452="Pick","No Line",IF(S452="","N/A",IF(S452+I452&gt;0,"Favorite Covered",IF(S452+I452&lt;0,"Underdog Covered","Push"))))</f>
        <v>Underdog Covered</v>
      </c>
      <c r="U452" s="1" t="str">
        <f aca="false">IF(Q452&gt;J452,"Over",IF(Q452&lt;J452,"Under","Push"))</f>
        <v>Over</v>
      </c>
    </row>
    <row r="453" customFormat="false" ht="15" hidden="false" customHeight="false" outlineLevel="0" collapsed="false">
      <c r="A453" s="1" t="s">
        <v>273</v>
      </c>
      <c r="B453" s="1" t="n">
        <v>2011</v>
      </c>
      <c r="C453" s="1" t="s">
        <v>215</v>
      </c>
      <c r="D453" s="1" t="s">
        <v>93</v>
      </c>
      <c r="E453" s="1" t="s">
        <v>79</v>
      </c>
      <c r="F453" s="1" t="n">
        <v>31</v>
      </c>
      <c r="G453" s="1" t="n">
        <v>24</v>
      </c>
      <c r="H453" s="1" t="s">
        <v>94</v>
      </c>
      <c r="I453" s="1" t="n">
        <v>-20.5</v>
      </c>
      <c r="J453" s="1" t="n">
        <v>48.5</v>
      </c>
      <c r="K453" s="1" t="s">
        <v>148</v>
      </c>
      <c r="L453" s="1" t="b">
        <f aca="false">FALSE()</f>
        <v>0</v>
      </c>
      <c r="M453" s="1" t="str">
        <f aca="false">VLOOKUP(D453,'Team Reference'!$A:$B,2,FALSE())</f>
        <v>NE</v>
      </c>
      <c r="N453" s="1" t="str">
        <f aca="false">VLOOKUP(E453,'Team Reference'!$A:$B,2,FALSE())</f>
        <v>IND</v>
      </c>
      <c r="O453" s="1" t="str">
        <f aca="false">IF(F453&gt;G453,M453,IF(G453&gt;F453,N453,"Tie"))</f>
        <v>NE</v>
      </c>
      <c r="P453" s="1" t="n">
        <f aca="false">F453-G453</f>
        <v>7</v>
      </c>
      <c r="Q453" s="1" t="n">
        <f aca="false">F453+G453</f>
        <v>55</v>
      </c>
      <c r="R453" s="1" t="str">
        <f aca="false">IF(H453=M453,"Home",IF(H453=N453,"Away",IF(H453="PICK","Pick","N/A")))</f>
        <v>Home</v>
      </c>
      <c r="S453" s="1" t="n">
        <f aca="false">IF(R453="Home",P453,IF(R453="Away",-P453,""))</f>
        <v>7</v>
      </c>
      <c r="T453" s="1" t="str">
        <f aca="false">IF(R453="Pick","No Line",IF(S453="","N/A",IF(S453+I453&gt;0,"Favorite Covered",IF(S453+I453&lt;0,"Underdog Covered","Push"))))</f>
        <v>Underdog Covered</v>
      </c>
      <c r="U453" s="1" t="str">
        <f aca="false">IF(Q453&gt;J453,"Over",IF(Q453&lt;J453,"Under","Push"))</f>
        <v>Over</v>
      </c>
    </row>
    <row r="454" customFormat="false" ht="15" hidden="false" customHeight="false" outlineLevel="0" collapsed="false">
      <c r="A454" s="1" t="s">
        <v>273</v>
      </c>
      <c r="B454" s="1" t="n">
        <v>2011</v>
      </c>
      <c r="C454" s="1" t="s">
        <v>215</v>
      </c>
      <c r="D454" s="1" t="s">
        <v>95</v>
      </c>
      <c r="E454" s="1" t="s">
        <v>73</v>
      </c>
      <c r="F454" s="1" t="n">
        <v>31</v>
      </c>
      <c r="G454" s="1" t="n">
        <v>17</v>
      </c>
      <c r="H454" s="1" t="s">
        <v>96</v>
      </c>
      <c r="I454" s="1" t="n">
        <v>-9</v>
      </c>
      <c r="J454" s="1" t="n">
        <v>54.5</v>
      </c>
      <c r="K454" s="1" t="s">
        <v>142</v>
      </c>
      <c r="L454" s="1" t="b">
        <f aca="false">FALSE()</f>
        <v>0</v>
      </c>
      <c r="M454" s="1" t="str">
        <f aca="false">VLOOKUP(D454,'Team Reference'!$A:$B,2,FALSE())</f>
        <v>NO</v>
      </c>
      <c r="N454" s="1" t="str">
        <f aca="false">VLOOKUP(E454,'Team Reference'!$A:$B,2,FALSE())</f>
        <v>DET</v>
      </c>
      <c r="O454" s="1" t="str">
        <f aca="false">IF(F454&gt;G454,M454,IF(G454&gt;F454,N454,"Tie"))</f>
        <v>NO</v>
      </c>
      <c r="P454" s="1" t="n">
        <f aca="false">F454-G454</f>
        <v>14</v>
      </c>
      <c r="Q454" s="1" t="n">
        <f aca="false">F454+G454</f>
        <v>48</v>
      </c>
      <c r="R454" s="1" t="str">
        <f aca="false">IF(H454=M454,"Home",IF(H454=N454,"Away",IF(H454="PICK","Pick","N/A")))</f>
        <v>Home</v>
      </c>
      <c r="S454" s="1" t="n">
        <f aca="false">IF(R454="Home",P454,IF(R454="Away",-P454,""))</f>
        <v>14</v>
      </c>
      <c r="T454" s="1" t="str">
        <f aca="false">IF(R454="Pick","No Line",IF(S454="","N/A",IF(S454+I454&gt;0,"Favorite Covered",IF(S454+I454&lt;0,"Underdog Covered","Push"))))</f>
        <v>Favorite Covered</v>
      </c>
      <c r="U454" s="1" t="str">
        <f aca="false">IF(Q454&gt;J454,"Over",IF(Q454&lt;J454,"Under","Push"))</f>
        <v>Under</v>
      </c>
    </row>
    <row r="455" customFormat="false" ht="15" hidden="false" customHeight="false" outlineLevel="0" collapsed="false">
      <c r="A455" s="1" t="s">
        <v>273</v>
      </c>
      <c r="B455" s="1" t="n">
        <v>2011</v>
      </c>
      <c r="C455" s="1" t="s">
        <v>215</v>
      </c>
      <c r="D455" s="1" t="s">
        <v>97</v>
      </c>
      <c r="E455" s="1" t="s">
        <v>75</v>
      </c>
      <c r="F455" s="1" t="n">
        <v>35</v>
      </c>
      <c r="G455" s="1" t="n">
        <v>38</v>
      </c>
      <c r="H455" s="1" t="s">
        <v>76</v>
      </c>
      <c r="I455" s="1" t="n">
        <v>-7</v>
      </c>
      <c r="J455" s="1" t="n">
        <v>54</v>
      </c>
      <c r="K455" s="1" t="s">
        <v>149</v>
      </c>
      <c r="L455" s="1" t="b">
        <f aca="false">FALSE()</f>
        <v>0</v>
      </c>
      <c r="M455" s="1" t="str">
        <f aca="false">VLOOKUP(D455,'Team Reference'!$A:$B,2,FALSE())</f>
        <v>NYG</v>
      </c>
      <c r="N455" s="1" t="str">
        <f aca="false">VLOOKUP(E455,'Team Reference'!$A:$B,2,FALSE())</f>
        <v>GB</v>
      </c>
      <c r="O455" s="1" t="str">
        <f aca="false">IF(F455&gt;G455,M455,IF(G455&gt;F455,N455,"Tie"))</f>
        <v>GB</v>
      </c>
      <c r="P455" s="1" t="n">
        <f aca="false">F455-G455</f>
        <v>-3</v>
      </c>
      <c r="Q455" s="1" t="n">
        <f aca="false">F455+G455</f>
        <v>73</v>
      </c>
      <c r="R455" s="1" t="str">
        <f aca="false">IF(H455=M455,"Home",IF(H455=N455,"Away",IF(H455="PICK","Pick","N/A")))</f>
        <v>Away</v>
      </c>
      <c r="S455" s="1" t="n">
        <f aca="false">IF(R455="Home",P455,IF(R455="Away",-P455,""))</f>
        <v>3</v>
      </c>
      <c r="T455" s="1" t="str">
        <f aca="false">IF(R455="Pick","No Line",IF(S455="","N/A",IF(S455+I455&gt;0,"Favorite Covered",IF(S455+I455&lt;0,"Underdog Covered","Push"))))</f>
        <v>Underdog Covered</v>
      </c>
      <c r="U455" s="1" t="str">
        <f aca="false">IF(Q455&gt;J455,"Over",IF(Q455&lt;J455,"Under","Push"))</f>
        <v>Over</v>
      </c>
    </row>
    <row r="456" customFormat="false" ht="15" hidden="false" customHeight="false" outlineLevel="0" collapsed="false">
      <c r="A456" s="1" t="s">
        <v>273</v>
      </c>
      <c r="B456" s="1" t="n">
        <v>2011</v>
      </c>
      <c r="C456" s="1" t="s">
        <v>215</v>
      </c>
      <c r="D456" s="1" t="s">
        <v>105</v>
      </c>
      <c r="E456" s="1" t="s">
        <v>65</v>
      </c>
      <c r="F456" s="1" t="n">
        <v>35</v>
      </c>
      <c r="G456" s="1" t="n">
        <v>7</v>
      </c>
      <c r="H456" s="1" t="s">
        <v>106</v>
      </c>
      <c r="I456" s="1" t="n">
        <v>-7</v>
      </c>
      <c r="J456" s="1" t="n">
        <v>43</v>
      </c>
      <c r="K456" s="1" t="s">
        <v>151</v>
      </c>
      <c r="L456" s="1" t="b">
        <f aca="false">FALSE()</f>
        <v>0</v>
      </c>
      <c r="M456" s="1" t="str">
        <f aca="false">VLOOKUP(D456,'Team Reference'!$A:$B,2,FALSE())</f>
        <v>PIT</v>
      </c>
      <c r="N456" s="1" t="str">
        <f aca="false">VLOOKUP(E456,'Team Reference'!$A:$B,2,FALSE())</f>
        <v>CIN</v>
      </c>
      <c r="O456" s="1" t="str">
        <f aca="false">IF(F456&gt;G456,M456,IF(G456&gt;F456,N456,"Tie"))</f>
        <v>PIT</v>
      </c>
      <c r="P456" s="1" t="n">
        <f aca="false">F456-G456</f>
        <v>28</v>
      </c>
      <c r="Q456" s="1" t="n">
        <f aca="false">F456+G456</f>
        <v>42</v>
      </c>
      <c r="R456" s="1" t="str">
        <f aca="false">IF(H456=M456,"Home",IF(H456=N456,"Away",IF(H456="PICK","Pick","N/A")))</f>
        <v>Home</v>
      </c>
      <c r="S456" s="1" t="n">
        <f aca="false">IF(R456="Home",P456,IF(R456="Away",-P456,""))</f>
        <v>28</v>
      </c>
      <c r="T456" s="1" t="str">
        <f aca="false">IF(R456="Pick","No Line",IF(S456="","N/A",IF(S456+I456&gt;0,"Favorite Covered",IF(S456+I456&lt;0,"Underdog Covered","Push"))))</f>
        <v>Favorite Covered</v>
      </c>
      <c r="U456" s="1" t="str">
        <f aca="false">IF(Q456&gt;J456,"Over",IF(Q456&lt;J456,"Under","Push"))</f>
        <v>Under</v>
      </c>
    </row>
    <row r="457" customFormat="false" ht="15" hidden="false" customHeight="false" outlineLevel="0" collapsed="false">
      <c r="A457" s="1" t="s">
        <v>273</v>
      </c>
      <c r="B457" s="1" t="n">
        <v>2011</v>
      </c>
      <c r="C457" s="1" t="s">
        <v>215</v>
      </c>
      <c r="D457" s="1" t="s">
        <v>108</v>
      </c>
      <c r="E457" s="1" t="s">
        <v>112</v>
      </c>
      <c r="F457" s="1" t="n">
        <v>26</v>
      </c>
      <c r="G457" s="1" t="n">
        <v>0</v>
      </c>
      <c r="H457" s="1" t="s">
        <v>109</v>
      </c>
      <c r="I457" s="1" t="n">
        <v>-14.5</v>
      </c>
      <c r="J457" s="1" t="n">
        <v>38.5</v>
      </c>
      <c r="K457" s="1" t="s">
        <v>174</v>
      </c>
      <c r="L457" s="1" t="b">
        <f aca="false">FALSE()</f>
        <v>0</v>
      </c>
      <c r="M457" s="1" t="str">
        <f aca="false">VLOOKUP(D457,'Team Reference'!$A:$B,2,FALSE())</f>
        <v>SF</v>
      </c>
      <c r="N457" s="1" t="str">
        <f aca="false">VLOOKUP(E457,'Team Reference'!$A:$B,2,FALSE())</f>
        <v>LAR</v>
      </c>
      <c r="O457" s="1" t="str">
        <f aca="false">IF(F457&gt;G457,M457,IF(G457&gt;F457,N457,"Tie"))</f>
        <v>SF</v>
      </c>
      <c r="P457" s="1" t="n">
        <f aca="false">F457-G457</f>
        <v>26</v>
      </c>
      <c r="Q457" s="1" t="n">
        <f aca="false">F457+G457</f>
        <v>26</v>
      </c>
      <c r="R457" s="1" t="str">
        <f aca="false">IF(H457=M457,"Home",IF(H457=N457,"Away",IF(H457="PICK","Pick","N/A")))</f>
        <v>Home</v>
      </c>
      <c r="S457" s="1" t="n">
        <f aca="false">IF(R457="Home",P457,IF(R457="Away",-P457,""))</f>
        <v>26</v>
      </c>
      <c r="T457" s="1" t="str">
        <f aca="false">IF(R457="Pick","No Line",IF(S457="","N/A",IF(S457+I457&gt;0,"Favorite Covered",IF(S457+I457&lt;0,"Underdog Covered","Push"))))</f>
        <v>Favorite Covered</v>
      </c>
      <c r="U457" s="1" t="str">
        <f aca="false">IF(Q457&gt;J457,"Over",IF(Q457&lt;J457,"Under","Push"))</f>
        <v>Under</v>
      </c>
    </row>
    <row r="458" customFormat="false" ht="15" hidden="false" customHeight="false" outlineLevel="0" collapsed="false">
      <c r="A458" s="1" t="s">
        <v>273</v>
      </c>
      <c r="B458" s="1" t="n">
        <v>2011</v>
      </c>
      <c r="C458" s="1" t="s">
        <v>215</v>
      </c>
      <c r="D458" s="1" t="s">
        <v>113</v>
      </c>
      <c r="E458" s="1" t="s">
        <v>61</v>
      </c>
      <c r="F458" s="1" t="n">
        <v>19</v>
      </c>
      <c r="G458" s="1" t="n">
        <v>38</v>
      </c>
      <c r="H458" s="1" t="s">
        <v>62</v>
      </c>
      <c r="I458" s="1" t="n">
        <v>-2.5</v>
      </c>
      <c r="J458" s="1" t="n">
        <v>46.5</v>
      </c>
      <c r="K458" s="1" t="s">
        <v>154</v>
      </c>
      <c r="L458" s="1" t="b">
        <f aca="false">FALSE()</f>
        <v>0</v>
      </c>
      <c r="M458" s="1" t="str">
        <f aca="false">VLOOKUP(D458,'Team Reference'!$A:$B,2,FALSE())</f>
        <v>TB</v>
      </c>
      <c r="N458" s="1" t="str">
        <f aca="false">VLOOKUP(E458,'Team Reference'!$A:$B,2,FALSE())</f>
        <v>CAR</v>
      </c>
      <c r="O458" s="1" t="str">
        <f aca="false">IF(F458&gt;G458,M458,IF(G458&gt;F458,N458,"Tie"))</f>
        <v>CAR</v>
      </c>
      <c r="P458" s="1" t="n">
        <f aca="false">F458-G458</f>
        <v>-19</v>
      </c>
      <c r="Q458" s="1" t="n">
        <f aca="false">F458+G458</f>
        <v>57</v>
      </c>
      <c r="R458" s="1" t="str">
        <f aca="false">IF(H458=M458,"Home",IF(H458=N458,"Away",IF(H458="PICK","Pick","N/A")))</f>
        <v>Away</v>
      </c>
      <c r="S458" s="1" t="n">
        <f aca="false">IF(R458="Home",P458,IF(R458="Away",-P458,""))</f>
        <v>19</v>
      </c>
      <c r="T458" s="1" t="str">
        <f aca="false">IF(R458="Pick","No Line",IF(S458="","N/A",IF(S458+I458&gt;0,"Favorite Covered",IF(S458+I458&lt;0,"Underdog Covered","Push"))))</f>
        <v>Favorite Covered</v>
      </c>
      <c r="U458" s="1" t="str">
        <f aca="false">IF(Q458&gt;J458,"Over",IF(Q458&lt;J458,"Under","Push"))</f>
        <v>Over</v>
      </c>
    </row>
    <row r="459" customFormat="false" ht="15" hidden="false" customHeight="false" outlineLevel="0" collapsed="false">
      <c r="A459" s="1" t="s">
        <v>273</v>
      </c>
      <c r="B459" s="1" t="n">
        <v>2011</v>
      </c>
      <c r="C459" s="1" t="s">
        <v>215</v>
      </c>
      <c r="D459" s="1" t="s">
        <v>117</v>
      </c>
      <c r="E459" s="1" t="s">
        <v>99</v>
      </c>
      <c r="F459" s="1" t="n">
        <v>19</v>
      </c>
      <c r="G459" s="1" t="n">
        <v>34</v>
      </c>
      <c r="H459" s="1" t="s">
        <v>100</v>
      </c>
      <c r="I459" s="1" t="n">
        <v>-3</v>
      </c>
      <c r="J459" s="1" t="n">
        <v>38.5</v>
      </c>
      <c r="K459" s="1" t="s">
        <v>156</v>
      </c>
      <c r="L459" s="1" t="b">
        <f aca="false">FALSE()</f>
        <v>0</v>
      </c>
      <c r="M459" s="1" t="str">
        <f aca="false">VLOOKUP(D459,'Team Reference'!$A:$B,2,FALSE())</f>
        <v>WAS</v>
      </c>
      <c r="N459" s="1" t="str">
        <f aca="false">VLOOKUP(E459,'Team Reference'!$A:$B,2,FALSE())</f>
        <v>NYJ</v>
      </c>
      <c r="O459" s="1" t="str">
        <f aca="false">IF(F459&gt;G459,M459,IF(G459&gt;F459,N459,"Tie"))</f>
        <v>NYJ</v>
      </c>
      <c r="P459" s="1" t="n">
        <f aca="false">F459-G459</f>
        <v>-15</v>
      </c>
      <c r="Q459" s="1" t="n">
        <f aca="false">F459+G459</f>
        <v>53</v>
      </c>
      <c r="R459" s="1" t="str">
        <f aca="false">IF(H459=M459,"Home",IF(H459=N459,"Away",IF(H459="PICK","Pick","N/A")))</f>
        <v>Away</v>
      </c>
      <c r="S459" s="1" t="n">
        <f aca="false">IF(R459="Home",P459,IF(R459="Away",-P459,""))</f>
        <v>15</v>
      </c>
      <c r="T459" s="1" t="str">
        <f aca="false">IF(R459="Pick","No Line",IF(S459="","N/A",IF(S459+I459&gt;0,"Favorite Covered",IF(S459+I459&lt;0,"Underdog Covered","Push"))))</f>
        <v>Favorite Covered</v>
      </c>
      <c r="U459" s="1" t="str">
        <f aca="false">IF(Q459&gt;J459,"Over",IF(Q459&lt;J459,"Under","Push"))</f>
        <v>Over</v>
      </c>
    </row>
    <row r="460" customFormat="false" ht="15" hidden="false" customHeight="false" outlineLevel="0" collapsed="false">
      <c r="A460" s="1" t="s">
        <v>274</v>
      </c>
      <c r="B460" s="1" t="n">
        <v>2011</v>
      </c>
      <c r="C460" s="1" t="s">
        <v>215</v>
      </c>
      <c r="D460" s="1" t="s">
        <v>81</v>
      </c>
      <c r="E460" s="1" t="s">
        <v>107</v>
      </c>
      <c r="F460" s="1" t="n">
        <v>14</v>
      </c>
      <c r="G460" s="1" t="n">
        <v>38</v>
      </c>
      <c r="H460" s="1" t="s">
        <v>86</v>
      </c>
      <c r="I460" s="1" t="n">
        <v>-3</v>
      </c>
      <c r="J460" s="1" t="n">
        <v>39.5</v>
      </c>
      <c r="K460" s="1" t="s">
        <v>147</v>
      </c>
      <c r="L460" s="1" t="b">
        <f aca="false">FALSE()</f>
        <v>0</v>
      </c>
      <c r="M460" s="1" t="str">
        <f aca="false">VLOOKUP(D460,'Team Reference'!$A:$B,2,FALSE())</f>
        <v>JAX</v>
      </c>
      <c r="N460" s="1" t="str">
        <f aca="false">VLOOKUP(E460,'Team Reference'!$A:$B,2,FALSE())</f>
        <v>LAC</v>
      </c>
      <c r="O460" s="1" t="str">
        <f aca="false">IF(F460&gt;G460,M460,IF(G460&gt;F460,N460,"Tie"))</f>
        <v>LAC</v>
      </c>
      <c r="P460" s="1" t="n">
        <f aca="false">F460-G460</f>
        <v>-24</v>
      </c>
      <c r="Q460" s="1" t="n">
        <f aca="false">F460+G460</f>
        <v>52</v>
      </c>
      <c r="R460" s="1" t="str">
        <f aca="false">IF(H460=M460,"Home",IF(H460=N460,"Away",IF(H460="PICK","Pick","N/A")))</f>
        <v>Away</v>
      </c>
      <c r="S460" s="1" t="n">
        <f aca="false">IF(R460="Home",P460,IF(R460="Away",-P460,""))</f>
        <v>24</v>
      </c>
      <c r="T460" s="1" t="str">
        <f aca="false">IF(R460="Pick","No Line",IF(S460="","N/A",IF(S460+I460&gt;0,"Favorite Covered",IF(S460+I460&lt;0,"Underdog Covered","Push"))))</f>
        <v>Favorite Covered</v>
      </c>
      <c r="U460" s="1" t="str">
        <f aca="false">IF(Q460&gt;J460,"Over",IF(Q460&lt;J460,"Under","Push"))</f>
        <v>Over</v>
      </c>
    </row>
    <row r="461" customFormat="false" ht="15" hidden="false" customHeight="false" outlineLevel="0" collapsed="false">
      <c r="A461" s="1" t="s">
        <v>275</v>
      </c>
      <c r="B461" s="1" t="n">
        <v>2011</v>
      </c>
      <c r="C461" s="1" t="s">
        <v>219</v>
      </c>
      <c r="D461" s="1" t="s">
        <v>105</v>
      </c>
      <c r="E461" s="1" t="s">
        <v>67</v>
      </c>
      <c r="F461" s="1" t="n">
        <v>14</v>
      </c>
      <c r="G461" s="1" t="n">
        <v>3</v>
      </c>
      <c r="H461" s="1" t="s">
        <v>106</v>
      </c>
      <c r="I461" s="1" t="n">
        <v>-14</v>
      </c>
      <c r="J461" s="1" t="n">
        <v>40</v>
      </c>
      <c r="K461" s="1" t="s">
        <v>151</v>
      </c>
      <c r="L461" s="1" t="b">
        <f aca="false">FALSE()</f>
        <v>0</v>
      </c>
      <c r="M461" s="1" t="str">
        <f aca="false">VLOOKUP(D461,'Team Reference'!$A:$B,2,FALSE())</f>
        <v>PIT</v>
      </c>
      <c r="N461" s="1" t="str">
        <f aca="false">VLOOKUP(E461,'Team Reference'!$A:$B,2,FALSE())</f>
        <v>CLE</v>
      </c>
      <c r="O461" s="1" t="str">
        <f aca="false">IF(F461&gt;G461,M461,IF(G461&gt;F461,N461,"Tie"))</f>
        <v>PIT</v>
      </c>
      <c r="P461" s="1" t="n">
        <f aca="false">F461-G461</f>
        <v>11</v>
      </c>
      <c r="Q461" s="1" t="n">
        <f aca="false">F461+G461</f>
        <v>17</v>
      </c>
      <c r="R461" s="1" t="str">
        <f aca="false">IF(H461=M461,"Home",IF(H461=N461,"Away",IF(H461="PICK","Pick","N/A")))</f>
        <v>Home</v>
      </c>
      <c r="S461" s="1" t="n">
        <f aca="false">IF(R461="Home",P461,IF(R461="Away",-P461,""))</f>
        <v>11</v>
      </c>
      <c r="T461" s="1" t="str">
        <f aca="false">IF(R461="Pick","No Line",IF(S461="","N/A",IF(S461+I461&gt;0,"Favorite Covered",IF(S461+I461&lt;0,"Underdog Covered","Push"))))</f>
        <v>Underdog Covered</v>
      </c>
      <c r="U461" s="1" t="str">
        <f aca="false">IF(Q461&gt;J461,"Over",IF(Q461&lt;J461,"Under","Push"))</f>
        <v>Under</v>
      </c>
    </row>
    <row r="462" customFormat="false" ht="15" hidden="false" customHeight="false" outlineLevel="0" collapsed="false">
      <c r="A462" s="1" t="s">
        <v>276</v>
      </c>
      <c r="B462" s="1" t="n">
        <v>2011</v>
      </c>
      <c r="C462" s="1" t="s">
        <v>219</v>
      </c>
      <c r="D462" s="1" t="s">
        <v>53</v>
      </c>
      <c r="E462" s="1" t="s">
        <v>108</v>
      </c>
      <c r="F462" s="1" t="n">
        <v>21</v>
      </c>
      <c r="G462" s="1" t="n">
        <v>19</v>
      </c>
      <c r="H462" s="1" t="s">
        <v>109</v>
      </c>
      <c r="I462" s="1" t="n">
        <v>-3.5</v>
      </c>
      <c r="J462" s="1" t="n">
        <v>40</v>
      </c>
      <c r="K462" s="1" t="s">
        <v>177</v>
      </c>
      <c r="L462" s="1" t="b">
        <f aca="false">FALSE()</f>
        <v>0</v>
      </c>
      <c r="M462" s="1" t="str">
        <f aca="false">VLOOKUP(D462,'Team Reference'!$A:$B,2,FALSE())</f>
        <v>ARI</v>
      </c>
      <c r="N462" s="1" t="str">
        <f aca="false">VLOOKUP(E462,'Team Reference'!$A:$B,2,FALSE())</f>
        <v>SF</v>
      </c>
      <c r="O462" s="1" t="str">
        <f aca="false">IF(F462&gt;G462,M462,IF(G462&gt;F462,N462,"Tie"))</f>
        <v>ARI</v>
      </c>
      <c r="P462" s="1" t="n">
        <f aca="false">F462-G462</f>
        <v>2</v>
      </c>
      <c r="Q462" s="1" t="n">
        <f aca="false">F462+G462</f>
        <v>40</v>
      </c>
      <c r="R462" s="1" t="str">
        <f aca="false">IF(H462=M462,"Home",IF(H462=N462,"Away",IF(H462="PICK","Pick","N/A")))</f>
        <v>Away</v>
      </c>
      <c r="S462" s="1" t="n">
        <f aca="false">IF(R462="Home",P462,IF(R462="Away",-P462,""))</f>
        <v>-2</v>
      </c>
      <c r="T462" s="1" t="str">
        <f aca="false">IF(R462="Pick","No Line",IF(S462="","N/A",IF(S462+I462&gt;0,"Favorite Covered",IF(S462+I462&lt;0,"Underdog Covered","Push"))))</f>
        <v>Underdog Covered</v>
      </c>
      <c r="U462" s="1" t="str">
        <f aca="false">IF(Q462&gt;J462,"Over",IF(Q462&lt;J462,"Under","Push"))</f>
        <v>Push</v>
      </c>
    </row>
    <row r="463" customFormat="false" ht="15" hidden="false" customHeight="false" outlineLevel="0" collapsed="false">
      <c r="A463" s="1" t="s">
        <v>276</v>
      </c>
      <c r="B463" s="1" t="n">
        <v>2011</v>
      </c>
      <c r="C463" s="1" t="s">
        <v>219</v>
      </c>
      <c r="D463" s="1" t="s">
        <v>57</v>
      </c>
      <c r="E463" s="1" t="s">
        <v>79</v>
      </c>
      <c r="F463" s="1" t="n">
        <v>24</v>
      </c>
      <c r="G463" s="1" t="n">
        <v>10</v>
      </c>
      <c r="H463" s="1" t="s">
        <v>58</v>
      </c>
      <c r="I463" s="1" t="n">
        <v>-16.5</v>
      </c>
      <c r="J463" s="1" t="n">
        <v>41.5</v>
      </c>
      <c r="K463" s="1" t="s">
        <v>178</v>
      </c>
      <c r="L463" s="1" t="b">
        <f aca="false">FALSE()</f>
        <v>0</v>
      </c>
      <c r="M463" s="1" t="str">
        <f aca="false">VLOOKUP(D463,'Team Reference'!$A:$B,2,FALSE())</f>
        <v>BAL</v>
      </c>
      <c r="N463" s="1" t="str">
        <f aca="false">VLOOKUP(E463,'Team Reference'!$A:$B,2,FALSE())</f>
        <v>IND</v>
      </c>
      <c r="O463" s="1" t="str">
        <f aca="false">IF(F463&gt;G463,M463,IF(G463&gt;F463,N463,"Tie"))</f>
        <v>BAL</v>
      </c>
      <c r="P463" s="1" t="n">
        <f aca="false">F463-G463</f>
        <v>14</v>
      </c>
      <c r="Q463" s="1" t="n">
        <f aca="false">F463+G463</f>
        <v>34</v>
      </c>
      <c r="R463" s="1" t="str">
        <f aca="false">IF(H463=M463,"Home",IF(H463=N463,"Away",IF(H463="PICK","Pick","N/A")))</f>
        <v>Home</v>
      </c>
      <c r="S463" s="1" t="n">
        <f aca="false">IF(R463="Home",P463,IF(R463="Away",-P463,""))</f>
        <v>14</v>
      </c>
      <c r="T463" s="1" t="str">
        <f aca="false">IF(R463="Pick","No Line",IF(S463="","N/A",IF(S463+I463&gt;0,"Favorite Covered",IF(S463+I463&lt;0,"Underdog Covered","Push"))))</f>
        <v>Underdog Covered</v>
      </c>
      <c r="U463" s="1" t="str">
        <f aca="false">IF(Q463&gt;J463,"Over",IF(Q463&lt;J463,"Under","Push"))</f>
        <v>Under</v>
      </c>
    </row>
    <row r="464" customFormat="false" ht="15" hidden="false" customHeight="false" outlineLevel="0" collapsed="false">
      <c r="A464" s="1" t="s">
        <v>276</v>
      </c>
      <c r="B464" s="1" t="n">
        <v>2011</v>
      </c>
      <c r="C464" s="1" t="s">
        <v>219</v>
      </c>
      <c r="D464" s="1" t="s">
        <v>61</v>
      </c>
      <c r="E464" s="1" t="s">
        <v>55</v>
      </c>
      <c r="F464" s="1" t="n">
        <v>23</v>
      </c>
      <c r="G464" s="1" t="n">
        <v>31</v>
      </c>
      <c r="H464" s="1" t="s">
        <v>56</v>
      </c>
      <c r="I464" s="1" t="n">
        <v>-3</v>
      </c>
      <c r="J464" s="1" t="n">
        <v>47.5</v>
      </c>
      <c r="K464" s="1" t="s">
        <v>162</v>
      </c>
      <c r="L464" s="1" t="b">
        <f aca="false">FALSE()</f>
        <v>0</v>
      </c>
      <c r="M464" s="1" t="str">
        <f aca="false">VLOOKUP(D464,'Team Reference'!$A:$B,2,FALSE())</f>
        <v>CAR</v>
      </c>
      <c r="N464" s="1" t="str">
        <f aca="false">VLOOKUP(E464,'Team Reference'!$A:$B,2,FALSE())</f>
        <v>ATL</v>
      </c>
      <c r="O464" s="1" t="str">
        <f aca="false">IF(F464&gt;G464,M464,IF(G464&gt;F464,N464,"Tie"))</f>
        <v>ATL</v>
      </c>
      <c r="P464" s="1" t="n">
        <f aca="false">F464-G464</f>
        <v>-8</v>
      </c>
      <c r="Q464" s="1" t="n">
        <f aca="false">F464+G464</f>
        <v>54</v>
      </c>
      <c r="R464" s="1" t="str">
        <f aca="false">IF(H464=M464,"Home",IF(H464=N464,"Away",IF(H464="PICK","Pick","N/A")))</f>
        <v>Away</v>
      </c>
      <c r="S464" s="1" t="n">
        <f aca="false">IF(R464="Home",P464,IF(R464="Away",-P464,""))</f>
        <v>8</v>
      </c>
      <c r="T464" s="1" t="str">
        <f aca="false">IF(R464="Pick","No Line",IF(S464="","N/A",IF(S464+I464&gt;0,"Favorite Covered",IF(S464+I464&lt;0,"Underdog Covered","Push"))))</f>
        <v>Favorite Covered</v>
      </c>
      <c r="U464" s="1" t="str">
        <f aca="false">IF(Q464&gt;J464,"Over",IF(Q464&lt;J464,"Under","Push"))</f>
        <v>Over</v>
      </c>
    </row>
    <row r="465" customFormat="false" ht="15" hidden="false" customHeight="false" outlineLevel="0" collapsed="false">
      <c r="A465" s="1" t="s">
        <v>276</v>
      </c>
      <c r="B465" s="1" t="n">
        <v>2011</v>
      </c>
      <c r="C465" s="1" t="s">
        <v>219</v>
      </c>
      <c r="D465" s="1" t="s">
        <v>65</v>
      </c>
      <c r="E465" s="1" t="s">
        <v>77</v>
      </c>
      <c r="F465" s="1" t="n">
        <v>19</v>
      </c>
      <c r="G465" s="1" t="n">
        <v>20</v>
      </c>
      <c r="H465" s="1" t="s">
        <v>66</v>
      </c>
      <c r="I465" s="1" t="n">
        <v>-3</v>
      </c>
      <c r="J465" s="1" t="n">
        <v>37</v>
      </c>
      <c r="K465" s="1" t="s">
        <v>163</v>
      </c>
      <c r="L465" s="1" t="b">
        <f aca="false">FALSE()</f>
        <v>0</v>
      </c>
      <c r="M465" s="1" t="str">
        <f aca="false">VLOOKUP(D465,'Team Reference'!$A:$B,2,FALSE())</f>
        <v>CIN</v>
      </c>
      <c r="N465" s="1" t="str">
        <f aca="false">VLOOKUP(E465,'Team Reference'!$A:$B,2,FALSE())</f>
        <v>HOU</v>
      </c>
      <c r="O465" s="1" t="str">
        <f aca="false">IF(F465&gt;G465,M465,IF(G465&gt;F465,N465,"Tie"))</f>
        <v>HOU</v>
      </c>
      <c r="P465" s="1" t="n">
        <f aca="false">F465-G465</f>
        <v>-1</v>
      </c>
      <c r="Q465" s="1" t="n">
        <f aca="false">F465+G465</f>
        <v>39</v>
      </c>
      <c r="R465" s="1" t="str">
        <f aca="false">IF(H465=M465,"Home",IF(H465=N465,"Away",IF(H465="PICK","Pick","N/A")))</f>
        <v>Home</v>
      </c>
      <c r="S465" s="1" t="n">
        <f aca="false">IF(R465="Home",P465,IF(R465="Away",-P465,""))</f>
        <v>-1</v>
      </c>
      <c r="T465" s="1" t="str">
        <f aca="false">IF(R465="Pick","No Line",IF(S465="","N/A",IF(S465+I465&gt;0,"Favorite Covered",IF(S465+I465&lt;0,"Underdog Covered","Push"))))</f>
        <v>Underdog Covered</v>
      </c>
      <c r="U465" s="1" t="str">
        <f aca="false">IF(Q465&gt;J465,"Over",IF(Q465&lt;J465,"Under","Push"))</f>
        <v>Over</v>
      </c>
    </row>
    <row r="466" customFormat="false" ht="15" hidden="false" customHeight="false" outlineLevel="0" collapsed="false">
      <c r="A466" s="1" t="s">
        <v>276</v>
      </c>
      <c r="B466" s="1" t="n">
        <v>2011</v>
      </c>
      <c r="C466" s="1" t="s">
        <v>219</v>
      </c>
      <c r="D466" s="1" t="s">
        <v>69</v>
      </c>
      <c r="E466" s="1" t="s">
        <v>97</v>
      </c>
      <c r="F466" s="1" t="n">
        <v>34</v>
      </c>
      <c r="G466" s="1" t="n">
        <v>37</v>
      </c>
      <c r="H466" s="1" t="s">
        <v>70</v>
      </c>
      <c r="I466" s="1" t="n">
        <v>-4.5</v>
      </c>
      <c r="J466" s="1" t="n">
        <v>50.5</v>
      </c>
      <c r="K466" s="1" t="s">
        <v>165</v>
      </c>
      <c r="L466" s="1" t="b">
        <f aca="false">FALSE()</f>
        <v>0</v>
      </c>
      <c r="M466" s="1" t="str">
        <f aca="false">VLOOKUP(D466,'Team Reference'!$A:$B,2,FALSE())</f>
        <v>DAL</v>
      </c>
      <c r="N466" s="1" t="str">
        <f aca="false">VLOOKUP(E466,'Team Reference'!$A:$B,2,FALSE())</f>
        <v>NYG</v>
      </c>
      <c r="O466" s="1" t="str">
        <f aca="false">IF(F466&gt;G466,M466,IF(G466&gt;F466,N466,"Tie"))</f>
        <v>NYG</v>
      </c>
      <c r="P466" s="1" t="n">
        <f aca="false">F466-G466</f>
        <v>-3</v>
      </c>
      <c r="Q466" s="1" t="n">
        <f aca="false">F466+G466</f>
        <v>71</v>
      </c>
      <c r="R466" s="1" t="str">
        <f aca="false">IF(H466=M466,"Home",IF(H466=N466,"Away",IF(H466="PICK","Pick","N/A")))</f>
        <v>Home</v>
      </c>
      <c r="S466" s="1" t="n">
        <f aca="false">IF(R466="Home",P466,IF(R466="Away",-P466,""))</f>
        <v>-3</v>
      </c>
      <c r="T466" s="1" t="str">
        <f aca="false">IF(R466="Pick","No Line",IF(S466="","N/A",IF(S466+I466&gt;0,"Favorite Covered",IF(S466+I466&lt;0,"Underdog Covered","Push"))))</f>
        <v>Underdog Covered</v>
      </c>
      <c r="U466" s="1" t="str">
        <f aca="false">IF(Q466&gt;J466,"Over",IF(Q466&lt;J466,"Under","Push"))</f>
        <v>Over</v>
      </c>
    </row>
    <row r="467" customFormat="false" ht="15" hidden="false" customHeight="false" outlineLevel="0" collapsed="false">
      <c r="A467" s="1" t="s">
        <v>276</v>
      </c>
      <c r="B467" s="1" t="n">
        <v>2011</v>
      </c>
      <c r="C467" s="1" t="s">
        <v>219</v>
      </c>
      <c r="D467" s="1" t="s">
        <v>71</v>
      </c>
      <c r="E467" s="1" t="s">
        <v>63</v>
      </c>
      <c r="F467" s="1" t="n">
        <v>13</v>
      </c>
      <c r="G467" s="1" t="n">
        <v>10</v>
      </c>
      <c r="H467" s="1" t="s">
        <v>72</v>
      </c>
      <c r="I467" s="1" t="n">
        <v>-3.5</v>
      </c>
      <c r="J467" s="1" t="n">
        <v>35.5</v>
      </c>
      <c r="K467" s="1" t="s">
        <v>166</v>
      </c>
      <c r="L467" s="1" t="b">
        <f aca="false">FALSE()</f>
        <v>0</v>
      </c>
      <c r="M467" s="1" t="str">
        <f aca="false">VLOOKUP(D467,'Team Reference'!$A:$B,2,FALSE())</f>
        <v>DEN</v>
      </c>
      <c r="N467" s="1" t="str">
        <f aca="false">VLOOKUP(E467,'Team Reference'!$A:$B,2,FALSE())</f>
        <v>CHI</v>
      </c>
      <c r="O467" s="1" t="str">
        <f aca="false">IF(F467&gt;G467,M467,IF(G467&gt;F467,N467,"Tie"))</f>
        <v>DEN</v>
      </c>
      <c r="P467" s="1" t="n">
        <f aca="false">F467-G467</f>
        <v>3</v>
      </c>
      <c r="Q467" s="1" t="n">
        <f aca="false">F467+G467</f>
        <v>23</v>
      </c>
      <c r="R467" s="1" t="str">
        <f aca="false">IF(H467=M467,"Home",IF(H467=N467,"Away",IF(H467="PICK","Pick","N/A")))</f>
        <v>Home</v>
      </c>
      <c r="S467" s="1" t="n">
        <f aca="false">IF(R467="Home",P467,IF(R467="Away",-P467,""))</f>
        <v>3</v>
      </c>
      <c r="T467" s="1" t="str">
        <f aca="false">IF(R467="Pick","No Line",IF(S467="","N/A",IF(S467+I467&gt;0,"Favorite Covered",IF(S467+I467&lt;0,"Underdog Covered","Push"))))</f>
        <v>Underdog Covered</v>
      </c>
      <c r="U467" s="1" t="str">
        <f aca="false">IF(Q467&gt;J467,"Over",IF(Q467&lt;J467,"Under","Push"))</f>
        <v>Under</v>
      </c>
    </row>
    <row r="468" customFormat="false" ht="15" hidden="false" customHeight="false" outlineLevel="0" collapsed="false">
      <c r="A468" s="1" t="s">
        <v>276</v>
      </c>
      <c r="B468" s="1" t="n">
        <v>2011</v>
      </c>
      <c r="C468" s="1" t="s">
        <v>219</v>
      </c>
      <c r="D468" s="1" t="s">
        <v>73</v>
      </c>
      <c r="E468" s="1" t="s">
        <v>91</v>
      </c>
      <c r="F468" s="1" t="n">
        <v>34</v>
      </c>
      <c r="G468" s="1" t="n">
        <v>28</v>
      </c>
      <c r="H468" s="1" t="s">
        <v>74</v>
      </c>
      <c r="I468" s="1" t="n">
        <v>-10</v>
      </c>
      <c r="J468" s="1" t="n">
        <v>47</v>
      </c>
      <c r="K468" s="1" t="s">
        <v>167</v>
      </c>
      <c r="L468" s="1" t="b">
        <f aca="false">FALSE()</f>
        <v>0</v>
      </c>
      <c r="M468" s="1" t="str">
        <f aca="false">VLOOKUP(D468,'Team Reference'!$A:$B,2,FALSE())</f>
        <v>DET</v>
      </c>
      <c r="N468" s="1" t="str">
        <f aca="false">VLOOKUP(E468,'Team Reference'!$A:$B,2,FALSE())</f>
        <v>MIN</v>
      </c>
      <c r="O468" s="1" t="str">
        <f aca="false">IF(F468&gt;G468,M468,IF(G468&gt;F468,N468,"Tie"))</f>
        <v>DET</v>
      </c>
      <c r="P468" s="1" t="n">
        <f aca="false">F468-G468</f>
        <v>6</v>
      </c>
      <c r="Q468" s="1" t="n">
        <f aca="false">F468+G468</f>
        <v>62</v>
      </c>
      <c r="R468" s="1" t="str">
        <f aca="false">IF(H468=M468,"Home",IF(H468=N468,"Away",IF(H468="PICK","Pick","N/A")))</f>
        <v>Home</v>
      </c>
      <c r="S468" s="1" t="n">
        <f aca="false">IF(R468="Home",P468,IF(R468="Away",-P468,""))</f>
        <v>6</v>
      </c>
      <c r="T468" s="1" t="str">
        <f aca="false">IF(R468="Pick","No Line",IF(S468="","N/A",IF(S468+I468&gt;0,"Favorite Covered",IF(S468+I468&lt;0,"Underdog Covered","Push"))))</f>
        <v>Underdog Covered</v>
      </c>
      <c r="U468" s="1" t="str">
        <f aca="false">IF(Q468&gt;J468,"Over",IF(Q468&lt;J468,"Under","Push"))</f>
        <v>Over</v>
      </c>
    </row>
    <row r="469" customFormat="false" ht="15" hidden="false" customHeight="false" outlineLevel="0" collapsed="false">
      <c r="A469" s="1" t="s">
        <v>276</v>
      </c>
      <c r="B469" s="1" t="n">
        <v>2011</v>
      </c>
      <c r="C469" s="1" t="s">
        <v>219</v>
      </c>
      <c r="D469" s="1" t="s">
        <v>75</v>
      </c>
      <c r="E469" s="1" t="s">
        <v>101</v>
      </c>
      <c r="F469" s="1" t="n">
        <v>46</v>
      </c>
      <c r="G469" s="1" t="n">
        <v>16</v>
      </c>
      <c r="H469" s="1" t="s">
        <v>76</v>
      </c>
      <c r="I469" s="1" t="n">
        <v>-11.5</v>
      </c>
      <c r="J469" s="1" t="n">
        <v>49.5</v>
      </c>
      <c r="K469" s="1" t="s">
        <v>168</v>
      </c>
      <c r="L469" s="1" t="b">
        <f aca="false">FALSE()</f>
        <v>0</v>
      </c>
      <c r="M469" s="1" t="str">
        <f aca="false">VLOOKUP(D469,'Team Reference'!$A:$B,2,FALSE())</f>
        <v>GB</v>
      </c>
      <c r="N469" s="1" t="str">
        <f aca="false">VLOOKUP(E469,'Team Reference'!$A:$B,2,FALSE())</f>
        <v>OAK</v>
      </c>
      <c r="O469" s="1" t="str">
        <f aca="false">IF(F469&gt;G469,M469,IF(G469&gt;F469,N469,"Tie"))</f>
        <v>GB</v>
      </c>
      <c r="P469" s="1" t="n">
        <f aca="false">F469-G469</f>
        <v>30</v>
      </c>
      <c r="Q469" s="1" t="n">
        <f aca="false">F469+G469</f>
        <v>62</v>
      </c>
      <c r="R469" s="1" t="str">
        <f aca="false">IF(H469=M469,"Home",IF(H469=N469,"Away",IF(H469="PICK","Pick","N/A")))</f>
        <v>Home</v>
      </c>
      <c r="S469" s="1" t="n">
        <f aca="false">IF(R469="Home",P469,IF(R469="Away",-P469,""))</f>
        <v>30</v>
      </c>
      <c r="T469" s="1" t="str">
        <f aca="false">IF(R469="Pick","No Line",IF(S469="","N/A",IF(S469+I469&gt;0,"Favorite Covered",IF(S469+I469&lt;0,"Underdog Covered","Push"))))</f>
        <v>Favorite Covered</v>
      </c>
      <c r="U469" s="1" t="str">
        <f aca="false">IF(Q469&gt;J469,"Over",IF(Q469&lt;J469,"Under","Push"))</f>
        <v>Over</v>
      </c>
    </row>
    <row r="470" customFormat="false" ht="15" hidden="false" customHeight="false" outlineLevel="0" collapsed="false">
      <c r="A470" s="1" t="s">
        <v>276</v>
      </c>
      <c r="B470" s="1" t="n">
        <v>2011</v>
      </c>
      <c r="C470" s="1" t="s">
        <v>219</v>
      </c>
      <c r="D470" s="1" t="s">
        <v>81</v>
      </c>
      <c r="E470" s="1" t="s">
        <v>113</v>
      </c>
      <c r="F470" s="1" t="n">
        <v>41</v>
      </c>
      <c r="G470" s="1" t="n">
        <v>14</v>
      </c>
      <c r="H470" s="1" t="s">
        <v>114</v>
      </c>
      <c r="I470" s="1" t="n">
        <v>-3</v>
      </c>
      <c r="J470" s="1" t="n">
        <v>42</v>
      </c>
      <c r="K470" s="1" t="s">
        <v>147</v>
      </c>
      <c r="L470" s="1" t="b">
        <f aca="false">FALSE()</f>
        <v>0</v>
      </c>
      <c r="M470" s="1" t="str">
        <f aca="false">VLOOKUP(D470,'Team Reference'!$A:$B,2,FALSE())</f>
        <v>JAX</v>
      </c>
      <c r="N470" s="1" t="str">
        <f aca="false">VLOOKUP(E470,'Team Reference'!$A:$B,2,FALSE())</f>
        <v>TB</v>
      </c>
      <c r="O470" s="1" t="str">
        <f aca="false">IF(F470&gt;G470,M470,IF(G470&gt;F470,N470,"Tie"))</f>
        <v>JAX</v>
      </c>
      <c r="P470" s="1" t="n">
        <f aca="false">F470-G470</f>
        <v>27</v>
      </c>
      <c r="Q470" s="1" t="n">
        <f aca="false">F470+G470</f>
        <v>55</v>
      </c>
      <c r="R470" s="1" t="str">
        <f aca="false">IF(H470=M470,"Home",IF(H470=N470,"Away",IF(H470="PICK","Pick","N/A")))</f>
        <v>Away</v>
      </c>
      <c r="S470" s="1" t="n">
        <f aca="false">IF(R470="Home",P470,IF(R470="Away",-P470,""))</f>
        <v>-27</v>
      </c>
      <c r="T470" s="1" t="str">
        <f aca="false">IF(R470="Pick","No Line",IF(S470="","N/A",IF(S470+I470&gt;0,"Favorite Covered",IF(S470+I470&lt;0,"Underdog Covered","Push"))))</f>
        <v>Underdog Covered</v>
      </c>
      <c r="U470" s="1" t="str">
        <f aca="false">IF(Q470&gt;J470,"Over",IF(Q470&lt;J470,"Under","Push"))</f>
        <v>Over</v>
      </c>
    </row>
    <row r="471" customFormat="false" ht="15" hidden="false" customHeight="false" outlineLevel="0" collapsed="false">
      <c r="A471" s="1" t="s">
        <v>276</v>
      </c>
      <c r="B471" s="1" t="n">
        <v>2011</v>
      </c>
      <c r="C471" s="1" t="s">
        <v>219</v>
      </c>
      <c r="D471" s="1" t="s">
        <v>89</v>
      </c>
      <c r="E471" s="1" t="s">
        <v>103</v>
      </c>
      <c r="F471" s="1" t="n">
        <v>10</v>
      </c>
      <c r="G471" s="1" t="n">
        <v>26</v>
      </c>
      <c r="H471" s="1" t="s">
        <v>90</v>
      </c>
      <c r="I471" s="1" t="n">
        <v>-3</v>
      </c>
      <c r="J471" s="1" t="n">
        <v>44.5</v>
      </c>
      <c r="K471" s="1" t="s">
        <v>179</v>
      </c>
      <c r="L471" s="1" t="b">
        <f aca="false">FALSE()</f>
        <v>0</v>
      </c>
      <c r="M471" s="1" t="str">
        <f aca="false">VLOOKUP(D471,'Team Reference'!$A:$B,2,FALSE())</f>
        <v>MIA</v>
      </c>
      <c r="N471" s="1" t="str">
        <f aca="false">VLOOKUP(E471,'Team Reference'!$A:$B,2,FALSE())</f>
        <v>PHI</v>
      </c>
      <c r="O471" s="1" t="str">
        <f aca="false">IF(F471&gt;G471,M471,IF(G471&gt;F471,N471,"Tie"))</f>
        <v>PHI</v>
      </c>
      <c r="P471" s="1" t="n">
        <f aca="false">F471-G471</f>
        <v>-16</v>
      </c>
      <c r="Q471" s="1" t="n">
        <f aca="false">F471+G471</f>
        <v>36</v>
      </c>
      <c r="R471" s="1" t="str">
        <f aca="false">IF(H471=M471,"Home",IF(H471=N471,"Away",IF(H471="PICK","Pick","N/A")))</f>
        <v>Home</v>
      </c>
      <c r="S471" s="1" t="n">
        <f aca="false">IF(R471="Home",P471,IF(R471="Away",-P471,""))</f>
        <v>-16</v>
      </c>
      <c r="T471" s="1" t="str">
        <f aca="false">IF(R471="Pick","No Line",IF(S471="","N/A",IF(S471+I471&gt;0,"Favorite Covered",IF(S471+I471&lt;0,"Underdog Covered","Push"))))</f>
        <v>Underdog Covered</v>
      </c>
      <c r="U471" s="1" t="str">
        <f aca="false">IF(Q471&gt;J471,"Over",IF(Q471&lt;J471,"Under","Push"))</f>
        <v>Under</v>
      </c>
    </row>
    <row r="472" customFormat="false" ht="15" hidden="false" customHeight="false" outlineLevel="0" collapsed="false">
      <c r="A472" s="1" t="s">
        <v>276</v>
      </c>
      <c r="B472" s="1" t="n">
        <v>2011</v>
      </c>
      <c r="C472" s="1" t="s">
        <v>219</v>
      </c>
      <c r="D472" s="1" t="s">
        <v>99</v>
      </c>
      <c r="E472" s="1" t="s">
        <v>83</v>
      </c>
      <c r="F472" s="1" t="n">
        <v>37</v>
      </c>
      <c r="G472" s="1" t="n">
        <v>10</v>
      </c>
      <c r="H472" s="1" t="s">
        <v>100</v>
      </c>
      <c r="I472" s="1" t="n">
        <v>-10.5</v>
      </c>
      <c r="J472" s="1" t="n">
        <v>35.5</v>
      </c>
      <c r="K472" s="1" t="s">
        <v>149</v>
      </c>
      <c r="L472" s="1" t="b">
        <f aca="false">FALSE()</f>
        <v>0</v>
      </c>
      <c r="M472" s="1" t="str">
        <f aca="false">VLOOKUP(D472,'Team Reference'!$A:$B,2,FALSE())</f>
        <v>NYJ</v>
      </c>
      <c r="N472" s="1" t="str">
        <f aca="false">VLOOKUP(E472,'Team Reference'!$A:$B,2,FALSE())</f>
        <v>KC</v>
      </c>
      <c r="O472" s="1" t="str">
        <f aca="false">IF(F472&gt;G472,M472,IF(G472&gt;F472,N472,"Tie"))</f>
        <v>NYJ</v>
      </c>
      <c r="P472" s="1" t="n">
        <f aca="false">F472-G472</f>
        <v>27</v>
      </c>
      <c r="Q472" s="1" t="n">
        <f aca="false">F472+G472</f>
        <v>47</v>
      </c>
      <c r="R472" s="1" t="str">
        <f aca="false">IF(H472=M472,"Home",IF(H472=N472,"Away",IF(H472="PICK","Pick","N/A")))</f>
        <v>Home</v>
      </c>
      <c r="S472" s="1" t="n">
        <f aca="false">IF(R472="Home",P472,IF(R472="Away",-P472,""))</f>
        <v>27</v>
      </c>
      <c r="T472" s="1" t="str">
        <f aca="false">IF(R472="Pick","No Line",IF(S472="","N/A",IF(S472+I472&gt;0,"Favorite Covered",IF(S472+I472&lt;0,"Underdog Covered","Push"))))</f>
        <v>Favorite Covered</v>
      </c>
      <c r="U472" s="1" t="str">
        <f aca="false">IF(Q472&gt;J472,"Over",IF(Q472&lt;J472,"Under","Push"))</f>
        <v>Over</v>
      </c>
    </row>
    <row r="473" customFormat="false" ht="15" hidden="false" customHeight="false" outlineLevel="0" collapsed="false">
      <c r="A473" s="1" t="s">
        <v>276</v>
      </c>
      <c r="B473" s="1" t="n">
        <v>2011</v>
      </c>
      <c r="C473" s="1" t="s">
        <v>219</v>
      </c>
      <c r="D473" s="1" t="s">
        <v>107</v>
      </c>
      <c r="E473" s="1" t="s">
        <v>59</v>
      </c>
      <c r="F473" s="1" t="n">
        <v>37</v>
      </c>
      <c r="G473" s="1" t="n">
        <v>10</v>
      </c>
      <c r="H473" s="1" t="s">
        <v>86</v>
      </c>
      <c r="I473" s="1" t="n">
        <v>-7</v>
      </c>
      <c r="J473" s="1" t="n">
        <v>49</v>
      </c>
      <c r="K473" s="1" t="s">
        <v>172</v>
      </c>
      <c r="L473" s="1" t="b">
        <f aca="false">FALSE()</f>
        <v>0</v>
      </c>
      <c r="M473" s="1" t="str">
        <f aca="false">VLOOKUP(D473,'Team Reference'!$A:$B,2,FALSE())</f>
        <v>LAC</v>
      </c>
      <c r="N473" s="1" t="str">
        <f aca="false">VLOOKUP(E473,'Team Reference'!$A:$B,2,FALSE())</f>
        <v>BUF</v>
      </c>
      <c r="O473" s="1" t="str">
        <f aca="false">IF(F473&gt;G473,M473,IF(G473&gt;F473,N473,"Tie"))</f>
        <v>LAC</v>
      </c>
      <c r="P473" s="1" t="n">
        <f aca="false">F473-G473</f>
        <v>27</v>
      </c>
      <c r="Q473" s="1" t="n">
        <f aca="false">F473+G473</f>
        <v>47</v>
      </c>
      <c r="R473" s="1" t="str">
        <f aca="false">IF(H473=M473,"Home",IF(H473=N473,"Away",IF(H473="PICK","Pick","N/A")))</f>
        <v>Home</v>
      </c>
      <c r="S473" s="1" t="n">
        <f aca="false">IF(R473="Home",P473,IF(R473="Away",-P473,""))</f>
        <v>27</v>
      </c>
      <c r="T473" s="1" t="str">
        <f aca="false">IF(R473="Pick","No Line",IF(S473="","N/A",IF(S473+I473&gt;0,"Favorite Covered",IF(S473+I473&lt;0,"Underdog Covered","Push"))))</f>
        <v>Favorite Covered</v>
      </c>
      <c r="U473" s="1" t="str">
        <f aca="false">IF(Q473&gt;J473,"Over",IF(Q473&lt;J473,"Under","Push"))</f>
        <v>Under</v>
      </c>
    </row>
    <row r="474" customFormat="false" ht="15" hidden="false" customHeight="false" outlineLevel="0" collapsed="false">
      <c r="A474" s="1" t="s">
        <v>276</v>
      </c>
      <c r="B474" s="1" t="n">
        <v>2011</v>
      </c>
      <c r="C474" s="1" t="s">
        <v>219</v>
      </c>
      <c r="D474" s="1" t="s">
        <v>115</v>
      </c>
      <c r="E474" s="1" t="s">
        <v>95</v>
      </c>
      <c r="F474" s="1" t="n">
        <v>17</v>
      </c>
      <c r="G474" s="1" t="n">
        <v>22</v>
      </c>
      <c r="H474" s="1" t="s">
        <v>96</v>
      </c>
      <c r="I474" s="1" t="n">
        <v>-3.5</v>
      </c>
      <c r="J474" s="1" t="n">
        <v>48</v>
      </c>
      <c r="K474" s="1" t="s">
        <v>155</v>
      </c>
      <c r="L474" s="1" t="b">
        <f aca="false">FALSE()</f>
        <v>0</v>
      </c>
      <c r="M474" s="1" t="str">
        <f aca="false">VLOOKUP(D474,'Team Reference'!$A:$B,2,FALSE())</f>
        <v>TEN</v>
      </c>
      <c r="N474" s="1" t="str">
        <f aca="false">VLOOKUP(E474,'Team Reference'!$A:$B,2,FALSE())</f>
        <v>NO</v>
      </c>
      <c r="O474" s="1" t="str">
        <f aca="false">IF(F474&gt;G474,M474,IF(G474&gt;F474,N474,"Tie"))</f>
        <v>NO</v>
      </c>
      <c r="P474" s="1" t="n">
        <f aca="false">F474-G474</f>
        <v>-5</v>
      </c>
      <c r="Q474" s="1" t="n">
        <f aca="false">F474+G474</f>
        <v>39</v>
      </c>
      <c r="R474" s="1" t="str">
        <f aca="false">IF(H474=M474,"Home",IF(H474=N474,"Away",IF(H474="PICK","Pick","N/A")))</f>
        <v>Away</v>
      </c>
      <c r="S474" s="1" t="n">
        <f aca="false">IF(R474="Home",P474,IF(R474="Away",-P474,""))</f>
        <v>5</v>
      </c>
      <c r="T474" s="1" t="str">
        <f aca="false">IF(R474="Pick","No Line",IF(S474="","N/A",IF(S474+I474&gt;0,"Favorite Covered",IF(S474+I474&lt;0,"Underdog Covered","Push"))))</f>
        <v>Favorite Covered</v>
      </c>
      <c r="U474" s="1" t="str">
        <f aca="false">IF(Q474&gt;J474,"Over",IF(Q474&lt;J474,"Under","Push"))</f>
        <v>Under</v>
      </c>
    </row>
    <row r="475" customFormat="false" ht="15" hidden="false" customHeight="false" outlineLevel="0" collapsed="false">
      <c r="A475" s="1" t="s">
        <v>276</v>
      </c>
      <c r="B475" s="1" t="n">
        <v>2011</v>
      </c>
      <c r="C475" s="1" t="s">
        <v>219</v>
      </c>
      <c r="D475" s="1" t="s">
        <v>117</v>
      </c>
      <c r="E475" s="1" t="s">
        <v>93</v>
      </c>
      <c r="F475" s="1" t="n">
        <v>27</v>
      </c>
      <c r="G475" s="1" t="n">
        <v>34</v>
      </c>
      <c r="H475" s="1" t="s">
        <v>94</v>
      </c>
      <c r="I475" s="1" t="n">
        <v>-7.5</v>
      </c>
      <c r="J475" s="1" t="n">
        <v>47</v>
      </c>
      <c r="K475" s="1" t="s">
        <v>156</v>
      </c>
      <c r="L475" s="1" t="b">
        <f aca="false">FALSE()</f>
        <v>0</v>
      </c>
      <c r="M475" s="1" t="str">
        <f aca="false">VLOOKUP(D475,'Team Reference'!$A:$B,2,FALSE())</f>
        <v>WAS</v>
      </c>
      <c r="N475" s="1" t="str">
        <f aca="false">VLOOKUP(E475,'Team Reference'!$A:$B,2,FALSE())</f>
        <v>NE</v>
      </c>
      <c r="O475" s="1" t="str">
        <f aca="false">IF(F475&gt;G475,M475,IF(G475&gt;F475,N475,"Tie"))</f>
        <v>NE</v>
      </c>
      <c r="P475" s="1" t="n">
        <f aca="false">F475-G475</f>
        <v>-7</v>
      </c>
      <c r="Q475" s="1" t="n">
        <f aca="false">F475+G475</f>
        <v>61</v>
      </c>
      <c r="R475" s="1" t="str">
        <f aca="false">IF(H475=M475,"Home",IF(H475=N475,"Away",IF(H475="PICK","Pick","N/A")))</f>
        <v>Away</v>
      </c>
      <c r="S475" s="1" t="n">
        <f aca="false">IF(R475="Home",P475,IF(R475="Away",-P475,""))</f>
        <v>7</v>
      </c>
      <c r="T475" s="1" t="str">
        <f aca="false">IF(R475="Pick","No Line",IF(S475="","N/A",IF(S475+I475&gt;0,"Favorite Covered",IF(S475+I475&lt;0,"Underdog Covered","Push"))))</f>
        <v>Underdog Covered</v>
      </c>
      <c r="U475" s="1" t="str">
        <f aca="false">IF(Q475&gt;J475,"Over",IF(Q475&lt;J475,"Under","Push"))</f>
        <v>Over</v>
      </c>
    </row>
    <row r="476" customFormat="false" ht="15" hidden="false" customHeight="false" outlineLevel="0" collapsed="false">
      <c r="A476" s="1" t="s">
        <v>277</v>
      </c>
      <c r="B476" s="1" t="n">
        <v>2011</v>
      </c>
      <c r="C476" s="1" t="s">
        <v>219</v>
      </c>
      <c r="D476" s="1" t="s">
        <v>110</v>
      </c>
      <c r="E476" s="1" t="s">
        <v>112</v>
      </c>
      <c r="F476" s="1" t="n">
        <v>30</v>
      </c>
      <c r="G476" s="1" t="n">
        <v>13</v>
      </c>
      <c r="H476" s="1" t="s">
        <v>111</v>
      </c>
      <c r="I476" s="1" t="n">
        <v>-9.5</v>
      </c>
      <c r="J476" s="1" t="n">
        <v>37</v>
      </c>
      <c r="K476" s="1" t="s">
        <v>152</v>
      </c>
      <c r="L476" s="1" t="b">
        <f aca="false">FALSE()</f>
        <v>0</v>
      </c>
      <c r="M476" s="1" t="str">
        <f aca="false">VLOOKUP(D476,'Team Reference'!$A:$B,2,FALSE())</f>
        <v>SEA</v>
      </c>
      <c r="N476" s="1" t="str">
        <f aca="false">VLOOKUP(E476,'Team Reference'!$A:$B,2,FALSE())</f>
        <v>LAR</v>
      </c>
      <c r="O476" s="1" t="str">
        <f aca="false">IF(F476&gt;G476,M476,IF(G476&gt;F476,N476,"Tie"))</f>
        <v>SEA</v>
      </c>
      <c r="P476" s="1" t="n">
        <f aca="false">F476-G476</f>
        <v>17</v>
      </c>
      <c r="Q476" s="1" t="n">
        <f aca="false">F476+G476</f>
        <v>43</v>
      </c>
      <c r="R476" s="1" t="str">
        <f aca="false">IF(H476=M476,"Home",IF(H476=N476,"Away",IF(H476="PICK","Pick","N/A")))</f>
        <v>Home</v>
      </c>
      <c r="S476" s="1" t="n">
        <f aca="false">IF(R476="Home",P476,IF(R476="Away",-P476,""))</f>
        <v>17</v>
      </c>
      <c r="T476" s="1" t="str">
        <f aca="false">IF(R476="Pick","No Line",IF(S476="","N/A",IF(S476+I476&gt;0,"Favorite Covered",IF(S476+I476&lt;0,"Underdog Covered","Push"))))</f>
        <v>Favorite Covered</v>
      </c>
      <c r="U476" s="1" t="str">
        <f aca="false">IF(Q476&gt;J476,"Over",IF(Q476&lt;J476,"Under","Push"))</f>
        <v>Over</v>
      </c>
    </row>
    <row r="477" customFormat="false" ht="15" hidden="false" customHeight="false" outlineLevel="0" collapsed="false">
      <c r="A477" s="1" t="s">
        <v>278</v>
      </c>
      <c r="B477" s="1" t="n">
        <v>2011</v>
      </c>
      <c r="C477" s="1" t="s">
        <v>223</v>
      </c>
      <c r="D477" s="1" t="s">
        <v>55</v>
      </c>
      <c r="E477" s="1" t="s">
        <v>81</v>
      </c>
      <c r="F477" s="1" t="n">
        <v>41</v>
      </c>
      <c r="G477" s="1" t="n">
        <v>14</v>
      </c>
      <c r="H477" s="1" t="s">
        <v>56</v>
      </c>
      <c r="I477" s="1" t="n">
        <v>-13.5</v>
      </c>
      <c r="J477" s="1" t="n">
        <v>42</v>
      </c>
      <c r="K477" s="1" t="s">
        <v>161</v>
      </c>
      <c r="L477" s="1" t="b">
        <f aca="false">FALSE()</f>
        <v>0</v>
      </c>
      <c r="M477" s="1" t="str">
        <f aca="false">VLOOKUP(D477,'Team Reference'!$A:$B,2,FALSE())</f>
        <v>ATL</v>
      </c>
      <c r="N477" s="1" t="str">
        <f aca="false">VLOOKUP(E477,'Team Reference'!$A:$B,2,FALSE())</f>
        <v>JAX</v>
      </c>
      <c r="O477" s="1" t="str">
        <f aca="false">IF(F477&gt;G477,M477,IF(G477&gt;F477,N477,"Tie"))</f>
        <v>ATL</v>
      </c>
      <c r="P477" s="1" t="n">
        <f aca="false">F477-G477</f>
        <v>27</v>
      </c>
      <c r="Q477" s="1" t="n">
        <f aca="false">F477+G477</f>
        <v>55</v>
      </c>
      <c r="R477" s="1" t="str">
        <f aca="false">IF(H477=M477,"Home",IF(H477=N477,"Away",IF(H477="PICK","Pick","N/A")))</f>
        <v>Home</v>
      </c>
      <c r="S477" s="1" t="n">
        <f aca="false">IF(R477="Home",P477,IF(R477="Away",-P477,""))</f>
        <v>27</v>
      </c>
      <c r="T477" s="1" t="str">
        <f aca="false">IF(R477="Pick","No Line",IF(S477="","N/A",IF(S477+I477&gt;0,"Favorite Covered",IF(S477+I477&lt;0,"Underdog Covered","Push"))))</f>
        <v>Favorite Covered</v>
      </c>
      <c r="U477" s="1" t="str">
        <f aca="false">IF(Q477&gt;J477,"Over",IF(Q477&lt;J477,"Under","Push"))</f>
        <v>Over</v>
      </c>
    </row>
    <row r="478" customFormat="false" ht="15" hidden="false" customHeight="false" outlineLevel="0" collapsed="false">
      <c r="A478" s="1" t="s">
        <v>279</v>
      </c>
      <c r="B478" s="1" t="n">
        <v>2011</v>
      </c>
      <c r="C478" s="1" t="s">
        <v>223</v>
      </c>
      <c r="D478" s="1" t="s">
        <v>113</v>
      </c>
      <c r="E478" s="1" t="s">
        <v>69</v>
      </c>
      <c r="F478" s="1" t="n">
        <v>15</v>
      </c>
      <c r="G478" s="1" t="n">
        <v>31</v>
      </c>
      <c r="H478" s="1" t="s">
        <v>70</v>
      </c>
      <c r="I478" s="1" t="n">
        <v>-7</v>
      </c>
      <c r="J478" s="1" t="n">
        <v>47</v>
      </c>
      <c r="K478" s="1" t="s">
        <v>154</v>
      </c>
      <c r="L478" s="1" t="b">
        <f aca="false">FALSE()</f>
        <v>0</v>
      </c>
      <c r="M478" s="1" t="str">
        <f aca="false">VLOOKUP(D478,'Team Reference'!$A:$B,2,FALSE())</f>
        <v>TB</v>
      </c>
      <c r="N478" s="1" t="str">
        <f aca="false">VLOOKUP(E478,'Team Reference'!$A:$B,2,FALSE())</f>
        <v>DAL</v>
      </c>
      <c r="O478" s="1" t="str">
        <f aca="false">IF(F478&gt;G478,M478,IF(G478&gt;F478,N478,"Tie"))</f>
        <v>DAL</v>
      </c>
      <c r="P478" s="1" t="n">
        <f aca="false">F478-G478</f>
        <v>-16</v>
      </c>
      <c r="Q478" s="1" t="n">
        <f aca="false">F478+G478</f>
        <v>46</v>
      </c>
      <c r="R478" s="1" t="str">
        <f aca="false">IF(H478=M478,"Home",IF(H478=N478,"Away",IF(H478="PICK","Pick","N/A")))</f>
        <v>Away</v>
      </c>
      <c r="S478" s="1" t="n">
        <f aca="false">IF(R478="Home",P478,IF(R478="Away",-P478,""))</f>
        <v>16</v>
      </c>
      <c r="T478" s="1" t="str">
        <f aca="false">IF(R478="Pick","No Line",IF(S478="","N/A",IF(S478+I478&gt;0,"Favorite Covered",IF(S478+I478&lt;0,"Underdog Covered","Push"))))</f>
        <v>Favorite Covered</v>
      </c>
      <c r="U478" s="1" t="str">
        <f aca="false">IF(Q478&gt;J478,"Over",IF(Q478&lt;J478,"Under","Push"))</f>
        <v>Under</v>
      </c>
    </row>
    <row r="479" customFormat="false" ht="15" hidden="false" customHeight="false" outlineLevel="0" collapsed="false">
      <c r="A479" s="1" t="s">
        <v>280</v>
      </c>
      <c r="B479" s="1" t="n">
        <v>2011</v>
      </c>
      <c r="C479" s="1" t="s">
        <v>223</v>
      </c>
      <c r="D479" s="1" t="s">
        <v>53</v>
      </c>
      <c r="E479" s="1" t="s">
        <v>67</v>
      </c>
      <c r="F479" s="1" t="n">
        <v>20</v>
      </c>
      <c r="G479" s="1" t="n">
        <v>17</v>
      </c>
      <c r="H479" s="1" t="s">
        <v>54</v>
      </c>
      <c r="I479" s="1" t="n">
        <v>-6.5</v>
      </c>
      <c r="J479" s="1" t="n">
        <v>37.5</v>
      </c>
      <c r="K479" s="1" t="s">
        <v>177</v>
      </c>
      <c r="L479" s="1" t="b">
        <f aca="false">FALSE()</f>
        <v>0</v>
      </c>
      <c r="M479" s="1" t="str">
        <f aca="false">VLOOKUP(D479,'Team Reference'!$A:$B,2,FALSE())</f>
        <v>ARI</v>
      </c>
      <c r="N479" s="1" t="str">
        <f aca="false">VLOOKUP(E479,'Team Reference'!$A:$B,2,FALSE())</f>
        <v>CLE</v>
      </c>
      <c r="O479" s="1" t="str">
        <f aca="false">IF(F479&gt;G479,M479,IF(G479&gt;F479,N479,"Tie"))</f>
        <v>ARI</v>
      </c>
      <c r="P479" s="1" t="n">
        <f aca="false">F479-G479</f>
        <v>3</v>
      </c>
      <c r="Q479" s="1" t="n">
        <f aca="false">F479+G479</f>
        <v>37</v>
      </c>
      <c r="R479" s="1" t="str">
        <f aca="false">IF(H479=M479,"Home",IF(H479=N479,"Away",IF(H479="PICK","Pick","N/A")))</f>
        <v>Home</v>
      </c>
      <c r="S479" s="1" t="n">
        <f aca="false">IF(R479="Home",P479,IF(R479="Away",-P479,""))</f>
        <v>3</v>
      </c>
      <c r="T479" s="1" t="str">
        <f aca="false">IF(R479="Pick","No Line",IF(S479="","N/A",IF(S479+I479&gt;0,"Favorite Covered",IF(S479+I479&lt;0,"Underdog Covered","Push"))))</f>
        <v>Underdog Covered</v>
      </c>
      <c r="U479" s="1" t="str">
        <f aca="false">IF(Q479&gt;J479,"Over",IF(Q479&lt;J479,"Under","Push"))</f>
        <v>Under</v>
      </c>
    </row>
    <row r="480" customFormat="false" ht="15" hidden="false" customHeight="false" outlineLevel="0" collapsed="false">
      <c r="A480" s="1" t="s">
        <v>280</v>
      </c>
      <c r="B480" s="1" t="n">
        <v>2011</v>
      </c>
      <c r="C480" s="1" t="s">
        <v>223</v>
      </c>
      <c r="D480" s="1" t="s">
        <v>59</v>
      </c>
      <c r="E480" s="1" t="s">
        <v>89</v>
      </c>
      <c r="F480" s="1" t="n">
        <v>23</v>
      </c>
      <c r="G480" s="1" t="n">
        <v>30</v>
      </c>
      <c r="H480" s="1" t="s">
        <v>60</v>
      </c>
      <c r="I480" s="1" t="n">
        <v>-1.5</v>
      </c>
      <c r="J480" s="1" t="n">
        <v>40.5</v>
      </c>
      <c r="K480" s="1" t="s">
        <v>144</v>
      </c>
      <c r="L480" s="1" t="b">
        <f aca="false">FALSE()</f>
        <v>0</v>
      </c>
      <c r="M480" s="1" t="str">
        <f aca="false">VLOOKUP(D480,'Team Reference'!$A:$B,2,FALSE())</f>
        <v>BUF</v>
      </c>
      <c r="N480" s="1" t="str">
        <f aca="false">VLOOKUP(E480,'Team Reference'!$A:$B,2,FALSE())</f>
        <v>MIA</v>
      </c>
      <c r="O480" s="1" t="str">
        <f aca="false">IF(F480&gt;G480,M480,IF(G480&gt;F480,N480,"Tie"))</f>
        <v>MIA</v>
      </c>
      <c r="P480" s="1" t="n">
        <f aca="false">F480-G480</f>
        <v>-7</v>
      </c>
      <c r="Q480" s="1" t="n">
        <f aca="false">F480+G480</f>
        <v>53</v>
      </c>
      <c r="R480" s="1" t="str">
        <f aca="false">IF(H480=M480,"Home",IF(H480=N480,"Away",IF(H480="PICK","Pick","N/A")))</f>
        <v>Home</v>
      </c>
      <c r="S480" s="1" t="n">
        <f aca="false">IF(R480="Home",P480,IF(R480="Away",-P480,""))</f>
        <v>-7</v>
      </c>
      <c r="T480" s="1" t="str">
        <f aca="false">IF(R480="Pick","No Line",IF(S480="","N/A",IF(S480+I480&gt;0,"Favorite Covered",IF(S480+I480&lt;0,"Underdog Covered","Push"))))</f>
        <v>Underdog Covered</v>
      </c>
      <c r="U480" s="1" t="str">
        <f aca="false">IF(Q480&gt;J480,"Over",IF(Q480&lt;J480,"Under","Push"))</f>
        <v>Over</v>
      </c>
    </row>
    <row r="481" customFormat="false" ht="15" hidden="false" customHeight="false" outlineLevel="0" collapsed="false">
      <c r="A481" s="1" t="s">
        <v>280</v>
      </c>
      <c r="B481" s="1" t="n">
        <v>2011</v>
      </c>
      <c r="C481" s="1" t="s">
        <v>223</v>
      </c>
      <c r="D481" s="1" t="s">
        <v>63</v>
      </c>
      <c r="E481" s="1" t="s">
        <v>110</v>
      </c>
      <c r="F481" s="1" t="n">
        <v>14</v>
      </c>
      <c r="G481" s="1" t="n">
        <v>38</v>
      </c>
      <c r="H481" s="1" t="s">
        <v>64</v>
      </c>
      <c r="I481" s="1" t="n">
        <v>-3.5</v>
      </c>
      <c r="J481" s="1" t="n">
        <v>35</v>
      </c>
      <c r="K481" s="1" t="s">
        <v>145</v>
      </c>
      <c r="L481" s="1" t="b">
        <f aca="false">FALSE()</f>
        <v>0</v>
      </c>
      <c r="M481" s="1" t="str">
        <f aca="false">VLOOKUP(D481,'Team Reference'!$A:$B,2,FALSE())</f>
        <v>CHI</v>
      </c>
      <c r="N481" s="1" t="str">
        <f aca="false">VLOOKUP(E481,'Team Reference'!$A:$B,2,FALSE())</f>
        <v>SEA</v>
      </c>
      <c r="O481" s="1" t="str">
        <f aca="false">IF(F481&gt;G481,M481,IF(G481&gt;F481,N481,"Tie"))</f>
        <v>SEA</v>
      </c>
      <c r="P481" s="1" t="n">
        <f aca="false">F481-G481</f>
        <v>-24</v>
      </c>
      <c r="Q481" s="1" t="n">
        <f aca="false">F481+G481</f>
        <v>52</v>
      </c>
      <c r="R481" s="1" t="str">
        <f aca="false">IF(H481=M481,"Home",IF(H481=N481,"Away",IF(H481="PICK","Pick","N/A")))</f>
        <v>Home</v>
      </c>
      <c r="S481" s="1" t="n">
        <f aca="false">IF(R481="Home",P481,IF(R481="Away",-P481,""))</f>
        <v>-24</v>
      </c>
      <c r="T481" s="1" t="str">
        <f aca="false">IF(R481="Pick","No Line",IF(S481="","N/A",IF(S481+I481&gt;0,"Favorite Covered",IF(S481+I481&lt;0,"Underdog Covered","Push"))))</f>
        <v>Underdog Covered</v>
      </c>
      <c r="U481" s="1" t="str">
        <f aca="false">IF(Q481&gt;J481,"Over",IF(Q481&lt;J481,"Under","Push"))</f>
        <v>Over</v>
      </c>
    </row>
    <row r="482" customFormat="false" ht="15" hidden="false" customHeight="false" outlineLevel="0" collapsed="false">
      <c r="A482" s="1" t="s">
        <v>280</v>
      </c>
      <c r="B482" s="1" t="n">
        <v>2011</v>
      </c>
      <c r="C482" s="1" t="s">
        <v>223</v>
      </c>
      <c r="D482" s="1" t="s">
        <v>71</v>
      </c>
      <c r="E482" s="1" t="s">
        <v>93</v>
      </c>
      <c r="F482" s="1" t="n">
        <v>23</v>
      </c>
      <c r="G482" s="1" t="n">
        <v>41</v>
      </c>
      <c r="H482" s="1" t="s">
        <v>94</v>
      </c>
      <c r="I482" s="1" t="n">
        <v>-7.5</v>
      </c>
      <c r="J482" s="1" t="n">
        <v>47.5</v>
      </c>
      <c r="K482" s="1" t="s">
        <v>166</v>
      </c>
      <c r="L482" s="1" t="b">
        <f aca="false">FALSE()</f>
        <v>0</v>
      </c>
      <c r="M482" s="1" t="str">
        <f aca="false">VLOOKUP(D482,'Team Reference'!$A:$B,2,FALSE())</f>
        <v>DEN</v>
      </c>
      <c r="N482" s="1" t="str">
        <f aca="false">VLOOKUP(E482,'Team Reference'!$A:$B,2,FALSE())</f>
        <v>NE</v>
      </c>
      <c r="O482" s="1" t="str">
        <f aca="false">IF(F482&gt;G482,M482,IF(G482&gt;F482,N482,"Tie"))</f>
        <v>NE</v>
      </c>
      <c r="P482" s="1" t="n">
        <f aca="false">F482-G482</f>
        <v>-18</v>
      </c>
      <c r="Q482" s="1" t="n">
        <f aca="false">F482+G482</f>
        <v>64</v>
      </c>
      <c r="R482" s="1" t="str">
        <f aca="false">IF(H482=M482,"Home",IF(H482=N482,"Away",IF(H482="PICK","Pick","N/A")))</f>
        <v>Away</v>
      </c>
      <c r="S482" s="1" t="n">
        <f aca="false">IF(R482="Home",P482,IF(R482="Away",-P482,""))</f>
        <v>18</v>
      </c>
      <c r="T482" s="1" t="str">
        <f aca="false">IF(R482="Pick","No Line",IF(S482="","N/A",IF(S482+I482&gt;0,"Favorite Covered",IF(S482+I482&lt;0,"Underdog Covered","Push"))))</f>
        <v>Favorite Covered</v>
      </c>
      <c r="U482" s="1" t="str">
        <f aca="false">IF(Q482&gt;J482,"Over",IF(Q482&lt;J482,"Under","Push"))</f>
        <v>Over</v>
      </c>
    </row>
    <row r="483" customFormat="false" ht="15" hidden="false" customHeight="false" outlineLevel="0" collapsed="false">
      <c r="A483" s="1" t="s">
        <v>280</v>
      </c>
      <c r="B483" s="1" t="n">
        <v>2011</v>
      </c>
      <c r="C483" s="1" t="s">
        <v>223</v>
      </c>
      <c r="D483" s="1" t="s">
        <v>77</v>
      </c>
      <c r="E483" s="1" t="s">
        <v>61</v>
      </c>
      <c r="F483" s="1" t="n">
        <v>13</v>
      </c>
      <c r="G483" s="1" t="n">
        <v>28</v>
      </c>
      <c r="H483" s="1" t="s">
        <v>78</v>
      </c>
      <c r="I483" s="1" t="n">
        <v>-6</v>
      </c>
      <c r="J483" s="1" t="n">
        <v>45.5</v>
      </c>
      <c r="K483" s="1" t="s">
        <v>146</v>
      </c>
      <c r="L483" s="1" t="b">
        <f aca="false">FALSE()</f>
        <v>0</v>
      </c>
      <c r="M483" s="1" t="str">
        <f aca="false">VLOOKUP(D483,'Team Reference'!$A:$B,2,FALSE())</f>
        <v>HOU</v>
      </c>
      <c r="N483" s="1" t="str">
        <f aca="false">VLOOKUP(E483,'Team Reference'!$A:$B,2,FALSE())</f>
        <v>CAR</v>
      </c>
      <c r="O483" s="1" t="str">
        <f aca="false">IF(F483&gt;G483,M483,IF(G483&gt;F483,N483,"Tie"))</f>
        <v>CAR</v>
      </c>
      <c r="P483" s="1" t="n">
        <f aca="false">F483-G483</f>
        <v>-15</v>
      </c>
      <c r="Q483" s="1" t="n">
        <f aca="false">F483+G483</f>
        <v>41</v>
      </c>
      <c r="R483" s="1" t="str">
        <f aca="false">IF(H483=M483,"Home",IF(H483=N483,"Away",IF(H483="PICK","Pick","N/A")))</f>
        <v>Home</v>
      </c>
      <c r="S483" s="1" t="n">
        <f aca="false">IF(R483="Home",P483,IF(R483="Away",-P483,""))</f>
        <v>-15</v>
      </c>
      <c r="T483" s="1" t="str">
        <f aca="false">IF(R483="Pick","No Line",IF(S483="","N/A",IF(S483+I483&gt;0,"Favorite Covered",IF(S483+I483&lt;0,"Underdog Covered","Push"))))</f>
        <v>Underdog Covered</v>
      </c>
      <c r="U483" s="1" t="str">
        <f aca="false">IF(Q483&gt;J483,"Over",IF(Q483&lt;J483,"Under","Push"))</f>
        <v>Under</v>
      </c>
    </row>
    <row r="484" customFormat="false" ht="15" hidden="false" customHeight="false" outlineLevel="0" collapsed="false">
      <c r="A484" s="1" t="s">
        <v>280</v>
      </c>
      <c r="B484" s="1" t="n">
        <v>2011</v>
      </c>
      <c r="C484" s="1" t="s">
        <v>223</v>
      </c>
      <c r="D484" s="1" t="s">
        <v>79</v>
      </c>
      <c r="E484" s="1" t="s">
        <v>115</v>
      </c>
      <c r="F484" s="1" t="n">
        <v>27</v>
      </c>
      <c r="G484" s="1" t="n">
        <v>13</v>
      </c>
      <c r="H484" s="1" t="s">
        <v>116</v>
      </c>
      <c r="I484" s="1" t="n">
        <v>-6.5</v>
      </c>
      <c r="J484" s="1" t="n">
        <v>41.5</v>
      </c>
      <c r="K484" s="1" t="s">
        <v>169</v>
      </c>
      <c r="L484" s="1" t="b">
        <f aca="false">FALSE()</f>
        <v>0</v>
      </c>
      <c r="M484" s="1" t="str">
        <f aca="false">VLOOKUP(D484,'Team Reference'!$A:$B,2,FALSE())</f>
        <v>IND</v>
      </c>
      <c r="N484" s="1" t="str">
        <f aca="false">VLOOKUP(E484,'Team Reference'!$A:$B,2,FALSE())</f>
        <v>TEN</v>
      </c>
      <c r="O484" s="1" t="str">
        <f aca="false">IF(F484&gt;G484,M484,IF(G484&gt;F484,N484,"Tie"))</f>
        <v>IND</v>
      </c>
      <c r="P484" s="1" t="n">
        <f aca="false">F484-G484</f>
        <v>14</v>
      </c>
      <c r="Q484" s="1" t="n">
        <f aca="false">F484+G484</f>
        <v>40</v>
      </c>
      <c r="R484" s="1" t="str">
        <f aca="false">IF(H484=M484,"Home",IF(H484=N484,"Away",IF(H484="PICK","Pick","N/A")))</f>
        <v>Away</v>
      </c>
      <c r="S484" s="1" t="n">
        <f aca="false">IF(R484="Home",P484,IF(R484="Away",-P484,""))</f>
        <v>-14</v>
      </c>
      <c r="T484" s="1" t="str">
        <f aca="false">IF(R484="Pick","No Line",IF(S484="","N/A",IF(S484+I484&gt;0,"Favorite Covered",IF(S484+I484&lt;0,"Underdog Covered","Push"))))</f>
        <v>Underdog Covered</v>
      </c>
      <c r="U484" s="1" t="str">
        <f aca="false">IF(Q484&gt;J484,"Over",IF(Q484&lt;J484,"Under","Push"))</f>
        <v>Under</v>
      </c>
    </row>
    <row r="485" customFormat="false" ht="15" hidden="false" customHeight="false" outlineLevel="0" collapsed="false">
      <c r="A485" s="1" t="s">
        <v>280</v>
      </c>
      <c r="B485" s="1" t="n">
        <v>2011</v>
      </c>
      <c r="C485" s="1" t="s">
        <v>223</v>
      </c>
      <c r="D485" s="1" t="s">
        <v>83</v>
      </c>
      <c r="E485" s="1" t="s">
        <v>75</v>
      </c>
      <c r="F485" s="1" t="n">
        <v>19</v>
      </c>
      <c r="G485" s="1" t="n">
        <v>14</v>
      </c>
      <c r="H485" s="1" t="s">
        <v>76</v>
      </c>
      <c r="I485" s="1" t="n">
        <v>-11.5</v>
      </c>
      <c r="J485" s="1" t="n">
        <v>46</v>
      </c>
      <c r="K485" s="1" t="s">
        <v>158</v>
      </c>
      <c r="L485" s="1" t="b">
        <f aca="false">FALSE()</f>
        <v>0</v>
      </c>
      <c r="M485" s="1" t="str">
        <f aca="false">VLOOKUP(D485,'Team Reference'!$A:$B,2,FALSE())</f>
        <v>KC</v>
      </c>
      <c r="N485" s="1" t="str">
        <f aca="false">VLOOKUP(E485,'Team Reference'!$A:$B,2,FALSE())</f>
        <v>GB</v>
      </c>
      <c r="O485" s="1" t="str">
        <f aca="false">IF(F485&gt;G485,M485,IF(G485&gt;F485,N485,"Tie"))</f>
        <v>KC</v>
      </c>
      <c r="P485" s="1" t="n">
        <f aca="false">F485-G485</f>
        <v>5</v>
      </c>
      <c r="Q485" s="1" t="n">
        <f aca="false">F485+G485</f>
        <v>33</v>
      </c>
      <c r="R485" s="1" t="str">
        <f aca="false">IF(H485=M485,"Home",IF(H485=N485,"Away",IF(H485="PICK","Pick","N/A")))</f>
        <v>Away</v>
      </c>
      <c r="S485" s="1" t="n">
        <f aca="false">IF(R485="Home",P485,IF(R485="Away",-P485,""))</f>
        <v>-5</v>
      </c>
      <c r="T485" s="1" t="str">
        <f aca="false">IF(R485="Pick","No Line",IF(S485="","N/A",IF(S485+I485&gt;0,"Favorite Covered",IF(S485+I485&lt;0,"Underdog Covered","Push"))))</f>
        <v>Underdog Covered</v>
      </c>
      <c r="U485" s="1" t="str">
        <f aca="false">IF(Q485&gt;J485,"Over",IF(Q485&lt;J485,"Under","Push"))</f>
        <v>Under</v>
      </c>
    </row>
    <row r="486" customFormat="false" ht="15" hidden="false" customHeight="false" outlineLevel="0" collapsed="false">
      <c r="A486" s="1" t="s">
        <v>280</v>
      </c>
      <c r="B486" s="1" t="n">
        <v>2011</v>
      </c>
      <c r="C486" s="1" t="s">
        <v>223</v>
      </c>
      <c r="D486" s="1" t="s">
        <v>91</v>
      </c>
      <c r="E486" s="1" t="s">
        <v>95</v>
      </c>
      <c r="F486" s="1" t="n">
        <v>20</v>
      </c>
      <c r="G486" s="1" t="n">
        <v>42</v>
      </c>
      <c r="H486" s="1" t="s">
        <v>96</v>
      </c>
      <c r="I486" s="1" t="n">
        <v>-7.5</v>
      </c>
      <c r="J486" s="1" t="n">
        <v>53.5</v>
      </c>
      <c r="K486" s="1" t="s">
        <v>170</v>
      </c>
      <c r="L486" s="1" t="b">
        <f aca="false">FALSE()</f>
        <v>0</v>
      </c>
      <c r="M486" s="1" t="str">
        <f aca="false">VLOOKUP(D486,'Team Reference'!$A:$B,2,FALSE())</f>
        <v>MIN</v>
      </c>
      <c r="N486" s="1" t="str">
        <f aca="false">VLOOKUP(E486,'Team Reference'!$A:$B,2,FALSE())</f>
        <v>NO</v>
      </c>
      <c r="O486" s="1" t="str">
        <f aca="false">IF(F486&gt;G486,M486,IF(G486&gt;F486,N486,"Tie"))</f>
        <v>NO</v>
      </c>
      <c r="P486" s="1" t="n">
        <f aca="false">F486-G486</f>
        <v>-22</v>
      </c>
      <c r="Q486" s="1" t="n">
        <f aca="false">F486+G486</f>
        <v>62</v>
      </c>
      <c r="R486" s="1" t="str">
        <f aca="false">IF(H486=M486,"Home",IF(H486=N486,"Away",IF(H486="PICK","Pick","N/A")))</f>
        <v>Away</v>
      </c>
      <c r="S486" s="1" t="n">
        <f aca="false">IF(R486="Home",P486,IF(R486="Away",-P486,""))</f>
        <v>22</v>
      </c>
      <c r="T486" s="1" t="str">
        <f aca="false">IF(R486="Pick","No Line",IF(S486="","N/A",IF(S486+I486&gt;0,"Favorite Covered",IF(S486+I486&lt;0,"Underdog Covered","Push"))))</f>
        <v>Favorite Covered</v>
      </c>
      <c r="U486" s="1" t="str">
        <f aca="false">IF(Q486&gt;J486,"Over",IF(Q486&lt;J486,"Under","Push"))</f>
        <v>Over</v>
      </c>
    </row>
    <row r="487" customFormat="false" ht="15" hidden="false" customHeight="false" outlineLevel="0" collapsed="false">
      <c r="A487" s="1" t="s">
        <v>280</v>
      </c>
      <c r="B487" s="1" t="n">
        <v>2011</v>
      </c>
      <c r="C487" s="1" t="s">
        <v>223</v>
      </c>
      <c r="D487" s="1" t="s">
        <v>97</v>
      </c>
      <c r="E487" s="1" t="s">
        <v>117</v>
      </c>
      <c r="F487" s="1" t="n">
        <v>10</v>
      </c>
      <c r="G487" s="1" t="n">
        <v>23</v>
      </c>
      <c r="H487" s="1" t="s">
        <v>98</v>
      </c>
      <c r="I487" s="1" t="n">
        <v>-6</v>
      </c>
      <c r="J487" s="1" t="n">
        <v>46.5</v>
      </c>
      <c r="K487" s="1" t="s">
        <v>149</v>
      </c>
      <c r="L487" s="1" t="b">
        <f aca="false">FALSE()</f>
        <v>0</v>
      </c>
      <c r="M487" s="1" t="str">
        <f aca="false">VLOOKUP(D487,'Team Reference'!$A:$B,2,FALSE())</f>
        <v>NYG</v>
      </c>
      <c r="N487" s="1" t="str">
        <f aca="false">VLOOKUP(E487,'Team Reference'!$A:$B,2,FALSE())</f>
        <v>WAS</v>
      </c>
      <c r="O487" s="1" t="str">
        <f aca="false">IF(F487&gt;G487,M487,IF(G487&gt;F487,N487,"Tie"))</f>
        <v>WAS</v>
      </c>
      <c r="P487" s="1" t="n">
        <f aca="false">F487-G487</f>
        <v>-13</v>
      </c>
      <c r="Q487" s="1" t="n">
        <f aca="false">F487+G487</f>
        <v>33</v>
      </c>
      <c r="R487" s="1" t="str">
        <f aca="false">IF(H487=M487,"Home",IF(H487=N487,"Away",IF(H487="PICK","Pick","N/A")))</f>
        <v>Home</v>
      </c>
      <c r="S487" s="1" t="n">
        <f aca="false">IF(R487="Home",P487,IF(R487="Away",-P487,""))</f>
        <v>-13</v>
      </c>
      <c r="T487" s="1" t="str">
        <f aca="false">IF(R487="Pick","No Line",IF(S487="","N/A",IF(S487+I487&gt;0,"Favorite Covered",IF(S487+I487&lt;0,"Underdog Covered","Push"))))</f>
        <v>Underdog Covered</v>
      </c>
      <c r="U487" s="1" t="str">
        <f aca="false">IF(Q487&gt;J487,"Over",IF(Q487&lt;J487,"Under","Push"))</f>
        <v>Under</v>
      </c>
    </row>
    <row r="488" customFormat="false" ht="15" hidden="false" customHeight="false" outlineLevel="0" collapsed="false">
      <c r="A488" s="1" t="s">
        <v>280</v>
      </c>
      <c r="B488" s="1" t="n">
        <v>2011</v>
      </c>
      <c r="C488" s="1" t="s">
        <v>223</v>
      </c>
      <c r="D488" s="1" t="s">
        <v>101</v>
      </c>
      <c r="E488" s="1" t="s">
        <v>73</v>
      </c>
      <c r="F488" s="1" t="n">
        <v>27</v>
      </c>
      <c r="G488" s="1" t="n">
        <v>28</v>
      </c>
      <c r="H488" s="1" t="s">
        <v>74</v>
      </c>
      <c r="I488" s="1" t="n">
        <v>-1.5</v>
      </c>
      <c r="J488" s="1" t="n">
        <v>47.5</v>
      </c>
      <c r="K488" s="1" t="s">
        <v>171</v>
      </c>
      <c r="L488" s="1" t="b">
        <f aca="false">FALSE()</f>
        <v>0</v>
      </c>
      <c r="M488" s="1" t="str">
        <f aca="false">VLOOKUP(D488,'Team Reference'!$A:$B,2,FALSE())</f>
        <v>OAK</v>
      </c>
      <c r="N488" s="1" t="str">
        <f aca="false">VLOOKUP(E488,'Team Reference'!$A:$B,2,FALSE())</f>
        <v>DET</v>
      </c>
      <c r="O488" s="1" t="str">
        <f aca="false">IF(F488&gt;G488,M488,IF(G488&gt;F488,N488,"Tie"))</f>
        <v>DET</v>
      </c>
      <c r="P488" s="1" t="n">
        <f aca="false">F488-G488</f>
        <v>-1</v>
      </c>
      <c r="Q488" s="1" t="n">
        <f aca="false">F488+G488</f>
        <v>55</v>
      </c>
      <c r="R488" s="1" t="str">
        <f aca="false">IF(H488=M488,"Home",IF(H488=N488,"Away",IF(H488="PICK","Pick","N/A")))</f>
        <v>Away</v>
      </c>
      <c r="S488" s="1" t="n">
        <f aca="false">IF(R488="Home",P488,IF(R488="Away",-P488,""))</f>
        <v>1</v>
      </c>
      <c r="T488" s="1" t="str">
        <f aca="false">IF(R488="Pick","No Line",IF(S488="","N/A",IF(S488+I488&gt;0,"Favorite Covered",IF(S488+I488&lt;0,"Underdog Covered","Push"))))</f>
        <v>Underdog Covered</v>
      </c>
      <c r="U488" s="1" t="str">
        <f aca="false">IF(Q488&gt;J488,"Over",IF(Q488&lt;J488,"Under","Push"))</f>
        <v>Over</v>
      </c>
    </row>
    <row r="489" customFormat="false" ht="15" hidden="false" customHeight="false" outlineLevel="0" collapsed="false">
      <c r="A489" s="1" t="s">
        <v>280</v>
      </c>
      <c r="B489" s="1" t="n">
        <v>2011</v>
      </c>
      <c r="C489" s="1" t="s">
        <v>223</v>
      </c>
      <c r="D489" s="1" t="s">
        <v>103</v>
      </c>
      <c r="E489" s="1" t="s">
        <v>99</v>
      </c>
      <c r="F489" s="1" t="n">
        <v>45</v>
      </c>
      <c r="G489" s="1" t="n">
        <v>19</v>
      </c>
      <c r="H489" s="1" t="s">
        <v>104</v>
      </c>
      <c r="I489" s="1" t="n">
        <v>-3</v>
      </c>
      <c r="J489" s="1" t="n">
        <v>44</v>
      </c>
      <c r="K489" s="1" t="s">
        <v>150</v>
      </c>
      <c r="L489" s="1" t="b">
        <f aca="false">FALSE()</f>
        <v>0</v>
      </c>
      <c r="M489" s="1" t="str">
        <f aca="false">VLOOKUP(D489,'Team Reference'!$A:$B,2,FALSE())</f>
        <v>PHI</v>
      </c>
      <c r="N489" s="1" t="str">
        <f aca="false">VLOOKUP(E489,'Team Reference'!$A:$B,2,FALSE())</f>
        <v>NYJ</v>
      </c>
      <c r="O489" s="1" t="str">
        <f aca="false">IF(F489&gt;G489,M489,IF(G489&gt;F489,N489,"Tie"))</f>
        <v>PHI</v>
      </c>
      <c r="P489" s="1" t="n">
        <f aca="false">F489-G489</f>
        <v>26</v>
      </c>
      <c r="Q489" s="1" t="n">
        <f aca="false">F489+G489</f>
        <v>64</v>
      </c>
      <c r="R489" s="1" t="str">
        <f aca="false">IF(H489=M489,"Home",IF(H489=N489,"Away",IF(H489="PICK","Pick","N/A")))</f>
        <v>Home</v>
      </c>
      <c r="S489" s="1" t="n">
        <f aca="false">IF(R489="Home",P489,IF(R489="Away",-P489,""))</f>
        <v>26</v>
      </c>
      <c r="T489" s="1" t="str">
        <f aca="false">IF(R489="Pick","No Line",IF(S489="","N/A",IF(S489+I489&gt;0,"Favorite Covered",IF(S489+I489&lt;0,"Underdog Covered","Push"))))</f>
        <v>Favorite Covered</v>
      </c>
      <c r="U489" s="1" t="str">
        <f aca="false">IF(Q489&gt;J489,"Over",IF(Q489&lt;J489,"Under","Push"))</f>
        <v>Over</v>
      </c>
    </row>
    <row r="490" customFormat="false" ht="15" hidden="false" customHeight="false" outlineLevel="0" collapsed="false">
      <c r="A490" s="1" t="s">
        <v>280</v>
      </c>
      <c r="B490" s="1" t="n">
        <v>2011</v>
      </c>
      <c r="C490" s="1" t="s">
        <v>223</v>
      </c>
      <c r="D490" s="1" t="s">
        <v>107</v>
      </c>
      <c r="E490" s="1" t="s">
        <v>57</v>
      </c>
      <c r="F490" s="1" t="n">
        <v>34</v>
      </c>
      <c r="G490" s="1" t="n">
        <v>14</v>
      </c>
      <c r="H490" s="1" t="s">
        <v>58</v>
      </c>
      <c r="I490" s="1" t="n">
        <v>-2.5</v>
      </c>
      <c r="J490" s="1" t="n">
        <v>44</v>
      </c>
      <c r="K490" s="1" t="s">
        <v>172</v>
      </c>
      <c r="L490" s="1" t="b">
        <f aca="false">FALSE()</f>
        <v>0</v>
      </c>
      <c r="M490" s="1" t="str">
        <f aca="false">VLOOKUP(D490,'Team Reference'!$A:$B,2,FALSE())</f>
        <v>LAC</v>
      </c>
      <c r="N490" s="1" t="str">
        <f aca="false">VLOOKUP(E490,'Team Reference'!$A:$B,2,FALSE())</f>
        <v>BAL</v>
      </c>
      <c r="O490" s="1" t="str">
        <f aca="false">IF(F490&gt;G490,M490,IF(G490&gt;F490,N490,"Tie"))</f>
        <v>LAC</v>
      </c>
      <c r="P490" s="1" t="n">
        <f aca="false">F490-G490</f>
        <v>20</v>
      </c>
      <c r="Q490" s="1" t="n">
        <f aca="false">F490+G490</f>
        <v>48</v>
      </c>
      <c r="R490" s="1" t="str">
        <f aca="false">IF(H490=M490,"Home",IF(H490=N490,"Away",IF(H490="PICK","Pick","N/A")))</f>
        <v>Away</v>
      </c>
      <c r="S490" s="1" t="n">
        <f aca="false">IF(R490="Home",P490,IF(R490="Away",-P490,""))</f>
        <v>-20</v>
      </c>
      <c r="T490" s="1" t="str">
        <f aca="false">IF(R490="Pick","No Line",IF(S490="","N/A",IF(S490+I490&gt;0,"Favorite Covered",IF(S490+I490&lt;0,"Underdog Covered","Push"))))</f>
        <v>Underdog Covered</v>
      </c>
      <c r="U490" s="1" t="str">
        <f aca="false">IF(Q490&gt;J490,"Over",IF(Q490&lt;J490,"Under","Push"))</f>
        <v>Over</v>
      </c>
    </row>
    <row r="491" customFormat="false" ht="15" hidden="false" customHeight="false" outlineLevel="0" collapsed="false">
      <c r="A491" s="1" t="s">
        <v>280</v>
      </c>
      <c r="B491" s="1" t="n">
        <v>2011</v>
      </c>
      <c r="C491" s="1" t="s">
        <v>223</v>
      </c>
      <c r="D491" s="1" t="s">
        <v>112</v>
      </c>
      <c r="E491" s="1" t="s">
        <v>65</v>
      </c>
      <c r="F491" s="1" t="n">
        <v>13</v>
      </c>
      <c r="G491" s="1" t="n">
        <v>20</v>
      </c>
      <c r="H491" s="1" t="s">
        <v>66</v>
      </c>
      <c r="I491" s="1" t="n">
        <v>-7</v>
      </c>
      <c r="J491" s="1" t="n">
        <v>39</v>
      </c>
      <c r="K491" s="1" t="s">
        <v>153</v>
      </c>
      <c r="L491" s="1" t="b">
        <f aca="false">FALSE()</f>
        <v>0</v>
      </c>
      <c r="M491" s="1" t="str">
        <f aca="false">VLOOKUP(D491,'Team Reference'!$A:$B,2,FALSE())</f>
        <v>LAR</v>
      </c>
      <c r="N491" s="1" t="str">
        <f aca="false">VLOOKUP(E491,'Team Reference'!$A:$B,2,FALSE())</f>
        <v>CIN</v>
      </c>
      <c r="O491" s="1" t="str">
        <f aca="false">IF(F491&gt;G491,M491,IF(G491&gt;F491,N491,"Tie"))</f>
        <v>CIN</v>
      </c>
      <c r="P491" s="1" t="n">
        <f aca="false">F491-G491</f>
        <v>-7</v>
      </c>
      <c r="Q491" s="1" t="n">
        <f aca="false">F491+G491</f>
        <v>33</v>
      </c>
      <c r="R491" s="1" t="str">
        <f aca="false">IF(H491=M491,"Home",IF(H491=N491,"Away",IF(H491="PICK","Pick","N/A")))</f>
        <v>Away</v>
      </c>
      <c r="S491" s="1" t="n">
        <f aca="false">IF(R491="Home",P491,IF(R491="Away",-P491,""))</f>
        <v>7</v>
      </c>
      <c r="T491" s="1" t="str">
        <f aca="false">IF(R491="Pick","No Line",IF(S491="","N/A",IF(S491+I491&gt;0,"Favorite Covered",IF(S491+I491&lt;0,"Underdog Covered","Push"))))</f>
        <v>Push</v>
      </c>
      <c r="U491" s="1" t="str">
        <f aca="false">IF(Q491&gt;J491,"Over",IF(Q491&lt;J491,"Under","Push"))</f>
        <v>Under</v>
      </c>
    </row>
    <row r="492" customFormat="false" ht="15" hidden="false" customHeight="false" outlineLevel="0" collapsed="false">
      <c r="A492" s="1" t="s">
        <v>281</v>
      </c>
      <c r="B492" s="1" t="n">
        <v>2011</v>
      </c>
      <c r="C492" s="1" t="s">
        <v>223</v>
      </c>
      <c r="D492" s="1" t="s">
        <v>108</v>
      </c>
      <c r="E492" s="1" t="s">
        <v>105</v>
      </c>
      <c r="F492" s="1" t="n">
        <v>20</v>
      </c>
      <c r="G492" s="1" t="n">
        <v>3</v>
      </c>
      <c r="H492" s="1" t="s">
        <v>109</v>
      </c>
      <c r="I492" s="1" t="n">
        <v>-3</v>
      </c>
      <c r="J492" s="1" t="n">
        <v>37</v>
      </c>
      <c r="K492" s="1" t="s">
        <v>174</v>
      </c>
      <c r="L492" s="1" t="b">
        <f aca="false">FALSE()</f>
        <v>0</v>
      </c>
      <c r="M492" s="1" t="str">
        <f aca="false">VLOOKUP(D492,'Team Reference'!$A:$B,2,FALSE())</f>
        <v>SF</v>
      </c>
      <c r="N492" s="1" t="str">
        <f aca="false">VLOOKUP(E492,'Team Reference'!$A:$B,2,FALSE())</f>
        <v>PIT</v>
      </c>
      <c r="O492" s="1" t="str">
        <f aca="false">IF(F492&gt;G492,M492,IF(G492&gt;F492,N492,"Tie"))</f>
        <v>SF</v>
      </c>
      <c r="P492" s="1" t="n">
        <f aca="false">F492-G492</f>
        <v>17</v>
      </c>
      <c r="Q492" s="1" t="n">
        <f aca="false">F492+G492</f>
        <v>23</v>
      </c>
      <c r="R492" s="1" t="str">
        <f aca="false">IF(H492=M492,"Home",IF(H492=N492,"Away",IF(H492="PICK","Pick","N/A")))</f>
        <v>Home</v>
      </c>
      <c r="S492" s="1" t="n">
        <f aca="false">IF(R492="Home",P492,IF(R492="Away",-P492,""))</f>
        <v>17</v>
      </c>
      <c r="T492" s="1" t="str">
        <f aca="false">IF(R492="Pick","No Line",IF(S492="","N/A",IF(S492+I492&gt;0,"Favorite Covered",IF(S492+I492&lt;0,"Underdog Covered","Push"))))</f>
        <v>Favorite Covered</v>
      </c>
      <c r="U492" s="1" t="str">
        <f aca="false">IF(Q492&gt;J492,"Over",IF(Q492&lt;J492,"Under","Push"))</f>
        <v>Under</v>
      </c>
    </row>
    <row r="493" customFormat="false" ht="15" hidden="false" customHeight="false" outlineLevel="0" collapsed="false">
      <c r="A493" s="1" t="s">
        <v>282</v>
      </c>
      <c r="B493" s="1" t="n">
        <v>2011</v>
      </c>
      <c r="C493" s="1" t="s">
        <v>227</v>
      </c>
      <c r="D493" s="1" t="s">
        <v>79</v>
      </c>
      <c r="E493" s="1" t="s">
        <v>77</v>
      </c>
      <c r="F493" s="1" t="n">
        <v>19</v>
      </c>
      <c r="G493" s="1" t="n">
        <v>16</v>
      </c>
      <c r="H493" s="1" t="s">
        <v>78</v>
      </c>
      <c r="I493" s="1" t="n">
        <v>-7</v>
      </c>
      <c r="J493" s="1" t="n">
        <v>40.5</v>
      </c>
      <c r="K493" s="1" t="s">
        <v>169</v>
      </c>
      <c r="L493" s="1" t="b">
        <f aca="false">FALSE()</f>
        <v>0</v>
      </c>
      <c r="M493" s="1" t="str">
        <f aca="false">VLOOKUP(D493,'Team Reference'!$A:$B,2,FALSE())</f>
        <v>IND</v>
      </c>
      <c r="N493" s="1" t="str">
        <f aca="false">VLOOKUP(E493,'Team Reference'!$A:$B,2,FALSE())</f>
        <v>HOU</v>
      </c>
      <c r="O493" s="1" t="str">
        <f aca="false">IF(F493&gt;G493,M493,IF(G493&gt;F493,N493,"Tie"))</f>
        <v>IND</v>
      </c>
      <c r="P493" s="1" t="n">
        <f aca="false">F493-G493</f>
        <v>3</v>
      </c>
      <c r="Q493" s="1" t="n">
        <f aca="false">F493+G493</f>
        <v>35</v>
      </c>
      <c r="R493" s="1" t="str">
        <f aca="false">IF(H493=M493,"Home",IF(H493=N493,"Away",IF(H493="PICK","Pick","N/A")))</f>
        <v>Away</v>
      </c>
      <c r="S493" s="1" t="n">
        <f aca="false">IF(R493="Home",P493,IF(R493="Away",-P493,""))</f>
        <v>-3</v>
      </c>
      <c r="T493" s="1" t="str">
        <f aca="false">IF(R493="Pick","No Line",IF(S493="","N/A",IF(S493+I493&gt;0,"Favorite Covered",IF(S493+I493&lt;0,"Underdog Covered","Push"))))</f>
        <v>Underdog Covered</v>
      </c>
      <c r="U493" s="1" t="str">
        <f aca="false">IF(Q493&gt;J493,"Over",IF(Q493&lt;J493,"Under","Push"))</f>
        <v>Under</v>
      </c>
    </row>
    <row r="494" customFormat="false" ht="15" hidden="false" customHeight="false" outlineLevel="0" collapsed="false">
      <c r="A494" s="1" t="s">
        <v>283</v>
      </c>
      <c r="B494" s="1" t="n">
        <v>2011</v>
      </c>
      <c r="C494" s="1" t="s">
        <v>227</v>
      </c>
      <c r="D494" s="1" t="s">
        <v>57</v>
      </c>
      <c r="E494" s="1" t="s">
        <v>67</v>
      </c>
      <c r="F494" s="1" t="n">
        <v>20</v>
      </c>
      <c r="G494" s="1" t="n">
        <v>14</v>
      </c>
      <c r="H494" s="1" t="s">
        <v>58</v>
      </c>
      <c r="I494" s="1" t="n">
        <v>-11</v>
      </c>
      <c r="J494" s="1" t="n">
        <v>38</v>
      </c>
      <c r="K494" s="1" t="s">
        <v>178</v>
      </c>
      <c r="L494" s="1" t="b">
        <f aca="false">FALSE()</f>
        <v>0</v>
      </c>
      <c r="M494" s="1" t="str">
        <f aca="false">VLOOKUP(D494,'Team Reference'!$A:$B,2,FALSE())</f>
        <v>BAL</v>
      </c>
      <c r="N494" s="1" t="str">
        <f aca="false">VLOOKUP(E494,'Team Reference'!$A:$B,2,FALSE())</f>
        <v>CLE</v>
      </c>
      <c r="O494" s="1" t="str">
        <f aca="false">IF(F494&gt;G494,M494,IF(G494&gt;F494,N494,"Tie"))</f>
        <v>BAL</v>
      </c>
      <c r="P494" s="1" t="n">
        <f aca="false">F494-G494</f>
        <v>6</v>
      </c>
      <c r="Q494" s="1" t="n">
        <f aca="false">F494+G494</f>
        <v>34</v>
      </c>
      <c r="R494" s="1" t="str">
        <f aca="false">IF(H494=M494,"Home",IF(H494=N494,"Away",IF(H494="PICK","Pick","N/A")))</f>
        <v>Home</v>
      </c>
      <c r="S494" s="1" t="n">
        <f aca="false">IF(R494="Home",P494,IF(R494="Away",-P494,""))</f>
        <v>6</v>
      </c>
      <c r="T494" s="1" t="str">
        <f aca="false">IF(R494="Pick","No Line",IF(S494="","N/A",IF(S494+I494&gt;0,"Favorite Covered",IF(S494+I494&lt;0,"Underdog Covered","Push"))))</f>
        <v>Underdog Covered</v>
      </c>
      <c r="U494" s="1" t="str">
        <f aca="false">IF(Q494&gt;J494,"Over",IF(Q494&lt;J494,"Under","Push"))</f>
        <v>Under</v>
      </c>
    </row>
    <row r="495" customFormat="false" ht="15" hidden="false" customHeight="false" outlineLevel="0" collapsed="false">
      <c r="A495" s="1" t="s">
        <v>283</v>
      </c>
      <c r="B495" s="1" t="n">
        <v>2011</v>
      </c>
      <c r="C495" s="1" t="s">
        <v>227</v>
      </c>
      <c r="D495" s="1" t="s">
        <v>59</v>
      </c>
      <c r="E495" s="1" t="s">
        <v>71</v>
      </c>
      <c r="F495" s="1" t="n">
        <v>40</v>
      </c>
      <c r="G495" s="1" t="n">
        <v>14</v>
      </c>
      <c r="H495" s="1" t="s">
        <v>72</v>
      </c>
      <c r="I495" s="1" t="n">
        <v>-3</v>
      </c>
      <c r="J495" s="1" t="n">
        <v>43.5</v>
      </c>
      <c r="K495" s="1" t="s">
        <v>144</v>
      </c>
      <c r="L495" s="1" t="b">
        <f aca="false">FALSE()</f>
        <v>0</v>
      </c>
      <c r="M495" s="1" t="str">
        <f aca="false">VLOOKUP(D495,'Team Reference'!$A:$B,2,FALSE())</f>
        <v>BUF</v>
      </c>
      <c r="N495" s="1" t="str">
        <f aca="false">VLOOKUP(E495,'Team Reference'!$A:$B,2,FALSE())</f>
        <v>DEN</v>
      </c>
      <c r="O495" s="1" t="str">
        <f aca="false">IF(F495&gt;G495,M495,IF(G495&gt;F495,N495,"Tie"))</f>
        <v>BUF</v>
      </c>
      <c r="P495" s="1" t="n">
        <f aca="false">F495-G495</f>
        <v>26</v>
      </c>
      <c r="Q495" s="1" t="n">
        <f aca="false">F495+G495</f>
        <v>54</v>
      </c>
      <c r="R495" s="1" t="str">
        <f aca="false">IF(H495=M495,"Home",IF(H495=N495,"Away",IF(H495="PICK","Pick","N/A")))</f>
        <v>Away</v>
      </c>
      <c r="S495" s="1" t="n">
        <f aca="false">IF(R495="Home",P495,IF(R495="Away",-P495,""))</f>
        <v>-26</v>
      </c>
      <c r="T495" s="1" t="str">
        <f aca="false">IF(R495="Pick","No Line",IF(S495="","N/A",IF(S495+I495&gt;0,"Favorite Covered",IF(S495+I495&lt;0,"Underdog Covered","Push"))))</f>
        <v>Underdog Covered</v>
      </c>
      <c r="U495" s="1" t="str">
        <f aca="false">IF(Q495&gt;J495,"Over",IF(Q495&lt;J495,"Under","Push"))</f>
        <v>Over</v>
      </c>
    </row>
    <row r="496" customFormat="false" ht="15" hidden="false" customHeight="false" outlineLevel="0" collapsed="false">
      <c r="A496" s="1" t="s">
        <v>283</v>
      </c>
      <c r="B496" s="1" t="n">
        <v>2011</v>
      </c>
      <c r="C496" s="1" t="s">
        <v>227</v>
      </c>
      <c r="D496" s="1" t="s">
        <v>61</v>
      </c>
      <c r="E496" s="1" t="s">
        <v>113</v>
      </c>
      <c r="F496" s="1" t="n">
        <v>48</v>
      </c>
      <c r="G496" s="1" t="n">
        <v>16</v>
      </c>
      <c r="H496" s="1" t="s">
        <v>62</v>
      </c>
      <c r="I496" s="1" t="n">
        <v>-7.5</v>
      </c>
      <c r="J496" s="1" t="n">
        <v>48</v>
      </c>
      <c r="K496" s="1" t="s">
        <v>162</v>
      </c>
      <c r="L496" s="1" t="b">
        <f aca="false">FALSE()</f>
        <v>0</v>
      </c>
      <c r="M496" s="1" t="str">
        <f aca="false">VLOOKUP(D496,'Team Reference'!$A:$B,2,FALSE())</f>
        <v>CAR</v>
      </c>
      <c r="N496" s="1" t="str">
        <f aca="false">VLOOKUP(E496,'Team Reference'!$A:$B,2,FALSE())</f>
        <v>TB</v>
      </c>
      <c r="O496" s="1" t="str">
        <f aca="false">IF(F496&gt;G496,M496,IF(G496&gt;F496,N496,"Tie"))</f>
        <v>CAR</v>
      </c>
      <c r="P496" s="1" t="n">
        <f aca="false">F496-G496</f>
        <v>32</v>
      </c>
      <c r="Q496" s="1" t="n">
        <f aca="false">F496+G496</f>
        <v>64</v>
      </c>
      <c r="R496" s="1" t="str">
        <f aca="false">IF(H496=M496,"Home",IF(H496=N496,"Away",IF(H496="PICK","Pick","N/A")))</f>
        <v>Home</v>
      </c>
      <c r="S496" s="1" t="n">
        <f aca="false">IF(R496="Home",P496,IF(R496="Away",-P496,""))</f>
        <v>32</v>
      </c>
      <c r="T496" s="1" t="str">
        <f aca="false">IF(R496="Pick","No Line",IF(S496="","N/A",IF(S496+I496&gt;0,"Favorite Covered",IF(S496+I496&lt;0,"Underdog Covered","Push"))))</f>
        <v>Favorite Covered</v>
      </c>
      <c r="U496" s="1" t="str">
        <f aca="false">IF(Q496&gt;J496,"Over",IF(Q496&lt;J496,"Under","Push"))</f>
        <v>Over</v>
      </c>
    </row>
    <row r="497" customFormat="false" ht="15" hidden="false" customHeight="false" outlineLevel="0" collapsed="false">
      <c r="A497" s="1" t="s">
        <v>283</v>
      </c>
      <c r="B497" s="1" t="n">
        <v>2011</v>
      </c>
      <c r="C497" s="1" t="s">
        <v>227</v>
      </c>
      <c r="D497" s="1" t="s">
        <v>65</v>
      </c>
      <c r="E497" s="1" t="s">
        <v>53</v>
      </c>
      <c r="F497" s="1" t="n">
        <v>23</v>
      </c>
      <c r="G497" s="1" t="n">
        <v>16</v>
      </c>
      <c r="H497" s="1" t="s">
        <v>66</v>
      </c>
      <c r="I497" s="1" t="n">
        <v>-4</v>
      </c>
      <c r="J497" s="1" t="n">
        <v>41</v>
      </c>
      <c r="K497" s="1" t="s">
        <v>163</v>
      </c>
      <c r="L497" s="1" t="b">
        <f aca="false">FALSE()</f>
        <v>0</v>
      </c>
      <c r="M497" s="1" t="str">
        <f aca="false">VLOOKUP(D497,'Team Reference'!$A:$B,2,FALSE())</f>
        <v>CIN</v>
      </c>
      <c r="N497" s="1" t="str">
        <f aca="false">VLOOKUP(E497,'Team Reference'!$A:$B,2,FALSE())</f>
        <v>ARI</v>
      </c>
      <c r="O497" s="1" t="str">
        <f aca="false">IF(F497&gt;G497,M497,IF(G497&gt;F497,N497,"Tie"))</f>
        <v>CIN</v>
      </c>
      <c r="P497" s="1" t="n">
        <f aca="false">F497-G497</f>
        <v>7</v>
      </c>
      <c r="Q497" s="1" t="n">
        <f aca="false">F497+G497</f>
        <v>39</v>
      </c>
      <c r="R497" s="1" t="str">
        <f aca="false">IF(H497=M497,"Home",IF(H497=N497,"Away",IF(H497="PICK","Pick","N/A")))</f>
        <v>Home</v>
      </c>
      <c r="S497" s="1" t="n">
        <f aca="false">IF(R497="Home",P497,IF(R497="Away",-P497,""))</f>
        <v>7</v>
      </c>
      <c r="T497" s="1" t="str">
        <f aca="false">IF(R497="Pick","No Line",IF(S497="","N/A",IF(S497+I497&gt;0,"Favorite Covered",IF(S497+I497&lt;0,"Underdog Covered","Push"))))</f>
        <v>Favorite Covered</v>
      </c>
      <c r="U497" s="1" t="str">
        <f aca="false">IF(Q497&gt;J497,"Over",IF(Q497&lt;J497,"Under","Push"))</f>
        <v>Under</v>
      </c>
    </row>
    <row r="498" customFormat="false" ht="15" hidden="false" customHeight="false" outlineLevel="0" collapsed="false">
      <c r="A498" s="1" t="s">
        <v>283</v>
      </c>
      <c r="B498" s="1" t="n">
        <v>2011</v>
      </c>
      <c r="C498" s="1" t="s">
        <v>227</v>
      </c>
      <c r="D498" s="1" t="s">
        <v>69</v>
      </c>
      <c r="E498" s="1" t="s">
        <v>103</v>
      </c>
      <c r="F498" s="1" t="n">
        <v>7</v>
      </c>
      <c r="G498" s="1" t="n">
        <v>20</v>
      </c>
      <c r="H498" s="1" t="s">
        <v>104</v>
      </c>
      <c r="I498" s="1" t="n">
        <v>-2.5</v>
      </c>
      <c r="J498" s="1" t="n">
        <v>50</v>
      </c>
      <c r="K498" s="1" t="s">
        <v>165</v>
      </c>
      <c r="L498" s="1" t="b">
        <f aca="false">FALSE()</f>
        <v>0</v>
      </c>
      <c r="M498" s="1" t="str">
        <f aca="false">VLOOKUP(D498,'Team Reference'!$A:$B,2,FALSE())</f>
        <v>DAL</v>
      </c>
      <c r="N498" s="1" t="str">
        <f aca="false">VLOOKUP(E498,'Team Reference'!$A:$B,2,FALSE())</f>
        <v>PHI</v>
      </c>
      <c r="O498" s="1" t="str">
        <f aca="false">IF(F498&gt;G498,M498,IF(G498&gt;F498,N498,"Tie"))</f>
        <v>PHI</v>
      </c>
      <c r="P498" s="1" t="n">
        <f aca="false">F498-G498</f>
        <v>-13</v>
      </c>
      <c r="Q498" s="1" t="n">
        <f aca="false">F498+G498</f>
        <v>27</v>
      </c>
      <c r="R498" s="1" t="str">
        <f aca="false">IF(H498=M498,"Home",IF(H498=N498,"Away",IF(H498="PICK","Pick","N/A")))</f>
        <v>Away</v>
      </c>
      <c r="S498" s="1" t="n">
        <f aca="false">IF(R498="Home",P498,IF(R498="Away",-P498,""))</f>
        <v>13</v>
      </c>
      <c r="T498" s="1" t="str">
        <f aca="false">IF(R498="Pick","No Line",IF(S498="","N/A",IF(S498+I498&gt;0,"Favorite Covered",IF(S498+I498&lt;0,"Underdog Covered","Push"))))</f>
        <v>Favorite Covered</v>
      </c>
      <c r="U498" s="1" t="str">
        <f aca="false">IF(Q498&gt;J498,"Over",IF(Q498&lt;J498,"Under","Push"))</f>
        <v>Under</v>
      </c>
    </row>
    <row r="499" customFormat="false" ht="15" hidden="false" customHeight="false" outlineLevel="0" collapsed="false">
      <c r="A499" s="1" t="s">
        <v>283</v>
      </c>
      <c r="B499" s="1" t="n">
        <v>2011</v>
      </c>
      <c r="C499" s="1" t="s">
        <v>227</v>
      </c>
      <c r="D499" s="1" t="s">
        <v>73</v>
      </c>
      <c r="E499" s="1" t="s">
        <v>107</v>
      </c>
      <c r="F499" s="1" t="n">
        <v>38</v>
      </c>
      <c r="G499" s="1" t="n">
        <v>10</v>
      </c>
      <c r="H499" s="1" t="s">
        <v>86</v>
      </c>
      <c r="I499" s="1" t="n">
        <v>-1</v>
      </c>
      <c r="J499" s="1" t="n">
        <v>53</v>
      </c>
      <c r="K499" s="1" t="s">
        <v>167</v>
      </c>
      <c r="L499" s="1" t="b">
        <f aca="false">FALSE()</f>
        <v>0</v>
      </c>
      <c r="M499" s="1" t="str">
        <f aca="false">VLOOKUP(D499,'Team Reference'!$A:$B,2,FALSE())</f>
        <v>DET</v>
      </c>
      <c r="N499" s="1" t="str">
        <f aca="false">VLOOKUP(E499,'Team Reference'!$A:$B,2,FALSE())</f>
        <v>LAC</v>
      </c>
      <c r="O499" s="1" t="str">
        <f aca="false">IF(F499&gt;G499,M499,IF(G499&gt;F499,N499,"Tie"))</f>
        <v>DET</v>
      </c>
      <c r="P499" s="1" t="n">
        <f aca="false">F499-G499</f>
        <v>28</v>
      </c>
      <c r="Q499" s="1" t="n">
        <f aca="false">F499+G499</f>
        <v>48</v>
      </c>
      <c r="R499" s="1" t="str">
        <f aca="false">IF(H499=M499,"Home",IF(H499=N499,"Away",IF(H499="PICK","Pick","N/A")))</f>
        <v>Away</v>
      </c>
      <c r="S499" s="1" t="n">
        <f aca="false">IF(R499="Home",P499,IF(R499="Away",-P499,""))</f>
        <v>-28</v>
      </c>
      <c r="T499" s="1" t="str">
        <f aca="false">IF(R499="Pick","No Line",IF(S499="","N/A",IF(S499+I499&gt;0,"Favorite Covered",IF(S499+I499&lt;0,"Underdog Covered","Push"))))</f>
        <v>Underdog Covered</v>
      </c>
      <c r="U499" s="1" t="str">
        <f aca="false">IF(Q499&gt;J499,"Over",IF(Q499&lt;J499,"Under","Push"))</f>
        <v>Under</v>
      </c>
    </row>
    <row r="500" customFormat="false" ht="15" hidden="false" customHeight="false" outlineLevel="0" collapsed="false">
      <c r="A500" s="1" t="s">
        <v>283</v>
      </c>
      <c r="B500" s="1" t="n">
        <v>2011</v>
      </c>
      <c r="C500" s="1" t="s">
        <v>227</v>
      </c>
      <c r="D500" s="1" t="s">
        <v>83</v>
      </c>
      <c r="E500" s="1" t="s">
        <v>101</v>
      </c>
      <c r="F500" s="1" t="n">
        <v>13</v>
      </c>
      <c r="G500" s="1" t="n">
        <v>16</v>
      </c>
      <c r="H500" s="1" t="s">
        <v>84</v>
      </c>
      <c r="I500" s="1" t="n">
        <v>-3</v>
      </c>
      <c r="J500" s="1" t="n">
        <v>43</v>
      </c>
      <c r="K500" s="1" t="s">
        <v>158</v>
      </c>
      <c r="L500" s="1" t="b">
        <f aca="false">FALSE()</f>
        <v>0</v>
      </c>
      <c r="M500" s="1" t="str">
        <f aca="false">VLOOKUP(D500,'Team Reference'!$A:$B,2,FALSE())</f>
        <v>KC</v>
      </c>
      <c r="N500" s="1" t="str">
        <f aca="false">VLOOKUP(E500,'Team Reference'!$A:$B,2,FALSE())</f>
        <v>OAK</v>
      </c>
      <c r="O500" s="1" t="str">
        <f aca="false">IF(F500&gt;G500,M500,IF(G500&gt;F500,N500,"Tie"))</f>
        <v>OAK</v>
      </c>
      <c r="P500" s="1" t="n">
        <f aca="false">F500-G500</f>
        <v>-3</v>
      </c>
      <c r="Q500" s="1" t="n">
        <f aca="false">F500+G500</f>
        <v>29</v>
      </c>
      <c r="R500" s="1" t="str">
        <f aca="false">IF(H500=M500,"Home",IF(H500=N500,"Away",IF(H500="PICK","Pick","N/A")))</f>
        <v>Home</v>
      </c>
      <c r="S500" s="1" t="n">
        <f aca="false">IF(R500="Home",P500,IF(R500="Away",-P500,""))</f>
        <v>-3</v>
      </c>
      <c r="T500" s="1" t="str">
        <f aca="false">IF(R500="Pick","No Line",IF(S500="","N/A",IF(S500+I500&gt;0,"Favorite Covered",IF(S500+I500&lt;0,"Underdog Covered","Push"))))</f>
        <v>Underdog Covered</v>
      </c>
      <c r="U500" s="1" t="str">
        <f aca="false">IF(Q500&gt;J500,"Over",IF(Q500&lt;J500,"Under","Push"))</f>
        <v>Under</v>
      </c>
    </row>
    <row r="501" customFormat="false" ht="15" hidden="false" customHeight="false" outlineLevel="0" collapsed="false">
      <c r="A501" s="1" t="s">
        <v>283</v>
      </c>
      <c r="B501" s="1" t="n">
        <v>2011</v>
      </c>
      <c r="C501" s="1" t="s">
        <v>227</v>
      </c>
      <c r="D501" s="1" t="s">
        <v>93</v>
      </c>
      <c r="E501" s="1" t="s">
        <v>89</v>
      </c>
      <c r="F501" s="1" t="n">
        <v>27</v>
      </c>
      <c r="G501" s="1" t="n">
        <v>24</v>
      </c>
      <c r="H501" s="1" t="s">
        <v>94</v>
      </c>
      <c r="I501" s="1" t="n">
        <v>-7.5</v>
      </c>
      <c r="J501" s="1" t="n">
        <v>49.5</v>
      </c>
      <c r="K501" s="1" t="s">
        <v>148</v>
      </c>
      <c r="L501" s="1" t="b">
        <f aca="false">FALSE()</f>
        <v>0</v>
      </c>
      <c r="M501" s="1" t="str">
        <f aca="false">VLOOKUP(D501,'Team Reference'!$A:$B,2,FALSE())</f>
        <v>NE</v>
      </c>
      <c r="N501" s="1" t="str">
        <f aca="false">VLOOKUP(E501,'Team Reference'!$A:$B,2,FALSE())</f>
        <v>MIA</v>
      </c>
      <c r="O501" s="1" t="str">
        <f aca="false">IF(F501&gt;G501,M501,IF(G501&gt;F501,N501,"Tie"))</f>
        <v>NE</v>
      </c>
      <c r="P501" s="1" t="n">
        <f aca="false">F501-G501</f>
        <v>3</v>
      </c>
      <c r="Q501" s="1" t="n">
        <f aca="false">F501+G501</f>
        <v>51</v>
      </c>
      <c r="R501" s="1" t="str">
        <f aca="false">IF(H501=M501,"Home",IF(H501=N501,"Away",IF(H501="PICK","Pick","N/A")))</f>
        <v>Home</v>
      </c>
      <c r="S501" s="1" t="n">
        <f aca="false">IF(R501="Home",P501,IF(R501="Away",-P501,""))</f>
        <v>3</v>
      </c>
      <c r="T501" s="1" t="str">
        <f aca="false">IF(R501="Pick","No Line",IF(S501="","N/A",IF(S501+I501&gt;0,"Favorite Covered",IF(S501+I501&lt;0,"Underdog Covered","Push"))))</f>
        <v>Underdog Covered</v>
      </c>
      <c r="U501" s="1" t="str">
        <f aca="false">IF(Q501&gt;J501,"Over",IF(Q501&lt;J501,"Under","Push"))</f>
        <v>Over</v>
      </c>
    </row>
    <row r="502" customFormat="false" ht="15" hidden="false" customHeight="false" outlineLevel="0" collapsed="false">
      <c r="A502" s="1" t="s">
        <v>283</v>
      </c>
      <c r="B502" s="1" t="n">
        <v>2011</v>
      </c>
      <c r="C502" s="1" t="s">
        <v>227</v>
      </c>
      <c r="D502" s="1" t="s">
        <v>99</v>
      </c>
      <c r="E502" s="1" t="s">
        <v>97</v>
      </c>
      <c r="F502" s="1" t="n">
        <v>14</v>
      </c>
      <c r="G502" s="1" t="n">
        <v>29</v>
      </c>
      <c r="H502" s="1" t="s">
        <v>100</v>
      </c>
      <c r="I502" s="1" t="n">
        <v>-3</v>
      </c>
      <c r="J502" s="1" t="n">
        <v>46</v>
      </c>
      <c r="K502" s="1" t="s">
        <v>149</v>
      </c>
      <c r="L502" s="1" t="b">
        <f aca="false">FALSE()</f>
        <v>0</v>
      </c>
      <c r="M502" s="1" t="str">
        <f aca="false">VLOOKUP(D502,'Team Reference'!$A:$B,2,FALSE())</f>
        <v>NYJ</v>
      </c>
      <c r="N502" s="1" t="str">
        <f aca="false">VLOOKUP(E502,'Team Reference'!$A:$B,2,FALSE())</f>
        <v>NYG</v>
      </c>
      <c r="O502" s="1" t="str">
        <f aca="false">IF(F502&gt;G502,M502,IF(G502&gt;F502,N502,"Tie"))</f>
        <v>NYG</v>
      </c>
      <c r="P502" s="1" t="n">
        <f aca="false">F502-G502</f>
        <v>-15</v>
      </c>
      <c r="Q502" s="1" t="n">
        <f aca="false">F502+G502</f>
        <v>43</v>
      </c>
      <c r="R502" s="1" t="str">
        <f aca="false">IF(H502=M502,"Home",IF(H502=N502,"Away",IF(H502="PICK","Pick","N/A")))</f>
        <v>Home</v>
      </c>
      <c r="S502" s="1" t="n">
        <f aca="false">IF(R502="Home",P502,IF(R502="Away",-P502,""))</f>
        <v>-15</v>
      </c>
      <c r="T502" s="1" t="str">
        <f aca="false">IF(R502="Pick","No Line",IF(S502="","N/A",IF(S502+I502&gt;0,"Favorite Covered",IF(S502+I502&lt;0,"Underdog Covered","Push"))))</f>
        <v>Underdog Covered</v>
      </c>
      <c r="U502" s="1" t="str">
        <f aca="false">IF(Q502&gt;J502,"Over",IF(Q502&lt;J502,"Under","Push"))</f>
        <v>Under</v>
      </c>
    </row>
    <row r="503" customFormat="false" ht="15" hidden="false" customHeight="false" outlineLevel="0" collapsed="false">
      <c r="A503" s="1" t="s">
        <v>283</v>
      </c>
      <c r="B503" s="1" t="n">
        <v>2011</v>
      </c>
      <c r="C503" s="1" t="s">
        <v>227</v>
      </c>
      <c r="D503" s="1" t="s">
        <v>105</v>
      </c>
      <c r="E503" s="1" t="s">
        <v>112</v>
      </c>
      <c r="F503" s="1" t="n">
        <v>27</v>
      </c>
      <c r="G503" s="1" t="n">
        <v>0</v>
      </c>
      <c r="H503" s="1" t="s">
        <v>106</v>
      </c>
      <c r="I503" s="1" t="n">
        <v>-10</v>
      </c>
      <c r="J503" s="1" t="n">
        <v>34</v>
      </c>
      <c r="K503" s="1" t="s">
        <v>151</v>
      </c>
      <c r="L503" s="1" t="b">
        <f aca="false">FALSE()</f>
        <v>0</v>
      </c>
      <c r="M503" s="1" t="str">
        <f aca="false">VLOOKUP(D503,'Team Reference'!$A:$B,2,FALSE())</f>
        <v>PIT</v>
      </c>
      <c r="N503" s="1" t="str">
        <f aca="false">VLOOKUP(E503,'Team Reference'!$A:$B,2,FALSE())</f>
        <v>LAR</v>
      </c>
      <c r="O503" s="1" t="str">
        <f aca="false">IF(F503&gt;G503,M503,IF(G503&gt;F503,N503,"Tie"))</f>
        <v>PIT</v>
      </c>
      <c r="P503" s="1" t="n">
        <f aca="false">F503-G503</f>
        <v>27</v>
      </c>
      <c r="Q503" s="1" t="n">
        <f aca="false">F503+G503</f>
        <v>27</v>
      </c>
      <c r="R503" s="1" t="str">
        <f aca="false">IF(H503=M503,"Home",IF(H503=N503,"Away",IF(H503="PICK","Pick","N/A")))</f>
        <v>Home</v>
      </c>
      <c r="S503" s="1" t="n">
        <f aca="false">IF(R503="Home",P503,IF(R503="Away",-P503,""))</f>
        <v>27</v>
      </c>
      <c r="T503" s="1" t="str">
        <f aca="false">IF(R503="Pick","No Line",IF(S503="","N/A",IF(S503+I503&gt;0,"Favorite Covered",IF(S503+I503&lt;0,"Underdog Covered","Push"))))</f>
        <v>Favorite Covered</v>
      </c>
      <c r="U503" s="1" t="str">
        <f aca="false">IF(Q503&gt;J503,"Over",IF(Q503&lt;J503,"Under","Push"))</f>
        <v>Under</v>
      </c>
    </row>
    <row r="504" customFormat="false" ht="15" hidden="false" customHeight="false" outlineLevel="0" collapsed="false">
      <c r="A504" s="1" t="s">
        <v>283</v>
      </c>
      <c r="B504" s="1" t="n">
        <v>2011</v>
      </c>
      <c r="C504" s="1" t="s">
        <v>227</v>
      </c>
      <c r="D504" s="1" t="s">
        <v>110</v>
      </c>
      <c r="E504" s="1" t="s">
        <v>108</v>
      </c>
      <c r="F504" s="1" t="n">
        <v>17</v>
      </c>
      <c r="G504" s="1" t="n">
        <v>19</v>
      </c>
      <c r="H504" s="1" t="s">
        <v>109</v>
      </c>
      <c r="I504" s="1" t="n">
        <v>-2.5</v>
      </c>
      <c r="J504" s="1" t="n">
        <v>37</v>
      </c>
      <c r="K504" s="1" t="s">
        <v>152</v>
      </c>
      <c r="L504" s="1" t="b">
        <f aca="false">FALSE()</f>
        <v>0</v>
      </c>
      <c r="M504" s="1" t="str">
        <f aca="false">VLOOKUP(D504,'Team Reference'!$A:$B,2,FALSE())</f>
        <v>SEA</v>
      </c>
      <c r="N504" s="1" t="str">
        <f aca="false">VLOOKUP(E504,'Team Reference'!$A:$B,2,FALSE())</f>
        <v>SF</v>
      </c>
      <c r="O504" s="1" t="str">
        <f aca="false">IF(F504&gt;G504,M504,IF(G504&gt;F504,N504,"Tie"))</f>
        <v>SF</v>
      </c>
      <c r="P504" s="1" t="n">
        <f aca="false">F504-G504</f>
        <v>-2</v>
      </c>
      <c r="Q504" s="1" t="n">
        <f aca="false">F504+G504</f>
        <v>36</v>
      </c>
      <c r="R504" s="1" t="str">
        <f aca="false">IF(H504=M504,"Home",IF(H504=N504,"Away",IF(H504="PICK","Pick","N/A")))</f>
        <v>Away</v>
      </c>
      <c r="S504" s="1" t="n">
        <f aca="false">IF(R504="Home",P504,IF(R504="Away",-P504,""))</f>
        <v>2</v>
      </c>
      <c r="T504" s="1" t="str">
        <f aca="false">IF(R504="Pick","No Line",IF(S504="","N/A",IF(S504+I504&gt;0,"Favorite Covered",IF(S504+I504&lt;0,"Underdog Covered","Push"))))</f>
        <v>Underdog Covered</v>
      </c>
      <c r="U504" s="1" t="str">
        <f aca="false">IF(Q504&gt;J504,"Over",IF(Q504&lt;J504,"Under","Push"))</f>
        <v>Under</v>
      </c>
    </row>
    <row r="505" customFormat="false" ht="15" hidden="false" customHeight="false" outlineLevel="0" collapsed="false">
      <c r="A505" s="1" t="s">
        <v>283</v>
      </c>
      <c r="B505" s="1" t="n">
        <v>2011</v>
      </c>
      <c r="C505" s="1" t="s">
        <v>227</v>
      </c>
      <c r="D505" s="1" t="s">
        <v>115</v>
      </c>
      <c r="E505" s="1" t="s">
        <v>81</v>
      </c>
      <c r="F505" s="1" t="n">
        <v>23</v>
      </c>
      <c r="G505" s="1" t="n">
        <v>17</v>
      </c>
      <c r="H505" s="1" t="s">
        <v>116</v>
      </c>
      <c r="I505" s="1" t="n">
        <v>-8.5</v>
      </c>
      <c r="J505" s="1" t="n">
        <v>38.5</v>
      </c>
      <c r="K505" s="1" t="s">
        <v>155</v>
      </c>
      <c r="L505" s="1" t="b">
        <f aca="false">FALSE()</f>
        <v>0</v>
      </c>
      <c r="M505" s="1" t="str">
        <f aca="false">VLOOKUP(D505,'Team Reference'!$A:$B,2,FALSE())</f>
        <v>TEN</v>
      </c>
      <c r="N505" s="1" t="str">
        <f aca="false">VLOOKUP(E505,'Team Reference'!$A:$B,2,FALSE())</f>
        <v>JAX</v>
      </c>
      <c r="O505" s="1" t="str">
        <f aca="false">IF(F505&gt;G505,M505,IF(G505&gt;F505,N505,"Tie"))</f>
        <v>TEN</v>
      </c>
      <c r="P505" s="1" t="n">
        <f aca="false">F505-G505</f>
        <v>6</v>
      </c>
      <c r="Q505" s="1" t="n">
        <f aca="false">F505+G505</f>
        <v>40</v>
      </c>
      <c r="R505" s="1" t="str">
        <f aca="false">IF(H505=M505,"Home",IF(H505=N505,"Away",IF(H505="PICK","Pick","N/A")))</f>
        <v>Home</v>
      </c>
      <c r="S505" s="1" t="n">
        <f aca="false">IF(R505="Home",P505,IF(R505="Away",-P505,""))</f>
        <v>6</v>
      </c>
      <c r="T505" s="1" t="str">
        <f aca="false">IF(R505="Pick","No Line",IF(S505="","N/A",IF(S505+I505&gt;0,"Favorite Covered",IF(S505+I505&lt;0,"Underdog Covered","Push"))))</f>
        <v>Underdog Covered</v>
      </c>
      <c r="U505" s="1" t="str">
        <f aca="false">IF(Q505&gt;J505,"Over",IF(Q505&lt;J505,"Under","Push"))</f>
        <v>Over</v>
      </c>
    </row>
    <row r="506" customFormat="false" ht="15" hidden="false" customHeight="false" outlineLevel="0" collapsed="false">
      <c r="A506" s="1" t="s">
        <v>283</v>
      </c>
      <c r="B506" s="1" t="n">
        <v>2011</v>
      </c>
      <c r="C506" s="1" t="s">
        <v>227</v>
      </c>
      <c r="D506" s="1" t="s">
        <v>117</v>
      </c>
      <c r="E506" s="1" t="s">
        <v>91</v>
      </c>
      <c r="F506" s="1" t="n">
        <v>26</v>
      </c>
      <c r="G506" s="1" t="n">
        <v>33</v>
      </c>
      <c r="H506" s="1" t="s">
        <v>118</v>
      </c>
      <c r="I506" s="1" t="n">
        <v>-6</v>
      </c>
      <c r="J506" s="1" t="n">
        <v>43</v>
      </c>
      <c r="K506" s="1" t="s">
        <v>156</v>
      </c>
      <c r="L506" s="1" t="b">
        <f aca="false">FALSE()</f>
        <v>0</v>
      </c>
      <c r="M506" s="1" t="str">
        <f aca="false">VLOOKUP(D506,'Team Reference'!$A:$B,2,FALSE())</f>
        <v>WAS</v>
      </c>
      <c r="N506" s="1" t="str">
        <f aca="false">VLOOKUP(E506,'Team Reference'!$A:$B,2,FALSE())</f>
        <v>MIN</v>
      </c>
      <c r="O506" s="1" t="str">
        <f aca="false">IF(F506&gt;G506,M506,IF(G506&gt;F506,N506,"Tie"))</f>
        <v>MIN</v>
      </c>
      <c r="P506" s="1" t="n">
        <f aca="false">F506-G506</f>
        <v>-7</v>
      </c>
      <c r="Q506" s="1" t="n">
        <f aca="false">F506+G506</f>
        <v>59</v>
      </c>
      <c r="R506" s="1" t="str">
        <f aca="false">IF(H506=M506,"Home",IF(H506=N506,"Away",IF(H506="PICK","Pick","N/A")))</f>
        <v>Home</v>
      </c>
      <c r="S506" s="1" t="n">
        <f aca="false">IF(R506="Home",P506,IF(R506="Away",-P506,""))</f>
        <v>-7</v>
      </c>
      <c r="T506" s="1" t="str">
        <f aca="false">IF(R506="Pick","No Line",IF(S506="","N/A",IF(S506+I506&gt;0,"Favorite Covered",IF(S506+I506&lt;0,"Underdog Covered","Push"))))</f>
        <v>Underdog Covered</v>
      </c>
      <c r="U506" s="1" t="str">
        <f aca="false">IF(Q506&gt;J506,"Over",IF(Q506&lt;J506,"Under","Push"))</f>
        <v>Over</v>
      </c>
    </row>
    <row r="507" customFormat="false" ht="15" hidden="false" customHeight="false" outlineLevel="0" collapsed="false">
      <c r="A507" s="1" t="s">
        <v>284</v>
      </c>
      <c r="B507" s="1" t="n">
        <v>2011</v>
      </c>
      <c r="C507" s="1" t="s">
        <v>227</v>
      </c>
      <c r="D507" s="1" t="s">
        <v>75</v>
      </c>
      <c r="E507" s="1" t="s">
        <v>63</v>
      </c>
      <c r="F507" s="1" t="n">
        <v>35</v>
      </c>
      <c r="G507" s="1" t="n">
        <v>21</v>
      </c>
      <c r="H507" s="1" t="s">
        <v>76</v>
      </c>
      <c r="I507" s="1" t="n">
        <v>-13</v>
      </c>
      <c r="J507" s="1" t="n">
        <v>42</v>
      </c>
      <c r="K507" s="1" t="s">
        <v>168</v>
      </c>
      <c r="L507" s="1" t="b">
        <f aca="false">FALSE()</f>
        <v>0</v>
      </c>
      <c r="M507" s="1" t="str">
        <f aca="false">VLOOKUP(D507,'Team Reference'!$A:$B,2,FALSE())</f>
        <v>GB</v>
      </c>
      <c r="N507" s="1" t="str">
        <f aca="false">VLOOKUP(E507,'Team Reference'!$A:$B,2,FALSE())</f>
        <v>CHI</v>
      </c>
      <c r="O507" s="1" t="str">
        <f aca="false">IF(F507&gt;G507,M507,IF(G507&gt;F507,N507,"Tie"))</f>
        <v>GB</v>
      </c>
      <c r="P507" s="1" t="n">
        <f aca="false">F507-G507</f>
        <v>14</v>
      </c>
      <c r="Q507" s="1" t="n">
        <f aca="false">F507+G507</f>
        <v>56</v>
      </c>
      <c r="R507" s="1" t="str">
        <f aca="false">IF(H507=M507,"Home",IF(H507=N507,"Away",IF(H507="PICK","Pick","N/A")))</f>
        <v>Home</v>
      </c>
      <c r="S507" s="1" t="n">
        <f aca="false">IF(R507="Home",P507,IF(R507="Away",-P507,""))</f>
        <v>14</v>
      </c>
      <c r="T507" s="1" t="str">
        <f aca="false">IF(R507="Pick","No Line",IF(S507="","N/A",IF(S507+I507&gt;0,"Favorite Covered",IF(S507+I507&lt;0,"Underdog Covered","Push"))))</f>
        <v>Favorite Covered</v>
      </c>
      <c r="U507" s="1" t="str">
        <f aca="false">IF(Q507&gt;J507,"Over",IF(Q507&lt;J507,"Under","Push"))</f>
        <v>Over</v>
      </c>
    </row>
    <row r="508" customFormat="false" ht="15" hidden="false" customHeight="false" outlineLevel="0" collapsed="false">
      <c r="A508" s="1" t="s">
        <v>285</v>
      </c>
      <c r="B508" s="1" t="n">
        <v>2011</v>
      </c>
      <c r="C508" s="1" t="s">
        <v>227</v>
      </c>
      <c r="D508" s="1" t="s">
        <v>95</v>
      </c>
      <c r="E508" s="1" t="s">
        <v>55</v>
      </c>
      <c r="F508" s="1" t="n">
        <v>45</v>
      </c>
      <c r="G508" s="1" t="n">
        <v>16</v>
      </c>
      <c r="H508" s="1" t="s">
        <v>96</v>
      </c>
      <c r="I508" s="1" t="n">
        <v>-7</v>
      </c>
      <c r="J508" s="1" t="n">
        <v>52.5</v>
      </c>
      <c r="K508" s="1" t="s">
        <v>142</v>
      </c>
      <c r="L508" s="1" t="b">
        <f aca="false">FALSE()</f>
        <v>0</v>
      </c>
      <c r="M508" s="1" t="str">
        <f aca="false">VLOOKUP(D508,'Team Reference'!$A:$B,2,FALSE())</f>
        <v>NO</v>
      </c>
      <c r="N508" s="1" t="str">
        <f aca="false">VLOOKUP(E508,'Team Reference'!$A:$B,2,FALSE())</f>
        <v>ATL</v>
      </c>
      <c r="O508" s="1" t="str">
        <f aca="false">IF(F508&gt;G508,M508,IF(G508&gt;F508,N508,"Tie"))</f>
        <v>NO</v>
      </c>
      <c r="P508" s="1" t="n">
        <f aca="false">F508-G508</f>
        <v>29</v>
      </c>
      <c r="Q508" s="1" t="n">
        <f aca="false">F508+G508</f>
        <v>61</v>
      </c>
      <c r="R508" s="1" t="str">
        <f aca="false">IF(H508=M508,"Home",IF(H508=N508,"Away",IF(H508="PICK","Pick","N/A")))</f>
        <v>Home</v>
      </c>
      <c r="S508" s="1" t="n">
        <f aca="false">IF(R508="Home",P508,IF(R508="Away",-P508,""))</f>
        <v>29</v>
      </c>
      <c r="T508" s="1" t="str">
        <f aca="false">IF(R508="Pick","No Line",IF(S508="","N/A",IF(S508+I508&gt;0,"Favorite Covered",IF(S508+I508&lt;0,"Underdog Covered","Push"))))</f>
        <v>Favorite Covered</v>
      </c>
      <c r="U508" s="1" t="str">
        <f aca="false">IF(Q508&gt;J508,"Over",IF(Q508&lt;J508,"Under","Push"))</f>
        <v>Over</v>
      </c>
    </row>
    <row r="509" customFormat="false" ht="15" hidden="false" customHeight="false" outlineLevel="0" collapsed="false">
      <c r="A509" s="1" t="s">
        <v>286</v>
      </c>
      <c r="B509" s="1" t="n">
        <v>2011</v>
      </c>
      <c r="C509" s="1" t="s">
        <v>233</v>
      </c>
      <c r="D509" s="1" t="s">
        <v>53</v>
      </c>
      <c r="E509" s="1" t="s">
        <v>110</v>
      </c>
      <c r="F509" s="1" t="n">
        <v>23</v>
      </c>
      <c r="G509" s="1" t="n">
        <v>20</v>
      </c>
      <c r="H509" s="1" t="s">
        <v>54</v>
      </c>
      <c r="I509" s="1" t="n">
        <v>-2.5</v>
      </c>
      <c r="J509" s="1" t="n">
        <v>40.5</v>
      </c>
      <c r="K509" s="1" t="s">
        <v>177</v>
      </c>
      <c r="L509" s="1" t="b">
        <f aca="false">FALSE()</f>
        <v>0</v>
      </c>
      <c r="M509" s="1" t="str">
        <f aca="false">VLOOKUP(D509,'Team Reference'!$A:$B,2,FALSE())</f>
        <v>ARI</v>
      </c>
      <c r="N509" s="1" t="str">
        <f aca="false">VLOOKUP(E509,'Team Reference'!$A:$B,2,FALSE())</f>
        <v>SEA</v>
      </c>
      <c r="O509" s="1" t="str">
        <f aca="false">IF(F509&gt;G509,M509,IF(G509&gt;F509,N509,"Tie"))</f>
        <v>ARI</v>
      </c>
      <c r="P509" s="1" t="n">
        <f aca="false">F509-G509</f>
        <v>3</v>
      </c>
      <c r="Q509" s="1" t="n">
        <f aca="false">F509+G509</f>
        <v>43</v>
      </c>
      <c r="R509" s="1" t="str">
        <f aca="false">IF(H509=M509,"Home",IF(H509=N509,"Away",IF(H509="PICK","Pick","N/A")))</f>
        <v>Home</v>
      </c>
      <c r="S509" s="1" t="n">
        <f aca="false">IF(R509="Home",P509,IF(R509="Away",-P509,""))</f>
        <v>3</v>
      </c>
      <c r="T509" s="1" t="str">
        <f aca="false">IF(R509="Pick","No Line",IF(S509="","N/A",IF(S509+I509&gt;0,"Favorite Covered",IF(S509+I509&lt;0,"Underdog Covered","Push"))))</f>
        <v>Favorite Covered</v>
      </c>
      <c r="U509" s="1" t="str">
        <f aca="false">IF(Q509&gt;J509,"Over",IF(Q509&lt;J509,"Under","Push"))</f>
        <v>Over</v>
      </c>
    </row>
    <row r="510" customFormat="false" ht="15" hidden="false" customHeight="false" outlineLevel="0" collapsed="false">
      <c r="A510" s="1" t="s">
        <v>286</v>
      </c>
      <c r="B510" s="1" t="n">
        <v>2011</v>
      </c>
      <c r="C510" s="1" t="s">
        <v>233</v>
      </c>
      <c r="D510" s="1" t="s">
        <v>55</v>
      </c>
      <c r="E510" s="1" t="s">
        <v>113</v>
      </c>
      <c r="F510" s="1" t="n">
        <v>45</v>
      </c>
      <c r="G510" s="1" t="n">
        <v>24</v>
      </c>
      <c r="H510" s="1" t="s">
        <v>56</v>
      </c>
      <c r="I510" s="1" t="n">
        <v>-9.5</v>
      </c>
      <c r="J510" s="1" t="n">
        <v>45</v>
      </c>
      <c r="K510" s="1" t="s">
        <v>161</v>
      </c>
      <c r="L510" s="1" t="b">
        <f aca="false">FALSE()</f>
        <v>0</v>
      </c>
      <c r="M510" s="1" t="str">
        <f aca="false">VLOOKUP(D510,'Team Reference'!$A:$B,2,FALSE())</f>
        <v>ATL</v>
      </c>
      <c r="N510" s="1" t="str">
        <f aca="false">VLOOKUP(E510,'Team Reference'!$A:$B,2,FALSE())</f>
        <v>TB</v>
      </c>
      <c r="O510" s="1" t="str">
        <f aca="false">IF(F510&gt;G510,M510,IF(G510&gt;F510,N510,"Tie"))</f>
        <v>ATL</v>
      </c>
      <c r="P510" s="1" t="n">
        <f aca="false">F510-G510</f>
        <v>21</v>
      </c>
      <c r="Q510" s="1" t="n">
        <f aca="false">F510+G510</f>
        <v>69</v>
      </c>
      <c r="R510" s="1" t="str">
        <f aca="false">IF(H510=M510,"Home",IF(H510=N510,"Away",IF(H510="PICK","Pick","N/A")))</f>
        <v>Home</v>
      </c>
      <c r="S510" s="1" t="n">
        <f aca="false">IF(R510="Home",P510,IF(R510="Away",-P510,""))</f>
        <v>21</v>
      </c>
      <c r="T510" s="1" t="str">
        <f aca="false">IF(R510="Pick","No Line",IF(S510="","N/A",IF(S510+I510&gt;0,"Favorite Covered",IF(S510+I510&lt;0,"Underdog Covered","Push"))))</f>
        <v>Favorite Covered</v>
      </c>
      <c r="U510" s="1" t="str">
        <f aca="false">IF(Q510&gt;J510,"Over",IF(Q510&lt;J510,"Under","Push"))</f>
        <v>Over</v>
      </c>
    </row>
    <row r="511" customFormat="false" ht="15" hidden="false" customHeight="false" outlineLevel="0" collapsed="false">
      <c r="A511" s="1" t="s">
        <v>286</v>
      </c>
      <c r="B511" s="1" t="n">
        <v>2011</v>
      </c>
      <c r="C511" s="1" t="s">
        <v>233</v>
      </c>
      <c r="D511" s="1" t="s">
        <v>65</v>
      </c>
      <c r="E511" s="1" t="s">
        <v>57</v>
      </c>
      <c r="F511" s="1" t="n">
        <v>16</v>
      </c>
      <c r="G511" s="1" t="n">
        <v>24</v>
      </c>
      <c r="H511" s="1" t="s">
        <v>58</v>
      </c>
      <c r="I511" s="1" t="n">
        <v>-2.5</v>
      </c>
      <c r="J511" s="1" t="n">
        <v>38</v>
      </c>
      <c r="K511" s="1" t="s">
        <v>163</v>
      </c>
      <c r="L511" s="1" t="b">
        <f aca="false">FALSE()</f>
        <v>0</v>
      </c>
      <c r="M511" s="1" t="str">
        <f aca="false">VLOOKUP(D511,'Team Reference'!$A:$B,2,FALSE())</f>
        <v>CIN</v>
      </c>
      <c r="N511" s="1" t="str">
        <f aca="false">VLOOKUP(E511,'Team Reference'!$A:$B,2,FALSE())</f>
        <v>BAL</v>
      </c>
      <c r="O511" s="1" t="str">
        <f aca="false">IF(F511&gt;G511,M511,IF(G511&gt;F511,N511,"Tie"))</f>
        <v>BAL</v>
      </c>
      <c r="P511" s="1" t="n">
        <f aca="false">F511-G511</f>
        <v>-8</v>
      </c>
      <c r="Q511" s="1" t="n">
        <f aca="false">F511+G511</f>
        <v>40</v>
      </c>
      <c r="R511" s="1" t="str">
        <f aca="false">IF(H511=M511,"Home",IF(H511=N511,"Away",IF(H511="PICK","Pick","N/A")))</f>
        <v>Away</v>
      </c>
      <c r="S511" s="1" t="n">
        <f aca="false">IF(R511="Home",P511,IF(R511="Away",-P511,""))</f>
        <v>8</v>
      </c>
      <c r="T511" s="1" t="str">
        <f aca="false">IF(R511="Pick","No Line",IF(S511="","N/A",IF(S511+I511&gt;0,"Favorite Covered",IF(S511+I511&lt;0,"Underdog Covered","Push"))))</f>
        <v>Favorite Covered</v>
      </c>
      <c r="U511" s="1" t="str">
        <f aca="false">IF(Q511&gt;J511,"Over",IF(Q511&lt;J511,"Under","Push"))</f>
        <v>Over</v>
      </c>
    </row>
    <row r="512" customFormat="false" ht="15" hidden="false" customHeight="false" outlineLevel="0" collapsed="false">
      <c r="A512" s="1" t="s">
        <v>286</v>
      </c>
      <c r="B512" s="1" t="n">
        <v>2011</v>
      </c>
      <c r="C512" s="1" t="s">
        <v>233</v>
      </c>
      <c r="D512" s="1" t="s">
        <v>67</v>
      </c>
      <c r="E512" s="1" t="s">
        <v>105</v>
      </c>
      <c r="F512" s="1" t="n">
        <v>9</v>
      </c>
      <c r="G512" s="1" t="n">
        <v>13</v>
      </c>
      <c r="H512" s="1" t="s">
        <v>106</v>
      </c>
      <c r="I512" s="1" t="n">
        <v>-7</v>
      </c>
      <c r="J512" s="1" t="n">
        <v>33</v>
      </c>
      <c r="K512" s="1" t="s">
        <v>164</v>
      </c>
      <c r="L512" s="1" t="b">
        <f aca="false">FALSE()</f>
        <v>0</v>
      </c>
      <c r="M512" s="1" t="str">
        <f aca="false">VLOOKUP(D512,'Team Reference'!$A:$B,2,FALSE())</f>
        <v>CLE</v>
      </c>
      <c r="N512" s="1" t="str">
        <f aca="false">VLOOKUP(E512,'Team Reference'!$A:$B,2,FALSE())</f>
        <v>PIT</v>
      </c>
      <c r="O512" s="1" t="str">
        <f aca="false">IF(F512&gt;G512,M512,IF(G512&gt;F512,N512,"Tie"))</f>
        <v>PIT</v>
      </c>
      <c r="P512" s="1" t="n">
        <f aca="false">F512-G512</f>
        <v>-4</v>
      </c>
      <c r="Q512" s="1" t="n">
        <f aca="false">F512+G512</f>
        <v>22</v>
      </c>
      <c r="R512" s="1" t="str">
        <f aca="false">IF(H512=M512,"Home",IF(H512=N512,"Away",IF(H512="PICK","Pick","N/A")))</f>
        <v>Away</v>
      </c>
      <c r="S512" s="1" t="n">
        <f aca="false">IF(R512="Home",P512,IF(R512="Away",-P512,""))</f>
        <v>4</v>
      </c>
      <c r="T512" s="1" t="str">
        <f aca="false">IF(R512="Pick","No Line",IF(S512="","N/A",IF(S512+I512&gt;0,"Favorite Covered",IF(S512+I512&lt;0,"Underdog Covered","Push"))))</f>
        <v>Underdog Covered</v>
      </c>
      <c r="U512" s="1" t="str">
        <f aca="false">IF(Q512&gt;J512,"Over",IF(Q512&lt;J512,"Under","Push"))</f>
        <v>Under</v>
      </c>
    </row>
    <row r="513" customFormat="false" ht="15" hidden="false" customHeight="false" outlineLevel="0" collapsed="false">
      <c r="A513" s="1" t="s">
        <v>286</v>
      </c>
      <c r="B513" s="1" t="n">
        <v>2011</v>
      </c>
      <c r="C513" s="1" t="s">
        <v>233</v>
      </c>
      <c r="D513" s="1" t="s">
        <v>71</v>
      </c>
      <c r="E513" s="1" t="s">
        <v>83</v>
      </c>
      <c r="F513" s="1" t="n">
        <v>3</v>
      </c>
      <c r="G513" s="1" t="n">
        <v>7</v>
      </c>
      <c r="H513" s="1" t="s">
        <v>72</v>
      </c>
      <c r="I513" s="1" t="n">
        <v>-2</v>
      </c>
      <c r="J513" s="1" t="n">
        <v>37.5</v>
      </c>
      <c r="K513" s="1" t="s">
        <v>166</v>
      </c>
      <c r="L513" s="1" t="b">
        <f aca="false">FALSE()</f>
        <v>0</v>
      </c>
      <c r="M513" s="1" t="str">
        <f aca="false">VLOOKUP(D513,'Team Reference'!$A:$B,2,FALSE())</f>
        <v>DEN</v>
      </c>
      <c r="N513" s="1" t="str">
        <f aca="false">VLOOKUP(E513,'Team Reference'!$A:$B,2,FALSE())</f>
        <v>KC</v>
      </c>
      <c r="O513" s="1" t="str">
        <f aca="false">IF(F513&gt;G513,M513,IF(G513&gt;F513,N513,"Tie"))</f>
        <v>KC</v>
      </c>
      <c r="P513" s="1" t="n">
        <f aca="false">F513-G513</f>
        <v>-4</v>
      </c>
      <c r="Q513" s="1" t="n">
        <f aca="false">F513+G513</f>
        <v>10</v>
      </c>
      <c r="R513" s="1" t="str">
        <f aca="false">IF(H513=M513,"Home",IF(H513=N513,"Away",IF(H513="PICK","Pick","N/A")))</f>
        <v>Home</v>
      </c>
      <c r="S513" s="1" t="n">
        <f aca="false">IF(R513="Home",P513,IF(R513="Away",-P513,""))</f>
        <v>-4</v>
      </c>
      <c r="T513" s="1" t="str">
        <f aca="false">IF(R513="Pick","No Line",IF(S513="","N/A",IF(S513+I513&gt;0,"Favorite Covered",IF(S513+I513&lt;0,"Underdog Covered","Push"))))</f>
        <v>Underdog Covered</v>
      </c>
      <c r="U513" s="1" t="str">
        <f aca="false">IF(Q513&gt;J513,"Over",IF(Q513&lt;J513,"Under","Push"))</f>
        <v>Under</v>
      </c>
    </row>
    <row r="514" customFormat="false" ht="15" hidden="false" customHeight="false" outlineLevel="0" collapsed="false">
      <c r="A514" s="1" t="s">
        <v>286</v>
      </c>
      <c r="B514" s="1" t="n">
        <v>2011</v>
      </c>
      <c r="C514" s="1" t="s">
        <v>233</v>
      </c>
      <c r="D514" s="1" t="s">
        <v>75</v>
      </c>
      <c r="E514" s="1" t="s">
        <v>73</v>
      </c>
      <c r="F514" s="1" t="n">
        <v>45</v>
      </c>
      <c r="G514" s="1" t="n">
        <v>41</v>
      </c>
      <c r="H514" s="1" t="s">
        <v>74</v>
      </c>
      <c r="I514" s="1" t="n">
        <v>-6.5</v>
      </c>
      <c r="J514" s="1" t="n">
        <v>42</v>
      </c>
      <c r="K514" s="1" t="s">
        <v>168</v>
      </c>
      <c r="L514" s="1" t="b">
        <f aca="false">FALSE()</f>
        <v>0</v>
      </c>
      <c r="M514" s="1" t="str">
        <f aca="false">VLOOKUP(D514,'Team Reference'!$A:$B,2,FALSE())</f>
        <v>GB</v>
      </c>
      <c r="N514" s="1" t="str">
        <f aca="false">VLOOKUP(E514,'Team Reference'!$A:$B,2,FALSE())</f>
        <v>DET</v>
      </c>
      <c r="O514" s="1" t="str">
        <f aca="false">IF(F514&gt;G514,M514,IF(G514&gt;F514,N514,"Tie"))</f>
        <v>GB</v>
      </c>
      <c r="P514" s="1" t="n">
        <f aca="false">F514-G514</f>
        <v>4</v>
      </c>
      <c r="Q514" s="1" t="n">
        <f aca="false">F514+G514</f>
        <v>86</v>
      </c>
      <c r="R514" s="1" t="str">
        <f aca="false">IF(H514=M514,"Home",IF(H514=N514,"Away",IF(H514="PICK","Pick","N/A")))</f>
        <v>Away</v>
      </c>
      <c r="S514" s="1" t="n">
        <f aca="false">IF(R514="Home",P514,IF(R514="Away",-P514,""))</f>
        <v>-4</v>
      </c>
      <c r="T514" s="1" t="str">
        <f aca="false">IF(R514="Pick","No Line",IF(S514="","N/A",IF(S514+I514&gt;0,"Favorite Covered",IF(S514+I514&lt;0,"Underdog Covered","Push"))))</f>
        <v>Underdog Covered</v>
      </c>
      <c r="U514" s="1" t="str">
        <f aca="false">IF(Q514&gt;J514,"Over",IF(Q514&lt;J514,"Under","Push"))</f>
        <v>Over</v>
      </c>
    </row>
    <row r="515" customFormat="false" ht="15" hidden="false" customHeight="false" outlineLevel="0" collapsed="false">
      <c r="A515" s="1" t="s">
        <v>286</v>
      </c>
      <c r="B515" s="1" t="n">
        <v>2011</v>
      </c>
      <c r="C515" s="1" t="s">
        <v>233</v>
      </c>
      <c r="D515" s="1" t="s">
        <v>77</v>
      </c>
      <c r="E515" s="1" t="s">
        <v>115</v>
      </c>
      <c r="F515" s="1" t="n">
        <v>22</v>
      </c>
      <c r="G515" s="1" t="n">
        <v>23</v>
      </c>
      <c r="H515" s="1" t="s">
        <v>116</v>
      </c>
      <c r="I515" s="1" t="n">
        <v>-2</v>
      </c>
      <c r="J515" s="1" t="n">
        <v>38.5</v>
      </c>
      <c r="K515" s="1" t="s">
        <v>146</v>
      </c>
      <c r="L515" s="1" t="b">
        <f aca="false">FALSE()</f>
        <v>0</v>
      </c>
      <c r="M515" s="1" t="str">
        <f aca="false">VLOOKUP(D515,'Team Reference'!$A:$B,2,FALSE())</f>
        <v>HOU</v>
      </c>
      <c r="N515" s="1" t="str">
        <f aca="false">VLOOKUP(E515,'Team Reference'!$A:$B,2,FALSE())</f>
        <v>TEN</v>
      </c>
      <c r="O515" s="1" t="str">
        <f aca="false">IF(F515&gt;G515,M515,IF(G515&gt;F515,N515,"Tie"))</f>
        <v>TEN</v>
      </c>
      <c r="P515" s="1" t="n">
        <f aca="false">F515-G515</f>
        <v>-1</v>
      </c>
      <c r="Q515" s="1" t="n">
        <f aca="false">F515+G515</f>
        <v>45</v>
      </c>
      <c r="R515" s="1" t="str">
        <f aca="false">IF(H515=M515,"Home",IF(H515=N515,"Away",IF(H515="PICK","Pick","N/A")))</f>
        <v>Away</v>
      </c>
      <c r="S515" s="1" t="n">
        <f aca="false">IF(R515="Home",P515,IF(R515="Away",-P515,""))</f>
        <v>1</v>
      </c>
      <c r="T515" s="1" t="str">
        <f aca="false">IF(R515="Pick","No Line",IF(S515="","N/A",IF(S515+I515&gt;0,"Favorite Covered",IF(S515+I515&lt;0,"Underdog Covered","Push"))))</f>
        <v>Underdog Covered</v>
      </c>
      <c r="U515" s="1" t="str">
        <f aca="false">IF(Q515&gt;J515,"Over",IF(Q515&lt;J515,"Under","Push"))</f>
        <v>Over</v>
      </c>
    </row>
    <row r="516" customFormat="false" ht="15" hidden="false" customHeight="false" outlineLevel="0" collapsed="false">
      <c r="A516" s="1" t="s">
        <v>286</v>
      </c>
      <c r="B516" s="1" t="n">
        <v>2011</v>
      </c>
      <c r="C516" s="1" t="s">
        <v>233</v>
      </c>
      <c r="D516" s="1" t="s">
        <v>81</v>
      </c>
      <c r="E516" s="1" t="s">
        <v>79</v>
      </c>
      <c r="F516" s="1" t="n">
        <v>19</v>
      </c>
      <c r="G516" s="1" t="n">
        <v>13</v>
      </c>
      <c r="H516" s="1" t="s">
        <v>82</v>
      </c>
      <c r="I516" s="1" t="n">
        <v>-3</v>
      </c>
      <c r="J516" s="1" t="n">
        <v>37</v>
      </c>
      <c r="K516" s="1" t="s">
        <v>147</v>
      </c>
      <c r="L516" s="1" t="b">
        <f aca="false">FALSE()</f>
        <v>0</v>
      </c>
      <c r="M516" s="1" t="str">
        <f aca="false">VLOOKUP(D516,'Team Reference'!$A:$B,2,FALSE())</f>
        <v>JAX</v>
      </c>
      <c r="N516" s="1" t="str">
        <f aca="false">VLOOKUP(E516,'Team Reference'!$A:$B,2,FALSE())</f>
        <v>IND</v>
      </c>
      <c r="O516" s="1" t="str">
        <f aca="false">IF(F516&gt;G516,M516,IF(G516&gt;F516,N516,"Tie"))</f>
        <v>JAX</v>
      </c>
      <c r="P516" s="1" t="n">
        <f aca="false">F516-G516</f>
        <v>6</v>
      </c>
      <c r="Q516" s="1" t="n">
        <f aca="false">F516+G516</f>
        <v>32</v>
      </c>
      <c r="R516" s="1" t="str">
        <f aca="false">IF(H516=M516,"Home",IF(H516=N516,"Away",IF(H516="PICK","Pick","N/A")))</f>
        <v>Home</v>
      </c>
      <c r="S516" s="1" t="n">
        <f aca="false">IF(R516="Home",P516,IF(R516="Away",-P516,""))</f>
        <v>6</v>
      </c>
      <c r="T516" s="1" t="str">
        <f aca="false">IF(R516="Pick","No Line",IF(S516="","N/A",IF(S516+I516&gt;0,"Favorite Covered",IF(S516+I516&lt;0,"Underdog Covered","Push"))))</f>
        <v>Favorite Covered</v>
      </c>
      <c r="U516" s="1" t="str">
        <f aca="false">IF(Q516&gt;J516,"Over",IF(Q516&lt;J516,"Under","Push"))</f>
        <v>Under</v>
      </c>
    </row>
    <row r="517" customFormat="false" ht="15" hidden="false" customHeight="false" outlineLevel="0" collapsed="false">
      <c r="A517" s="1" t="s">
        <v>286</v>
      </c>
      <c r="B517" s="1" t="n">
        <v>2011</v>
      </c>
      <c r="C517" s="1" t="s">
        <v>233</v>
      </c>
      <c r="D517" s="1" t="s">
        <v>89</v>
      </c>
      <c r="E517" s="1" t="s">
        <v>99</v>
      </c>
      <c r="F517" s="1" t="n">
        <v>19</v>
      </c>
      <c r="G517" s="1" t="n">
        <v>17</v>
      </c>
      <c r="H517" s="1" t="s">
        <v>90</v>
      </c>
      <c r="I517" s="1" t="n">
        <v>-2</v>
      </c>
      <c r="J517" s="1" t="n">
        <v>39</v>
      </c>
      <c r="K517" s="1" t="s">
        <v>179</v>
      </c>
      <c r="L517" s="1" t="b">
        <f aca="false">FALSE()</f>
        <v>0</v>
      </c>
      <c r="M517" s="1" t="str">
        <f aca="false">VLOOKUP(D517,'Team Reference'!$A:$B,2,FALSE())</f>
        <v>MIA</v>
      </c>
      <c r="N517" s="1" t="str">
        <f aca="false">VLOOKUP(E517,'Team Reference'!$A:$B,2,FALSE())</f>
        <v>NYJ</v>
      </c>
      <c r="O517" s="1" t="str">
        <f aca="false">IF(F517&gt;G517,M517,IF(G517&gt;F517,N517,"Tie"))</f>
        <v>MIA</v>
      </c>
      <c r="P517" s="1" t="n">
        <f aca="false">F517-G517</f>
        <v>2</v>
      </c>
      <c r="Q517" s="1" t="n">
        <f aca="false">F517+G517</f>
        <v>36</v>
      </c>
      <c r="R517" s="1" t="str">
        <f aca="false">IF(H517=M517,"Home",IF(H517=N517,"Away",IF(H517="PICK","Pick","N/A")))</f>
        <v>Home</v>
      </c>
      <c r="S517" s="1" t="n">
        <f aca="false">IF(R517="Home",P517,IF(R517="Away",-P517,""))</f>
        <v>2</v>
      </c>
      <c r="T517" s="1" t="str">
        <f aca="false">IF(R517="Pick","No Line",IF(S517="","N/A",IF(S517+I517&gt;0,"Favorite Covered",IF(S517+I517&lt;0,"Underdog Covered","Push"))))</f>
        <v>Push</v>
      </c>
      <c r="U517" s="1" t="str">
        <f aca="false">IF(Q517&gt;J517,"Over",IF(Q517&lt;J517,"Under","Push"))</f>
        <v>Under</v>
      </c>
    </row>
    <row r="518" customFormat="false" ht="15" hidden="false" customHeight="false" outlineLevel="0" collapsed="false">
      <c r="A518" s="1" t="s">
        <v>286</v>
      </c>
      <c r="B518" s="1" t="n">
        <v>2011</v>
      </c>
      <c r="C518" s="1" t="s">
        <v>233</v>
      </c>
      <c r="D518" s="1" t="s">
        <v>91</v>
      </c>
      <c r="E518" s="1" t="s">
        <v>63</v>
      </c>
      <c r="F518" s="1" t="n">
        <v>13</v>
      </c>
      <c r="G518" s="1" t="n">
        <v>17</v>
      </c>
      <c r="H518" s="1" t="s">
        <v>92</v>
      </c>
      <c r="I518" s="1" t="n">
        <v>-2.5</v>
      </c>
      <c r="J518" s="1" t="n">
        <v>42</v>
      </c>
      <c r="K518" s="1" t="s">
        <v>170</v>
      </c>
      <c r="L518" s="1" t="b">
        <f aca="false">FALSE()</f>
        <v>0</v>
      </c>
      <c r="M518" s="1" t="str">
        <f aca="false">VLOOKUP(D518,'Team Reference'!$A:$B,2,FALSE())</f>
        <v>MIN</v>
      </c>
      <c r="N518" s="1" t="str">
        <f aca="false">VLOOKUP(E518,'Team Reference'!$A:$B,2,FALSE())</f>
        <v>CHI</v>
      </c>
      <c r="O518" s="1" t="str">
        <f aca="false">IF(F518&gt;G518,M518,IF(G518&gt;F518,N518,"Tie"))</f>
        <v>CHI</v>
      </c>
      <c r="P518" s="1" t="n">
        <f aca="false">F518-G518</f>
        <v>-4</v>
      </c>
      <c r="Q518" s="1" t="n">
        <f aca="false">F518+G518</f>
        <v>30</v>
      </c>
      <c r="R518" s="1" t="str">
        <f aca="false">IF(H518=M518,"Home",IF(H518=N518,"Away",IF(H518="PICK","Pick","N/A")))</f>
        <v>Home</v>
      </c>
      <c r="S518" s="1" t="n">
        <f aca="false">IF(R518="Home",P518,IF(R518="Away",-P518,""))</f>
        <v>-4</v>
      </c>
      <c r="T518" s="1" t="str">
        <f aca="false">IF(R518="Pick","No Line",IF(S518="","N/A",IF(S518+I518&gt;0,"Favorite Covered",IF(S518+I518&lt;0,"Underdog Covered","Push"))))</f>
        <v>Underdog Covered</v>
      </c>
      <c r="U518" s="1" t="str">
        <f aca="false">IF(Q518&gt;J518,"Over",IF(Q518&lt;J518,"Under","Push"))</f>
        <v>Under</v>
      </c>
    </row>
    <row r="519" customFormat="false" ht="15" hidden="false" customHeight="false" outlineLevel="0" collapsed="false">
      <c r="A519" s="1" t="s">
        <v>286</v>
      </c>
      <c r="B519" s="1" t="n">
        <v>2011</v>
      </c>
      <c r="C519" s="1" t="s">
        <v>233</v>
      </c>
      <c r="D519" s="1" t="s">
        <v>93</v>
      </c>
      <c r="E519" s="1" t="s">
        <v>59</v>
      </c>
      <c r="F519" s="1" t="n">
        <v>49</v>
      </c>
      <c r="G519" s="1" t="n">
        <v>21</v>
      </c>
      <c r="H519" s="1" t="s">
        <v>94</v>
      </c>
      <c r="I519" s="1" t="n">
        <v>-10</v>
      </c>
      <c r="J519" s="1" t="n">
        <v>50</v>
      </c>
      <c r="K519" s="1" t="s">
        <v>148</v>
      </c>
      <c r="L519" s="1" t="b">
        <f aca="false">FALSE()</f>
        <v>0</v>
      </c>
      <c r="M519" s="1" t="str">
        <f aca="false">VLOOKUP(D519,'Team Reference'!$A:$B,2,FALSE())</f>
        <v>NE</v>
      </c>
      <c r="N519" s="1" t="str">
        <f aca="false">VLOOKUP(E519,'Team Reference'!$A:$B,2,FALSE())</f>
        <v>BUF</v>
      </c>
      <c r="O519" s="1" t="str">
        <f aca="false">IF(F519&gt;G519,M519,IF(G519&gt;F519,N519,"Tie"))</f>
        <v>NE</v>
      </c>
      <c r="P519" s="1" t="n">
        <f aca="false">F519-G519</f>
        <v>28</v>
      </c>
      <c r="Q519" s="1" t="n">
        <f aca="false">F519+G519</f>
        <v>70</v>
      </c>
      <c r="R519" s="1" t="str">
        <f aca="false">IF(H519=M519,"Home",IF(H519=N519,"Away",IF(H519="PICK","Pick","N/A")))</f>
        <v>Home</v>
      </c>
      <c r="S519" s="1" t="n">
        <f aca="false">IF(R519="Home",P519,IF(R519="Away",-P519,""))</f>
        <v>28</v>
      </c>
      <c r="T519" s="1" t="str">
        <f aca="false">IF(R519="Pick","No Line",IF(S519="","N/A",IF(S519+I519&gt;0,"Favorite Covered",IF(S519+I519&lt;0,"Underdog Covered","Push"))))</f>
        <v>Favorite Covered</v>
      </c>
      <c r="U519" s="1" t="str">
        <f aca="false">IF(Q519&gt;J519,"Over",IF(Q519&lt;J519,"Under","Push"))</f>
        <v>Over</v>
      </c>
    </row>
    <row r="520" customFormat="false" ht="15" hidden="false" customHeight="false" outlineLevel="0" collapsed="false">
      <c r="A520" s="1" t="s">
        <v>286</v>
      </c>
      <c r="B520" s="1" t="n">
        <v>2011</v>
      </c>
      <c r="C520" s="1" t="s">
        <v>233</v>
      </c>
      <c r="D520" s="1" t="s">
        <v>95</v>
      </c>
      <c r="E520" s="1" t="s">
        <v>61</v>
      </c>
      <c r="F520" s="1" t="n">
        <v>45</v>
      </c>
      <c r="G520" s="1" t="n">
        <v>17</v>
      </c>
      <c r="H520" s="1" t="s">
        <v>96</v>
      </c>
      <c r="I520" s="1" t="n">
        <v>-7</v>
      </c>
      <c r="J520" s="1" t="n">
        <v>55</v>
      </c>
      <c r="K520" s="1" t="s">
        <v>142</v>
      </c>
      <c r="L520" s="1" t="b">
        <f aca="false">FALSE()</f>
        <v>0</v>
      </c>
      <c r="M520" s="1" t="str">
        <f aca="false">VLOOKUP(D520,'Team Reference'!$A:$B,2,FALSE())</f>
        <v>NO</v>
      </c>
      <c r="N520" s="1" t="str">
        <f aca="false">VLOOKUP(E520,'Team Reference'!$A:$B,2,FALSE())</f>
        <v>CAR</v>
      </c>
      <c r="O520" s="1" t="str">
        <f aca="false">IF(F520&gt;G520,M520,IF(G520&gt;F520,N520,"Tie"))</f>
        <v>NO</v>
      </c>
      <c r="P520" s="1" t="n">
        <f aca="false">F520-G520</f>
        <v>28</v>
      </c>
      <c r="Q520" s="1" t="n">
        <f aca="false">F520+G520</f>
        <v>62</v>
      </c>
      <c r="R520" s="1" t="str">
        <f aca="false">IF(H520=M520,"Home",IF(H520=N520,"Away",IF(H520="PICK","Pick","N/A")))</f>
        <v>Home</v>
      </c>
      <c r="S520" s="1" t="n">
        <f aca="false">IF(R520="Home",P520,IF(R520="Away",-P520,""))</f>
        <v>28</v>
      </c>
      <c r="T520" s="1" t="str">
        <f aca="false">IF(R520="Pick","No Line",IF(S520="","N/A",IF(S520+I520&gt;0,"Favorite Covered",IF(S520+I520&lt;0,"Underdog Covered","Push"))))</f>
        <v>Favorite Covered</v>
      </c>
      <c r="U520" s="1" t="str">
        <f aca="false">IF(Q520&gt;J520,"Over",IF(Q520&lt;J520,"Under","Push"))</f>
        <v>Over</v>
      </c>
    </row>
    <row r="521" customFormat="false" ht="15" hidden="false" customHeight="false" outlineLevel="0" collapsed="false">
      <c r="A521" s="1" t="s">
        <v>286</v>
      </c>
      <c r="B521" s="1" t="n">
        <v>2011</v>
      </c>
      <c r="C521" s="1" t="s">
        <v>233</v>
      </c>
      <c r="D521" s="1" t="s">
        <v>97</v>
      </c>
      <c r="E521" s="1" t="s">
        <v>69</v>
      </c>
      <c r="F521" s="1" t="n">
        <v>31</v>
      </c>
      <c r="G521" s="1" t="n">
        <v>14</v>
      </c>
      <c r="H521" s="1" t="s">
        <v>98</v>
      </c>
      <c r="I521" s="1" t="n">
        <v>-3</v>
      </c>
      <c r="J521" s="1" t="n">
        <v>47.5</v>
      </c>
      <c r="K521" s="1" t="s">
        <v>149</v>
      </c>
      <c r="L521" s="1" t="b">
        <f aca="false">FALSE()</f>
        <v>0</v>
      </c>
      <c r="M521" s="1" t="str">
        <f aca="false">VLOOKUP(D521,'Team Reference'!$A:$B,2,FALSE())</f>
        <v>NYG</v>
      </c>
      <c r="N521" s="1" t="str">
        <f aca="false">VLOOKUP(E521,'Team Reference'!$A:$B,2,FALSE())</f>
        <v>DAL</v>
      </c>
      <c r="O521" s="1" t="str">
        <f aca="false">IF(F521&gt;G521,M521,IF(G521&gt;F521,N521,"Tie"))</f>
        <v>NYG</v>
      </c>
      <c r="P521" s="1" t="n">
        <f aca="false">F521-G521</f>
        <v>17</v>
      </c>
      <c r="Q521" s="1" t="n">
        <f aca="false">F521+G521</f>
        <v>45</v>
      </c>
      <c r="R521" s="1" t="str">
        <f aca="false">IF(H521=M521,"Home",IF(H521=N521,"Away",IF(H521="PICK","Pick","N/A")))</f>
        <v>Home</v>
      </c>
      <c r="S521" s="1" t="n">
        <f aca="false">IF(R521="Home",P521,IF(R521="Away",-P521,""))</f>
        <v>17</v>
      </c>
      <c r="T521" s="1" t="str">
        <f aca="false">IF(R521="Pick","No Line",IF(S521="","N/A",IF(S521+I521&gt;0,"Favorite Covered",IF(S521+I521&lt;0,"Underdog Covered","Push"))))</f>
        <v>Favorite Covered</v>
      </c>
      <c r="U521" s="1" t="str">
        <f aca="false">IF(Q521&gt;J521,"Over",IF(Q521&lt;J521,"Under","Push"))</f>
        <v>Under</v>
      </c>
    </row>
    <row r="522" customFormat="false" ht="15" hidden="false" customHeight="false" outlineLevel="0" collapsed="false">
      <c r="A522" s="1" t="s">
        <v>286</v>
      </c>
      <c r="B522" s="1" t="n">
        <v>2011</v>
      </c>
      <c r="C522" s="1" t="s">
        <v>233</v>
      </c>
      <c r="D522" s="1" t="s">
        <v>101</v>
      </c>
      <c r="E522" s="1" t="s">
        <v>107</v>
      </c>
      <c r="F522" s="1" t="n">
        <v>26</v>
      </c>
      <c r="G522" s="1" t="n">
        <v>38</v>
      </c>
      <c r="H522" s="1" t="s">
        <v>102</v>
      </c>
      <c r="I522" s="1" t="n">
        <v>-3</v>
      </c>
      <c r="J522" s="1" t="n">
        <v>48.5</v>
      </c>
      <c r="K522" s="1" t="s">
        <v>171</v>
      </c>
      <c r="L522" s="1" t="b">
        <f aca="false">FALSE()</f>
        <v>0</v>
      </c>
      <c r="M522" s="1" t="str">
        <f aca="false">VLOOKUP(D522,'Team Reference'!$A:$B,2,FALSE())</f>
        <v>OAK</v>
      </c>
      <c r="N522" s="1" t="str">
        <f aca="false">VLOOKUP(E522,'Team Reference'!$A:$B,2,FALSE())</f>
        <v>LAC</v>
      </c>
      <c r="O522" s="1" t="str">
        <f aca="false">IF(F522&gt;G522,M522,IF(G522&gt;F522,N522,"Tie"))</f>
        <v>LAC</v>
      </c>
      <c r="P522" s="1" t="n">
        <f aca="false">F522-G522</f>
        <v>-12</v>
      </c>
      <c r="Q522" s="1" t="n">
        <f aca="false">F522+G522</f>
        <v>64</v>
      </c>
      <c r="R522" s="1" t="str">
        <f aca="false">IF(H522=M522,"Home",IF(H522=N522,"Away",IF(H522="PICK","Pick","N/A")))</f>
        <v>Home</v>
      </c>
      <c r="S522" s="1" t="n">
        <f aca="false">IF(R522="Home",P522,IF(R522="Away",-P522,""))</f>
        <v>-12</v>
      </c>
      <c r="T522" s="1" t="str">
        <f aca="false">IF(R522="Pick","No Line",IF(S522="","N/A",IF(S522+I522&gt;0,"Favorite Covered",IF(S522+I522&lt;0,"Underdog Covered","Push"))))</f>
        <v>Underdog Covered</v>
      </c>
      <c r="U522" s="1" t="str">
        <f aca="false">IF(Q522&gt;J522,"Over",IF(Q522&lt;J522,"Under","Push"))</f>
        <v>Over</v>
      </c>
    </row>
    <row r="523" customFormat="false" ht="15" hidden="false" customHeight="false" outlineLevel="0" collapsed="false">
      <c r="A523" s="1" t="s">
        <v>286</v>
      </c>
      <c r="B523" s="1" t="n">
        <v>2011</v>
      </c>
      <c r="C523" s="1" t="s">
        <v>233</v>
      </c>
      <c r="D523" s="1" t="s">
        <v>103</v>
      </c>
      <c r="E523" s="1" t="s">
        <v>117</v>
      </c>
      <c r="F523" s="1" t="n">
        <v>34</v>
      </c>
      <c r="G523" s="1" t="n">
        <v>10</v>
      </c>
      <c r="H523" s="1" t="s">
        <v>104</v>
      </c>
      <c r="I523" s="1" t="n">
        <v>-7</v>
      </c>
      <c r="J523" s="1" t="n">
        <v>44.5</v>
      </c>
      <c r="K523" s="1" t="s">
        <v>150</v>
      </c>
      <c r="L523" s="1" t="b">
        <f aca="false">FALSE()</f>
        <v>0</v>
      </c>
      <c r="M523" s="1" t="str">
        <f aca="false">VLOOKUP(D523,'Team Reference'!$A:$B,2,FALSE())</f>
        <v>PHI</v>
      </c>
      <c r="N523" s="1" t="str">
        <f aca="false">VLOOKUP(E523,'Team Reference'!$A:$B,2,FALSE())</f>
        <v>WAS</v>
      </c>
      <c r="O523" s="1" t="str">
        <f aca="false">IF(F523&gt;G523,M523,IF(G523&gt;F523,N523,"Tie"))</f>
        <v>PHI</v>
      </c>
      <c r="P523" s="1" t="n">
        <f aca="false">F523-G523</f>
        <v>24</v>
      </c>
      <c r="Q523" s="1" t="n">
        <f aca="false">F523+G523</f>
        <v>44</v>
      </c>
      <c r="R523" s="1" t="str">
        <f aca="false">IF(H523=M523,"Home",IF(H523=N523,"Away",IF(H523="PICK","Pick","N/A")))</f>
        <v>Home</v>
      </c>
      <c r="S523" s="1" t="n">
        <f aca="false">IF(R523="Home",P523,IF(R523="Away",-P523,""))</f>
        <v>24</v>
      </c>
      <c r="T523" s="1" t="str">
        <f aca="false">IF(R523="Pick","No Line",IF(S523="","N/A",IF(S523+I523&gt;0,"Favorite Covered",IF(S523+I523&lt;0,"Underdog Covered","Push"))))</f>
        <v>Favorite Covered</v>
      </c>
      <c r="U523" s="1" t="str">
        <f aca="false">IF(Q523&gt;J523,"Over",IF(Q523&lt;J523,"Under","Push"))</f>
        <v>Under</v>
      </c>
    </row>
    <row r="524" customFormat="false" ht="15" hidden="false" customHeight="false" outlineLevel="0" collapsed="false">
      <c r="A524" s="1" t="s">
        <v>286</v>
      </c>
      <c r="B524" s="1" t="n">
        <v>2011</v>
      </c>
      <c r="C524" s="1" t="s">
        <v>233</v>
      </c>
      <c r="D524" s="1" t="s">
        <v>112</v>
      </c>
      <c r="E524" s="1" t="s">
        <v>108</v>
      </c>
      <c r="F524" s="1" t="n">
        <v>27</v>
      </c>
      <c r="G524" s="1" t="n">
        <v>34</v>
      </c>
      <c r="H524" s="1" t="s">
        <v>109</v>
      </c>
      <c r="I524" s="1" t="n">
        <v>-12.5</v>
      </c>
      <c r="J524" s="1" t="n">
        <v>34.5</v>
      </c>
      <c r="K524" s="1" t="s">
        <v>153</v>
      </c>
      <c r="L524" s="1" t="b">
        <f aca="false">FALSE()</f>
        <v>0</v>
      </c>
      <c r="M524" s="1" t="str">
        <f aca="false">VLOOKUP(D524,'Team Reference'!$A:$B,2,FALSE())</f>
        <v>LAR</v>
      </c>
      <c r="N524" s="1" t="str">
        <f aca="false">VLOOKUP(E524,'Team Reference'!$A:$B,2,FALSE())</f>
        <v>SF</v>
      </c>
      <c r="O524" s="1" t="str">
        <f aca="false">IF(F524&gt;G524,M524,IF(G524&gt;F524,N524,"Tie"))</f>
        <v>SF</v>
      </c>
      <c r="P524" s="1" t="n">
        <f aca="false">F524-G524</f>
        <v>-7</v>
      </c>
      <c r="Q524" s="1" t="n">
        <f aca="false">F524+G524</f>
        <v>61</v>
      </c>
      <c r="R524" s="1" t="str">
        <f aca="false">IF(H524=M524,"Home",IF(H524=N524,"Away",IF(H524="PICK","Pick","N/A")))</f>
        <v>Away</v>
      </c>
      <c r="S524" s="1" t="n">
        <f aca="false">IF(R524="Home",P524,IF(R524="Away",-P524,""))</f>
        <v>7</v>
      </c>
      <c r="T524" s="1" t="str">
        <f aca="false">IF(R524="Pick","No Line",IF(S524="","N/A",IF(S524+I524&gt;0,"Favorite Covered",IF(S524+I524&lt;0,"Underdog Covered","Push"))))</f>
        <v>Underdog Covered</v>
      </c>
      <c r="U524" s="1" t="str">
        <f aca="false">IF(Q524&gt;J524,"Over",IF(Q524&lt;J524,"Under","Push"))</f>
        <v>Over</v>
      </c>
    </row>
    <row r="525" customFormat="false" ht="15" hidden="false" customHeight="false" outlineLevel="0" collapsed="false">
      <c r="A525" s="1" t="s">
        <v>287</v>
      </c>
      <c r="B525" s="1" t="n">
        <v>2011</v>
      </c>
      <c r="C525" s="1" t="s">
        <v>235</v>
      </c>
      <c r="D525" s="1" t="s">
        <v>77</v>
      </c>
      <c r="E525" s="1" t="s">
        <v>65</v>
      </c>
      <c r="F525" s="1" t="n">
        <v>31</v>
      </c>
      <c r="G525" s="1" t="n">
        <v>10</v>
      </c>
      <c r="H525" s="1" t="s">
        <v>78</v>
      </c>
      <c r="I525" s="1" t="n">
        <v>-4</v>
      </c>
      <c r="J525" s="1" t="n">
        <v>38</v>
      </c>
      <c r="L525" s="1" t="b">
        <f aca="false">TRUE()</f>
        <v>1</v>
      </c>
      <c r="M525" s="1" t="str">
        <f aca="false">VLOOKUP(D525,'Team Reference'!$A:$B,2,FALSE())</f>
        <v>HOU</v>
      </c>
      <c r="N525" s="1" t="str">
        <f aca="false">VLOOKUP(E525,'Team Reference'!$A:$B,2,FALSE())</f>
        <v>CIN</v>
      </c>
      <c r="O525" s="1" t="str">
        <f aca="false">IF(F525&gt;G525,M525,IF(G525&gt;F525,N525,"Tie"))</f>
        <v>HOU</v>
      </c>
      <c r="P525" s="1" t="n">
        <f aca="false">F525-G525</f>
        <v>21</v>
      </c>
      <c r="Q525" s="1" t="n">
        <f aca="false">F525+G525</f>
        <v>41</v>
      </c>
      <c r="R525" s="1" t="str">
        <f aca="false">IF(H525=M525,"Home",IF(H525=N525,"Away",IF(H525="PICK","Pick","N/A")))</f>
        <v>Home</v>
      </c>
      <c r="S525" s="1" t="n">
        <f aca="false">IF(R525="Home",P525,IF(R525="Away",-P525,""))</f>
        <v>21</v>
      </c>
      <c r="T525" s="1" t="str">
        <f aca="false">IF(R525="Pick","No Line",IF(S525="","N/A",IF(S525+I525&gt;0,"Favorite Covered",IF(S525+I525&lt;0,"Underdog Covered","Push"))))</f>
        <v>Favorite Covered</v>
      </c>
      <c r="U525" s="1" t="str">
        <f aca="false">IF(Q525&gt;J525,"Over",IF(Q525&lt;J525,"Under","Push"))</f>
        <v>Over</v>
      </c>
    </row>
    <row r="526" customFormat="false" ht="15" hidden="false" customHeight="false" outlineLevel="0" collapsed="false">
      <c r="A526" s="1" t="s">
        <v>287</v>
      </c>
      <c r="B526" s="1" t="n">
        <v>2011</v>
      </c>
      <c r="C526" s="1" t="s">
        <v>235</v>
      </c>
      <c r="D526" s="1" t="s">
        <v>95</v>
      </c>
      <c r="E526" s="1" t="s">
        <v>73</v>
      </c>
      <c r="F526" s="1" t="n">
        <v>45</v>
      </c>
      <c r="G526" s="1" t="n">
        <v>28</v>
      </c>
      <c r="H526" s="1" t="s">
        <v>96</v>
      </c>
      <c r="I526" s="1" t="n">
        <v>-10.5</v>
      </c>
      <c r="J526" s="1" t="n">
        <v>60</v>
      </c>
      <c r="L526" s="1" t="b">
        <f aca="false">TRUE()</f>
        <v>1</v>
      </c>
      <c r="M526" s="1" t="str">
        <f aca="false">VLOOKUP(D526,'Team Reference'!$A:$B,2,FALSE())</f>
        <v>NO</v>
      </c>
      <c r="N526" s="1" t="str">
        <f aca="false">VLOOKUP(E526,'Team Reference'!$A:$B,2,FALSE())</f>
        <v>DET</v>
      </c>
      <c r="O526" s="1" t="str">
        <f aca="false">IF(F526&gt;G526,M526,IF(G526&gt;F526,N526,"Tie"))</f>
        <v>NO</v>
      </c>
      <c r="P526" s="1" t="n">
        <f aca="false">F526-G526</f>
        <v>17</v>
      </c>
      <c r="Q526" s="1" t="n">
        <f aca="false">F526+G526</f>
        <v>73</v>
      </c>
      <c r="R526" s="1" t="str">
        <f aca="false">IF(H526=M526,"Home",IF(H526=N526,"Away",IF(H526="PICK","Pick","N/A")))</f>
        <v>Home</v>
      </c>
      <c r="S526" s="1" t="n">
        <f aca="false">IF(R526="Home",P526,IF(R526="Away",-P526,""))</f>
        <v>17</v>
      </c>
      <c r="T526" s="1" t="str">
        <f aca="false">IF(R526="Pick","No Line",IF(S526="","N/A",IF(S526+I526&gt;0,"Favorite Covered",IF(S526+I526&lt;0,"Underdog Covered","Push"))))</f>
        <v>Favorite Covered</v>
      </c>
      <c r="U526" s="1" t="str">
        <f aca="false">IF(Q526&gt;J526,"Over",IF(Q526&lt;J526,"Under","Push"))</f>
        <v>Over</v>
      </c>
    </row>
    <row r="527" customFormat="false" ht="15" hidden="false" customHeight="false" outlineLevel="0" collapsed="false">
      <c r="A527" s="1" t="s">
        <v>288</v>
      </c>
      <c r="B527" s="1" t="n">
        <v>2011</v>
      </c>
      <c r="C527" s="1" t="s">
        <v>235</v>
      </c>
      <c r="D527" s="1" t="s">
        <v>71</v>
      </c>
      <c r="E527" s="1" t="s">
        <v>105</v>
      </c>
      <c r="F527" s="1" t="n">
        <v>29</v>
      </c>
      <c r="G527" s="1" t="n">
        <v>23</v>
      </c>
      <c r="H527" s="1" t="s">
        <v>106</v>
      </c>
      <c r="I527" s="1" t="n">
        <v>-7.5</v>
      </c>
      <c r="J527" s="1" t="n">
        <v>34</v>
      </c>
      <c r="L527" s="1" t="b">
        <f aca="false">TRUE()</f>
        <v>1</v>
      </c>
      <c r="M527" s="1" t="str">
        <f aca="false">VLOOKUP(D527,'Team Reference'!$A:$B,2,FALSE())</f>
        <v>DEN</v>
      </c>
      <c r="N527" s="1" t="str">
        <f aca="false">VLOOKUP(E527,'Team Reference'!$A:$B,2,FALSE())</f>
        <v>PIT</v>
      </c>
      <c r="O527" s="1" t="str">
        <f aca="false">IF(F527&gt;G527,M527,IF(G527&gt;F527,N527,"Tie"))</f>
        <v>DEN</v>
      </c>
      <c r="P527" s="1" t="n">
        <f aca="false">F527-G527</f>
        <v>6</v>
      </c>
      <c r="Q527" s="1" t="n">
        <f aca="false">F527+G527</f>
        <v>52</v>
      </c>
      <c r="R527" s="1" t="str">
        <f aca="false">IF(H527=M527,"Home",IF(H527=N527,"Away",IF(H527="PICK","Pick","N/A")))</f>
        <v>Away</v>
      </c>
      <c r="S527" s="1" t="n">
        <f aca="false">IF(R527="Home",P527,IF(R527="Away",-P527,""))</f>
        <v>-6</v>
      </c>
      <c r="T527" s="1" t="str">
        <f aca="false">IF(R527="Pick","No Line",IF(S527="","N/A",IF(S527+I527&gt;0,"Favorite Covered",IF(S527+I527&lt;0,"Underdog Covered","Push"))))</f>
        <v>Underdog Covered</v>
      </c>
      <c r="U527" s="1" t="str">
        <f aca="false">IF(Q527&gt;J527,"Over",IF(Q527&lt;J527,"Under","Push"))</f>
        <v>Over</v>
      </c>
    </row>
    <row r="528" customFormat="false" ht="15" hidden="false" customHeight="false" outlineLevel="0" collapsed="false">
      <c r="A528" s="1" t="s">
        <v>288</v>
      </c>
      <c r="B528" s="1" t="n">
        <v>2011</v>
      </c>
      <c r="C528" s="1" t="s">
        <v>235</v>
      </c>
      <c r="D528" s="1" t="s">
        <v>97</v>
      </c>
      <c r="E528" s="1" t="s">
        <v>55</v>
      </c>
      <c r="F528" s="1" t="n">
        <v>24</v>
      </c>
      <c r="G528" s="1" t="n">
        <v>2</v>
      </c>
      <c r="H528" s="1" t="s">
        <v>98</v>
      </c>
      <c r="I528" s="1" t="n">
        <v>-3</v>
      </c>
      <c r="J528" s="1" t="n">
        <v>48</v>
      </c>
      <c r="L528" s="1" t="b">
        <f aca="false">TRUE()</f>
        <v>1</v>
      </c>
      <c r="M528" s="1" t="str">
        <f aca="false">VLOOKUP(D528,'Team Reference'!$A:$B,2,FALSE())</f>
        <v>NYG</v>
      </c>
      <c r="N528" s="1" t="str">
        <f aca="false">VLOOKUP(E528,'Team Reference'!$A:$B,2,FALSE())</f>
        <v>ATL</v>
      </c>
      <c r="O528" s="1" t="str">
        <f aca="false">IF(F528&gt;G528,M528,IF(G528&gt;F528,N528,"Tie"))</f>
        <v>NYG</v>
      </c>
      <c r="P528" s="1" t="n">
        <f aca="false">F528-G528</f>
        <v>22</v>
      </c>
      <c r="Q528" s="1" t="n">
        <f aca="false">F528+G528</f>
        <v>26</v>
      </c>
      <c r="R528" s="1" t="str">
        <f aca="false">IF(H528=M528,"Home",IF(H528=N528,"Away",IF(H528="PICK","Pick","N/A")))</f>
        <v>Home</v>
      </c>
      <c r="S528" s="1" t="n">
        <f aca="false">IF(R528="Home",P528,IF(R528="Away",-P528,""))</f>
        <v>22</v>
      </c>
      <c r="T528" s="1" t="str">
        <f aca="false">IF(R528="Pick","No Line",IF(S528="","N/A",IF(S528+I528&gt;0,"Favorite Covered",IF(S528+I528&lt;0,"Underdog Covered","Push"))))</f>
        <v>Favorite Covered</v>
      </c>
      <c r="U528" s="1" t="str">
        <f aca="false">IF(Q528&gt;J528,"Over",IF(Q528&lt;J528,"Under","Push"))</f>
        <v>Under</v>
      </c>
    </row>
    <row r="529" customFormat="false" ht="15" hidden="false" customHeight="false" outlineLevel="0" collapsed="false">
      <c r="A529" s="1" t="s">
        <v>289</v>
      </c>
      <c r="B529" s="1" t="n">
        <v>2011</v>
      </c>
      <c r="C529" s="1" t="s">
        <v>238</v>
      </c>
      <c r="D529" s="1" t="s">
        <v>93</v>
      </c>
      <c r="E529" s="1" t="s">
        <v>71</v>
      </c>
      <c r="F529" s="1" t="n">
        <v>45</v>
      </c>
      <c r="G529" s="1" t="n">
        <v>10</v>
      </c>
      <c r="H529" s="1" t="s">
        <v>94</v>
      </c>
      <c r="I529" s="1" t="n">
        <v>-13.5</v>
      </c>
      <c r="J529" s="1" t="n">
        <v>50</v>
      </c>
      <c r="L529" s="1" t="b">
        <f aca="false">TRUE()</f>
        <v>1</v>
      </c>
      <c r="M529" s="1" t="str">
        <f aca="false">VLOOKUP(D529,'Team Reference'!$A:$B,2,FALSE())</f>
        <v>NE</v>
      </c>
      <c r="N529" s="1" t="str">
        <f aca="false">VLOOKUP(E529,'Team Reference'!$A:$B,2,FALSE())</f>
        <v>DEN</v>
      </c>
      <c r="O529" s="1" t="str">
        <f aca="false">IF(F529&gt;G529,M529,IF(G529&gt;F529,N529,"Tie"))</f>
        <v>NE</v>
      </c>
      <c r="P529" s="1" t="n">
        <f aca="false">F529-G529</f>
        <v>35</v>
      </c>
      <c r="Q529" s="1" t="n">
        <f aca="false">F529+G529</f>
        <v>55</v>
      </c>
      <c r="R529" s="1" t="str">
        <f aca="false">IF(H529=M529,"Home",IF(H529=N529,"Away",IF(H529="PICK","Pick","N/A")))</f>
        <v>Home</v>
      </c>
      <c r="S529" s="1" t="n">
        <f aca="false">IF(R529="Home",P529,IF(R529="Away",-P529,""))</f>
        <v>35</v>
      </c>
      <c r="T529" s="1" t="str">
        <f aca="false">IF(R529="Pick","No Line",IF(S529="","N/A",IF(S529+I529&gt;0,"Favorite Covered",IF(S529+I529&lt;0,"Underdog Covered","Push"))))</f>
        <v>Favorite Covered</v>
      </c>
      <c r="U529" s="1" t="str">
        <f aca="false">IF(Q529&gt;J529,"Over",IF(Q529&lt;J529,"Under","Push"))</f>
        <v>Over</v>
      </c>
    </row>
    <row r="530" customFormat="false" ht="15" hidden="false" customHeight="false" outlineLevel="0" collapsed="false">
      <c r="A530" s="1" t="s">
        <v>289</v>
      </c>
      <c r="B530" s="1" t="n">
        <v>2011</v>
      </c>
      <c r="C530" s="1" t="s">
        <v>238</v>
      </c>
      <c r="D530" s="1" t="s">
        <v>108</v>
      </c>
      <c r="E530" s="1" t="s">
        <v>95</v>
      </c>
      <c r="F530" s="1" t="n">
        <v>36</v>
      </c>
      <c r="G530" s="1" t="n">
        <v>32</v>
      </c>
      <c r="H530" s="1" t="s">
        <v>96</v>
      </c>
      <c r="I530" s="1" t="n">
        <v>-3.5</v>
      </c>
      <c r="J530" s="1" t="n">
        <v>47</v>
      </c>
      <c r="L530" s="1" t="b">
        <f aca="false">TRUE()</f>
        <v>1</v>
      </c>
      <c r="M530" s="1" t="str">
        <f aca="false">VLOOKUP(D530,'Team Reference'!$A:$B,2,FALSE())</f>
        <v>SF</v>
      </c>
      <c r="N530" s="1" t="str">
        <f aca="false">VLOOKUP(E530,'Team Reference'!$A:$B,2,FALSE())</f>
        <v>NO</v>
      </c>
      <c r="O530" s="1" t="str">
        <f aca="false">IF(F530&gt;G530,M530,IF(G530&gt;F530,N530,"Tie"))</f>
        <v>SF</v>
      </c>
      <c r="P530" s="1" t="n">
        <f aca="false">F530-G530</f>
        <v>4</v>
      </c>
      <c r="Q530" s="1" t="n">
        <f aca="false">F530+G530</f>
        <v>68</v>
      </c>
      <c r="R530" s="1" t="str">
        <f aca="false">IF(H530=M530,"Home",IF(H530=N530,"Away",IF(H530="PICK","Pick","N/A")))</f>
        <v>Away</v>
      </c>
      <c r="S530" s="1" t="n">
        <f aca="false">IF(R530="Home",P530,IF(R530="Away",-P530,""))</f>
        <v>-4</v>
      </c>
      <c r="T530" s="1" t="str">
        <f aca="false">IF(R530="Pick","No Line",IF(S530="","N/A",IF(S530+I530&gt;0,"Favorite Covered",IF(S530+I530&lt;0,"Underdog Covered","Push"))))</f>
        <v>Underdog Covered</v>
      </c>
      <c r="U530" s="1" t="str">
        <f aca="false">IF(Q530&gt;J530,"Over",IF(Q530&lt;J530,"Under","Push"))</f>
        <v>Over</v>
      </c>
    </row>
    <row r="531" customFormat="false" ht="15" hidden="false" customHeight="false" outlineLevel="0" collapsed="false">
      <c r="A531" s="1" t="s">
        <v>290</v>
      </c>
      <c r="B531" s="1" t="n">
        <v>2011</v>
      </c>
      <c r="C531" s="1" t="s">
        <v>238</v>
      </c>
      <c r="D531" s="1" t="s">
        <v>57</v>
      </c>
      <c r="E531" s="1" t="s">
        <v>77</v>
      </c>
      <c r="F531" s="1" t="n">
        <v>20</v>
      </c>
      <c r="G531" s="1" t="n">
        <v>13</v>
      </c>
      <c r="H531" s="1" t="s">
        <v>58</v>
      </c>
      <c r="I531" s="1" t="n">
        <v>-8</v>
      </c>
      <c r="J531" s="1" t="n">
        <v>37.5</v>
      </c>
      <c r="K531" s="1" t="s">
        <v>178</v>
      </c>
      <c r="L531" s="1" t="b">
        <f aca="false">TRUE()</f>
        <v>1</v>
      </c>
      <c r="M531" s="1" t="str">
        <f aca="false">VLOOKUP(D531,'Team Reference'!$A:$B,2,FALSE())</f>
        <v>BAL</v>
      </c>
      <c r="N531" s="1" t="str">
        <f aca="false">VLOOKUP(E531,'Team Reference'!$A:$B,2,FALSE())</f>
        <v>HOU</v>
      </c>
      <c r="O531" s="1" t="str">
        <f aca="false">IF(F531&gt;G531,M531,IF(G531&gt;F531,N531,"Tie"))</f>
        <v>BAL</v>
      </c>
      <c r="P531" s="1" t="n">
        <f aca="false">F531-G531</f>
        <v>7</v>
      </c>
      <c r="Q531" s="1" t="n">
        <f aca="false">F531+G531</f>
        <v>33</v>
      </c>
      <c r="R531" s="1" t="str">
        <f aca="false">IF(H531=M531,"Home",IF(H531=N531,"Away",IF(H531="PICK","Pick","N/A")))</f>
        <v>Home</v>
      </c>
      <c r="S531" s="1" t="n">
        <f aca="false">IF(R531="Home",P531,IF(R531="Away",-P531,""))</f>
        <v>7</v>
      </c>
      <c r="T531" s="1" t="str">
        <f aca="false">IF(R531="Pick","No Line",IF(S531="","N/A",IF(S531+I531&gt;0,"Favorite Covered",IF(S531+I531&lt;0,"Underdog Covered","Push"))))</f>
        <v>Underdog Covered</v>
      </c>
      <c r="U531" s="1" t="str">
        <f aca="false">IF(Q531&gt;J531,"Over",IF(Q531&lt;J531,"Under","Push"))</f>
        <v>Under</v>
      </c>
    </row>
    <row r="532" customFormat="false" ht="15" hidden="false" customHeight="false" outlineLevel="0" collapsed="false">
      <c r="A532" s="1" t="s">
        <v>290</v>
      </c>
      <c r="B532" s="1" t="n">
        <v>2011</v>
      </c>
      <c r="C532" s="1" t="s">
        <v>238</v>
      </c>
      <c r="D532" s="1" t="s">
        <v>75</v>
      </c>
      <c r="E532" s="1" t="s">
        <v>97</v>
      </c>
      <c r="F532" s="1" t="n">
        <v>20</v>
      </c>
      <c r="G532" s="1" t="n">
        <v>37</v>
      </c>
      <c r="H532" s="1" t="s">
        <v>76</v>
      </c>
      <c r="I532" s="1" t="n">
        <v>-8</v>
      </c>
      <c r="J532" s="1" t="n">
        <v>54.5</v>
      </c>
      <c r="L532" s="1" t="b">
        <f aca="false">TRUE()</f>
        <v>1</v>
      </c>
      <c r="M532" s="1" t="str">
        <f aca="false">VLOOKUP(D532,'Team Reference'!$A:$B,2,FALSE())</f>
        <v>GB</v>
      </c>
      <c r="N532" s="1" t="str">
        <f aca="false">VLOOKUP(E532,'Team Reference'!$A:$B,2,FALSE())</f>
        <v>NYG</v>
      </c>
      <c r="O532" s="1" t="str">
        <f aca="false">IF(F532&gt;G532,M532,IF(G532&gt;F532,N532,"Tie"))</f>
        <v>NYG</v>
      </c>
      <c r="P532" s="1" t="n">
        <f aca="false">F532-G532</f>
        <v>-17</v>
      </c>
      <c r="Q532" s="1" t="n">
        <f aca="false">F532+G532</f>
        <v>57</v>
      </c>
      <c r="R532" s="1" t="str">
        <f aca="false">IF(H532=M532,"Home",IF(H532=N532,"Away",IF(H532="PICK","Pick","N/A")))</f>
        <v>Home</v>
      </c>
      <c r="S532" s="1" t="n">
        <f aca="false">IF(R532="Home",P532,IF(R532="Away",-P532,""))</f>
        <v>-17</v>
      </c>
      <c r="T532" s="1" t="str">
        <f aca="false">IF(R532="Pick","No Line",IF(S532="","N/A",IF(S532+I532&gt;0,"Favorite Covered",IF(S532+I532&lt;0,"Underdog Covered","Push"))))</f>
        <v>Underdog Covered</v>
      </c>
      <c r="U532" s="1" t="str">
        <f aca="false">IF(Q532&gt;J532,"Over",IF(Q532&lt;J532,"Under","Push"))</f>
        <v>Over</v>
      </c>
    </row>
    <row r="533" customFormat="false" ht="15" hidden="false" customHeight="false" outlineLevel="0" collapsed="false">
      <c r="A533" s="1" t="s">
        <v>291</v>
      </c>
      <c r="B533" s="1" t="n">
        <v>2011</v>
      </c>
      <c r="C533" s="1" t="s">
        <v>241</v>
      </c>
      <c r="D533" s="1" t="s">
        <v>93</v>
      </c>
      <c r="E533" s="1" t="s">
        <v>57</v>
      </c>
      <c r="F533" s="1" t="n">
        <v>23</v>
      </c>
      <c r="G533" s="1" t="n">
        <v>20</v>
      </c>
      <c r="H533" s="1" t="s">
        <v>94</v>
      </c>
      <c r="I533" s="1" t="n">
        <v>-7</v>
      </c>
      <c r="J533" s="1" t="n">
        <v>50</v>
      </c>
      <c r="L533" s="1" t="b">
        <f aca="false">TRUE()</f>
        <v>1</v>
      </c>
      <c r="M533" s="1" t="str">
        <f aca="false">VLOOKUP(D533,'Team Reference'!$A:$B,2,FALSE())</f>
        <v>NE</v>
      </c>
      <c r="N533" s="1" t="str">
        <f aca="false">VLOOKUP(E533,'Team Reference'!$A:$B,2,FALSE())</f>
        <v>BAL</v>
      </c>
      <c r="O533" s="1" t="str">
        <f aca="false">IF(F533&gt;G533,M533,IF(G533&gt;F533,N533,"Tie"))</f>
        <v>NE</v>
      </c>
      <c r="P533" s="1" t="n">
        <f aca="false">F533-G533</f>
        <v>3</v>
      </c>
      <c r="Q533" s="1" t="n">
        <f aca="false">F533+G533</f>
        <v>43</v>
      </c>
      <c r="R533" s="1" t="str">
        <f aca="false">IF(H533=M533,"Home",IF(H533=N533,"Away",IF(H533="PICK","Pick","N/A")))</f>
        <v>Home</v>
      </c>
      <c r="S533" s="1" t="n">
        <f aca="false">IF(R533="Home",P533,IF(R533="Away",-P533,""))</f>
        <v>3</v>
      </c>
      <c r="T533" s="1" t="str">
        <f aca="false">IF(R533="Pick","No Line",IF(S533="","N/A",IF(S533+I533&gt;0,"Favorite Covered",IF(S533+I533&lt;0,"Underdog Covered","Push"))))</f>
        <v>Underdog Covered</v>
      </c>
      <c r="U533" s="1" t="str">
        <f aca="false">IF(Q533&gt;J533,"Over",IF(Q533&lt;J533,"Under","Push"))</f>
        <v>Under</v>
      </c>
    </row>
    <row r="534" customFormat="false" ht="15" hidden="false" customHeight="false" outlineLevel="0" collapsed="false">
      <c r="A534" s="1" t="s">
        <v>291</v>
      </c>
      <c r="B534" s="1" t="n">
        <v>2011</v>
      </c>
      <c r="C534" s="1" t="s">
        <v>241</v>
      </c>
      <c r="D534" s="1" t="s">
        <v>108</v>
      </c>
      <c r="E534" s="1" t="s">
        <v>97</v>
      </c>
      <c r="F534" s="1" t="n">
        <v>17</v>
      </c>
      <c r="G534" s="1" t="n">
        <v>20</v>
      </c>
      <c r="H534" s="1" t="s">
        <v>109</v>
      </c>
      <c r="I534" s="1" t="n">
        <v>-2</v>
      </c>
      <c r="J534" s="1" t="n">
        <v>41.5</v>
      </c>
      <c r="L534" s="1" t="b">
        <f aca="false">TRUE()</f>
        <v>1</v>
      </c>
      <c r="M534" s="1" t="str">
        <f aca="false">VLOOKUP(D534,'Team Reference'!$A:$B,2,FALSE())</f>
        <v>SF</v>
      </c>
      <c r="N534" s="1" t="str">
        <f aca="false">VLOOKUP(E534,'Team Reference'!$A:$B,2,FALSE())</f>
        <v>NYG</v>
      </c>
      <c r="O534" s="1" t="str">
        <f aca="false">IF(F534&gt;G534,M534,IF(G534&gt;F534,N534,"Tie"))</f>
        <v>NYG</v>
      </c>
      <c r="P534" s="1" t="n">
        <f aca="false">F534-G534</f>
        <v>-3</v>
      </c>
      <c r="Q534" s="1" t="n">
        <f aca="false">F534+G534</f>
        <v>37</v>
      </c>
      <c r="R534" s="1" t="str">
        <f aca="false">IF(H534=M534,"Home",IF(H534=N534,"Away",IF(H534="PICK","Pick","N/A")))</f>
        <v>Home</v>
      </c>
      <c r="S534" s="1" t="n">
        <f aca="false">IF(R534="Home",P534,IF(R534="Away",-P534,""))</f>
        <v>-3</v>
      </c>
      <c r="T534" s="1" t="str">
        <f aca="false">IF(R534="Pick","No Line",IF(S534="","N/A",IF(S534+I534&gt;0,"Favorite Covered",IF(S534+I534&lt;0,"Underdog Covered","Push"))))</f>
        <v>Underdog Covered</v>
      </c>
      <c r="U534" s="1" t="str">
        <f aca="false">IF(Q534&gt;J534,"Over",IF(Q534&lt;J534,"Under","Push"))</f>
        <v>Under</v>
      </c>
    </row>
    <row r="535" customFormat="false" ht="15" hidden="false" customHeight="false" outlineLevel="0" collapsed="false">
      <c r="A535" s="1" t="s">
        <v>292</v>
      </c>
      <c r="B535" s="1" t="n">
        <v>2011</v>
      </c>
      <c r="C535" s="1" t="s">
        <v>243</v>
      </c>
      <c r="D535" s="1" t="s">
        <v>93</v>
      </c>
      <c r="E535" s="1" t="s">
        <v>97</v>
      </c>
      <c r="F535" s="1" t="n">
        <v>17</v>
      </c>
      <c r="G535" s="1" t="n">
        <v>21</v>
      </c>
      <c r="H535" s="1" t="s">
        <v>94</v>
      </c>
      <c r="I535" s="1" t="n">
        <v>-2.5</v>
      </c>
      <c r="J535" s="1" t="n">
        <v>53</v>
      </c>
      <c r="K535" s="1" t="s">
        <v>169</v>
      </c>
      <c r="L535" s="1" t="b">
        <f aca="false">TRUE()</f>
        <v>1</v>
      </c>
      <c r="M535" s="1" t="str">
        <f aca="false">VLOOKUP(D535,'Team Reference'!$A:$B,2,FALSE())</f>
        <v>NE</v>
      </c>
      <c r="N535" s="1" t="str">
        <f aca="false">VLOOKUP(E535,'Team Reference'!$A:$B,2,FALSE())</f>
        <v>NYG</v>
      </c>
      <c r="O535" s="1" t="str">
        <f aca="false">IF(F535&gt;G535,M535,IF(G535&gt;F535,N535,"Tie"))</f>
        <v>NYG</v>
      </c>
      <c r="P535" s="1" t="n">
        <f aca="false">F535-G535</f>
        <v>-4</v>
      </c>
      <c r="Q535" s="1" t="n">
        <f aca="false">F535+G535</f>
        <v>38</v>
      </c>
      <c r="R535" s="1" t="str">
        <f aca="false">IF(H535=M535,"Home",IF(H535=N535,"Away",IF(H535="PICK","Pick","N/A")))</f>
        <v>Home</v>
      </c>
      <c r="S535" s="1" t="n">
        <f aca="false">IF(R535="Home",P535,IF(R535="Away",-P535,""))</f>
        <v>-4</v>
      </c>
      <c r="T535" s="1" t="str">
        <f aca="false">IF(R535="Pick","No Line",IF(S535="","N/A",IF(S535+I535&gt;0,"Favorite Covered",IF(S535+I535&lt;0,"Underdog Covered","Push"))))</f>
        <v>Underdog Covered</v>
      </c>
      <c r="U535" s="1" t="str">
        <f aca="false">IF(Q535&gt;J535,"Over",IF(Q535&lt;J535,"Under","Push"))</f>
        <v>Under</v>
      </c>
    </row>
    <row r="536" customFormat="false" ht="15" hidden="false" customHeight="false" outlineLevel="0" collapsed="false">
      <c r="A536" s="1" t="s">
        <v>293</v>
      </c>
      <c r="B536" s="1" t="n">
        <v>2012</v>
      </c>
      <c r="C536" s="1" t="s">
        <v>141</v>
      </c>
      <c r="D536" s="1" t="s">
        <v>97</v>
      </c>
      <c r="E536" s="1" t="s">
        <v>69</v>
      </c>
      <c r="F536" s="1" t="n">
        <v>17</v>
      </c>
      <c r="G536" s="1" t="n">
        <v>24</v>
      </c>
      <c r="H536" s="1" t="s">
        <v>98</v>
      </c>
      <c r="I536" s="1" t="n">
        <v>-4</v>
      </c>
      <c r="J536" s="1" t="n">
        <v>46</v>
      </c>
      <c r="K536" s="1" t="s">
        <v>149</v>
      </c>
      <c r="L536" s="1" t="b">
        <f aca="false">FALSE()</f>
        <v>0</v>
      </c>
      <c r="M536" s="1" t="str">
        <f aca="false">VLOOKUP(D536,'Team Reference'!$A:$B,2,FALSE())</f>
        <v>NYG</v>
      </c>
      <c r="N536" s="1" t="str">
        <f aca="false">VLOOKUP(E536,'Team Reference'!$A:$B,2,FALSE())</f>
        <v>DAL</v>
      </c>
      <c r="O536" s="1" t="str">
        <f aca="false">IF(F536&gt;G536,M536,IF(G536&gt;F536,N536,"Tie"))</f>
        <v>DAL</v>
      </c>
      <c r="P536" s="1" t="n">
        <f aca="false">F536-G536</f>
        <v>-7</v>
      </c>
      <c r="Q536" s="1" t="n">
        <f aca="false">F536+G536</f>
        <v>41</v>
      </c>
      <c r="R536" s="1" t="str">
        <f aca="false">IF(H536=M536,"Home",IF(H536=N536,"Away",IF(H536="PICK","Pick","N/A")))</f>
        <v>Home</v>
      </c>
      <c r="S536" s="1" t="n">
        <f aca="false">IF(R536="Home",P536,IF(R536="Away",-P536,""))</f>
        <v>-7</v>
      </c>
      <c r="T536" s="1" t="str">
        <f aca="false">IF(R536="Pick","No Line",IF(S536="","N/A",IF(S536+I536&gt;0,"Favorite Covered",IF(S536+I536&lt;0,"Underdog Covered","Push"))))</f>
        <v>Underdog Covered</v>
      </c>
      <c r="U536" s="1" t="str">
        <f aca="false">IF(Q536&gt;J536,"Over",IF(Q536&lt;J536,"Under","Push"))</f>
        <v>Under</v>
      </c>
    </row>
    <row r="537" customFormat="false" ht="15" hidden="false" customHeight="false" outlineLevel="0" collapsed="false">
      <c r="A537" s="1" t="s">
        <v>294</v>
      </c>
      <c r="B537" s="1" t="n">
        <v>2012</v>
      </c>
      <c r="C537" s="1" t="s">
        <v>141</v>
      </c>
      <c r="D537" s="1" t="s">
        <v>53</v>
      </c>
      <c r="E537" s="1" t="s">
        <v>110</v>
      </c>
      <c r="F537" s="1" t="n">
        <v>20</v>
      </c>
      <c r="G537" s="1" t="n">
        <v>16</v>
      </c>
      <c r="H537" s="1" t="s">
        <v>111</v>
      </c>
      <c r="I537" s="1" t="n">
        <v>-3</v>
      </c>
      <c r="J537" s="1" t="n">
        <v>41</v>
      </c>
      <c r="K537" s="1" t="s">
        <v>177</v>
      </c>
      <c r="L537" s="1" t="b">
        <f aca="false">FALSE()</f>
        <v>0</v>
      </c>
      <c r="M537" s="1" t="str">
        <f aca="false">VLOOKUP(D537,'Team Reference'!$A:$B,2,FALSE())</f>
        <v>ARI</v>
      </c>
      <c r="N537" s="1" t="str">
        <f aca="false">VLOOKUP(E537,'Team Reference'!$A:$B,2,FALSE())</f>
        <v>SEA</v>
      </c>
      <c r="O537" s="1" t="str">
        <f aca="false">IF(F537&gt;G537,M537,IF(G537&gt;F537,N537,"Tie"))</f>
        <v>ARI</v>
      </c>
      <c r="P537" s="1" t="n">
        <f aca="false">F537-G537</f>
        <v>4</v>
      </c>
      <c r="Q537" s="1" t="n">
        <f aca="false">F537+G537</f>
        <v>36</v>
      </c>
      <c r="R537" s="1" t="str">
        <f aca="false">IF(H537=M537,"Home",IF(H537=N537,"Away",IF(H537="PICK","Pick","N/A")))</f>
        <v>Away</v>
      </c>
      <c r="S537" s="1" t="n">
        <f aca="false">IF(R537="Home",P537,IF(R537="Away",-P537,""))</f>
        <v>-4</v>
      </c>
      <c r="T537" s="1" t="str">
        <f aca="false">IF(R537="Pick","No Line",IF(S537="","N/A",IF(S537+I537&gt;0,"Favorite Covered",IF(S537+I537&lt;0,"Underdog Covered","Push"))))</f>
        <v>Underdog Covered</v>
      </c>
      <c r="U537" s="1" t="str">
        <f aca="false">IF(Q537&gt;J537,"Over",IF(Q537&lt;J537,"Under","Push"))</f>
        <v>Under</v>
      </c>
    </row>
    <row r="538" customFormat="false" ht="15" hidden="false" customHeight="false" outlineLevel="0" collapsed="false">
      <c r="A538" s="1" t="s">
        <v>294</v>
      </c>
      <c r="B538" s="1" t="n">
        <v>2012</v>
      </c>
      <c r="C538" s="1" t="s">
        <v>141</v>
      </c>
      <c r="D538" s="1" t="s">
        <v>63</v>
      </c>
      <c r="E538" s="1" t="s">
        <v>79</v>
      </c>
      <c r="F538" s="1" t="n">
        <v>41</v>
      </c>
      <c r="G538" s="1" t="n">
        <v>21</v>
      </c>
      <c r="H538" s="1" t="s">
        <v>64</v>
      </c>
      <c r="I538" s="1" t="n">
        <v>-10</v>
      </c>
      <c r="J538" s="1" t="n">
        <v>42.5</v>
      </c>
      <c r="K538" s="1" t="s">
        <v>145</v>
      </c>
      <c r="L538" s="1" t="b">
        <f aca="false">FALSE()</f>
        <v>0</v>
      </c>
      <c r="M538" s="1" t="str">
        <f aca="false">VLOOKUP(D538,'Team Reference'!$A:$B,2,FALSE())</f>
        <v>CHI</v>
      </c>
      <c r="N538" s="1" t="str">
        <f aca="false">VLOOKUP(E538,'Team Reference'!$A:$B,2,FALSE())</f>
        <v>IND</v>
      </c>
      <c r="O538" s="1" t="str">
        <f aca="false">IF(F538&gt;G538,M538,IF(G538&gt;F538,N538,"Tie"))</f>
        <v>CHI</v>
      </c>
      <c r="P538" s="1" t="n">
        <f aca="false">F538-G538</f>
        <v>20</v>
      </c>
      <c r="Q538" s="1" t="n">
        <f aca="false">F538+G538</f>
        <v>62</v>
      </c>
      <c r="R538" s="1" t="str">
        <f aca="false">IF(H538=M538,"Home",IF(H538=N538,"Away",IF(H538="PICK","Pick","N/A")))</f>
        <v>Home</v>
      </c>
      <c r="S538" s="1" t="n">
        <f aca="false">IF(R538="Home",P538,IF(R538="Away",-P538,""))</f>
        <v>20</v>
      </c>
      <c r="T538" s="1" t="str">
        <f aca="false">IF(R538="Pick","No Line",IF(S538="","N/A",IF(S538+I538&gt;0,"Favorite Covered",IF(S538+I538&lt;0,"Underdog Covered","Push"))))</f>
        <v>Favorite Covered</v>
      </c>
      <c r="U538" s="1" t="str">
        <f aca="false">IF(Q538&gt;J538,"Over",IF(Q538&lt;J538,"Under","Push"))</f>
        <v>Over</v>
      </c>
    </row>
    <row r="539" customFormat="false" ht="15" hidden="false" customHeight="false" outlineLevel="0" collapsed="false">
      <c r="A539" s="1" t="s">
        <v>294</v>
      </c>
      <c r="B539" s="1" t="n">
        <v>2012</v>
      </c>
      <c r="C539" s="1" t="s">
        <v>141</v>
      </c>
      <c r="D539" s="1" t="s">
        <v>67</v>
      </c>
      <c r="E539" s="1" t="s">
        <v>103</v>
      </c>
      <c r="F539" s="1" t="n">
        <v>16</v>
      </c>
      <c r="G539" s="1" t="n">
        <v>17</v>
      </c>
      <c r="H539" s="1" t="s">
        <v>104</v>
      </c>
      <c r="I539" s="1" t="n">
        <v>-9.5</v>
      </c>
      <c r="J539" s="1" t="n">
        <v>42</v>
      </c>
      <c r="K539" s="1" t="s">
        <v>164</v>
      </c>
      <c r="L539" s="1" t="b">
        <f aca="false">FALSE()</f>
        <v>0</v>
      </c>
      <c r="M539" s="1" t="str">
        <f aca="false">VLOOKUP(D539,'Team Reference'!$A:$B,2,FALSE())</f>
        <v>CLE</v>
      </c>
      <c r="N539" s="1" t="str">
        <f aca="false">VLOOKUP(E539,'Team Reference'!$A:$B,2,FALSE())</f>
        <v>PHI</v>
      </c>
      <c r="O539" s="1" t="str">
        <f aca="false">IF(F539&gt;G539,M539,IF(G539&gt;F539,N539,"Tie"))</f>
        <v>PHI</v>
      </c>
      <c r="P539" s="1" t="n">
        <f aca="false">F539-G539</f>
        <v>-1</v>
      </c>
      <c r="Q539" s="1" t="n">
        <f aca="false">F539+G539</f>
        <v>33</v>
      </c>
      <c r="R539" s="1" t="str">
        <f aca="false">IF(H539=M539,"Home",IF(H539=N539,"Away",IF(H539="PICK","Pick","N/A")))</f>
        <v>Away</v>
      </c>
      <c r="S539" s="1" t="n">
        <f aca="false">IF(R539="Home",P539,IF(R539="Away",-P539,""))</f>
        <v>1</v>
      </c>
      <c r="T539" s="1" t="str">
        <f aca="false">IF(R539="Pick","No Line",IF(S539="","N/A",IF(S539+I539&gt;0,"Favorite Covered",IF(S539+I539&lt;0,"Underdog Covered","Push"))))</f>
        <v>Underdog Covered</v>
      </c>
      <c r="U539" s="1" t="str">
        <f aca="false">IF(Q539&gt;J539,"Over",IF(Q539&lt;J539,"Under","Push"))</f>
        <v>Under</v>
      </c>
    </row>
    <row r="540" customFormat="false" ht="15" hidden="false" customHeight="false" outlineLevel="0" collapsed="false">
      <c r="A540" s="1" t="s">
        <v>294</v>
      </c>
      <c r="B540" s="1" t="n">
        <v>2012</v>
      </c>
      <c r="C540" s="1" t="s">
        <v>141</v>
      </c>
      <c r="D540" s="1" t="s">
        <v>71</v>
      </c>
      <c r="E540" s="1" t="s">
        <v>105</v>
      </c>
      <c r="F540" s="1" t="n">
        <v>31</v>
      </c>
      <c r="G540" s="1" t="n">
        <v>19</v>
      </c>
      <c r="H540" s="1" t="s">
        <v>72</v>
      </c>
      <c r="I540" s="1" t="n">
        <v>-2</v>
      </c>
      <c r="J540" s="1" t="n">
        <v>45.5</v>
      </c>
      <c r="K540" s="1" t="s">
        <v>166</v>
      </c>
      <c r="L540" s="1" t="b">
        <f aca="false">FALSE()</f>
        <v>0</v>
      </c>
      <c r="M540" s="1" t="str">
        <f aca="false">VLOOKUP(D540,'Team Reference'!$A:$B,2,FALSE())</f>
        <v>DEN</v>
      </c>
      <c r="N540" s="1" t="str">
        <f aca="false">VLOOKUP(E540,'Team Reference'!$A:$B,2,FALSE())</f>
        <v>PIT</v>
      </c>
      <c r="O540" s="1" t="str">
        <f aca="false">IF(F540&gt;G540,M540,IF(G540&gt;F540,N540,"Tie"))</f>
        <v>DEN</v>
      </c>
      <c r="P540" s="1" t="n">
        <f aca="false">F540-G540</f>
        <v>12</v>
      </c>
      <c r="Q540" s="1" t="n">
        <f aca="false">F540+G540</f>
        <v>50</v>
      </c>
      <c r="R540" s="1" t="str">
        <f aca="false">IF(H540=M540,"Home",IF(H540=N540,"Away",IF(H540="PICK","Pick","N/A")))</f>
        <v>Home</v>
      </c>
      <c r="S540" s="1" t="n">
        <f aca="false">IF(R540="Home",P540,IF(R540="Away",-P540,""))</f>
        <v>12</v>
      </c>
      <c r="T540" s="1" t="str">
        <f aca="false">IF(R540="Pick","No Line",IF(S540="","N/A",IF(S540+I540&gt;0,"Favorite Covered",IF(S540+I540&lt;0,"Underdog Covered","Push"))))</f>
        <v>Favorite Covered</v>
      </c>
      <c r="U540" s="1" t="str">
        <f aca="false">IF(Q540&gt;J540,"Over",IF(Q540&lt;J540,"Under","Push"))</f>
        <v>Over</v>
      </c>
    </row>
    <row r="541" customFormat="false" ht="15" hidden="false" customHeight="false" outlineLevel="0" collapsed="false">
      <c r="A541" s="1" t="s">
        <v>294</v>
      </c>
      <c r="B541" s="1" t="n">
        <v>2012</v>
      </c>
      <c r="C541" s="1" t="s">
        <v>141</v>
      </c>
      <c r="D541" s="1" t="s">
        <v>73</v>
      </c>
      <c r="E541" s="1" t="s">
        <v>112</v>
      </c>
      <c r="F541" s="1" t="n">
        <v>27</v>
      </c>
      <c r="G541" s="1" t="n">
        <v>23</v>
      </c>
      <c r="H541" s="1" t="s">
        <v>74</v>
      </c>
      <c r="I541" s="1" t="n">
        <v>-9</v>
      </c>
      <c r="J541" s="1" t="n">
        <v>46.5</v>
      </c>
      <c r="K541" s="1" t="s">
        <v>167</v>
      </c>
      <c r="L541" s="1" t="b">
        <f aca="false">FALSE()</f>
        <v>0</v>
      </c>
      <c r="M541" s="1" t="str">
        <f aca="false">VLOOKUP(D541,'Team Reference'!$A:$B,2,FALSE())</f>
        <v>DET</v>
      </c>
      <c r="N541" s="1" t="str">
        <f aca="false">VLOOKUP(E541,'Team Reference'!$A:$B,2,FALSE())</f>
        <v>LAR</v>
      </c>
      <c r="O541" s="1" t="str">
        <f aca="false">IF(F541&gt;G541,M541,IF(G541&gt;F541,N541,"Tie"))</f>
        <v>DET</v>
      </c>
      <c r="P541" s="1" t="n">
        <f aca="false">F541-G541</f>
        <v>4</v>
      </c>
      <c r="Q541" s="1" t="n">
        <f aca="false">F541+G541</f>
        <v>50</v>
      </c>
      <c r="R541" s="1" t="str">
        <f aca="false">IF(H541=M541,"Home",IF(H541=N541,"Away",IF(H541="PICK","Pick","N/A")))</f>
        <v>Home</v>
      </c>
      <c r="S541" s="1" t="n">
        <f aca="false">IF(R541="Home",P541,IF(R541="Away",-P541,""))</f>
        <v>4</v>
      </c>
      <c r="T541" s="1" t="str">
        <f aca="false">IF(R541="Pick","No Line",IF(S541="","N/A",IF(S541+I541&gt;0,"Favorite Covered",IF(S541+I541&lt;0,"Underdog Covered","Push"))))</f>
        <v>Underdog Covered</v>
      </c>
      <c r="U541" s="1" t="str">
        <f aca="false">IF(Q541&gt;J541,"Over",IF(Q541&lt;J541,"Under","Push"))</f>
        <v>Over</v>
      </c>
    </row>
    <row r="542" customFormat="false" ht="15" hidden="false" customHeight="false" outlineLevel="0" collapsed="false">
      <c r="A542" s="1" t="s">
        <v>294</v>
      </c>
      <c r="B542" s="1" t="n">
        <v>2012</v>
      </c>
      <c r="C542" s="1" t="s">
        <v>141</v>
      </c>
      <c r="D542" s="1" t="s">
        <v>75</v>
      </c>
      <c r="E542" s="1" t="s">
        <v>108</v>
      </c>
      <c r="F542" s="1" t="n">
        <v>22</v>
      </c>
      <c r="G542" s="1" t="n">
        <v>30</v>
      </c>
      <c r="H542" s="1" t="s">
        <v>76</v>
      </c>
      <c r="I542" s="1" t="n">
        <v>-5.5</v>
      </c>
      <c r="J542" s="1" t="n">
        <v>46.5</v>
      </c>
      <c r="K542" s="1" t="s">
        <v>168</v>
      </c>
      <c r="L542" s="1" t="b">
        <f aca="false">FALSE()</f>
        <v>0</v>
      </c>
      <c r="M542" s="1" t="str">
        <f aca="false">VLOOKUP(D542,'Team Reference'!$A:$B,2,FALSE())</f>
        <v>GB</v>
      </c>
      <c r="N542" s="1" t="str">
        <f aca="false">VLOOKUP(E542,'Team Reference'!$A:$B,2,FALSE())</f>
        <v>SF</v>
      </c>
      <c r="O542" s="1" t="str">
        <f aca="false">IF(F542&gt;G542,M542,IF(G542&gt;F542,N542,"Tie"))</f>
        <v>SF</v>
      </c>
      <c r="P542" s="1" t="n">
        <f aca="false">F542-G542</f>
        <v>-8</v>
      </c>
      <c r="Q542" s="1" t="n">
        <f aca="false">F542+G542</f>
        <v>52</v>
      </c>
      <c r="R542" s="1" t="str">
        <f aca="false">IF(H542=M542,"Home",IF(H542=N542,"Away",IF(H542="PICK","Pick","N/A")))</f>
        <v>Home</v>
      </c>
      <c r="S542" s="1" t="n">
        <f aca="false">IF(R542="Home",P542,IF(R542="Away",-P542,""))</f>
        <v>-8</v>
      </c>
      <c r="T542" s="1" t="str">
        <f aca="false">IF(R542="Pick","No Line",IF(S542="","N/A",IF(S542+I542&gt;0,"Favorite Covered",IF(S542+I542&lt;0,"Underdog Covered","Push"))))</f>
        <v>Underdog Covered</v>
      </c>
      <c r="U542" s="1" t="str">
        <f aca="false">IF(Q542&gt;J542,"Over",IF(Q542&lt;J542,"Under","Push"))</f>
        <v>Over</v>
      </c>
    </row>
    <row r="543" customFormat="false" ht="15" hidden="false" customHeight="false" outlineLevel="0" collapsed="false">
      <c r="A543" s="1" t="s">
        <v>294</v>
      </c>
      <c r="B543" s="1" t="n">
        <v>2012</v>
      </c>
      <c r="C543" s="1" t="s">
        <v>141</v>
      </c>
      <c r="D543" s="1" t="s">
        <v>77</v>
      </c>
      <c r="E543" s="1" t="s">
        <v>89</v>
      </c>
      <c r="F543" s="1" t="n">
        <v>30</v>
      </c>
      <c r="G543" s="1" t="n">
        <v>10</v>
      </c>
      <c r="H543" s="1" t="s">
        <v>78</v>
      </c>
      <c r="I543" s="1" t="n">
        <v>-13.5</v>
      </c>
      <c r="J543" s="1" t="n">
        <v>41.5</v>
      </c>
      <c r="K543" s="1" t="s">
        <v>146</v>
      </c>
      <c r="L543" s="1" t="b">
        <f aca="false">FALSE()</f>
        <v>0</v>
      </c>
      <c r="M543" s="1" t="str">
        <f aca="false">VLOOKUP(D543,'Team Reference'!$A:$B,2,FALSE())</f>
        <v>HOU</v>
      </c>
      <c r="N543" s="1" t="str">
        <f aca="false">VLOOKUP(E543,'Team Reference'!$A:$B,2,FALSE())</f>
        <v>MIA</v>
      </c>
      <c r="O543" s="1" t="str">
        <f aca="false">IF(F543&gt;G543,M543,IF(G543&gt;F543,N543,"Tie"))</f>
        <v>HOU</v>
      </c>
      <c r="P543" s="1" t="n">
        <f aca="false">F543-G543</f>
        <v>20</v>
      </c>
      <c r="Q543" s="1" t="n">
        <f aca="false">F543+G543</f>
        <v>40</v>
      </c>
      <c r="R543" s="1" t="str">
        <f aca="false">IF(H543=M543,"Home",IF(H543=N543,"Away",IF(H543="PICK","Pick","N/A")))</f>
        <v>Home</v>
      </c>
      <c r="S543" s="1" t="n">
        <f aca="false">IF(R543="Home",P543,IF(R543="Away",-P543,""))</f>
        <v>20</v>
      </c>
      <c r="T543" s="1" t="str">
        <f aca="false">IF(R543="Pick","No Line",IF(S543="","N/A",IF(S543+I543&gt;0,"Favorite Covered",IF(S543+I543&lt;0,"Underdog Covered","Push"))))</f>
        <v>Favorite Covered</v>
      </c>
      <c r="U543" s="1" t="str">
        <f aca="false">IF(Q543&gt;J543,"Over",IF(Q543&lt;J543,"Under","Push"))</f>
        <v>Under</v>
      </c>
    </row>
    <row r="544" customFormat="false" ht="15" hidden="false" customHeight="false" outlineLevel="0" collapsed="false">
      <c r="A544" s="1" t="s">
        <v>294</v>
      </c>
      <c r="B544" s="1" t="n">
        <v>2012</v>
      </c>
      <c r="C544" s="1" t="s">
        <v>141</v>
      </c>
      <c r="D544" s="1" t="s">
        <v>83</v>
      </c>
      <c r="E544" s="1" t="s">
        <v>55</v>
      </c>
      <c r="F544" s="1" t="n">
        <v>24</v>
      </c>
      <c r="G544" s="1" t="n">
        <v>40</v>
      </c>
      <c r="H544" s="1" t="s">
        <v>56</v>
      </c>
      <c r="I544" s="1" t="n">
        <v>-2.5</v>
      </c>
      <c r="J544" s="1" t="n">
        <v>43</v>
      </c>
      <c r="K544" s="1" t="s">
        <v>158</v>
      </c>
      <c r="L544" s="1" t="b">
        <f aca="false">FALSE()</f>
        <v>0</v>
      </c>
      <c r="M544" s="1" t="str">
        <f aca="false">VLOOKUP(D544,'Team Reference'!$A:$B,2,FALSE())</f>
        <v>KC</v>
      </c>
      <c r="N544" s="1" t="str">
        <f aca="false">VLOOKUP(E544,'Team Reference'!$A:$B,2,FALSE())</f>
        <v>ATL</v>
      </c>
      <c r="O544" s="1" t="str">
        <f aca="false">IF(F544&gt;G544,M544,IF(G544&gt;F544,N544,"Tie"))</f>
        <v>ATL</v>
      </c>
      <c r="P544" s="1" t="n">
        <f aca="false">F544-G544</f>
        <v>-16</v>
      </c>
      <c r="Q544" s="1" t="n">
        <f aca="false">F544+G544</f>
        <v>64</v>
      </c>
      <c r="R544" s="1" t="str">
        <f aca="false">IF(H544=M544,"Home",IF(H544=N544,"Away",IF(H544="PICK","Pick","N/A")))</f>
        <v>Away</v>
      </c>
      <c r="S544" s="1" t="n">
        <f aca="false">IF(R544="Home",P544,IF(R544="Away",-P544,""))</f>
        <v>16</v>
      </c>
      <c r="T544" s="1" t="str">
        <f aca="false">IF(R544="Pick","No Line",IF(S544="","N/A",IF(S544+I544&gt;0,"Favorite Covered",IF(S544+I544&lt;0,"Underdog Covered","Push"))))</f>
        <v>Favorite Covered</v>
      </c>
      <c r="U544" s="1" t="str">
        <f aca="false">IF(Q544&gt;J544,"Over",IF(Q544&lt;J544,"Under","Push"))</f>
        <v>Over</v>
      </c>
    </row>
    <row r="545" customFormat="false" ht="15" hidden="false" customHeight="false" outlineLevel="0" collapsed="false">
      <c r="A545" s="1" t="s">
        <v>294</v>
      </c>
      <c r="B545" s="1" t="n">
        <v>2012</v>
      </c>
      <c r="C545" s="1" t="s">
        <v>141</v>
      </c>
      <c r="D545" s="1" t="s">
        <v>91</v>
      </c>
      <c r="E545" s="1" t="s">
        <v>81</v>
      </c>
      <c r="F545" s="1" t="n">
        <v>26</v>
      </c>
      <c r="G545" s="1" t="n">
        <v>23</v>
      </c>
      <c r="H545" s="1" t="s">
        <v>92</v>
      </c>
      <c r="I545" s="1" t="n">
        <v>-3.5</v>
      </c>
      <c r="J545" s="1" t="n">
        <v>38</v>
      </c>
      <c r="K545" s="1" t="s">
        <v>170</v>
      </c>
      <c r="L545" s="1" t="b">
        <f aca="false">FALSE()</f>
        <v>0</v>
      </c>
      <c r="M545" s="1" t="str">
        <f aca="false">VLOOKUP(D545,'Team Reference'!$A:$B,2,FALSE())</f>
        <v>MIN</v>
      </c>
      <c r="N545" s="1" t="str">
        <f aca="false">VLOOKUP(E545,'Team Reference'!$A:$B,2,FALSE())</f>
        <v>JAX</v>
      </c>
      <c r="O545" s="1" t="str">
        <f aca="false">IF(F545&gt;G545,M545,IF(G545&gt;F545,N545,"Tie"))</f>
        <v>MIN</v>
      </c>
      <c r="P545" s="1" t="n">
        <f aca="false">F545-G545</f>
        <v>3</v>
      </c>
      <c r="Q545" s="1" t="n">
        <f aca="false">F545+G545</f>
        <v>49</v>
      </c>
      <c r="R545" s="1" t="str">
        <f aca="false">IF(H545=M545,"Home",IF(H545=N545,"Away",IF(H545="PICK","Pick","N/A")))</f>
        <v>Home</v>
      </c>
      <c r="S545" s="1" t="n">
        <f aca="false">IF(R545="Home",P545,IF(R545="Away",-P545,""))</f>
        <v>3</v>
      </c>
      <c r="T545" s="1" t="str">
        <f aca="false">IF(R545="Pick","No Line",IF(S545="","N/A",IF(S545+I545&gt;0,"Favorite Covered",IF(S545+I545&lt;0,"Underdog Covered","Push"))))</f>
        <v>Underdog Covered</v>
      </c>
      <c r="U545" s="1" t="str">
        <f aca="false">IF(Q545&gt;J545,"Over",IF(Q545&lt;J545,"Under","Push"))</f>
        <v>Over</v>
      </c>
    </row>
    <row r="546" customFormat="false" ht="15" hidden="false" customHeight="false" outlineLevel="0" collapsed="false">
      <c r="A546" s="1" t="s">
        <v>294</v>
      </c>
      <c r="B546" s="1" t="n">
        <v>2012</v>
      </c>
      <c r="C546" s="1" t="s">
        <v>141</v>
      </c>
      <c r="D546" s="1" t="s">
        <v>95</v>
      </c>
      <c r="E546" s="1" t="s">
        <v>117</v>
      </c>
      <c r="F546" s="1" t="n">
        <v>32</v>
      </c>
      <c r="G546" s="1" t="n">
        <v>40</v>
      </c>
      <c r="H546" s="1" t="s">
        <v>96</v>
      </c>
      <c r="I546" s="1" t="n">
        <v>-9</v>
      </c>
      <c r="J546" s="1" t="n">
        <v>50.5</v>
      </c>
      <c r="K546" s="1" t="s">
        <v>142</v>
      </c>
      <c r="L546" s="1" t="b">
        <f aca="false">FALSE()</f>
        <v>0</v>
      </c>
      <c r="M546" s="1" t="str">
        <f aca="false">VLOOKUP(D546,'Team Reference'!$A:$B,2,FALSE())</f>
        <v>NO</v>
      </c>
      <c r="N546" s="1" t="str">
        <f aca="false">VLOOKUP(E546,'Team Reference'!$A:$B,2,FALSE())</f>
        <v>WAS</v>
      </c>
      <c r="O546" s="1" t="str">
        <f aca="false">IF(F546&gt;G546,M546,IF(G546&gt;F546,N546,"Tie"))</f>
        <v>WAS</v>
      </c>
      <c r="P546" s="1" t="n">
        <f aca="false">F546-G546</f>
        <v>-8</v>
      </c>
      <c r="Q546" s="1" t="n">
        <f aca="false">F546+G546</f>
        <v>72</v>
      </c>
      <c r="R546" s="1" t="str">
        <f aca="false">IF(H546=M546,"Home",IF(H546=N546,"Away",IF(H546="PICK","Pick","N/A")))</f>
        <v>Home</v>
      </c>
      <c r="S546" s="1" t="n">
        <f aca="false">IF(R546="Home",P546,IF(R546="Away",-P546,""))</f>
        <v>-8</v>
      </c>
      <c r="T546" s="1" t="str">
        <f aca="false">IF(R546="Pick","No Line",IF(S546="","N/A",IF(S546+I546&gt;0,"Favorite Covered",IF(S546+I546&lt;0,"Underdog Covered","Push"))))</f>
        <v>Underdog Covered</v>
      </c>
      <c r="U546" s="1" t="str">
        <f aca="false">IF(Q546&gt;J546,"Over",IF(Q546&lt;J546,"Under","Push"))</f>
        <v>Over</v>
      </c>
    </row>
    <row r="547" customFormat="false" ht="15" hidden="false" customHeight="false" outlineLevel="0" collapsed="false">
      <c r="A547" s="1" t="s">
        <v>294</v>
      </c>
      <c r="B547" s="1" t="n">
        <v>2012</v>
      </c>
      <c r="C547" s="1" t="s">
        <v>141</v>
      </c>
      <c r="D547" s="1" t="s">
        <v>99</v>
      </c>
      <c r="E547" s="1" t="s">
        <v>59</v>
      </c>
      <c r="F547" s="1" t="n">
        <v>48</v>
      </c>
      <c r="G547" s="1" t="n">
        <v>28</v>
      </c>
      <c r="H547" s="1" t="s">
        <v>100</v>
      </c>
      <c r="I547" s="1" t="n">
        <v>-3</v>
      </c>
      <c r="J547" s="1" t="n">
        <v>39</v>
      </c>
      <c r="K547" s="1" t="s">
        <v>149</v>
      </c>
      <c r="L547" s="1" t="b">
        <f aca="false">FALSE()</f>
        <v>0</v>
      </c>
      <c r="M547" s="1" t="str">
        <f aca="false">VLOOKUP(D547,'Team Reference'!$A:$B,2,FALSE())</f>
        <v>NYJ</v>
      </c>
      <c r="N547" s="1" t="str">
        <f aca="false">VLOOKUP(E547,'Team Reference'!$A:$B,2,FALSE())</f>
        <v>BUF</v>
      </c>
      <c r="O547" s="1" t="str">
        <f aca="false">IF(F547&gt;G547,M547,IF(G547&gt;F547,N547,"Tie"))</f>
        <v>NYJ</v>
      </c>
      <c r="P547" s="1" t="n">
        <f aca="false">F547-G547</f>
        <v>20</v>
      </c>
      <c r="Q547" s="1" t="n">
        <f aca="false">F547+G547</f>
        <v>76</v>
      </c>
      <c r="R547" s="1" t="str">
        <f aca="false">IF(H547=M547,"Home",IF(H547=N547,"Away",IF(H547="PICK","Pick","N/A")))</f>
        <v>Home</v>
      </c>
      <c r="S547" s="1" t="n">
        <f aca="false">IF(R547="Home",P547,IF(R547="Away",-P547,""))</f>
        <v>20</v>
      </c>
      <c r="T547" s="1" t="str">
        <f aca="false">IF(R547="Pick","No Line",IF(S547="","N/A",IF(S547+I547&gt;0,"Favorite Covered",IF(S547+I547&lt;0,"Underdog Covered","Push"))))</f>
        <v>Favorite Covered</v>
      </c>
      <c r="U547" s="1" t="str">
        <f aca="false">IF(Q547&gt;J547,"Over",IF(Q547&lt;J547,"Under","Push"))</f>
        <v>Over</v>
      </c>
    </row>
    <row r="548" customFormat="false" ht="15" hidden="false" customHeight="false" outlineLevel="0" collapsed="false">
      <c r="A548" s="1" t="s">
        <v>294</v>
      </c>
      <c r="B548" s="1" t="n">
        <v>2012</v>
      </c>
      <c r="C548" s="1" t="s">
        <v>141</v>
      </c>
      <c r="D548" s="1" t="s">
        <v>113</v>
      </c>
      <c r="E548" s="1" t="s">
        <v>61</v>
      </c>
      <c r="F548" s="1" t="n">
        <v>16</v>
      </c>
      <c r="G548" s="1" t="n">
        <v>10</v>
      </c>
      <c r="H548" s="1" t="s">
        <v>62</v>
      </c>
      <c r="I548" s="1" t="n">
        <v>-3</v>
      </c>
      <c r="J548" s="1" t="n">
        <v>45.5</v>
      </c>
      <c r="K548" s="1" t="s">
        <v>154</v>
      </c>
      <c r="L548" s="1" t="b">
        <f aca="false">FALSE()</f>
        <v>0</v>
      </c>
      <c r="M548" s="1" t="str">
        <f aca="false">VLOOKUP(D548,'Team Reference'!$A:$B,2,FALSE())</f>
        <v>TB</v>
      </c>
      <c r="N548" s="1" t="str">
        <f aca="false">VLOOKUP(E548,'Team Reference'!$A:$B,2,FALSE())</f>
        <v>CAR</v>
      </c>
      <c r="O548" s="1" t="str">
        <f aca="false">IF(F548&gt;G548,M548,IF(G548&gt;F548,N548,"Tie"))</f>
        <v>TB</v>
      </c>
      <c r="P548" s="1" t="n">
        <f aca="false">F548-G548</f>
        <v>6</v>
      </c>
      <c r="Q548" s="1" t="n">
        <f aca="false">F548+G548</f>
        <v>26</v>
      </c>
      <c r="R548" s="1" t="str">
        <f aca="false">IF(H548=M548,"Home",IF(H548=N548,"Away",IF(H548="PICK","Pick","N/A")))</f>
        <v>Away</v>
      </c>
      <c r="S548" s="1" t="n">
        <f aca="false">IF(R548="Home",P548,IF(R548="Away",-P548,""))</f>
        <v>-6</v>
      </c>
      <c r="T548" s="1" t="str">
        <f aca="false">IF(R548="Pick","No Line",IF(S548="","N/A",IF(S548+I548&gt;0,"Favorite Covered",IF(S548+I548&lt;0,"Underdog Covered","Push"))))</f>
        <v>Underdog Covered</v>
      </c>
      <c r="U548" s="1" t="str">
        <f aca="false">IF(Q548&gt;J548,"Over",IF(Q548&lt;J548,"Under","Push"))</f>
        <v>Under</v>
      </c>
    </row>
    <row r="549" customFormat="false" ht="15" hidden="false" customHeight="false" outlineLevel="0" collapsed="false">
      <c r="A549" s="1" t="s">
        <v>294</v>
      </c>
      <c r="B549" s="1" t="n">
        <v>2012</v>
      </c>
      <c r="C549" s="1" t="s">
        <v>141</v>
      </c>
      <c r="D549" s="1" t="s">
        <v>115</v>
      </c>
      <c r="E549" s="1" t="s">
        <v>93</v>
      </c>
      <c r="F549" s="1" t="n">
        <v>13</v>
      </c>
      <c r="G549" s="1" t="n">
        <v>34</v>
      </c>
      <c r="H549" s="1" t="s">
        <v>94</v>
      </c>
      <c r="I549" s="1" t="n">
        <v>-6.5</v>
      </c>
      <c r="J549" s="1" t="n">
        <v>48</v>
      </c>
      <c r="K549" s="1" t="s">
        <v>155</v>
      </c>
      <c r="L549" s="1" t="b">
        <f aca="false">FALSE()</f>
        <v>0</v>
      </c>
      <c r="M549" s="1" t="str">
        <f aca="false">VLOOKUP(D549,'Team Reference'!$A:$B,2,FALSE())</f>
        <v>TEN</v>
      </c>
      <c r="N549" s="1" t="str">
        <f aca="false">VLOOKUP(E549,'Team Reference'!$A:$B,2,FALSE())</f>
        <v>NE</v>
      </c>
      <c r="O549" s="1" t="str">
        <f aca="false">IF(F549&gt;G549,M549,IF(G549&gt;F549,N549,"Tie"))</f>
        <v>NE</v>
      </c>
      <c r="P549" s="1" t="n">
        <f aca="false">F549-G549</f>
        <v>-21</v>
      </c>
      <c r="Q549" s="1" t="n">
        <f aca="false">F549+G549</f>
        <v>47</v>
      </c>
      <c r="R549" s="1" t="str">
        <f aca="false">IF(H549=M549,"Home",IF(H549=N549,"Away",IF(H549="PICK","Pick","N/A")))</f>
        <v>Away</v>
      </c>
      <c r="S549" s="1" t="n">
        <f aca="false">IF(R549="Home",P549,IF(R549="Away",-P549,""))</f>
        <v>21</v>
      </c>
      <c r="T549" s="1" t="str">
        <f aca="false">IF(R549="Pick","No Line",IF(S549="","N/A",IF(S549+I549&gt;0,"Favorite Covered",IF(S549+I549&lt;0,"Underdog Covered","Push"))))</f>
        <v>Favorite Covered</v>
      </c>
      <c r="U549" s="1" t="str">
        <f aca="false">IF(Q549&gt;J549,"Over",IF(Q549&lt;J549,"Under","Push"))</f>
        <v>Under</v>
      </c>
    </row>
    <row r="550" customFormat="false" ht="15" hidden="false" customHeight="false" outlineLevel="0" collapsed="false">
      <c r="A550" s="1" t="s">
        <v>295</v>
      </c>
      <c r="B550" s="1" t="n">
        <v>2012</v>
      </c>
      <c r="C550" s="1" t="s">
        <v>141</v>
      </c>
      <c r="D550" s="1" t="s">
        <v>57</v>
      </c>
      <c r="E550" s="1" t="s">
        <v>65</v>
      </c>
      <c r="F550" s="1" t="n">
        <v>44</v>
      </c>
      <c r="G550" s="1" t="n">
        <v>13</v>
      </c>
      <c r="H550" s="1" t="s">
        <v>58</v>
      </c>
      <c r="I550" s="1" t="n">
        <v>-7</v>
      </c>
      <c r="J550" s="1" t="n">
        <v>43</v>
      </c>
      <c r="K550" s="1" t="s">
        <v>178</v>
      </c>
      <c r="L550" s="1" t="b">
        <f aca="false">FALSE()</f>
        <v>0</v>
      </c>
      <c r="M550" s="1" t="str">
        <f aca="false">VLOOKUP(D550,'Team Reference'!$A:$B,2,FALSE())</f>
        <v>BAL</v>
      </c>
      <c r="N550" s="1" t="str">
        <f aca="false">VLOOKUP(E550,'Team Reference'!$A:$B,2,FALSE())</f>
        <v>CIN</v>
      </c>
      <c r="O550" s="1" t="str">
        <f aca="false">IF(F550&gt;G550,M550,IF(G550&gt;F550,N550,"Tie"))</f>
        <v>BAL</v>
      </c>
      <c r="P550" s="1" t="n">
        <f aca="false">F550-G550</f>
        <v>31</v>
      </c>
      <c r="Q550" s="1" t="n">
        <f aca="false">F550+G550</f>
        <v>57</v>
      </c>
      <c r="R550" s="1" t="str">
        <f aca="false">IF(H550=M550,"Home",IF(H550=N550,"Away",IF(H550="PICK","Pick","N/A")))</f>
        <v>Home</v>
      </c>
      <c r="S550" s="1" t="n">
        <f aca="false">IF(R550="Home",P550,IF(R550="Away",-P550,""))</f>
        <v>31</v>
      </c>
      <c r="T550" s="1" t="str">
        <f aca="false">IF(R550="Pick","No Line",IF(S550="","N/A",IF(S550+I550&gt;0,"Favorite Covered",IF(S550+I550&lt;0,"Underdog Covered","Push"))))</f>
        <v>Favorite Covered</v>
      </c>
      <c r="U550" s="1" t="str">
        <f aca="false">IF(Q550&gt;J550,"Over",IF(Q550&lt;J550,"Under","Push"))</f>
        <v>Over</v>
      </c>
    </row>
    <row r="551" customFormat="false" ht="15" hidden="false" customHeight="false" outlineLevel="0" collapsed="false">
      <c r="A551" s="1" t="s">
        <v>295</v>
      </c>
      <c r="B551" s="1" t="n">
        <v>2012</v>
      </c>
      <c r="C551" s="1" t="s">
        <v>141</v>
      </c>
      <c r="D551" s="1" t="s">
        <v>101</v>
      </c>
      <c r="E551" s="1" t="s">
        <v>107</v>
      </c>
      <c r="F551" s="1" t="n">
        <v>14</v>
      </c>
      <c r="G551" s="1" t="n">
        <v>22</v>
      </c>
      <c r="H551" s="1" t="s">
        <v>102</v>
      </c>
      <c r="I551" s="1" t="n">
        <v>-1</v>
      </c>
      <c r="J551" s="1" t="n">
        <v>47.5</v>
      </c>
      <c r="K551" s="1" t="s">
        <v>171</v>
      </c>
      <c r="L551" s="1" t="b">
        <f aca="false">FALSE()</f>
        <v>0</v>
      </c>
      <c r="M551" s="1" t="str">
        <f aca="false">VLOOKUP(D551,'Team Reference'!$A:$B,2,FALSE())</f>
        <v>OAK</v>
      </c>
      <c r="N551" s="1" t="str">
        <f aca="false">VLOOKUP(E551,'Team Reference'!$A:$B,2,FALSE())</f>
        <v>LAC</v>
      </c>
      <c r="O551" s="1" t="str">
        <f aca="false">IF(F551&gt;G551,M551,IF(G551&gt;F551,N551,"Tie"))</f>
        <v>LAC</v>
      </c>
      <c r="P551" s="1" t="n">
        <f aca="false">F551-G551</f>
        <v>-8</v>
      </c>
      <c r="Q551" s="1" t="n">
        <f aca="false">F551+G551</f>
        <v>36</v>
      </c>
      <c r="R551" s="1" t="str">
        <f aca="false">IF(H551=M551,"Home",IF(H551=N551,"Away",IF(H551="PICK","Pick","N/A")))</f>
        <v>Home</v>
      </c>
      <c r="S551" s="1" t="n">
        <f aca="false">IF(R551="Home",P551,IF(R551="Away",-P551,""))</f>
        <v>-8</v>
      </c>
      <c r="T551" s="1" t="str">
        <f aca="false">IF(R551="Pick","No Line",IF(S551="","N/A",IF(S551+I551&gt;0,"Favorite Covered",IF(S551+I551&lt;0,"Underdog Covered","Push"))))</f>
        <v>Underdog Covered</v>
      </c>
      <c r="U551" s="1" t="str">
        <f aca="false">IF(Q551&gt;J551,"Over",IF(Q551&lt;J551,"Under","Push"))</f>
        <v>Under</v>
      </c>
    </row>
    <row r="552" customFormat="false" ht="15" hidden="false" customHeight="false" outlineLevel="0" collapsed="false">
      <c r="A552" s="1" t="s">
        <v>296</v>
      </c>
      <c r="B552" s="1" t="n">
        <v>2012</v>
      </c>
      <c r="C552" s="1" t="s">
        <v>160</v>
      </c>
      <c r="D552" s="1" t="s">
        <v>75</v>
      </c>
      <c r="E552" s="1" t="s">
        <v>63</v>
      </c>
      <c r="F552" s="1" t="n">
        <v>23</v>
      </c>
      <c r="G552" s="1" t="n">
        <v>10</v>
      </c>
      <c r="H552" s="1" t="s">
        <v>76</v>
      </c>
      <c r="I552" s="1" t="n">
        <v>-5.5</v>
      </c>
      <c r="J552" s="1" t="n">
        <v>51</v>
      </c>
      <c r="K552" s="1" t="s">
        <v>168</v>
      </c>
      <c r="L552" s="1" t="b">
        <f aca="false">FALSE()</f>
        <v>0</v>
      </c>
      <c r="M552" s="1" t="str">
        <f aca="false">VLOOKUP(D552,'Team Reference'!$A:$B,2,FALSE())</f>
        <v>GB</v>
      </c>
      <c r="N552" s="1" t="str">
        <f aca="false">VLOOKUP(E552,'Team Reference'!$A:$B,2,FALSE())</f>
        <v>CHI</v>
      </c>
      <c r="O552" s="1" t="str">
        <f aca="false">IF(F552&gt;G552,M552,IF(G552&gt;F552,N552,"Tie"))</f>
        <v>GB</v>
      </c>
      <c r="P552" s="1" t="n">
        <f aca="false">F552-G552</f>
        <v>13</v>
      </c>
      <c r="Q552" s="1" t="n">
        <f aca="false">F552+G552</f>
        <v>33</v>
      </c>
      <c r="R552" s="1" t="str">
        <f aca="false">IF(H552=M552,"Home",IF(H552=N552,"Away",IF(H552="PICK","Pick","N/A")))</f>
        <v>Home</v>
      </c>
      <c r="S552" s="1" t="n">
        <f aca="false">IF(R552="Home",P552,IF(R552="Away",-P552,""))</f>
        <v>13</v>
      </c>
      <c r="T552" s="1" t="str">
        <f aca="false">IF(R552="Pick","No Line",IF(S552="","N/A",IF(S552+I552&gt;0,"Favorite Covered",IF(S552+I552&lt;0,"Underdog Covered","Push"))))</f>
        <v>Favorite Covered</v>
      </c>
      <c r="U552" s="1" t="str">
        <f aca="false">IF(Q552&gt;J552,"Over",IF(Q552&lt;J552,"Under","Push"))</f>
        <v>Under</v>
      </c>
    </row>
    <row r="553" customFormat="false" ht="15" hidden="false" customHeight="false" outlineLevel="0" collapsed="false">
      <c r="A553" s="1" t="s">
        <v>297</v>
      </c>
      <c r="B553" s="1" t="n">
        <v>2012</v>
      </c>
      <c r="C553" s="1" t="s">
        <v>160</v>
      </c>
      <c r="D553" s="1" t="s">
        <v>59</v>
      </c>
      <c r="E553" s="1" t="s">
        <v>83</v>
      </c>
      <c r="F553" s="1" t="n">
        <v>35</v>
      </c>
      <c r="G553" s="1" t="n">
        <v>17</v>
      </c>
      <c r="H553" s="1" t="s">
        <v>60</v>
      </c>
      <c r="I553" s="1" t="n">
        <v>-3</v>
      </c>
      <c r="J553" s="1" t="n">
        <v>45</v>
      </c>
      <c r="K553" s="1" t="s">
        <v>144</v>
      </c>
      <c r="L553" s="1" t="b">
        <f aca="false">FALSE()</f>
        <v>0</v>
      </c>
      <c r="M553" s="1" t="str">
        <f aca="false">VLOOKUP(D553,'Team Reference'!$A:$B,2,FALSE())</f>
        <v>BUF</v>
      </c>
      <c r="N553" s="1" t="str">
        <f aca="false">VLOOKUP(E553,'Team Reference'!$A:$B,2,FALSE())</f>
        <v>KC</v>
      </c>
      <c r="O553" s="1" t="str">
        <f aca="false">IF(F553&gt;G553,M553,IF(G553&gt;F553,N553,"Tie"))</f>
        <v>BUF</v>
      </c>
      <c r="P553" s="1" t="n">
        <f aca="false">F553-G553</f>
        <v>18</v>
      </c>
      <c r="Q553" s="1" t="n">
        <f aca="false">F553+G553</f>
        <v>52</v>
      </c>
      <c r="R553" s="1" t="str">
        <f aca="false">IF(H553=M553,"Home",IF(H553=N553,"Away",IF(H553="PICK","Pick","N/A")))</f>
        <v>Home</v>
      </c>
      <c r="S553" s="1" t="n">
        <f aca="false">IF(R553="Home",P553,IF(R553="Away",-P553,""))</f>
        <v>18</v>
      </c>
      <c r="T553" s="1" t="str">
        <f aca="false">IF(R553="Pick","No Line",IF(S553="","N/A",IF(S553+I553&gt;0,"Favorite Covered",IF(S553+I553&lt;0,"Underdog Covered","Push"))))</f>
        <v>Favorite Covered</v>
      </c>
      <c r="U553" s="1" t="str">
        <f aca="false">IF(Q553&gt;J553,"Over",IF(Q553&lt;J553,"Under","Push"))</f>
        <v>Over</v>
      </c>
    </row>
    <row r="554" customFormat="false" ht="15" hidden="false" customHeight="false" outlineLevel="0" collapsed="false">
      <c r="A554" s="1" t="s">
        <v>297</v>
      </c>
      <c r="B554" s="1" t="n">
        <v>2012</v>
      </c>
      <c r="C554" s="1" t="s">
        <v>160</v>
      </c>
      <c r="D554" s="1" t="s">
        <v>61</v>
      </c>
      <c r="E554" s="1" t="s">
        <v>95</v>
      </c>
      <c r="F554" s="1" t="n">
        <v>35</v>
      </c>
      <c r="G554" s="1" t="n">
        <v>27</v>
      </c>
      <c r="H554" s="1" t="s">
        <v>96</v>
      </c>
      <c r="I554" s="1" t="n">
        <v>-3</v>
      </c>
      <c r="J554" s="1" t="n">
        <v>54</v>
      </c>
      <c r="K554" s="1" t="s">
        <v>162</v>
      </c>
      <c r="L554" s="1" t="b">
        <f aca="false">FALSE()</f>
        <v>0</v>
      </c>
      <c r="M554" s="1" t="str">
        <f aca="false">VLOOKUP(D554,'Team Reference'!$A:$B,2,FALSE())</f>
        <v>CAR</v>
      </c>
      <c r="N554" s="1" t="str">
        <f aca="false">VLOOKUP(E554,'Team Reference'!$A:$B,2,FALSE())</f>
        <v>NO</v>
      </c>
      <c r="O554" s="1" t="str">
        <f aca="false">IF(F554&gt;G554,M554,IF(G554&gt;F554,N554,"Tie"))</f>
        <v>CAR</v>
      </c>
      <c r="P554" s="1" t="n">
        <f aca="false">F554-G554</f>
        <v>8</v>
      </c>
      <c r="Q554" s="1" t="n">
        <f aca="false">F554+G554</f>
        <v>62</v>
      </c>
      <c r="R554" s="1" t="str">
        <f aca="false">IF(H554=M554,"Home",IF(H554=N554,"Away",IF(H554="PICK","Pick","N/A")))</f>
        <v>Away</v>
      </c>
      <c r="S554" s="1" t="n">
        <f aca="false">IF(R554="Home",P554,IF(R554="Away",-P554,""))</f>
        <v>-8</v>
      </c>
      <c r="T554" s="1" t="str">
        <f aca="false">IF(R554="Pick","No Line",IF(S554="","N/A",IF(S554+I554&gt;0,"Favorite Covered",IF(S554+I554&lt;0,"Underdog Covered","Push"))))</f>
        <v>Underdog Covered</v>
      </c>
      <c r="U554" s="1" t="str">
        <f aca="false">IF(Q554&gt;J554,"Over",IF(Q554&lt;J554,"Under","Push"))</f>
        <v>Over</v>
      </c>
    </row>
    <row r="555" customFormat="false" ht="15" hidden="false" customHeight="false" outlineLevel="0" collapsed="false">
      <c r="A555" s="1" t="s">
        <v>297</v>
      </c>
      <c r="B555" s="1" t="n">
        <v>2012</v>
      </c>
      <c r="C555" s="1" t="s">
        <v>160</v>
      </c>
      <c r="D555" s="1" t="s">
        <v>65</v>
      </c>
      <c r="E555" s="1" t="s">
        <v>67</v>
      </c>
      <c r="F555" s="1" t="n">
        <v>34</v>
      </c>
      <c r="G555" s="1" t="n">
        <v>27</v>
      </c>
      <c r="H555" s="1" t="s">
        <v>66</v>
      </c>
      <c r="I555" s="1" t="n">
        <v>-7</v>
      </c>
      <c r="J555" s="1" t="n">
        <v>39.5</v>
      </c>
      <c r="K555" s="1" t="s">
        <v>163</v>
      </c>
      <c r="L555" s="1" t="b">
        <f aca="false">FALSE()</f>
        <v>0</v>
      </c>
      <c r="M555" s="1" t="str">
        <f aca="false">VLOOKUP(D555,'Team Reference'!$A:$B,2,FALSE())</f>
        <v>CIN</v>
      </c>
      <c r="N555" s="1" t="str">
        <f aca="false">VLOOKUP(E555,'Team Reference'!$A:$B,2,FALSE())</f>
        <v>CLE</v>
      </c>
      <c r="O555" s="1" t="str">
        <f aca="false">IF(F555&gt;G555,M555,IF(G555&gt;F555,N555,"Tie"))</f>
        <v>CIN</v>
      </c>
      <c r="P555" s="1" t="n">
        <f aca="false">F555-G555</f>
        <v>7</v>
      </c>
      <c r="Q555" s="1" t="n">
        <f aca="false">F555+G555</f>
        <v>61</v>
      </c>
      <c r="R555" s="1" t="str">
        <f aca="false">IF(H555=M555,"Home",IF(H555=N555,"Away",IF(H555="PICK","Pick","N/A")))</f>
        <v>Home</v>
      </c>
      <c r="S555" s="1" t="n">
        <f aca="false">IF(R555="Home",P555,IF(R555="Away",-P555,""))</f>
        <v>7</v>
      </c>
      <c r="T555" s="1" t="str">
        <f aca="false">IF(R555="Pick","No Line",IF(S555="","N/A",IF(S555+I555&gt;0,"Favorite Covered",IF(S555+I555&lt;0,"Underdog Covered","Push"))))</f>
        <v>Push</v>
      </c>
      <c r="U555" s="1" t="str">
        <f aca="false">IF(Q555&gt;J555,"Over",IF(Q555&lt;J555,"Under","Push"))</f>
        <v>Over</v>
      </c>
    </row>
    <row r="556" customFormat="false" ht="15" hidden="false" customHeight="false" outlineLevel="0" collapsed="false">
      <c r="A556" s="1" t="s">
        <v>297</v>
      </c>
      <c r="B556" s="1" t="n">
        <v>2012</v>
      </c>
      <c r="C556" s="1" t="s">
        <v>160</v>
      </c>
      <c r="D556" s="1" t="s">
        <v>79</v>
      </c>
      <c r="E556" s="1" t="s">
        <v>91</v>
      </c>
      <c r="F556" s="1" t="n">
        <v>23</v>
      </c>
      <c r="G556" s="1" t="n">
        <v>20</v>
      </c>
      <c r="H556" s="1" t="s">
        <v>92</v>
      </c>
      <c r="I556" s="1" t="n">
        <v>-3</v>
      </c>
      <c r="J556" s="1" t="n">
        <v>45.5</v>
      </c>
      <c r="K556" s="1" t="s">
        <v>169</v>
      </c>
      <c r="L556" s="1" t="b">
        <f aca="false">FALSE()</f>
        <v>0</v>
      </c>
      <c r="M556" s="1" t="str">
        <f aca="false">VLOOKUP(D556,'Team Reference'!$A:$B,2,FALSE())</f>
        <v>IND</v>
      </c>
      <c r="N556" s="1" t="str">
        <f aca="false">VLOOKUP(E556,'Team Reference'!$A:$B,2,FALSE())</f>
        <v>MIN</v>
      </c>
      <c r="O556" s="1" t="str">
        <f aca="false">IF(F556&gt;G556,M556,IF(G556&gt;F556,N556,"Tie"))</f>
        <v>IND</v>
      </c>
      <c r="P556" s="1" t="n">
        <f aca="false">F556-G556</f>
        <v>3</v>
      </c>
      <c r="Q556" s="1" t="n">
        <f aca="false">F556+G556</f>
        <v>43</v>
      </c>
      <c r="R556" s="1" t="str">
        <f aca="false">IF(H556=M556,"Home",IF(H556=N556,"Away",IF(H556="PICK","Pick","N/A")))</f>
        <v>Away</v>
      </c>
      <c r="S556" s="1" t="n">
        <f aca="false">IF(R556="Home",P556,IF(R556="Away",-P556,""))</f>
        <v>-3</v>
      </c>
      <c r="T556" s="1" t="str">
        <f aca="false">IF(R556="Pick","No Line",IF(S556="","N/A",IF(S556+I556&gt;0,"Favorite Covered",IF(S556+I556&lt;0,"Underdog Covered","Push"))))</f>
        <v>Underdog Covered</v>
      </c>
      <c r="U556" s="1" t="str">
        <f aca="false">IF(Q556&gt;J556,"Over",IF(Q556&lt;J556,"Under","Push"))</f>
        <v>Under</v>
      </c>
    </row>
    <row r="557" customFormat="false" ht="15" hidden="false" customHeight="false" outlineLevel="0" collapsed="false">
      <c r="A557" s="1" t="s">
        <v>297</v>
      </c>
      <c r="B557" s="1" t="n">
        <v>2012</v>
      </c>
      <c r="C557" s="1" t="s">
        <v>160</v>
      </c>
      <c r="D557" s="1" t="s">
        <v>81</v>
      </c>
      <c r="E557" s="1" t="s">
        <v>77</v>
      </c>
      <c r="F557" s="1" t="n">
        <v>7</v>
      </c>
      <c r="G557" s="1" t="n">
        <v>27</v>
      </c>
      <c r="H557" s="1" t="s">
        <v>78</v>
      </c>
      <c r="I557" s="1" t="n">
        <v>-7</v>
      </c>
      <c r="J557" s="1" t="n">
        <v>40</v>
      </c>
      <c r="K557" s="1" t="s">
        <v>147</v>
      </c>
      <c r="L557" s="1" t="b">
        <f aca="false">FALSE()</f>
        <v>0</v>
      </c>
      <c r="M557" s="1" t="str">
        <f aca="false">VLOOKUP(D557,'Team Reference'!$A:$B,2,FALSE())</f>
        <v>JAX</v>
      </c>
      <c r="N557" s="1" t="str">
        <f aca="false">VLOOKUP(E557,'Team Reference'!$A:$B,2,FALSE())</f>
        <v>HOU</v>
      </c>
      <c r="O557" s="1" t="str">
        <f aca="false">IF(F557&gt;G557,M557,IF(G557&gt;F557,N557,"Tie"))</f>
        <v>HOU</v>
      </c>
      <c r="P557" s="1" t="n">
        <f aca="false">F557-G557</f>
        <v>-20</v>
      </c>
      <c r="Q557" s="1" t="n">
        <f aca="false">F557+G557</f>
        <v>34</v>
      </c>
      <c r="R557" s="1" t="str">
        <f aca="false">IF(H557=M557,"Home",IF(H557=N557,"Away",IF(H557="PICK","Pick","N/A")))</f>
        <v>Away</v>
      </c>
      <c r="S557" s="1" t="n">
        <f aca="false">IF(R557="Home",P557,IF(R557="Away",-P557,""))</f>
        <v>20</v>
      </c>
      <c r="T557" s="1" t="str">
        <f aca="false">IF(R557="Pick","No Line",IF(S557="","N/A",IF(S557+I557&gt;0,"Favorite Covered",IF(S557+I557&lt;0,"Underdog Covered","Push"))))</f>
        <v>Favorite Covered</v>
      </c>
      <c r="U557" s="1" t="str">
        <f aca="false">IF(Q557&gt;J557,"Over",IF(Q557&lt;J557,"Under","Push"))</f>
        <v>Under</v>
      </c>
    </row>
    <row r="558" customFormat="false" ht="15" hidden="false" customHeight="false" outlineLevel="0" collapsed="false">
      <c r="A558" s="1" t="s">
        <v>297</v>
      </c>
      <c r="B558" s="1" t="n">
        <v>2012</v>
      </c>
      <c r="C558" s="1" t="s">
        <v>160</v>
      </c>
      <c r="D558" s="1" t="s">
        <v>89</v>
      </c>
      <c r="E558" s="1" t="s">
        <v>101</v>
      </c>
      <c r="F558" s="1" t="n">
        <v>35</v>
      </c>
      <c r="G558" s="1" t="n">
        <v>13</v>
      </c>
      <c r="H558" s="1" t="s">
        <v>102</v>
      </c>
      <c r="I558" s="1" t="n">
        <v>-2</v>
      </c>
      <c r="J558" s="1" t="n">
        <v>41</v>
      </c>
      <c r="K558" s="1" t="s">
        <v>179</v>
      </c>
      <c r="L558" s="1" t="b">
        <f aca="false">FALSE()</f>
        <v>0</v>
      </c>
      <c r="M558" s="1" t="str">
        <f aca="false">VLOOKUP(D558,'Team Reference'!$A:$B,2,FALSE())</f>
        <v>MIA</v>
      </c>
      <c r="N558" s="1" t="str">
        <f aca="false">VLOOKUP(E558,'Team Reference'!$A:$B,2,FALSE())</f>
        <v>OAK</v>
      </c>
      <c r="O558" s="1" t="str">
        <f aca="false">IF(F558&gt;G558,M558,IF(G558&gt;F558,N558,"Tie"))</f>
        <v>MIA</v>
      </c>
      <c r="P558" s="1" t="n">
        <f aca="false">F558-G558</f>
        <v>22</v>
      </c>
      <c r="Q558" s="1" t="n">
        <f aca="false">F558+G558</f>
        <v>48</v>
      </c>
      <c r="R558" s="1" t="str">
        <f aca="false">IF(H558=M558,"Home",IF(H558=N558,"Away",IF(H558="PICK","Pick","N/A")))</f>
        <v>Away</v>
      </c>
      <c r="S558" s="1" t="n">
        <f aca="false">IF(R558="Home",P558,IF(R558="Away",-P558,""))</f>
        <v>-22</v>
      </c>
      <c r="T558" s="1" t="str">
        <f aca="false">IF(R558="Pick","No Line",IF(S558="","N/A",IF(S558+I558&gt;0,"Favorite Covered",IF(S558+I558&lt;0,"Underdog Covered","Push"))))</f>
        <v>Underdog Covered</v>
      </c>
      <c r="U558" s="1" t="str">
        <f aca="false">IF(Q558&gt;J558,"Over",IF(Q558&lt;J558,"Under","Push"))</f>
        <v>Over</v>
      </c>
    </row>
    <row r="559" customFormat="false" ht="15" hidden="false" customHeight="false" outlineLevel="0" collapsed="false">
      <c r="A559" s="1" t="s">
        <v>297</v>
      </c>
      <c r="B559" s="1" t="n">
        <v>2012</v>
      </c>
      <c r="C559" s="1" t="s">
        <v>160</v>
      </c>
      <c r="D559" s="1" t="s">
        <v>93</v>
      </c>
      <c r="E559" s="1" t="s">
        <v>53</v>
      </c>
      <c r="F559" s="1" t="n">
        <v>18</v>
      </c>
      <c r="G559" s="1" t="n">
        <v>20</v>
      </c>
      <c r="H559" s="1" t="s">
        <v>94</v>
      </c>
      <c r="I559" s="1" t="n">
        <v>-13.5</v>
      </c>
      <c r="J559" s="1" t="n">
        <v>47</v>
      </c>
      <c r="K559" s="1" t="s">
        <v>148</v>
      </c>
      <c r="L559" s="1" t="b">
        <f aca="false">FALSE()</f>
        <v>0</v>
      </c>
      <c r="M559" s="1" t="str">
        <f aca="false">VLOOKUP(D559,'Team Reference'!$A:$B,2,FALSE())</f>
        <v>NE</v>
      </c>
      <c r="N559" s="1" t="str">
        <f aca="false">VLOOKUP(E559,'Team Reference'!$A:$B,2,FALSE())</f>
        <v>ARI</v>
      </c>
      <c r="O559" s="1" t="str">
        <f aca="false">IF(F559&gt;G559,M559,IF(G559&gt;F559,N559,"Tie"))</f>
        <v>ARI</v>
      </c>
      <c r="P559" s="1" t="n">
        <f aca="false">F559-G559</f>
        <v>-2</v>
      </c>
      <c r="Q559" s="1" t="n">
        <f aca="false">F559+G559</f>
        <v>38</v>
      </c>
      <c r="R559" s="1" t="str">
        <f aca="false">IF(H559=M559,"Home",IF(H559=N559,"Away",IF(H559="PICK","Pick","N/A")))</f>
        <v>Home</v>
      </c>
      <c r="S559" s="1" t="n">
        <f aca="false">IF(R559="Home",P559,IF(R559="Away",-P559,""))</f>
        <v>-2</v>
      </c>
      <c r="T559" s="1" t="str">
        <f aca="false">IF(R559="Pick","No Line",IF(S559="","N/A",IF(S559+I559&gt;0,"Favorite Covered",IF(S559+I559&lt;0,"Underdog Covered","Push"))))</f>
        <v>Underdog Covered</v>
      </c>
      <c r="U559" s="1" t="str">
        <f aca="false">IF(Q559&gt;J559,"Over",IF(Q559&lt;J559,"Under","Push"))</f>
        <v>Under</v>
      </c>
    </row>
    <row r="560" customFormat="false" ht="15" hidden="false" customHeight="false" outlineLevel="0" collapsed="false">
      <c r="A560" s="1" t="s">
        <v>297</v>
      </c>
      <c r="B560" s="1" t="n">
        <v>2012</v>
      </c>
      <c r="C560" s="1" t="s">
        <v>160</v>
      </c>
      <c r="D560" s="1" t="s">
        <v>97</v>
      </c>
      <c r="E560" s="1" t="s">
        <v>113</v>
      </c>
      <c r="F560" s="1" t="n">
        <v>41</v>
      </c>
      <c r="G560" s="1" t="n">
        <v>34</v>
      </c>
      <c r="H560" s="1" t="s">
        <v>98</v>
      </c>
      <c r="I560" s="1" t="n">
        <v>-8</v>
      </c>
      <c r="J560" s="1" t="n">
        <v>43.5</v>
      </c>
      <c r="K560" s="1" t="s">
        <v>149</v>
      </c>
      <c r="L560" s="1" t="b">
        <f aca="false">FALSE()</f>
        <v>0</v>
      </c>
      <c r="M560" s="1" t="str">
        <f aca="false">VLOOKUP(D560,'Team Reference'!$A:$B,2,FALSE())</f>
        <v>NYG</v>
      </c>
      <c r="N560" s="1" t="str">
        <f aca="false">VLOOKUP(E560,'Team Reference'!$A:$B,2,FALSE())</f>
        <v>TB</v>
      </c>
      <c r="O560" s="1" t="str">
        <f aca="false">IF(F560&gt;G560,M560,IF(G560&gt;F560,N560,"Tie"))</f>
        <v>NYG</v>
      </c>
      <c r="P560" s="1" t="n">
        <f aca="false">F560-G560</f>
        <v>7</v>
      </c>
      <c r="Q560" s="1" t="n">
        <f aca="false">F560+G560</f>
        <v>75</v>
      </c>
      <c r="R560" s="1" t="str">
        <f aca="false">IF(H560=M560,"Home",IF(H560=N560,"Away",IF(H560="PICK","Pick","N/A")))</f>
        <v>Home</v>
      </c>
      <c r="S560" s="1" t="n">
        <f aca="false">IF(R560="Home",P560,IF(R560="Away",-P560,""))</f>
        <v>7</v>
      </c>
      <c r="T560" s="1" t="str">
        <f aca="false">IF(R560="Pick","No Line",IF(S560="","N/A",IF(S560+I560&gt;0,"Favorite Covered",IF(S560+I560&lt;0,"Underdog Covered","Push"))))</f>
        <v>Underdog Covered</v>
      </c>
      <c r="U560" s="1" t="str">
        <f aca="false">IF(Q560&gt;J560,"Over",IF(Q560&lt;J560,"Under","Push"))</f>
        <v>Over</v>
      </c>
    </row>
    <row r="561" customFormat="false" ht="15" hidden="false" customHeight="false" outlineLevel="0" collapsed="false">
      <c r="A561" s="1" t="s">
        <v>297</v>
      </c>
      <c r="B561" s="1" t="n">
        <v>2012</v>
      </c>
      <c r="C561" s="1" t="s">
        <v>160</v>
      </c>
      <c r="D561" s="1" t="s">
        <v>103</v>
      </c>
      <c r="E561" s="1" t="s">
        <v>57</v>
      </c>
      <c r="F561" s="1" t="n">
        <v>24</v>
      </c>
      <c r="G561" s="1" t="n">
        <v>23</v>
      </c>
      <c r="H561" s="1" t="s">
        <v>104</v>
      </c>
      <c r="I561" s="1" t="n">
        <v>-3</v>
      </c>
      <c r="J561" s="1" t="n">
        <v>47</v>
      </c>
      <c r="K561" s="1" t="s">
        <v>150</v>
      </c>
      <c r="L561" s="1" t="b">
        <f aca="false">FALSE()</f>
        <v>0</v>
      </c>
      <c r="M561" s="1" t="str">
        <f aca="false">VLOOKUP(D561,'Team Reference'!$A:$B,2,FALSE())</f>
        <v>PHI</v>
      </c>
      <c r="N561" s="1" t="str">
        <f aca="false">VLOOKUP(E561,'Team Reference'!$A:$B,2,FALSE())</f>
        <v>BAL</v>
      </c>
      <c r="O561" s="1" t="str">
        <f aca="false">IF(F561&gt;G561,M561,IF(G561&gt;F561,N561,"Tie"))</f>
        <v>PHI</v>
      </c>
      <c r="P561" s="1" t="n">
        <f aca="false">F561-G561</f>
        <v>1</v>
      </c>
      <c r="Q561" s="1" t="n">
        <f aca="false">F561+G561</f>
        <v>47</v>
      </c>
      <c r="R561" s="1" t="str">
        <f aca="false">IF(H561=M561,"Home",IF(H561=N561,"Away",IF(H561="PICK","Pick","N/A")))</f>
        <v>Home</v>
      </c>
      <c r="S561" s="1" t="n">
        <f aca="false">IF(R561="Home",P561,IF(R561="Away",-P561,""))</f>
        <v>1</v>
      </c>
      <c r="T561" s="1" t="str">
        <f aca="false">IF(R561="Pick","No Line",IF(S561="","N/A",IF(S561+I561&gt;0,"Favorite Covered",IF(S561+I561&lt;0,"Underdog Covered","Push"))))</f>
        <v>Underdog Covered</v>
      </c>
      <c r="U561" s="1" t="str">
        <f aca="false">IF(Q561&gt;J561,"Over",IF(Q561&lt;J561,"Under","Push"))</f>
        <v>Push</v>
      </c>
    </row>
    <row r="562" customFormat="false" ht="15" hidden="false" customHeight="false" outlineLevel="0" collapsed="false">
      <c r="A562" s="1" t="s">
        <v>297</v>
      </c>
      <c r="B562" s="1" t="n">
        <v>2012</v>
      </c>
      <c r="C562" s="1" t="s">
        <v>160</v>
      </c>
      <c r="D562" s="1" t="s">
        <v>105</v>
      </c>
      <c r="E562" s="1" t="s">
        <v>99</v>
      </c>
      <c r="F562" s="1" t="n">
        <v>27</v>
      </c>
      <c r="G562" s="1" t="n">
        <v>10</v>
      </c>
      <c r="H562" s="1" t="s">
        <v>106</v>
      </c>
      <c r="I562" s="1" t="n">
        <v>-4.5</v>
      </c>
      <c r="J562" s="1" t="n">
        <v>43</v>
      </c>
      <c r="K562" s="1" t="s">
        <v>151</v>
      </c>
      <c r="L562" s="1" t="b">
        <f aca="false">FALSE()</f>
        <v>0</v>
      </c>
      <c r="M562" s="1" t="str">
        <f aca="false">VLOOKUP(D562,'Team Reference'!$A:$B,2,FALSE())</f>
        <v>PIT</v>
      </c>
      <c r="N562" s="1" t="str">
        <f aca="false">VLOOKUP(E562,'Team Reference'!$A:$B,2,FALSE())</f>
        <v>NYJ</v>
      </c>
      <c r="O562" s="1" t="str">
        <f aca="false">IF(F562&gt;G562,M562,IF(G562&gt;F562,N562,"Tie"))</f>
        <v>PIT</v>
      </c>
      <c r="P562" s="1" t="n">
        <f aca="false">F562-G562</f>
        <v>17</v>
      </c>
      <c r="Q562" s="1" t="n">
        <f aca="false">F562+G562</f>
        <v>37</v>
      </c>
      <c r="R562" s="1" t="str">
        <f aca="false">IF(H562=M562,"Home",IF(H562=N562,"Away",IF(H562="PICK","Pick","N/A")))</f>
        <v>Home</v>
      </c>
      <c r="S562" s="1" t="n">
        <f aca="false">IF(R562="Home",P562,IF(R562="Away",-P562,""))</f>
        <v>17</v>
      </c>
      <c r="T562" s="1" t="str">
        <f aca="false">IF(R562="Pick","No Line",IF(S562="","N/A",IF(S562+I562&gt;0,"Favorite Covered",IF(S562+I562&lt;0,"Underdog Covered","Push"))))</f>
        <v>Favorite Covered</v>
      </c>
      <c r="U562" s="1" t="str">
        <f aca="false">IF(Q562&gt;J562,"Over",IF(Q562&lt;J562,"Under","Push"))</f>
        <v>Under</v>
      </c>
    </row>
    <row r="563" customFormat="false" ht="15" hidden="false" customHeight="false" outlineLevel="0" collapsed="false">
      <c r="A563" s="1" t="s">
        <v>297</v>
      </c>
      <c r="B563" s="1" t="n">
        <v>2012</v>
      </c>
      <c r="C563" s="1" t="s">
        <v>160</v>
      </c>
      <c r="D563" s="1" t="s">
        <v>107</v>
      </c>
      <c r="E563" s="1" t="s">
        <v>115</v>
      </c>
      <c r="F563" s="1" t="n">
        <v>38</v>
      </c>
      <c r="G563" s="1" t="n">
        <v>10</v>
      </c>
      <c r="H563" s="1" t="s">
        <v>86</v>
      </c>
      <c r="I563" s="1" t="n">
        <v>-6</v>
      </c>
      <c r="J563" s="1" t="n">
        <v>43.5</v>
      </c>
      <c r="K563" s="1" t="s">
        <v>172</v>
      </c>
      <c r="L563" s="1" t="b">
        <f aca="false">FALSE()</f>
        <v>0</v>
      </c>
      <c r="M563" s="1" t="str">
        <f aca="false">VLOOKUP(D563,'Team Reference'!$A:$B,2,FALSE())</f>
        <v>LAC</v>
      </c>
      <c r="N563" s="1" t="str">
        <f aca="false">VLOOKUP(E563,'Team Reference'!$A:$B,2,FALSE())</f>
        <v>TEN</v>
      </c>
      <c r="O563" s="1" t="str">
        <f aca="false">IF(F563&gt;G563,M563,IF(G563&gt;F563,N563,"Tie"))</f>
        <v>LAC</v>
      </c>
      <c r="P563" s="1" t="n">
        <f aca="false">F563-G563</f>
        <v>28</v>
      </c>
      <c r="Q563" s="1" t="n">
        <f aca="false">F563+G563</f>
        <v>48</v>
      </c>
      <c r="R563" s="1" t="str">
        <f aca="false">IF(H563=M563,"Home",IF(H563=N563,"Away",IF(H563="PICK","Pick","N/A")))</f>
        <v>Home</v>
      </c>
      <c r="S563" s="1" t="n">
        <f aca="false">IF(R563="Home",P563,IF(R563="Away",-P563,""))</f>
        <v>28</v>
      </c>
      <c r="T563" s="1" t="str">
        <f aca="false">IF(R563="Pick","No Line",IF(S563="","N/A",IF(S563+I563&gt;0,"Favorite Covered",IF(S563+I563&lt;0,"Underdog Covered","Push"))))</f>
        <v>Favorite Covered</v>
      </c>
      <c r="U563" s="1" t="str">
        <f aca="false">IF(Q563&gt;J563,"Over",IF(Q563&lt;J563,"Under","Push"))</f>
        <v>Over</v>
      </c>
    </row>
    <row r="564" customFormat="false" ht="15" hidden="false" customHeight="false" outlineLevel="0" collapsed="false">
      <c r="A564" s="1" t="s">
        <v>297</v>
      </c>
      <c r="B564" s="1" t="n">
        <v>2012</v>
      </c>
      <c r="C564" s="1" t="s">
        <v>160</v>
      </c>
      <c r="D564" s="1" t="s">
        <v>108</v>
      </c>
      <c r="E564" s="1" t="s">
        <v>73</v>
      </c>
      <c r="F564" s="1" t="n">
        <v>27</v>
      </c>
      <c r="G564" s="1" t="n">
        <v>19</v>
      </c>
      <c r="H564" s="1" t="s">
        <v>109</v>
      </c>
      <c r="I564" s="1" t="n">
        <v>-7</v>
      </c>
      <c r="J564" s="1" t="n">
        <v>46</v>
      </c>
      <c r="K564" s="1" t="s">
        <v>174</v>
      </c>
      <c r="L564" s="1" t="b">
        <f aca="false">FALSE()</f>
        <v>0</v>
      </c>
      <c r="M564" s="1" t="str">
        <f aca="false">VLOOKUP(D564,'Team Reference'!$A:$B,2,FALSE())</f>
        <v>SF</v>
      </c>
      <c r="N564" s="1" t="str">
        <f aca="false">VLOOKUP(E564,'Team Reference'!$A:$B,2,FALSE())</f>
        <v>DET</v>
      </c>
      <c r="O564" s="1" t="str">
        <f aca="false">IF(F564&gt;G564,M564,IF(G564&gt;F564,N564,"Tie"))</f>
        <v>SF</v>
      </c>
      <c r="P564" s="1" t="n">
        <f aca="false">F564-G564</f>
        <v>8</v>
      </c>
      <c r="Q564" s="1" t="n">
        <f aca="false">F564+G564</f>
        <v>46</v>
      </c>
      <c r="R564" s="1" t="str">
        <f aca="false">IF(H564=M564,"Home",IF(H564=N564,"Away",IF(H564="PICK","Pick","N/A")))</f>
        <v>Home</v>
      </c>
      <c r="S564" s="1" t="n">
        <f aca="false">IF(R564="Home",P564,IF(R564="Away",-P564,""))</f>
        <v>8</v>
      </c>
      <c r="T564" s="1" t="str">
        <f aca="false">IF(R564="Pick","No Line",IF(S564="","N/A",IF(S564+I564&gt;0,"Favorite Covered",IF(S564+I564&lt;0,"Underdog Covered","Push"))))</f>
        <v>Favorite Covered</v>
      </c>
      <c r="U564" s="1" t="str">
        <f aca="false">IF(Q564&gt;J564,"Over",IF(Q564&lt;J564,"Under","Push"))</f>
        <v>Push</v>
      </c>
    </row>
    <row r="565" customFormat="false" ht="15" hidden="false" customHeight="false" outlineLevel="0" collapsed="false">
      <c r="A565" s="1" t="s">
        <v>297</v>
      </c>
      <c r="B565" s="1" t="n">
        <v>2012</v>
      </c>
      <c r="C565" s="1" t="s">
        <v>160</v>
      </c>
      <c r="D565" s="1" t="s">
        <v>110</v>
      </c>
      <c r="E565" s="1" t="s">
        <v>69</v>
      </c>
      <c r="F565" s="1" t="n">
        <v>27</v>
      </c>
      <c r="G565" s="1" t="n">
        <v>7</v>
      </c>
      <c r="H565" s="1" t="s">
        <v>70</v>
      </c>
      <c r="I565" s="1" t="n">
        <v>-3</v>
      </c>
      <c r="J565" s="1" t="n">
        <v>43</v>
      </c>
      <c r="K565" s="1" t="s">
        <v>152</v>
      </c>
      <c r="L565" s="1" t="b">
        <f aca="false">FALSE()</f>
        <v>0</v>
      </c>
      <c r="M565" s="1" t="str">
        <f aca="false">VLOOKUP(D565,'Team Reference'!$A:$B,2,FALSE())</f>
        <v>SEA</v>
      </c>
      <c r="N565" s="1" t="str">
        <f aca="false">VLOOKUP(E565,'Team Reference'!$A:$B,2,FALSE())</f>
        <v>DAL</v>
      </c>
      <c r="O565" s="1" t="str">
        <f aca="false">IF(F565&gt;G565,M565,IF(G565&gt;F565,N565,"Tie"))</f>
        <v>SEA</v>
      </c>
      <c r="P565" s="1" t="n">
        <f aca="false">F565-G565</f>
        <v>20</v>
      </c>
      <c r="Q565" s="1" t="n">
        <f aca="false">F565+G565</f>
        <v>34</v>
      </c>
      <c r="R565" s="1" t="str">
        <f aca="false">IF(H565=M565,"Home",IF(H565=N565,"Away",IF(H565="PICK","Pick","N/A")))</f>
        <v>Away</v>
      </c>
      <c r="S565" s="1" t="n">
        <f aca="false">IF(R565="Home",P565,IF(R565="Away",-P565,""))</f>
        <v>-20</v>
      </c>
      <c r="T565" s="1" t="str">
        <f aca="false">IF(R565="Pick","No Line",IF(S565="","N/A",IF(S565+I565&gt;0,"Favorite Covered",IF(S565+I565&lt;0,"Underdog Covered","Push"))))</f>
        <v>Underdog Covered</v>
      </c>
      <c r="U565" s="1" t="str">
        <f aca="false">IF(Q565&gt;J565,"Over",IF(Q565&lt;J565,"Under","Push"))</f>
        <v>Under</v>
      </c>
    </row>
    <row r="566" customFormat="false" ht="15" hidden="false" customHeight="false" outlineLevel="0" collapsed="false">
      <c r="A566" s="1" t="s">
        <v>297</v>
      </c>
      <c r="B566" s="1" t="n">
        <v>2012</v>
      </c>
      <c r="C566" s="1" t="s">
        <v>160</v>
      </c>
      <c r="D566" s="1" t="s">
        <v>112</v>
      </c>
      <c r="E566" s="1" t="s">
        <v>117</v>
      </c>
      <c r="F566" s="1" t="n">
        <v>31</v>
      </c>
      <c r="G566" s="1" t="n">
        <v>28</v>
      </c>
      <c r="H566" s="1" t="s">
        <v>118</v>
      </c>
      <c r="I566" s="1" t="n">
        <v>-3.5</v>
      </c>
      <c r="J566" s="1" t="n">
        <v>42.5</v>
      </c>
      <c r="K566" s="1" t="s">
        <v>153</v>
      </c>
      <c r="L566" s="1" t="b">
        <f aca="false">FALSE()</f>
        <v>0</v>
      </c>
      <c r="M566" s="1" t="str">
        <f aca="false">VLOOKUP(D566,'Team Reference'!$A:$B,2,FALSE())</f>
        <v>LAR</v>
      </c>
      <c r="N566" s="1" t="str">
        <f aca="false">VLOOKUP(E566,'Team Reference'!$A:$B,2,FALSE())</f>
        <v>WAS</v>
      </c>
      <c r="O566" s="1" t="str">
        <f aca="false">IF(F566&gt;G566,M566,IF(G566&gt;F566,N566,"Tie"))</f>
        <v>LAR</v>
      </c>
      <c r="P566" s="1" t="n">
        <f aca="false">F566-G566</f>
        <v>3</v>
      </c>
      <c r="Q566" s="1" t="n">
        <f aca="false">F566+G566</f>
        <v>59</v>
      </c>
      <c r="R566" s="1" t="str">
        <f aca="false">IF(H566=M566,"Home",IF(H566=N566,"Away",IF(H566="PICK","Pick","N/A")))</f>
        <v>Away</v>
      </c>
      <c r="S566" s="1" t="n">
        <f aca="false">IF(R566="Home",P566,IF(R566="Away",-P566,""))</f>
        <v>-3</v>
      </c>
      <c r="T566" s="1" t="str">
        <f aca="false">IF(R566="Pick","No Line",IF(S566="","N/A",IF(S566+I566&gt;0,"Favorite Covered",IF(S566+I566&lt;0,"Underdog Covered","Push"))))</f>
        <v>Underdog Covered</v>
      </c>
      <c r="U566" s="1" t="str">
        <f aca="false">IF(Q566&gt;J566,"Over",IF(Q566&lt;J566,"Under","Push"))</f>
        <v>Over</v>
      </c>
    </row>
    <row r="567" customFormat="false" ht="15" hidden="false" customHeight="false" outlineLevel="0" collapsed="false">
      <c r="A567" s="1" t="s">
        <v>298</v>
      </c>
      <c r="B567" s="1" t="n">
        <v>2012</v>
      </c>
      <c r="C567" s="1" t="s">
        <v>160</v>
      </c>
      <c r="D567" s="1" t="s">
        <v>55</v>
      </c>
      <c r="E567" s="1" t="s">
        <v>71</v>
      </c>
      <c r="F567" s="1" t="n">
        <v>27</v>
      </c>
      <c r="G567" s="1" t="n">
        <v>21</v>
      </c>
      <c r="H567" s="1" t="s">
        <v>56</v>
      </c>
      <c r="I567" s="1" t="n">
        <v>-3</v>
      </c>
      <c r="J567" s="1" t="n">
        <v>50.5</v>
      </c>
      <c r="K567" s="1" t="s">
        <v>161</v>
      </c>
      <c r="L567" s="1" t="b">
        <f aca="false">FALSE()</f>
        <v>0</v>
      </c>
      <c r="M567" s="1" t="str">
        <f aca="false">VLOOKUP(D567,'Team Reference'!$A:$B,2,FALSE())</f>
        <v>ATL</v>
      </c>
      <c r="N567" s="1" t="str">
        <f aca="false">VLOOKUP(E567,'Team Reference'!$A:$B,2,FALSE())</f>
        <v>DEN</v>
      </c>
      <c r="O567" s="1" t="str">
        <f aca="false">IF(F567&gt;G567,M567,IF(G567&gt;F567,N567,"Tie"))</f>
        <v>ATL</v>
      </c>
      <c r="P567" s="1" t="n">
        <f aca="false">F567-G567</f>
        <v>6</v>
      </c>
      <c r="Q567" s="1" t="n">
        <f aca="false">F567+G567</f>
        <v>48</v>
      </c>
      <c r="R567" s="1" t="str">
        <f aca="false">IF(H567=M567,"Home",IF(H567=N567,"Away",IF(H567="PICK","Pick","N/A")))</f>
        <v>Home</v>
      </c>
      <c r="S567" s="1" t="n">
        <f aca="false">IF(R567="Home",P567,IF(R567="Away",-P567,""))</f>
        <v>6</v>
      </c>
      <c r="T567" s="1" t="str">
        <f aca="false">IF(R567="Pick","No Line",IF(S567="","N/A",IF(S567+I567&gt;0,"Favorite Covered",IF(S567+I567&lt;0,"Underdog Covered","Push"))))</f>
        <v>Favorite Covered</v>
      </c>
      <c r="U567" s="1" t="str">
        <f aca="false">IF(Q567&gt;J567,"Over",IF(Q567&lt;J567,"Under","Push"))</f>
        <v>Under</v>
      </c>
    </row>
    <row r="568" customFormat="false" ht="15" hidden="false" customHeight="false" outlineLevel="0" collapsed="false">
      <c r="A568" s="1" t="s">
        <v>299</v>
      </c>
      <c r="B568" s="1" t="n">
        <v>2012</v>
      </c>
      <c r="C568" s="1" t="s">
        <v>176</v>
      </c>
      <c r="D568" s="1" t="s">
        <v>61</v>
      </c>
      <c r="E568" s="1" t="s">
        <v>97</v>
      </c>
      <c r="F568" s="1" t="n">
        <v>7</v>
      </c>
      <c r="G568" s="1" t="n">
        <v>36</v>
      </c>
      <c r="H568" s="1" t="s">
        <v>62</v>
      </c>
      <c r="I568" s="1" t="n">
        <v>-3</v>
      </c>
      <c r="J568" s="1" t="n">
        <v>49</v>
      </c>
      <c r="K568" s="1" t="s">
        <v>162</v>
      </c>
      <c r="L568" s="1" t="b">
        <f aca="false">FALSE()</f>
        <v>0</v>
      </c>
      <c r="M568" s="1" t="str">
        <f aca="false">VLOOKUP(D568,'Team Reference'!$A:$B,2,FALSE())</f>
        <v>CAR</v>
      </c>
      <c r="N568" s="1" t="str">
        <f aca="false">VLOOKUP(E568,'Team Reference'!$A:$B,2,FALSE())</f>
        <v>NYG</v>
      </c>
      <c r="O568" s="1" t="str">
        <f aca="false">IF(F568&gt;G568,M568,IF(G568&gt;F568,N568,"Tie"))</f>
        <v>NYG</v>
      </c>
      <c r="P568" s="1" t="n">
        <f aca="false">F568-G568</f>
        <v>-29</v>
      </c>
      <c r="Q568" s="1" t="n">
        <f aca="false">F568+G568</f>
        <v>43</v>
      </c>
      <c r="R568" s="1" t="str">
        <f aca="false">IF(H568=M568,"Home",IF(H568=N568,"Away",IF(H568="PICK","Pick","N/A")))</f>
        <v>Home</v>
      </c>
      <c r="S568" s="1" t="n">
        <f aca="false">IF(R568="Home",P568,IF(R568="Away",-P568,""))</f>
        <v>-29</v>
      </c>
      <c r="T568" s="1" t="str">
        <f aca="false">IF(R568="Pick","No Line",IF(S568="","N/A",IF(S568+I568&gt;0,"Favorite Covered",IF(S568+I568&lt;0,"Underdog Covered","Push"))))</f>
        <v>Underdog Covered</v>
      </c>
      <c r="U568" s="1" t="str">
        <f aca="false">IF(Q568&gt;J568,"Over",IF(Q568&lt;J568,"Under","Push"))</f>
        <v>Under</v>
      </c>
    </row>
    <row r="569" customFormat="false" ht="15" hidden="false" customHeight="false" outlineLevel="0" collapsed="false">
      <c r="A569" s="1" t="s">
        <v>300</v>
      </c>
      <c r="B569" s="1" t="n">
        <v>2012</v>
      </c>
      <c r="C569" s="1" t="s">
        <v>176</v>
      </c>
      <c r="D569" s="1" t="s">
        <v>53</v>
      </c>
      <c r="E569" s="1" t="s">
        <v>103</v>
      </c>
      <c r="F569" s="1" t="n">
        <v>27</v>
      </c>
      <c r="G569" s="1" t="n">
        <v>6</v>
      </c>
      <c r="H569" s="1" t="s">
        <v>104</v>
      </c>
      <c r="I569" s="1" t="n">
        <v>-3</v>
      </c>
      <c r="J569" s="1" t="n">
        <v>42</v>
      </c>
      <c r="K569" s="1" t="s">
        <v>177</v>
      </c>
      <c r="L569" s="1" t="b">
        <f aca="false">FALSE()</f>
        <v>0</v>
      </c>
      <c r="M569" s="1" t="str">
        <f aca="false">VLOOKUP(D569,'Team Reference'!$A:$B,2,FALSE())</f>
        <v>ARI</v>
      </c>
      <c r="N569" s="1" t="str">
        <f aca="false">VLOOKUP(E569,'Team Reference'!$A:$B,2,FALSE())</f>
        <v>PHI</v>
      </c>
      <c r="O569" s="1" t="str">
        <f aca="false">IF(F569&gt;G569,M569,IF(G569&gt;F569,N569,"Tie"))</f>
        <v>ARI</v>
      </c>
      <c r="P569" s="1" t="n">
        <f aca="false">F569-G569</f>
        <v>21</v>
      </c>
      <c r="Q569" s="1" t="n">
        <f aca="false">F569+G569</f>
        <v>33</v>
      </c>
      <c r="R569" s="1" t="str">
        <f aca="false">IF(H569=M569,"Home",IF(H569=N569,"Away",IF(H569="PICK","Pick","N/A")))</f>
        <v>Away</v>
      </c>
      <c r="S569" s="1" t="n">
        <f aca="false">IF(R569="Home",P569,IF(R569="Away",-P569,""))</f>
        <v>-21</v>
      </c>
      <c r="T569" s="1" t="str">
        <f aca="false">IF(R569="Pick","No Line",IF(S569="","N/A",IF(S569+I569&gt;0,"Favorite Covered",IF(S569+I569&lt;0,"Underdog Covered","Push"))))</f>
        <v>Underdog Covered</v>
      </c>
      <c r="U569" s="1" t="str">
        <f aca="false">IF(Q569&gt;J569,"Over",IF(Q569&lt;J569,"Under","Push"))</f>
        <v>Under</v>
      </c>
    </row>
    <row r="570" customFormat="false" ht="15" hidden="false" customHeight="false" outlineLevel="0" collapsed="false">
      <c r="A570" s="1" t="s">
        <v>300</v>
      </c>
      <c r="B570" s="1" t="n">
        <v>2012</v>
      </c>
      <c r="C570" s="1" t="s">
        <v>176</v>
      </c>
      <c r="D570" s="1" t="s">
        <v>57</v>
      </c>
      <c r="E570" s="1" t="s">
        <v>93</v>
      </c>
      <c r="F570" s="1" t="n">
        <v>31</v>
      </c>
      <c r="G570" s="1" t="n">
        <v>30</v>
      </c>
      <c r="H570" s="1" t="s">
        <v>58</v>
      </c>
      <c r="I570" s="1" t="n">
        <v>-3</v>
      </c>
      <c r="J570" s="1" t="n">
        <v>48</v>
      </c>
      <c r="K570" s="1" t="s">
        <v>178</v>
      </c>
      <c r="L570" s="1" t="b">
        <f aca="false">FALSE()</f>
        <v>0</v>
      </c>
      <c r="M570" s="1" t="str">
        <f aca="false">VLOOKUP(D570,'Team Reference'!$A:$B,2,FALSE())</f>
        <v>BAL</v>
      </c>
      <c r="N570" s="1" t="str">
        <f aca="false">VLOOKUP(E570,'Team Reference'!$A:$B,2,FALSE())</f>
        <v>NE</v>
      </c>
      <c r="O570" s="1" t="str">
        <f aca="false">IF(F570&gt;G570,M570,IF(G570&gt;F570,N570,"Tie"))</f>
        <v>BAL</v>
      </c>
      <c r="P570" s="1" t="n">
        <f aca="false">F570-G570</f>
        <v>1</v>
      </c>
      <c r="Q570" s="1" t="n">
        <f aca="false">F570+G570</f>
        <v>61</v>
      </c>
      <c r="R570" s="1" t="str">
        <f aca="false">IF(H570=M570,"Home",IF(H570=N570,"Away",IF(H570="PICK","Pick","N/A")))</f>
        <v>Home</v>
      </c>
      <c r="S570" s="1" t="n">
        <f aca="false">IF(R570="Home",P570,IF(R570="Away",-P570,""))</f>
        <v>1</v>
      </c>
      <c r="T570" s="1" t="str">
        <f aca="false">IF(R570="Pick","No Line",IF(S570="","N/A",IF(S570+I570&gt;0,"Favorite Covered",IF(S570+I570&lt;0,"Underdog Covered","Push"))))</f>
        <v>Underdog Covered</v>
      </c>
      <c r="U570" s="1" t="str">
        <f aca="false">IF(Q570&gt;J570,"Over",IF(Q570&lt;J570,"Under","Push"))</f>
        <v>Over</v>
      </c>
    </row>
    <row r="571" customFormat="false" ht="15" hidden="false" customHeight="false" outlineLevel="0" collapsed="false">
      <c r="A571" s="1" t="s">
        <v>300</v>
      </c>
      <c r="B571" s="1" t="n">
        <v>2012</v>
      </c>
      <c r="C571" s="1" t="s">
        <v>176</v>
      </c>
      <c r="D571" s="1" t="s">
        <v>63</v>
      </c>
      <c r="E571" s="1" t="s">
        <v>112</v>
      </c>
      <c r="F571" s="1" t="n">
        <v>23</v>
      </c>
      <c r="G571" s="1" t="n">
        <v>6</v>
      </c>
      <c r="H571" s="1" t="s">
        <v>64</v>
      </c>
      <c r="I571" s="1" t="n">
        <v>-7</v>
      </c>
      <c r="J571" s="1" t="n">
        <v>42</v>
      </c>
      <c r="K571" s="1" t="s">
        <v>145</v>
      </c>
      <c r="L571" s="1" t="b">
        <f aca="false">FALSE()</f>
        <v>0</v>
      </c>
      <c r="M571" s="1" t="str">
        <f aca="false">VLOOKUP(D571,'Team Reference'!$A:$B,2,FALSE())</f>
        <v>CHI</v>
      </c>
      <c r="N571" s="1" t="str">
        <f aca="false">VLOOKUP(E571,'Team Reference'!$A:$B,2,FALSE())</f>
        <v>LAR</v>
      </c>
      <c r="O571" s="1" t="str">
        <f aca="false">IF(F571&gt;G571,M571,IF(G571&gt;F571,N571,"Tie"))</f>
        <v>CHI</v>
      </c>
      <c r="P571" s="1" t="n">
        <f aca="false">F571-G571</f>
        <v>17</v>
      </c>
      <c r="Q571" s="1" t="n">
        <f aca="false">F571+G571</f>
        <v>29</v>
      </c>
      <c r="R571" s="1" t="str">
        <f aca="false">IF(H571=M571,"Home",IF(H571=N571,"Away",IF(H571="PICK","Pick","N/A")))</f>
        <v>Home</v>
      </c>
      <c r="S571" s="1" t="n">
        <f aca="false">IF(R571="Home",P571,IF(R571="Away",-P571,""))</f>
        <v>17</v>
      </c>
      <c r="T571" s="1" t="str">
        <f aca="false">IF(R571="Pick","No Line",IF(S571="","N/A",IF(S571+I571&gt;0,"Favorite Covered",IF(S571+I571&lt;0,"Underdog Covered","Push"))))</f>
        <v>Favorite Covered</v>
      </c>
      <c r="U571" s="1" t="str">
        <f aca="false">IF(Q571&gt;J571,"Over",IF(Q571&lt;J571,"Under","Push"))</f>
        <v>Under</v>
      </c>
    </row>
    <row r="572" customFormat="false" ht="15" hidden="false" customHeight="false" outlineLevel="0" collapsed="false">
      <c r="A572" s="1" t="s">
        <v>300</v>
      </c>
      <c r="B572" s="1" t="n">
        <v>2012</v>
      </c>
      <c r="C572" s="1" t="s">
        <v>176</v>
      </c>
      <c r="D572" s="1" t="s">
        <v>67</v>
      </c>
      <c r="E572" s="1" t="s">
        <v>59</v>
      </c>
      <c r="F572" s="1" t="n">
        <v>14</v>
      </c>
      <c r="G572" s="1" t="n">
        <v>24</v>
      </c>
      <c r="H572" s="1" t="s">
        <v>60</v>
      </c>
      <c r="I572" s="1" t="n">
        <v>-3</v>
      </c>
      <c r="J572" s="1" t="n">
        <v>45</v>
      </c>
      <c r="K572" s="1" t="s">
        <v>164</v>
      </c>
      <c r="L572" s="1" t="b">
        <f aca="false">FALSE()</f>
        <v>0</v>
      </c>
      <c r="M572" s="1" t="str">
        <f aca="false">VLOOKUP(D572,'Team Reference'!$A:$B,2,FALSE())</f>
        <v>CLE</v>
      </c>
      <c r="N572" s="1" t="str">
        <f aca="false">VLOOKUP(E572,'Team Reference'!$A:$B,2,FALSE())</f>
        <v>BUF</v>
      </c>
      <c r="O572" s="1" t="str">
        <f aca="false">IF(F572&gt;G572,M572,IF(G572&gt;F572,N572,"Tie"))</f>
        <v>BUF</v>
      </c>
      <c r="P572" s="1" t="n">
        <f aca="false">F572-G572</f>
        <v>-10</v>
      </c>
      <c r="Q572" s="1" t="n">
        <f aca="false">F572+G572</f>
        <v>38</v>
      </c>
      <c r="R572" s="1" t="str">
        <f aca="false">IF(H572=M572,"Home",IF(H572=N572,"Away",IF(H572="PICK","Pick","N/A")))</f>
        <v>Away</v>
      </c>
      <c r="S572" s="1" t="n">
        <f aca="false">IF(R572="Home",P572,IF(R572="Away",-P572,""))</f>
        <v>10</v>
      </c>
      <c r="T572" s="1" t="str">
        <f aca="false">IF(R572="Pick","No Line",IF(S572="","N/A",IF(S572+I572&gt;0,"Favorite Covered",IF(S572+I572&lt;0,"Underdog Covered","Push"))))</f>
        <v>Favorite Covered</v>
      </c>
      <c r="U572" s="1" t="str">
        <f aca="false">IF(Q572&gt;J572,"Over",IF(Q572&lt;J572,"Under","Push"))</f>
        <v>Under</v>
      </c>
    </row>
    <row r="573" customFormat="false" ht="15" hidden="false" customHeight="false" outlineLevel="0" collapsed="false">
      <c r="A573" s="1" t="s">
        <v>300</v>
      </c>
      <c r="B573" s="1" t="n">
        <v>2012</v>
      </c>
      <c r="C573" s="1" t="s">
        <v>176</v>
      </c>
      <c r="D573" s="1" t="s">
        <v>69</v>
      </c>
      <c r="E573" s="1" t="s">
        <v>113</v>
      </c>
      <c r="F573" s="1" t="n">
        <v>16</v>
      </c>
      <c r="G573" s="1" t="n">
        <v>10</v>
      </c>
      <c r="H573" s="1" t="s">
        <v>70</v>
      </c>
      <c r="I573" s="1" t="n">
        <v>-7</v>
      </c>
      <c r="J573" s="1" t="n">
        <v>45.5</v>
      </c>
      <c r="K573" s="1" t="s">
        <v>165</v>
      </c>
      <c r="L573" s="1" t="b">
        <f aca="false">FALSE()</f>
        <v>0</v>
      </c>
      <c r="M573" s="1" t="str">
        <f aca="false">VLOOKUP(D573,'Team Reference'!$A:$B,2,FALSE())</f>
        <v>DAL</v>
      </c>
      <c r="N573" s="1" t="str">
        <f aca="false">VLOOKUP(E573,'Team Reference'!$A:$B,2,FALSE())</f>
        <v>TB</v>
      </c>
      <c r="O573" s="1" t="str">
        <f aca="false">IF(F573&gt;G573,M573,IF(G573&gt;F573,N573,"Tie"))</f>
        <v>DAL</v>
      </c>
      <c r="P573" s="1" t="n">
        <f aca="false">F573-G573</f>
        <v>6</v>
      </c>
      <c r="Q573" s="1" t="n">
        <f aca="false">F573+G573</f>
        <v>26</v>
      </c>
      <c r="R573" s="1" t="str">
        <f aca="false">IF(H573=M573,"Home",IF(H573=N573,"Away",IF(H573="PICK","Pick","N/A")))</f>
        <v>Home</v>
      </c>
      <c r="S573" s="1" t="n">
        <f aca="false">IF(R573="Home",P573,IF(R573="Away",-P573,""))</f>
        <v>6</v>
      </c>
      <c r="T573" s="1" t="str">
        <f aca="false">IF(R573="Pick","No Line",IF(S573="","N/A",IF(S573+I573&gt;0,"Favorite Covered",IF(S573+I573&lt;0,"Underdog Covered","Push"))))</f>
        <v>Underdog Covered</v>
      </c>
      <c r="U573" s="1" t="str">
        <f aca="false">IF(Q573&gt;J573,"Over",IF(Q573&lt;J573,"Under","Push"))</f>
        <v>Under</v>
      </c>
    </row>
    <row r="574" customFormat="false" ht="15" hidden="false" customHeight="false" outlineLevel="0" collapsed="false">
      <c r="A574" s="1" t="s">
        <v>300</v>
      </c>
      <c r="B574" s="1" t="n">
        <v>2012</v>
      </c>
      <c r="C574" s="1" t="s">
        <v>176</v>
      </c>
      <c r="D574" s="1" t="s">
        <v>71</v>
      </c>
      <c r="E574" s="1" t="s">
        <v>77</v>
      </c>
      <c r="F574" s="1" t="n">
        <v>25</v>
      </c>
      <c r="G574" s="1" t="n">
        <v>31</v>
      </c>
      <c r="H574" s="1" t="s">
        <v>78</v>
      </c>
      <c r="I574" s="1" t="n">
        <v>-1.5</v>
      </c>
      <c r="J574" s="1" t="n">
        <v>43.5</v>
      </c>
      <c r="K574" s="1" t="s">
        <v>166</v>
      </c>
      <c r="L574" s="1" t="b">
        <f aca="false">FALSE()</f>
        <v>0</v>
      </c>
      <c r="M574" s="1" t="str">
        <f aca="false">VLOOKUP(D574,'Team Reference'!$A:$B,2,FALSE())</f>
        <v>DEN</v>
      </c>
      <c r="N574" s="1" t="str">
        <f aca="false">VLOOKUP(E574,'Team Reference'!$A:$B,2,FALSE())</f>
        <v>HOU</v>
      </c>
      <c r="O574" s="1" t="str">
        <f aca="false">IF(F574&gt;G574,M574,IF(G574&gt;F574,N574,"Tie"))</f>
        <v>HOU</v>
      </c>
      <c r="P574" s="1" t="n">
        <f aca="false">F574-G574</f>
        <v>-6</v>
      </c>
      <c r="Q574" s="1" t="n">
        <f aca="false">F574+G574</f>
        <v>56</v>
      </c>
      <c r="R574" s="1" t="str">
        <f aca="false">IF(H574=M574,"Home",IF(H574=N574,"Away",IF(H574="PICK","Pick","N/A")))</f>
        <v>Away</v>
      </c>
      <c r="S574" s="1" t="n">
        <f aca="false">IF(R574="Home",P574,IF(R574="Away",-P574,""))</f>
        <v>6</v>
      </c>
      <c r="T574" s="1" t="str">
        <f aca="false">IF(R574="Pick","No Line",IF(S574="","N/A",IF(S574+I574&gt;0,"Favorite Covered",IF(S574+I574&lt;0,"Underdog Covered","Push"))))</f>
        <v>Favorite Covered</v>
      </c>
      <c r="U574" s="1" t="str">
        <f aca="false">IF(Q574&gt;J574,"Over",IF(Q574&lt;J574,"Under","Push"))</f>
        <v>Over</v>
      </c>
    </row>
    <row r="575" customFormat="false" ht="15" hidden="false" customHeight="false" outlineLevel="0" collapsed="false">
      <c r="A575" s="1" t="s">
        <v>300</v>
      </c>
      <c r="B575" s="1" t="n">
        <v>2012</v>
      </c>
      <c r="C575" s="1" t="s">
        <v>176</v>
      </c>
      <c r="D575" s="1" t="s">
        <v>79</v>
      </c>
      <c r="E575" s="1" t="s">
        <v>81</v>
      </c>
      <c r="F575" s="1" t="n">
        <v>17</v>
      </c>
      <c r="G575" s="1" t="n">
        <v>22</v>
      </c>
      <c r="H575" s="1" t="s">
        <v>80</v>
      </c>
      <c r="I575" s="1" t="n">
        <v>-3</v>
      </c>
      <c r="J575" s="1" t="n">
        <v>42</v>
      </c>
      <c r="K575" s="1" t="s">
        <v>169</v>
      </c>
      <c r="L575" s="1" t="b">
        <f aca="false">FALSE()</f>
        <v>0</v>
      </c>
      <c r="M575" s="1" t="str">
        <f aca="false">VLOOKUP(D575,'Team Reference'!$A:$B,2,FALSE())</f>
        <v>IND</v>
      </c>
      <c r="N575" s="1" t="str">
        <f aca="false">VLOOKUP(E575,'Team Reference'!$A:$B,2,FALSE())</f>
        <v>JAX</v>
      </c>
      <c r="O575" s="1" t="str">
        <f aca="false">IF(F575&gt;G575,M575,IF(G575&gt;F575,N575,"Tie"))</f>
        <v>JAX</v>
      </c>
      <c r="P575" s="1" t="n">
        <f aca="false">F575-G575</f>
        <v>-5</v>
      </c>
      <c r="Q575" s="1" t="n">
        <f aca="false">F575+G575</f>
        <v>39</v>
      </c>
      <c r="R575" s="1" t="str">
        <f aca="false">IF(H575=M575,"Home",IF(H575=N575,"Away",IF(H575="PICK","Pick","N/A")))</f>
        <v>Home</v>
      </c>
      <c r="S575" s="1" t="n">
        <f aca="false">IF(R575="Home",P575,IF(R575="Away",-P575,""))</f>
        <v>-5</v>
      </c>
      <c r="T575" s="1" t="str">
        <f aca="false">IF(R575="Pick","No Line",IF(S575="","N/A",IF(S575+I575&gt;0,"Favorite Covered",IF(S575+I575&lt;0,"Underdog Covered","Push"))))</f>
        <v>Underdog Covered</v>
      </c>
      <c r="U575" s="1" t="str">
        <f aca="false">IF(Q575&gt;J575,"Over",IF(Q575&lt;J575,"Under","Push"))</f>
        <v>Under</v>
      </c>
    </row>
    <row r="576" customFormat="false" ht="15" hidden="false" customHeight="false" outlineLevel="0" collapsed="false">
      <c r="A576" s="1" t="s">
        <v>300</v>
      </c>
      <c r="B576" s="1" t="n">
        <v>2012</v>
      </c>
      <c r="C576" s="1" t="s">
        <v>176</v>
      </c>
      <c r="D576" s="1" t="s">
        <v>89</v>
      </c>
      <c r="E576" s="1" t="s">
        <v>99</v>
      </c>
      <c r="F576" s="1" t="n">
        <v>20</v>
      </c>
      <c r="G576" s="1" t="n">
        <v>23</v>
      </c>
      <c r="H576" s="1" t="s">
        <v>100</v>
      </c>
      <c r="I576" s="1" t="n">
        <v>-3</v>
      </c>
      <c r="J576" s="1" t="n">
        <v>40.5</v>
      </c>
      <c r="K576" s="1" t="s">
        <v>179</v>
      </c>
      <c r="L576" s="1" t="b">
        <f aca="false">FALSE()</f>
        <v>0</v>
      </c>
      <c r="M576" s="1" t="str">
        <f aca="false">VLOOKUP(D576,'Team Reference'!$A:$B,2,FALSE())</f>
        <v>MIA</v>
      </c>
      <c r="N576" s="1" t="str">
        <f aca="false">VLOOKUP(E576,'Team Reference'!$A:$B,2,FALSE())</f>
        <v>NYJ</v>
      </c>
      <c r="O576" s="1" t="str">
        <f aca="false">IF(F576&gt;G576,M576,IF(G576&gt;F576,N576,"Tie"))</f>
        <v>NYJ</v>
      </c>
      <c r="P576" s="1" t="n">
        <f aca="false">F576-G576</f>
        <v>-3</v>
      </c>
      <c r="Q576" s="1" t="n">
        <f aca="false">F576+G576</f>
        <v>43</v>
      </c>
      <c r="R576" s="1" t="str">
        <f aca="false">IF(H576=M576,"Home",IF(H576=N576,"Away",IF(H576="PICK","Pick","N/A")))</f>
        <v>Away</v>
      </c>
      <c r="S576" s="1" t="n">
        <f aca="false">IF(R576="Home",P576,IF(R576="Away",-P576,""))</f>
        <v>3</v>
      </c>
      <c r="T576" s="1" t="str">
        <f aca="false">IF(R576="Pick","No Line",IF(S576="","N/A",IF(S576+I576&gt;0,"Favorite Covered",IF(S576+I576&lt;0,"Underdog Covered","Push"))))</f>
        <v>Push</v>
      </c>
      <c r="U576" s="1" t="str">
        <f aca="false">IF(Q576&gt;J576,"Over",IF(Q576&lt;J576,"Under","Push"))</f>
        <v>Over</v>
      </c>
    </row>
    <row r="577" customFormat="false" ht="15" hidden="false" customHeight="false" outlineLevel="0" collapsed="false">
      <c r="A577" s="1" t="s">
        <v>300</v>
      </c>
      <c r="B577" s="1" t="n">
        <v>2012</v>
      </c>
      <c r="C577" s="1" t="s">
        <v>176</v>
      </c>
      <c r="D577" s="1" t="s">
        <v>91</v>
      </c>
      <c r="E577" s="1" t="s">
        <v>108</v>
      </c>
      <c r="F577" s="1" t="n">
        <v>24</v>
      </c>
      <c r="G577" s="1" t="n">
        <v>13</v>
      </c>
      <c r="H577" s="1" t="s">
        <v>109</v>
      </c>
      <c r="I577" s="1" t="n">
        <v>-7</v>
      </c>
      <c r="J577" s="1" t="n">
        <v>42.5</v>
      </c>
      <c r="K577" s="1" t="s">
        <v>170</v>
      </c>
      <c r="L577" s="1" t="b">
        <f aca="false">FALSE()</f>
        <v>0</v>
      </c>
      <c r="M577" s="1" t="str">
        <f aca="false">VLOOKUP(D577,'Team Reference'!$A:$B,2,FALSE())</f>
        <v>MIN</v>
      </c>
      <c r="N577" s="1" t="str">
        <f aca="false">VLOOKUP(E577,'Team Reference'!$A:$B,2,FALSE())</f>
        <v>SF</v>
      </c>
      <c r="O577" s="1" t="str">
        <f aca="false">IF(F577&gt;G577,M577,IF(G577&gt;F577,N577,"Tie"))</f>
        <v>MIN</v>
      </c>
      <c r="P577" s="1" t="n">
        <f aca="false">F577-G577</f>
        <v>11</v>
      </c>
      <c r="Q577" s="1" t="n">
        <f aca="false">F577+G577</f>
        <v>37</v>
      </c>
      <c r="R577" s="1" t="str">
        <f aca="false">IF(H577=M577,"Home",IF(H577=N577,"Away",IF(H577="PICK","Pick","N/A")))</f>
        <v>Away</v>
      </c>
      <c r="S577" s="1" t="n">
        <f aca="false">IF(R577="Home",P577,IF(R577="Away",-P577,""))</f>
        <v>-11</v>
      </c>
      <c r="T577" s="1" t="str">
        <f aca="false">IF(R577="Pick","No Line",IF(S577="","N/A",IF(S577+I577&gt;0,"Favorite Covered",IF(S577+I577&lt;0,"Underdog Covered","Push"))))</f>
        <v>Underdog Covered</v>
      </c>
      <c r="U577" s="1" t="str">
        <f aca="false">IF(Q577&gt;J577,"Over",IF(Q577&lt;J577,"Under","Push"))</f>
        <v>Under</v>
      </c>
    </row>
    <row r="578" customFormat="false" ht="15" hidden="false" customHeight="false" outlineLevel="0" collapsed="false">
      <c r="A578" s="1" t="s">
        <v>300</v>
      </c>
      <c r="B578" s="1" t="n">
        <v>2012</v>
      </c>
      <c r="C578" s="1" t="s">
        <v>176</v>
      </c>
      <c r="D578" s="1" t="s">
        <v>95</v>
      </c>
      <c r="E578" s="1" t="s">
        <v>83</v>
      </c>
      <c r="F578" s="1" t="n">
        <v>24</v>
      </c>
      <c r="G578" s="1" t="n">
        <v>27</v>
      </c>
      <c r="H578" s="1" t="s">
        <v>96</v>
      </c>
      <c r="I578" s="1" t="n">
        <v>-8.5</v>
      </c>
      <c r="J578" s="1" t="n">
        <v>51.5</v>
      </c>
      <c r="K578" s="1" t="s">
        <v>142</v>
      </c>
      <c r="L578" s="1" t="b">
        <f aca="false">FALSE()</f>
        <v>0</v>
      </c>
      <c r="M578" s="1" t="str">
        <f aca="false">VLOOKUP(D578,'Team Reference'!$A:$B,2,FALSE())</f>
        <v>NO</v>
      </c>
      <c r="N578" s="1" t="str">
        <f aca="false">VLOOKUP(E578,'Team Reference'!$A:$B,2,FALSE())</f>
        <v>KC</v>
      </c>
      <c r="O578" s="1" t="str">
        <f aca="false">IF(F578&gt;G578,M578,IF(G578&gt;F578,N578,"Tie"))</f>
        <v>KC</v>
      </c>
      <c r="P578" s="1" t="n">
        <f aca="false">F578-G578</f>
        <v>-3</v>
      </c>
      <c r="Q578" s="1" t="n">
        <f aca="false">F578+G578</f>
        <v>51</v>
      </c>
      <c r="R578" s="1" t="str">
        <f aca="false">IF(H578=M578,"Home",IF(H578=N578,"Away",IF(H578="PICK","Pick","N/A")))</f>
        <v>Home</v>
      </c>
      <c r="S578" s="1" t="n">
        <f aca="false">IF(R578="Home",P578,IF(R578="Away",-P578,""))</f>
        <v>-3</v>
      </c>
      <c r="T578" s="1" t="str">
        <f aca="false">IF(R578="Pick","No Line",IF(S578="","N/A",IF(S578+I578&gt;0,"Favorite Covered",IF(S578+I578&lt;0,"Underdog Covered","Push"))))</f>
        <v>Underdog Covered</v>
      </c>
      <c r="U578" s="1" t="str">
        <f aca="false">IF(Q578&gt;J578,"Over",IF(Q578&lt;J578,"Under","Push"))</f>
        <v>Under</v>
      </c>
    </row>
    <row r="579" customFormat="false" ht="15" hidden="false" customHeight="false" outlineLevel="0" collapsed="false">
      <c r="A579" s="1" t="s">
        <v>300</v>
      </c>
      <c r="B579" s="1" t="n">
        <v>2012</v>
      </c>
      <c r="C579" s="1" t="s">
        <v>176</v>
      </c>
      <c r="D579" s="1" t="s">
        <v>101</v>
      </c>
      <c r="E579" s="1" t="s">
        <v>105</v>
      </c>
      <c r="F579" s="1" t="n">
        <v>34</v>
      </c>
      <c r="G579" s="1" t="n">
        <v>31</v>
      </c>
      <c r="H579" s="1" t="s">
        <v>106</v>
      </c>
      <c r="I579" s="1" t="n">
        <v>-4</v>
      </c>
      <c r="J579" s="1" t="n">
        <v>45</v>
      </c>
      <c r="K579" s="1" t="s">
        <v>171</v>
      </c>
      <c r="L579" s="1" t="b">
        <f aca="false">FALSE()</f>
        <v>0</v>
      </c>
      <c r="M579" s="1" t="str">
        <f aca="false">VLOOKUP(D579,'Team Reference'!$A:$B,2,FALSE())</f>
        <v>OAK</v>
      </c>
      <c r="N579" s="1" t="str">
        <f aca="false">VLOOKUP(E579,'Team Reference'!$A:$B,2,FALSE())</f>
        <v>PIT</v>
      </c>
      <c r="O579" s="1" t="str">
        <f aca="false">IF(F579&gt;G579,M579,IF(G579&gt;F579,N579,"Tie"))</f>
        <v>OAK</v>
      </c>
      <c r="P579" s="1" t="n">
        <f aca="false">F579-G579</f>
        <v>3</v>
      </c>
      <c r="Q579" s="1" t="n">
        <f aca="false">F579+G579</f>
        <v>65</v>
      </c>
      <c r="R579" s="1" t="str">
        <f aca="false">IF(H579=M579,"Home",IF(H579=N579,"Away",IF(H579="PICK","Pick","N/A")))</f>
        <v>Away</v>
      </c>
      <c r="S579" s="1" t="n">
        <f aca="false">IF(R579="Home",P579,IF(R579="Away",-P579,""))</f>
        <v>-3</v>
      </c>
      <c r="T579" s="1" t="str">
        <f aca="false">IF(R579="Pick","No Line",IF(S579="","N/A",IF(S579+I579&gt;0,"Favorite Covered",IF(S579+I579&lt;0,"Underdog Covered","Push"))))</f>
        <v>Underdog Covered</v>
      </c>
      <c r="U579" s="1" t="str">
        <f aca="false">IF(Q579&gt;J579,"Over",IF(Q579&lt;J579,"Under","Push"))</f>
        <v>Over</v>
      </c>
    </row>
    <row r="580" customFormat="false" ht="15" hidden="false" customHeight="false" outlineLevel="0" collapsed="false">
      <c r="A580" s="1" t="s">
        <v>300</v>
      </c>
      <c r="B580" s="1" t="n">
        <v>2012</v>
      </c>
      <c r="C580" s="1" t="s">
        <v>176</v>
      </c>
      <c r="D580" s="1" t="s">
        <v>107</v>
      </c>
      <c r="E580" s="1" t="s">
        <v>55</v>
      </c>
      <c r="F580" s="1" t="n">
        <v>3</v>
      </c>
      <c r="G580" s="1" t="n">
        <v>27</v>
      </c>
      <c r="H580" s="1" t="s">
        <v>86</v>
      </c>
      <c r="I580" s="1" t="n">
        <v>-3</v>
      </c>
      <c r="J580" s="1" t="n">
        <v>47.5</v>
      </c>
      <c r="K580" s="1" t="s">
        <v>172</v>
      </c>
      <c r="L580" s="1" t="b">
        <f aca="false">FALSE()</f>
        <v>0</v>
      </c>
      <c r="M580" s="1" t="str">
        <f aca="false">VLOOKUP(D580,'Team Reference'!$A:$B,2,FALSE())</f>
        <v>LAC</v>
      </c>
      <c r="N580" s="1" t="str">
        <f aca="false">VLOOKUP(E580,'Team Reference'!$A:$B,2,FALSE())</f>
        <v>ATL</v>
      </c>
      <c r="O580" s="1" t="str">
        <f aca="false">IF(F580&gt;G580,M580,IF(G580&gt;F580,N580,"Tie"))</f>
        <v>ATL</v>
      </c>
      <c r="P580" s="1" t="n">
        <f aca="false">F580-G580</f>
        <v>-24</v>
      </c>
      <c r="Q580" s="1" t="n">
        <f aca="false">F580+G580</f>
        <v>30</v>
      </c>
      <c r="R580" s="1" t="str">
        <f aca="false">IF(H580=M580,"Home",IF(H580=N580,"Away",IF(H580="PICK","Pick","N/A")))</f>
        <v>Home</v>
      </c>
      <c r="S580" s="1" t="n">
        <f aca="false">IF(R580="Home",P580,IF(R580="Away",-P580,""))</f>
        <v>-24</v>
      </c>
      <c r="T580" s="1" t="str">
        <f aca="false">IF(R580="Pick","No Line",IF(S580="","N/A",IF(S580+I580&gt;0,"Favorite Covered",IF(S580+I580&lt;0,"Underdog Covered","Push"))))</f>
        <v>Underdog Covered</v>
      </c>
      <c r="U580" s="1" t="str">
        <f aca="false">IF(Q580&gt;J580,"Over",IF(Q580&lt;J580,"Under","Push"))</f>
        <v>Under</v>
      </c>
    </row>
    <row r="581" customFormat="false" ht="15" hidden="false" customHeight="false" outlineLevel="0" collapsed="false">
      <c r="A581" s="1" t="s">
        <v>300</v>
      </c>
      <c r="B581" s="1" t="n">
        <v>2012</v>
      </c>
      <c r="C581" s="1" t="s">
        <v>176</v>
      </c>
      <c r="D581" s="1" t="s">
        <v>115</v>
      </c>
      <c r="E581" s="1" t="s">
        <v>73</v>
      </c>
      <c r="F581" s="1" t="n">
        <v>44</v>
      </c>
      <c r="G581" s="1" t="n">
        <v>41</v>
      </c>
      <c r="H581" s="1" t="s">
        <v>74</v>
      </c>
      <c r="I581" s="1" t="n">
        <v>-4</v>
      </c>
      <c r="J581" s="1" t="n">
        <v>47</v>
      </c>
      <c r="K581" s="1" t="s">
        <v>155</v>
      </c>
      <c r="L581" s="1" t="b">
        <f aca="false">FALSE()</f>
        <v>0</v>
      </c>
      <c r="M581" s="1" t="str">
        <f aca="false">VLOOKUP(D581,'Team Reference'!$A:$B,2,FALSE())</f>
        <v>TEN</v>
      </c>
      <c r="N581" s="1" t="str">
        <f aca="false">VLOOKUP(E581,'Team Reference'!$A:$B,2,FALSE())</f>
        <v>DET</v>
      </c>
      <c r="O581" s="1" t="str">
        <f aca="false">IF(F581&gt;G581,M581,IF(G581&gt;F581,N581,"Tie"))</f>
        <v>TEN</v>
      </c>
      <c r="P581" s="1" t="n">
        <f aca="false">F581-G581</f>
        <v>3</v>
      </c>
      <c r="Q581" s="1" t="n">
        <f aca="false">F581+G581</f>
        <v>85</v>
      </c>
      <c r="R581" s="1" t="str">
        <f aca="false">IF(H581=M581,"Home",IF(H581=N581,"Away",IF(H581="PICK","Pick","N/A")))</f>
        <v>Away</v>
      </c>
      <c r="S581" s="1" t="n">
        <f aca="false">IF(R581="Home",P581,IF(R581="Away",-P581,""))</f>
        <v>-3</v>
      </c>
      <c r="T581" s="1" t="str">
        <f aca="false">IF(R581="Pick","No Line",IF(S581="","N/A",IF(S581+I581&gt;0,"Favorite Covered",IF(S581+I581&lt;0,"Underdog Covered","Push"))))</f>
        <v>Underdog Covered</v>
      </c>
      <c r="U581" s="1" t="str">
        <f aca="false">IF(Q581&gt;J581,"Over",IF(Q581&lt;J581,"Under","Push"))</f>
        <v>Over</v>
      </c>
    </row>
    <row r="582" customFormat="false" ht="15" hidden="false" customHeight="false" outlineLevel="0" collapsed="false">
      <c r="A582" s="1" t="s">
        <v>300</v>
      </c>
      <c r="B582" s="1" t="n">
        <v>2012</v>
      </c>
      <c r="C582" s="1" t="s">
        <v>176</v>
      </c>
      <c r="D582" s="1" t="s">
        <v>117</v>
      </c>
      <c r="E582" s="1" t="s">
        <v>65</v>
      </c>
      <c r="F582" s="1" t="n">
        <v>31</v>
      </c>
      <c r="G582" s="1" t="n">
        <v>38</v>
      </c>
      <c r="H582" s="1" t="s">
        <v>118</v>
      </c>
      <c r="I582" s="1" t="n">
        <v>-3</v>
      </c>
      <c r="J582" s="1" t="n">
        <v>49.5</v>
      </c>
      <c r="K582" s="1" t="s">
        <v>156</v>
      </c>
      <c r="L582" s="1" t="b">
        <f aca="false">FALSE()</f>
        <v>0</v>
      </c>
      <c r="M582" s="1" t="str">
        <f aca="false">VLOOKUP(D582,'Team Reference'!$A:$B,2,FALSE())</f>
        <v>WAS</v>
      </c>
      <c r="N582" s="1" t="str">
        <f aca="false">VLOOKUP(E582,'Team Reference'!$A:$B,2,FALSE())</f>
        <v>CIN</v>
      </c>
      <c r="O582" s="1" t="str">
        <f aca="false">IF(F582&gt;G582,M582,IF(G582&gt;F582,N582,"Tie"))</f>
        <v>CIN</v>
      </c>
      <c r="P582" s="1" t="n">
        <f aca="false">F582-G582</f>
        <v>-7</v>
      </c>
      <c r="Q582" s="1" t="n">
        <f aca="false">F582+G582</f>
        <v>69</v>
      </c>
      <c r="R582" s="1" t="str">
        <f aca="false">IF(H582=M582,"Home",IF(H582=N582,"Away",IF(H582="PICK","Pick","N/A")))</f>
        <v>Home</v>
      </c>
      <c r="S582" s="1" t="n">
        <f aca="false">IF(R582="Home",P582,IF(R582="Away",-P582,""))</f>
        <v>-7</v>
      </c>
      <c r="T582" s="1" t="str">
        <f aca="false">IF(R582="Pick","No Line",IF(S582="","N/A",IF(S582+I582&gt;0,"Favorite Covered",IF(S582+I582&lt;0,"Underdog Covered","Push"))))</f>
        <v>Underdog Covered</v>
      </c>
      <c r="U582" s="1" t="str">
        <f aca="false">IF(Q582&gt;J582,"Over",IF(Q582&lt;J582,"Under","Push"))</f>
        <v>Over</v>
      </c>
    </row>
    <row r="583" customFormat="false" ht="15" hidden="false" customHeight="false" outlineLevel="0" collapsed="false">
      <c r="A583" s="1" t="s">
        <v>301</v>
      </c>
      <c r="B583" s="1" t="n">
        <v>2012</v>
      </c>
      <c r="C583" s="1" t="s">
        <v>176</v>
      </c>
      <c r="D583" s="1" t="s">
        <v>110</v>
      </c>
      <c r="E583" s="1" t="s">
        <v>75</v>
      </c>
      <c r="F583" s="1" t="n">
        <v>14</v>
      </c>
      <c r="G583" s="1" t="n">
        <v>12</v>
      </c>
      <c r="H583" s="1" t="s">
        <v>76</v>
      </c>
      <c r="I583" s="1" t="n">
        <v>-3.5</v>
      </c>
      <c r="J583" s="1" t="n">
        <v>45.5</v>
      </c>
      <c r="K583" s="1" t="s">
        <v>152</v>
      </c>
      <c r="L583" s="1" t="b">
        <f aca="false">FALSE()</f>
        <v>0</v>
      </c>
      <c r="M583" s="1" t="str">
        <f aca="false">VLOOKUP(D583,'Team Reference'!$A:$B,2,FALSE())</f>
        <v>SEA</v>
      </c>
      <c r="N583" s="1" t="str">
        <f aca="false">VLOOKUP(E583,'Team Reference'!$A:$B,2,FALSE())</f>
        <v>GB</v>
      </c>
      <c r="O583" s="1" t="str">
        <f aca="false">IF(F583&gt;G583,M583,IF(G583&gt;F583,N583,"Tie"))</f>
        <v>SEA</v>
      </c>
      <c r="P583" s="1" t="n">
        <f aca="false">F583-G583</f>
        <v>2</v>
      </c>
      <c r="Q583" s="1" t="n">
        <f aca="false">F583+G583</f>
        <v>26</v>
      </c>
      <c r="R583" s="1" t="str">
        <f aca="false">IF(H583=M583,"Home",IF(H583=N583,"Away",IF(H583="PICK","Pick","N/A")))</f>
        <v>Away</v>
      </c>
      <c r="S583" s="1" t="n">
        <f aca="false">IF(R583="Home",P583,IF(R583="Away",-P583,""))</f>
        <v>-2</v>
      </c>
      <c r="T583" s="1" t="str">
        <f aca="false">IF(R583="Pick","No Line",IF(S583="","N/A",IF(S583+I583&gt;0,"Favorite Covered",IF(S583+I583&lt;0,"Underdog Covered","Push"))))</f>
        <v>Underdog Covered</v>
      </c>
      <c r="U583" s="1" t="str">
        <f aca="false">IF(Q583&gt;J583,"Over",IF(Q583&lt;J583,"Under","Push"))</f>
        <v>Under</v>
      </c>
    </row>
    <row r="584" customFormat="false" ht="15" hidden="false" customHeight="false" outlineLevel="0" collapsed="false">
      <c r="A584" s="1" t="s">
        <v>302</v>
      </c>
      <c r="B584" s="1" t="n">
        <v>2012</v>
      </c>
      <c r="C584" s="1" t="s">
        <v>182</v>
      </c>
      <c r="D584" s="1" t="s">
        <v>57</v>
      </c>
      <c r="E584" s="1" t="s">
        <v>67</v>
      </c>
      <c r="F584" s="1" t="n">
        <v>23</v>
      </c>
      <c r="G584" s="1" t="n">
        <v>16</v>
      </c>
      <c r="H584" s="1" t="s">
        <v>58</v>
      </c>
      <c r="I584" s="1" t="n">
        <v>-11.5</v>
      </c>
      <c r="J584" s="1" t="n">
        <v>43.5</v>
      </c>
      <c r="K584" s="1" t="s">
        <v>178</v>
      </c>
      <c r="L584" s="1" t="b">
        <f aca="false">FALSE()</f>
        <v>0</v>
      </c>
      <c r="M584" s="1" t="str">
        <f aca="false">VLOOKUP(D584,'Team Reference'!$A:$B,2,FALSE())</f>
        <v>BAL</v>
      </c>
      <c r="N584" s="1" t="str">
        <f aca="false">VLOOKUP(E584,'Team Reference'!$A:$B,2,FALSE())</f>
        <v>CLE</v>
      </c>
      <c r="O584" s="1" t="str">
        <f aca="false">IF(F584&gt;G584,M584,IF(G584&gt;F584,N584,"Tie"))</f>
        <v>BAL</v>
      </c>
      <c r="P584" s="1" t="n">
        <f aca="false">F584-G584</f>
        <v>7</v>
      </c>
      <c r="Q584" s="1" t="n">
        <f aca="false">F584+G584</f>
        <v>39</v>
      </c>
      <c r="R584" s="1" t="str">
        <f aca="false">IF(H584=M584,"Home",IF(H584=N584,"Away",IF(H584="PICK","Pick","N/A")))</f>
        <v>Home</v>
      </c>
      <c r="S584" s="1" t="n">
        <f aca="false">IF(R584="Home",P584,IF(R584="Away",-P584,""))</f>
        <v>7</v>
      </c>
      <c r="T584" s="1" t="str">
        <f aca="false">IF(R584="Pick","No Line",IF(S584="","N/A",IF(S584+I584&gt;0,"Favorite Covered",IF(S584+I584&lt;0,"Underdog Covered","Push"))))</f>
        <v>Underdog Covered</v>
      </c>
      <c r="U584" s="1" t="str">
        <f aca="false">IF(Q584&gt;J584,"Over",IF(Q584&lt;J584,"Under","Push"))</f>
        <v>Under</v>
      </c>
    </row>
    <row r="585" customFormat="false" ht="15" hidden="false" customHeight="false" outlineLevel="0" collapsed="false">
      <c r="A585" s="1" t="s">
        <v>303</v>
      </c>
      <c r="B585" s="1" t="n">
        <v>2012</v>
      </c>
      <c r="C585" s="1" t="s">
        <v>182</v>
      </c>
      <c r="D585" s="1" t="s">
        <v>53</v>
      </c>
      <c r="E585" s="1" t="s">
        <v>89</v>
      </c>
      <c r="F585" s="1" t="n">
        <v>24</v>
      </c>
      <c r="G585" s="1" t="n">
        <v>21</v>
      </c>
      <c r="H585" s="1" t="s">
        <v>54</v>
      </c>
      <c r="I585" s="1" t="n">
        <v>-4</v>
      </c>
      <c r="J585" s="1" t="n">
        <v>39.5</v>
      </c>
      <c r="K585" s="1" t="s">
        <v>177</v>
      </c>
      <c r="L585" s="1" t="b">
        <f aca="false">FALSE()</f>
        <v>0</v>
      </c>
      <c r="M585" s="1" t="str">
        <f aca="false">VLOOKUP(D585,'Team Reference'!$A:$B,2,FALSE())</f>
        <v>ARI</v>
      </c>
      <c r="N585" s="1" t="str">
        <f aca="false">VLOOKUP(E585,'Team Reference'!$A:$B,2,FALSE())</f>
        <v>MIA</v>
      </c>
      <c r="O585" s="1" t="str">
        <f aca="false">IF(F585&gt;G585,M585,IF(G585&gt;F585,N585,"Tie"))</f>
        <v>ARI</v>
      </c>
      <c r="P585" s="1" t="n">
        <f aca="false">F585-G585</f>
        <v>3</v>
      </c>
      <c r="Q585" s="1" t="n">
        <f aca="false">F585+G585</f>
        <v>45</v>
      </c>
      <c r="R585" s="1" t="str">
        <f aca="false">IF(H585=M585,"Home",IF(H585=N585,"Away",IF(H585="PICK","Pick","N/A")))</f>
        <v>Home</v>
      </c>
      <c r="S585" s="1" t="n">
        <f aca="false">IF(R585="Home",P585,IF(R585="Away",-P585,""))</f>
        <v>3</v>
      </c>
      <c r="T585" s="1" t="str">
        <f aca="false">IF(R585="Pick","No Line",IF(S585="","N/A",IF(S585+I585&gt;0,"Favorite Covered",IF(S585+I585&lt;0,"Underdog Covered","Push"))))</f>
        <v>Underdog Covered</v>
      </c>
      <c r="U585" s="1" t="str">
        <f aca="false">IF(Q585&gt;J585,"Over",IF(Q585&lt;J585,"Under","Push"))</f>
        <v>Over</v>
      </c>
    </row>
    <row r="586" customFormat="false" ht="15" hidden="false" customHeight="false" outlineLevel="0" collapsed="false">
      <c r="A586" s="1" t="s">
        <v>303</v>
      </c>
      <c r="B586" s="1" t="n">
        <v>2012</v>
      </c>
      <c r="C586" s="1" t="s">
        <v>182</v>
      </c>
      <c r="D586" s="1" t="s">
        <v>55</v>
      </c>
      <c r="E586" s="1" t="s">
        <v>61</v>
      </c>
      <c r="F586" s="1" t="n">
        <v>30</v>
      </c>
      <c r="G586" s="1" t="n">
        <v>28</v>
      </c>
      <c r="H586" s="1" t="s">
        <v>56</v>
      </c>
      <c r="I586" s="1" t="n">
        <v>-7</v>
      </c>
      <c r="J586" s="1" t="n">
        <v>48</v>
      </c>
      <c r="K586" s="1" t="s">
        <v>161</v>
      </c>
      <c r="L586" s="1" t="b">
        <f aca="false">FALSE()</f>
        <v>0</v>
      </c>
      <c r="M586" s="1" t="str">
        <f aca="false">VLOOKUP(D586,'Team Reference'!$A:$B,2,FALSE())</f>
        <v>ATL</v>
      </c>
      <c r="N586" s="1" t="str">
        <f aca="false">VLOOKUP(E586,'Team Reference'!$A:$B,2,FALSE())</f>
        <v>CAR</v>
      </c>
      <c r="O586" s="1" t="str">
        <f aca="false">IF(F586&gt;G586,M586,IF(G586&gt;F586,N586,"Tie"))</f>
        <v>ATL</v>
      </c>
      <c r="P586" s="1" t="n">
        <f aca="false">F586-G586</f>
        <v>2</v>
      </c>
      <c r="Q586" s="1" t="n">
        <f aca="false">F586+G586</f>
        <v>58</v>
      </c>
      <c r="R586" s="1" t="str">
        <f aca="false">IF(H586=M586,"Home",IF(H586=N586,"Away",IF(H586="PICK","Pick","N/A")))</f>
        <v>Home</v>
      </c>
      <c r="S586" s="1" t="n">
        <f aca="false">IF(R586="Home",P586,IF(R586="Away",-P586,""))</f>
        <v>2</v>
      </c>
      <c r="T586" s="1" t="str">
        <f aca="false">IF(R586="Pick","No Line",IF(S586="","N/A",IF(S586+I586&gt;0,"Favorite Covered",IF(S586+I586&lt;0,"Underdog Covered","Push"))))</f>
        <v>Underdog Covered</v>
      </c>
      <c r="U586" s="1" t="str">
        <f aca="false">IF(Q586&gt;J586,"Over",IF(Q586&lt;J586,"Under","Push"))</f>
        <v>Over</v>
      </c>
    </row>
    <row r="587" customFormat="false" ht="15" hidden="false" customHeight="false" outlineLevel="0" collapsed="false">
      <c r="A587" s="1" t="s">
        <v>303</v>
      </c>
      <c r="B587" s="1" t="n">
        <v>2012</v>
      </c>
      <c r="C587" s="1" t="s">
        <v>182</v>
      </c>
      <c r="D587" s="1" t="s">
        <v>59</v>
      </c>
      <c r="E587" s="1" t="s">
        <v>93</v>
      </c>
      <c r="F587" s="1" t="n">
        <v>28</v>
      </c>
      <c r="G587" s="1" t="n">
        <v>52</v>
      </c>
      <c r="H587" s="1" t="s">
        <v>94</v>
      </c>
      <c r="I587" s="1" t="n">
        <v>-4.5</v>
      </c>
      <c r="J587" s="1" t="n">
        <v>48.5</v>
      </c>
      <c r="K587" s="1" t="s">
        <v>144</v>
      </c>
      <c r="L587" s="1" t="b">
        <f aca="false">FALSE()</f>
        <v>0</v>
      </c>
      <c r="M587" s="1" t="str">
        <f aca="false">VLOOKUP(D587,'Team Reference'!$A:$B,2,FALSE())</f>
        <v>BUF</v>
      </c>
      <c r="N587" s="1" t="str">
        <f aca="false">VLOOKUP(E587,'Team Reference'!$A:$B,2,FALSE())</f>
        <v>NE</v>
      </c>
      <c r="O587" s="1" t="str">
        <f aca="false">IF(F587&gt;G587,M587,IF(G587&gt;F587,N587,"Tie"))</f>
        <v>NE</v>
      </c>
      <c r="P587" s="1" t="n">
        <f aca="false">F587-G587</f>
        <v>-24</v>
      </c>
      <c r="Q587" s="1" t="n">
        <f aca="false">F587+G587</f>
        <v>80</v>
      </c>
      <c r="R587" s="1" t="str">
        <f aca="false">IF(H587=M587,"Home",IF(H587=N587,"Away",IF(H587="PICK","Pick","N/A")))</f>
        <v>Away</v>
      </c>
      <c r="S587" s="1" t="n">
        <f aca="false">IF(R587="Home",P587,IF(R587="Away",-P587,""))</f>
        <v>24</v>
      </c>
      <c r="T587" s="1" t="str">
        <f aca="false">IF(R587="Pick","No Line",IF(S587="","N/A",IF(S587+I587&gt;0,"Favorite Covered",IF(S587+I587&lt;0,"Underdog Covered","Push"))))</f>
        <v>Favorite Covered</v>
      </c>
      <c r="U587" s="1" t="str">
        <f aca="false">IF(Q587&gt;J587,"Over",IF(Q587&lt;J587,"Under","Push"))</f>
        <v>Over</v>
      </c>
    </row>
    <row r="588" customFormat="false" ht="15" hidden="false" customHeight="false" outlineLevel="0" collapsed="false">
      <c r="A588" s="1" t="s">
        <v>303</v>
      </c>
      <c r="B588" s="1" t="n">
        <v>2012</v>
      </c>
      <c r="C588" s="1" t="s">
        <v>182</v>
      </c>
      <c r="D588" s="1" t="s">
        <v>71</v>
      </c>
      <c r="E588" s="1" t="s">
        <v>101</v>
      </c>
      <c r="F588" s="1" t="n">
        <v>37</v>
      </c>
      <c r="G588" s="1" t="n">
        <v>6</v>
      </c>
      <c r="H588" s="1" t="s">
        <v>72</v>
      </c>
      <c r="I588" s="1" t="n">
        <v>-6.5</v>
      </c>
      <c r="J588" s="1" t="n">
        <v>47</v>
      </c>
      <c r="K588" s="1" t="s">
        <v>166</v>
      </c>
      <c r="L588" s="1" t="b">
        <f aca="false">FALSE()</f>
        <v>0</v>
      </c>
      <c r="M588" s="1" t="str">
        <f aca="false">VLOOKUP(D588,'Team Reference'!$A:$B,2,FALSE())</f>
        <v>DEN</v>
      </c>
      <c r="N588" s="1" t="str">
        <f aca="false">VLOOKUP(E588,'Team Reference'!$A:$B,2,FALSE())</f>
        <v>OAK</v>
      </c>
      <c r="O588" s="1" t="str">
        <f aca="false">IF(F588&gt;G588,M588,IF(G588&gt;F588,N588,"Tie"))</f>
        <v>DEN</v>
      </c>
      <c r="P588" s="1" t="n">
        <f aca="false">F588-G588</f>
        <v>31</v>
      </c>
      <c r="Q588" s="1" t="n">
        <f aca="false">F588+G588</f>
        <v>43</v>
      </c>
      <c r="R588" s="1" t="str">
        <f aca="false">IF(H588=M588,"Home",IF(H588=N588,"Away",IF(H588="PICK","Pick","N/A")))</f>
        <v>Home</v>
      </c>
      <c r="S588" s="1" t="n">
        <f aca="false">IF(R588="Home",P588,IF(R588="Away",-P588,""))</f>
        <v>31</v>
      </c>
      <c r="T588" s="1" t="str">
        <f aca="false">IF(R588="Pick","No Line",IF(S588="","N/A",IF(S588+I588&gt;0,"Favorite Covered",IF(S588+I588&lt;0,"Underdog Covered","Push"))))</f>
        <v>Favorite Covered</v>
      </c>
      <c r="U588" s="1" t="str">
        <f aca="false">IF(Q588&gt;J588,"Over",IF(Q588&lt;J588,"Under","Push"))</f>
        <v>Under</v>
      </c>
    </row>
    <row r="589" customFormat="false" ht="15" hidden="false" customHeight="false" outlineLevel="0" collapsed="false">
      <c r="A589" s="1" t="s">
        <v>303</v>
      </c>
      <c r="B589" s="1" t="n">
        <v>2012</v>
      </c>
      <c r="C589" s="1" t="s">
        <v>182</v>
      </c>
      <c r="D589" s="1" t="s">
        <v>73</v>
      </c>
      <c r="E589" s="1" t="s">
        <v>91</v>
      </c>
      <c r="F589" s="1" t="n">
        <v>13</v>
      </c>
      <c r="G589" s="1" t="n">
        <v>20</v>
      </c>
      <c r="H589" s="1" t="s">
        <v>74</v>
      </c>
      <c r="I589" s="1" t="n">
        <v>-4</v>
      </c>
      <c r="J589" s="1" t="n">
        <v>48.5</v>
      </c>
      <c r="K589" s="1" t="s">
        <v>167</v>
      </c>
      <c r="L589" s="1" t="b">
        <f aca="false">FALSE()</f>
        <v>0</v>
      </c>
      <c r="M589" s="1" t="str">
        <f aca="false">VLOOKUP(D589,'Team Reference'!$A:$B,2,FALSE())</f>
        <v>DET</v>
      </c>
      <c r="N589" s="1" t="str">
        <f aca="false">VLOOKUP(E589,'Team Reference'!$A:$B,2,FALSE())</f>
        <v>MIN</v>
      </c>
      <c r="O589" s="1" t="str">
        <f aca="false">IF(F589&gt;G589,M589,IF(G589&gt;F589,N589,"Tie"))</f>
        <v>MIN</v>
      </c>
      <c r="P589" s="1" t="n">
        <f aca="false">F589-G589</f>
        <v>-7</v>
      </c>
      <c r="Q589" s="1" t="n">
        <f aca="false">F589+G589</f>
        <v>33</v>
      </c>
      <c r="R589" s="1" t="str">
        <f aca="false">IF(H589=M589,"Home",IF(H589=N589,"Away",IF(H589="PICK","Pick","N/A")))</f>
        <v>Home</v>
      </c>
      <c r="S589" s="1" t="n">
        <f aca="false">IF(R589="Home",P589,IF(R589="Away",-P589,""))</f>
        <v>-7</v>
      </c>
      <c r="T589" s="1" t="str">
        <f aca="false">IF(R589="Pick","No Line",IF(S589="","N/A",IF(S589+I589&gt;0,"Favorite Covered",IF(S589+I589&lt;0,"Underdog Covered","Push"))))</f>
        <v>Underdog Covered</v>
      </c>
      <c r="U589" s="1" t="str">
        <f aca="false">IF(Q589&gt;J589,"Over",IF(Q589&lt;J589,"Under","Push"))</f>
        <v>Under</v>
      </c>
    </row>
    <row r="590" customFormat="false" ht="15" hidden="false" customHeight="false" outlineLevel="0" collapsed="false">
      <c r="A590" s="1" t="s">
        <v>303</v>
      </c>
      <c r="B590" s="1" t="n">
        <v>2012</v>
      </c>
      <c r="C590" s="1" t="s">
        <v>182</v>
      </c>
      <c r="D590" s="1" t="s">
        <v>75</v>
      </c>
      <c r="E590" s="1" t="s">
        <v>95</v>
      </c>
      <c r="F590" s="1" t="n">
        <v>28</v>
      </c>
      <c r="G590" s="1" t="n">
        <v>27</v>
      </c>
      <c r="H590" s="1" t="s">
        <v>76</v>
      </c>
      <c r="I590" s="1" t="n">
        <v>-7.5</v>
      </c>
      <c r="J590" s="1" t="n">
        <v>54</v>
      </c>
      <c r="K590" s="1" t="s">
        <v>168</v>
      </c>
      <c r="L590" s="1" t="b">
        <f aca="false">FALSE()</f>
        <v>0</v>
      </c>
      <c r="M590" s="1" t="str">
        <f aca="false">VLOOKUP(D590,'Team Reference'!$A:$B,2,FALSE())</f>
        <v>GB</v>
      </c>
      <c r="N590" s="1" t="str">
        <f aca="false">VLOOKUP(E590,'Team Reference'!$A:$B,2,FALSE())</f>
        <v>NO</v>
      </c>
      <c r="O590" s="1" t="str">
        <f aca="false">IF(F590&gt;G590,M590,IF(G590&gt;F590,N590,"Tie"))</f>
        <v>GB</v>
      </c>
      <c r="P590" s="1" t="n">
        <f aca="false">F590-G590</f>
        <v>1</v>
      </c>
      <c r="Q590" s="1" t="n">
        <f aca="false">F590+G590</f>
        <v>55</v>
      </c>
      <c r="R590" s="1" t="str">
        <f aca="false">IF(H590=M590,"Home",IF(H590=N590,"Away",IF(H590="PICK","Pick","N/A")))</f>
        <v>Home</v>
      </c>
      <c r="S590" s="1" t="n">
        <f aca="false">IF(R590="Home",P590,IF(R590="Away",-P590,""))</f>
        <v>1</v>
      </c>
      <c r="T590" s="1" t="str">
        <f aca="false">IF(R590="Pick","No Line",IF(S590="","N/A",IF(S590+I590&gt;0,"Favorite Covered",IF(S590+I590&lt;0,"Underdog Covered","Push"))))</f>
        <v>Underdog Covered</v>
      </c>
      <c r="U590" s="1" t="str">
        <f aca="false">IF(Q590&gt;J590,"Over",IF(Q590&lt;J590,"Under","Push"))</f>
        <v>Over</v>
      </c>
    </row>
    <row r="591" customFormat="false" ht="15" hidden="false" customHeight="false" outlineLevel="0" collapsed="false">
      <c r="A591" s="1" t="s">
        <v>303</v>
      </c>
      <c r="B591" s="1" t="n">
        <v>2012</v>
      </c>
      <c r="C591" s="1" t="s">
        <v>182</v>
      </c>
      <c r="D591" s="1" t="s">
        <v>77</v>
      </c>
      <c r="E591" s="1" t="s">
        <v>115</v>
      </c>
      <c r="F591" s="1" t="n">
        <v>38</v>
      </c>
      <c r="G591" s="1" t="n">
        <v>14</v>
      </c>
      <c r="H591" s="1" t="s">
        <v>78</v>
      </c>
      <c r="I591" s="1" t="n">
        <v>-13.5</v>
      </c>
      <c r="J591" s="1" t="n">
        <v>45</v>
      </c>
      <c r="K591" s="1" t="s">
        <v>146</v>
      </c>
      <c r="L591" s="1" t="b">
        <f aca="false">FALSE()</f>
        <v>0</v>
      </c>
      <c r="M591" s="1" t="str">
        <f aca="false">VLOOKUP(D591,'Team Reference'!$A:$B,2,FALSE())</f>
        <v>HOU</v>
      </c>
      <c r="N591" s="1" t="str">
        <f aca="false">VLOOKUP(E591,'Team Reference'!$A:$B,2,FALSE())</f>
        <v>TEN</v>
      </c>
      <c r="O591" s="1" t="str">
        <f aca="false">IF(F591&gt;G591,M591,IF(G591&gt;F591,N591,"Tie"))</f>
        <v>HOU</v>
      </c>
      <c r="P591" s="1" t="n">
        <f aca="false">F591-G591</f>
        <v>24</v>
      </c>
      <c r="Q591" s="1" t="n">
        <f aca="false">F591+G591</f>
        <v>52</v>
      </c>
      <c r="R591" s="1" t="str">
        <f aca="false">IF(H591=M591,"Home",IF(H591=N591,"Away",IF(H591="PICK","Pick","N/A")))</f>
        <v>Home</v>
      </c>
      <c r="S591" s="1" t="n">
        <f aca="false">IF(R591="Home",P591,IF(R591="Away",-P591,""))</f>
        <v>24</v>
      </c>
      <c r="T591" s="1" t="str">
        <f aca="false">IF(R591="Pick","No Line",IF(S591="","N/A",IF(S591+I591&gt;0,"Favorite Covered",IF(S591+I591&lt;0,"Underdog Covered","Push"))))</f>
        <v>Favorite Covered</v>
      </c>
      <c r="U591" s="1" t="str">
        <f aca="false">IF(Q591&gt;J591,"Over",IF(Q591&lt;J591,"Under","Push"))</f>
        <v>Over</v>
      </c>
    </row>
    <row r="592" customFormat="false" ht="15" hidden="false" customHeight="false" outlineLevel="0" collapsed="false">
      <c r="A592" s="1" t="s">
        <v>303</v>
      </c>
      <c r="B592" s="1" t="n">
        <v>2012</v>
      </c>
      <c r="C592" s="1" t="s">
        <v>182</v>
      </c>
      <c r="D592" s="1" t="s">
        <v>81</v>
      </c>
      <c r="E592" s="1" t="s">
        <v>65</v>
      </c>
      <c r="F592" s="1" t="n">
        <v>10</v>
      </c>
      <c r="G592" s="1" t="n">
        <v>27</v>
      </c>
      <c r="H592" s="1" t="s">
        <v>82</v>
      </c>
      <c r="I592" s="1" t="n">
        <v>-1.5</v>
      </c>
      <c r="J592" s="1" t="n">
        <v>45.5</v>
      </c>
      <c r="K592" s="1" t="s">
        <v>147</v>
      </c>
      <c r="L592" s="1" t="b">
        <f aca="false">FALSE()</f>
        <v>0</v>
      </c>
      <c r="M592" s="1" t="str">
        <f aca="false">VLOOKUP(D592,'Team Reference'!$A:$B,2,FALSE())</f>
        <v>JAX</v>
      </c>
      <c r="N592" s="1" t="str">
        <f aca="false">VLOOKUP(E592,'Team Reference'!$A:$B,2,FALSE())</f>
        <v>CIN</v>
      </c>
      <c r="O592" s="1" t="str">
        <f aca="false">IF(F592&gt;G592,M592,IF(G592&gt;F592,N592,"Tie"))</f>
        <v>CIN</v>
      </c>
      <c r="P592" s="1" t="n">
        <f aca="false">F592-G592</f>
        <v>-17</v>
      </c>
      <c r="Q592" s="1" t="n">
        <f aca="false">F592+G592</f>
        <v>37</v>
      </c>
      <c r="R592" s="1" t="str">
        <f aca="false">IF(H592=M592,"Home",IF(H592=N592,"Away",IF(H592="PICK","Pick","N/A")))</f>
        <v>Home</v>
      </c>
      <c r="S592" s="1" t="n">
        <f aca="false">IF(R592="Home",P592,IF(R592="Away",-P592,""))</f>
        <v>-17</v>
      </c>
      <c r="T592" s="1" t="str">
        <f aca="false">IF(R592="Pick","No Line",IF(S592="","N/A",IF(S592+I592&gt;0,"Favorite Covered",IF(S592+I592&lt;0,"Underdog Covered","Push"))))</f>
        <v>Underdog Covered</v>
      </c>
      <c r="U592" s="1" t="str">
        <f aca="false">IF(Q592&gt;J592,"Over",IF(Q592&lt;J592,"Under","Push"))</f>
        <v>Under</v>
      </c>
    </row>
    <row r="593" customFormat="false" ht="15" hidden="false" customHeight="false" outlineLevel="0" collapsed="false">
      <c r="A593" s="1" t="s">
        <v>303</v>
      </c>
      <c r="B593" s="1" t="n">
        <v>2012</v>
      </c>
      <c r="C593" s="1" t="s">
        <v>182</v>
      </c>
      <c r="D593" s="1" t="s">
        <v>83</v>
      </c>
      <c r="E593" s="1" t="s">
        <v>107</v>
      </c>
      <c r="F593" s="1" t="n">
        <v>20</v>
      </c>
      <c r="G593" s="1" t="n">
        <v>37</v>
      </c>
      <c r="H593" s="1" t="s">
        <v>86</v>
      </c>
      <c r="I593" s="1" t="n">
        <v>-2.5</v>
      </c>
      <c r="J593" s="1" t="n">
        <v>43.5</v>
      </c>
      <c r="K593" s="1" t="s">
        <v>158</v>
      </c>
      <c r="L593" s="1" t="b">
        <f aca="false">FALSE()</f>
        <v>0</v>
      </c>
      <c r="M593" s="1" t="str">
        <f aca="false">VLOOKUP(D593,'Team Reference'!$A:$B,2,FALSE())</f>
        <v>KC</v>
      </c>
      <c r="N593" s="1" t="str">
        <f aca="false">VLOOKUP(E593,'Team Reference'!$A:$B,2,FALSE())</f>
        <v>LAC</v>
      </c>
      <c r="O593" s="1" t="str">
        <f aca="false">IF(F593&gt;G593,M593,IF(G593&gt;F593,N593,"Tie"))</f>
        <v>LAC</v>
      </c>
      <c r="P593" s="1" t="n">
        <f aca="false">F593-G593</f>
        <v>-17</v>
      </c>
      <c r="Q593" s="1" t="n">
        <f aca="false">F593+G593</f>
        <v>57</v>
      </c>
      <c r="R593" s="1" t="str">
        <f aca="false">IF(H593=M593,"Home",IF(H593=N593,"Away",IF(H593="PICK","Pick","N/A")))</f>
        <v>Away</v>
      </c>
      <c r="S593" s="1" t="n">
        <f aca="false">IF(R593="Home",P593,IF(R593="Away",-P593,""))</f>
        <v>17</v>
      </c>
      <c r="T593" s="1" t="str">
        <f aca="false">IF(R593="Pick","No Line",IF(S593="","N/A",IF(S593+I593&gt;0,"Favorite Covered",IF(S593+I593&lt;0,"Underdog Covered","Push"))))</f>
        <v>Favorite Covered</v>
      </c>
      <c r="U593" s="1" t="str">
        <f aca="false">IF(Q593&gt;J593,"Over",IF(Q593&lt;J593,"Under","Push"))</f>
        <v>Over</v>
      </c>
    </row>
    <row r="594" customFormat="false" ht="15" hidden="false" customHeight="false" outlineLevel="0" collapsed="false">
      <c r="A594" s="1" t="s">
        <v>303</v>
      </c>
      <c r="B594" s="1" t="n">
        <v>2012</v>
      </c>
      <c r="C594" s="1" t="s">
        <v>182</v>
      </c>
      <c r="D594" s="1" t="s">
        <v>99</v>
      </c>
      <c r="E594" s="1" t="s">
        <v>108</v>
      </c>
      <c r="F594" s="1" t="n">
        <v>0</v>
      </c>
      <c r="G594" s="1" t="n">
        <v>34</v>
      </c>
      <c r="H594" s="1" t="s">
        <v>109</v>
      </c>
      <c r="I594" s="1" t="n">
        <v>-4</v>
      </c>
      <c r="J594" s="1" t="n">
        <v>41</v>
      </c>
      <c r="K594" s="1" t="s">
        <v>149</v>
      </c>
      <c r="L594" s="1" t="b">
        <f aca="false">FALSE()</f>
        <v>0</v>
      </c>
      <c r="M594" s="1" t="str">
        <f aca="false">VLOOKUP(D594,'Team Reference'!$A:$B,2,FALSE())</f>
        <v>NYJ</v>
      </c>
      <c r="N594" s="1" t="str">
        <f aca="false">VLOOKUP(E594,'Team Reference'!$A:$B,2,FALSE())</f>
        <v>SF</v>
      </c>
      <c r="O594" s="1" t="str">
        <f aca="false">IF(F594&gt;G594,M594,IF(G594&gt;F594,N594,"Tie"))</f>
        <v>SF</v>
      </c>
      <c r="P594" s="1" t="n">
        <f aca="false">F594-G594</f>
        <v>-34</v>
      </c>
      <c r="Q594" s="1" t="n">
        <f aca="false">F594+G594</f>
        <v>34</v>
      </c>
      <c r="R594" s="1" t="str">
        <f aca="false">IF(H594=M594,"Home",IF(H594=N594,"Away",IF(H594="PICK","Pick","N/A")))</f>
        <v>Away</v>
      </c>
      <c r="S594" s="1" t="n">
        <f aca="false">IF(R594="Home",P594,IF(R594="Away",-P594,""))</f>
        <v>34</v>
      </c>
      <c r="T594" s="1" t="str">
        <f aca="false">IF(R594="Pick","No Line",IF(S594="","N/A",IF(S594+I594&gt;0,"Favorite Covered",IF(S594+I594&lt;0,"Underdog Covered","Push"))))</f>
        <v>Favorite Covered</v>
      </c>
      <c r="U594" s="1" t="str">
        <f aca="false">IF(Q594&gt;J594,"Over",IF(Q594&lt;J594,"Under","Push"))</f>
        <v>Under</v>
      </c>
    </row>
    <row r="595" customFormat="false" ht="15" hidden="false" customHeight="false" outlineLevel="0" collapsed="false">
      <c r="A595" s="1" t="s">
        <v>303</v>
      </c>
      <c r="B595" s="1" t="n">
        <v>2012</v>
      </c>
      <c r="C595" s="1" t="s">
        <v>182</v>
      </c>
      <c r="D595" s="1" t="s">
        <v>103</v>
      </c>
      <c r="E595" s="1" t="s">
        <v>97</v>
      </c>
      <c r="F595" s="1" t="n">
        <v>19</v>
      </c>
      <c r="G595" s="1" t="n">
        <v>17</v>
      </c>
      <c r="H595" s="1" t="s">
        <v>104</v>
      </c>
      <c r="I595" s="1" t="n">
        <v>-1.5</v>
      </c>
      <c r="J595" s="1" t="n">
        <v>46.5</v>
      </c>
      <c r="K595" s="1" t="s">
        <v>150</v>
      </c>
      <c r="L595" s="1" t="b">
        <f aca="false">FALSE()</f>
        <v>0</v>
      </c>
      <c r="M595" s="1" t="str">
        <f aca="false">VLOOKUP(D595,'Team Reference'!$A:$B,2,FALSE())</f>
        <v>PHI</v>
      </c>
      <c r="N595" s="1" t="str">
        <f aca="false">VLOOKUP(E595,'Team Reference'!$A:$B,2,FALSE())</f>
        <v>NYG</v>
      </c>
      <c r="O595" s="1" t="str">
        <f aca="false">IF(F595&gt;G595,M595,IF(G595&gt;F595,N595,"Tie"))</f>
        <v>PHI</v>
      </c>
      <c r="P595" s="1" t="n">
        <f aca="false">F595-G595</f>
        <v>2</v>
      </c>
      <c r="Q595" s="1" t="n">
        <f aca="false">F595+G595</f>
        <v>36</v>
      </c>
      <c r="R595" s="1" t="str">
        <f aca="false">IF(H595=M595,"Home",IF(H595=N595,"Away",IF(H595="PICK","Pick","N/A")))</f>
        <v>Home</v>
      </c>
      <c r="S595" s="1" t="n">
        <f aca="false">IF(R595="Home",P595,IF(R595="Away",-P595,""))</f>
        <v>2</v>
      </c>
      <c r="T595" s="1" t="str">
        <f aca="false">IF(R595="Pick","No Line",IF(S595="","N/A",IF(S595+I595&gt;0,"Favorite Covered",IF(S595+I595&lt;0,"Underdog Covered","Push"))))</f>
        <v>Favorite Covered</v>
      </c>
      <c r="U595" s="1" t="str">
        <f aca="false">IF(Q595&gt;J595,"Over",IF(Q595&lt;J595,"Under","Push"))</f>
        <v>Under</v>
      </c>
    </row>
    <row r="596" customFormat="false" ht="15" hidden="false" customHeight="false" outlineLevel="0" collapsed="false">
      <c r="A596" s="1" t="s">
        <v>303</v>
      </c>
      <c r="B596" s="1" t="n">
        <v>2012</v>
      </c>
      <c r="C596" s="1" t="s">
        <v>182</v>
      </c>
      <c r="D596" s="1" t="s">
        <v>112</v>
      </c>
      <c r="E596" s="1" t="s">
        <v>110</v>
      </c>
      <c r="F596" s="1" t="n">
        <v>19</v>
      </c>
      <c r="G596" s="1" t="n">
        <v>13</v>
      </c>
      <c r="H596" s="1" t="s">
        <v>111</v>
      </c>
      <c r="I596" s="1" t="n">
        <v>-2.5</v>
      </c>
      <c r="J596" s="1" t="n">
        <v>39</v>
      </c>
      <c r="K596" s="1" t="s">
        <v>153</v>
      </c>
      <c r="L596" s="1" t="b">
        <f aca="false">FALSE()</f>
        <v>0</v>
      </c>
      <c r="M596" s="1" t="str">
        <f aca="false">VLOOKUP(D596,'Team Reference'!$A:$B,2,FALSE())</f>
        <v>LAR</v>
      </c>
      <c r="N596" s="1" t="str">
        <f aca="false">VLOOKUP(E596,'Team Reference'!$A:$B,2,FALSE())</f>
        <v>SEA</v>
      </c>
      <c r="O596" s="1" t="str">
        <f aca="false">IF(F596&gt;G596,M596,IF(G596&gt;F596,N596,"Tie"))</f>
        <v>LAR</v>
      </c>
      <c r="P596" s="1" t="n">
        <f aca="false">F596-G596</f>
        <v>6</v>
      </c>
      <c r="Q596" s="1" t="n">
        <f aca="false">F596+G596</f>
        <v>32</v>
      </c>
      <c r="R596" s="1" t="str">
        <f aca="false">IF(H596=M596,"Home",IF(H596=N596,"Away",IF(H596="PICK","Pick","N/A")))</f>
        <v>Away</v>
      </c>
      <c r="S596" s="1" t="n">
        <f aca="false">IF(R596="Home",P596,IF(R596="Away",-P596,""))</f>
        <v>-6</v>
      </c>
      <c r="T596" s="1" t="str">
        <f aca="false">IF(R596="Pick","No Line",IF(S596="","N/A",IF(S596+I596&gt;0,"Favorite Covered",IF(S596+I596&lt;0,"Underdog Covered","Push"))))</f>
        <v>Underdog Covered</v>
      </c>
      <c r="U596" s="1" t="str">
        <f aca="false">IF(Q596&gt;J596,"Over",IF(Q596&lt;J596,"Under","Push"))</f>
        <v>Under</v>
      </c>
    </row>
    <row r="597" customFormat="false" ht="15" hidden="false" customHeight="false" outlineLevel="0" collapsed="false">
      <c r="A597" s="1" t="s">
        <v>303</v>
      </c>
      <c r="B597" s="1" t="n">
        <v>2012</v>
      </c>
      <c r="C597" s="1" t="s">
        <v>182</v>
      </c>
      <c r="D597" s="1" t="s">
        <v>113</v>
      </c>
      <c r="E597" s="1" t="s">
        <v>117</v>
      </c>
      <c r="F597" s="1" t="n">
        <v>22</v>
      </c>
      <c r="G597" s="1" t="n">
        <v>24</v>
      </c>
      <c r="H597" s="1" t="s">
        <v>114</v>
      </c>
      <c r="I597" s="1" t="n">
        <v>-2</v>
      </c>
      <c r="J597" s="1" t="n">
        <v>45</v>
      </c>
      <c r="K597" s="1" t="s">
        <v>154</v>
      </c>
      <c r="L597" s="1" t="b">
        <f aca="false">FALSE()</f>
        <v>0</v>
      </c>
      <c r="M597" s="1" t="str">
        <f aca="false">VLOOKUP(D597,'Team Reference'!$A:$B,2,FALSE())</f>
        <v>TB</v>
      </c>
      <c r="N597" s="1" t="str">
        <f aca="false">VLOOKUP(E597,'Team Reference'!$A:$B,2,FALSE())</f>
        <v>WAS</v>
      </c>
      <c r="O597" s="1" t="str">
        <f aca="false">IF(F597&gt;G597,M597,IF(G597&gt;F597,N597,"Tie"))</f>
        <v>WAS</v>
      </c>
      <c r="P597" s="1" t="n">
        <f aca="false">F597-G597</f>
        <v>-2</v>
      </c>
      <c r="Q597" s="1" t="n">
        <f aca="false">F597+G597</f>
        <v>46</v>
      </c>
      <c r="R597" s="1" t="str">
        <f aca="false">IF(H597=M597,"Home",IF(H597=N597,"Away",IF(H597="PICK","Pick","N/A")))</f>
        <v>Home</v>
      </c>
      <c r="S597" s="1" t="n">
        <f aca="false">IF(R597="Home",P597,IF(R597="Away",-P597,""))</f>
        <v>-2</v>
      </c>
      <c r="T597" s="1" t="str">
        <f aca="false">IF(R597="Pick","No Line",IF(S597="","N/A",IF(S597+I597&gt;0,"Favorite Covered",IF(S597+I597&lt;0,"Underdog Covered","Push"))))</f>
        <v>Underdog Covered</v>
      </c>
      <c r="U597" s="1" t="str">
        <f aca="false">IF(Q597&gt;J597,"Over",IF(Q597&lt;J597,"Under","Push"))</f>
        <v>Over</v>
      </c>
    </row>
    <row r="598" customFormat="false" ht="15" hidden="false" customHeight="false" outlineLevel="0" collapsed="false">
      <c r="A598" s="1" t="s">
        <v>304</v>
      </c>
      <c r="B598" s="1" t="n">
        <v>2012</v>
      </c>
      <c r="C598" s="1" t="s">
        <v>182</v>
      </c>
      <c r="D598" s="1" t="s">
        <v>69</v>
      </c>
      <c r="E598" s="1" t="s">
        <v>63</v>
      </c>
      <c r="F598" s="1" t="n">
        <v>18</v>
      </c>
      <c r="G598" s="1" t="n">
        <v>34</v>
      </c>
      <c r="H598" s="1" t="s">
        <v>70</v>
      </c>
      <c r="I598" s="1" t="n">
        <v>-3</v>
      </c>
      <c r="J598" s="1" t="n">
        <v>41.5</v>
      </c>
      <c r="K598" s="1" t="s">
        <v>165</v>
      </c>
      <c r="L598" s="1" t="b">
        <f aca="false">FALSE()</f>
        <v>0</v>
      </c>
      <c r="M598" s="1" t="str">
        <f aca="false">VLOOKUP(D598,'Team Reference'!$A:$B,2,FALSE())</f>
        <v>DAL</v>
      </c>
      <c r="N598" s="1" t="str">
        <f aca="false">VLOOKUP(E598,'Team Reference'!$A:$B,2,FALSE())</f>
        <v>CHI</v>
      </c>
      <c r="O598" s="1" t="str">
        <f aca="false">IF(F598&gt;G598,M598,IF(G598&gt;F598,N598,"Tie"))</f>
        <v>CHI</v>
      </c>
      <c r="P598" s="1" t="n">
        <f aca="false">F598-G598</f>
        <v>-16</v>
      </c>
      <c r="Q598" s="1" t="n">
        <f aca="false">F598+G598</f>
        <v>52</v>
      </c>
      <c r="R598" s="1" t="str">
        <f aca="false">IF(H598=M598,"Home",IF(H598=N598,"Away",IF(H598="PICK","Pick","N/A")))</f>
        <v>Home</v>
      </c>
      <c r="S598" s="1" t="n">
        <f aca="false">IF(R598="Home",P598,IF(R598="Away",-P598,""))</f>
        <v>-16</v>
      </c>
      <c r="T598" s="1" t="str">
        <f aca="false">IF(R598="Pick","No Line",IF(S598="","N/A",IF(S598+I598&gt;0,"Favorite Covered",IF(S598+I598&lt;0,"Underdog Covered","Push"))))</f>
        <v>Underdog Covered</v>
      </c>
      <c r="U598" s="1" t="str">
        <f aca="false">IF(Q598&gt;J598,"Over",IF(Q598&lt;J598,"Under","Push"))</f>
        <v>Over</v>
      </c>
    </row>
    <row r="599" customFormat="false" ht="15" hidden="false" customHeight="false" outlineLevel="0" collapsed="false">
      <c r="A599" s="1" t="s">
        <v>305</v>
      </c>
      <c r="B599" s="1" t="n">
        <v>2012</v>
      </c>
      <c r="C599" s="1" t="s">
        <v>185</v>
      </c>
      <c r="D599" s="1" t="s">
        <v>112</v>
      </c>
      <c r="E599" s="1" t="s">
        <v>53</v>
      </c>
      <c r="F599" s="1" t="n">
        <v>17</v>
      </c>
      <c r="G599" s="1" t="n">
        <v>3</v>
      </c>
      <c r="H599" s="1" t="s">
        <v>54</v>
      </c>
      <c r="I599" s="1" t="n">
        <v>-1.5</v>
      </c>
      <c r="J599" s="1" t="n">
        <v>38</v>
      </c>
      <c r="K599" s="1" t="s">
        <v>153</v>
      </c>
      <c r="L599" s="1" t="b">
        <f aca="false">FALSE()</f>
        <v>0</v>
      </c>
      <c r="M599" s="1" t="str">
        <f aca="false">VLOOKUP(D599,'Team Reference'!$A:$B,2,FALSE())</f>
        <v>LAR</v>
      </c>
      <c r="N599" s="1" t="str">
        <f aca="false">VLOOKUP(E599,'Team Reference'!$A:$B,2,FALSE())</f>
        <v>ARI</v>
      </c>
      <c r="O599" s="1" t="str">
        <f aca="false">IF(F599&gt;G599,M599,IF(G599&gt;F599,N599,"Tie"))</f>
        <v>LAR</v>
      </c>
      <c r="P599" s="1" t="n">
        <f aca="false">F599-G599</f>
        <v>14</v>
      </c>
      <c r="Q599" s="1" t="n">
        <f aca="false">F599+G599</f>
        <v>20</v>
      </c>
      <c r="R599" s="1" t="str">
        <f aca="false">IF(H599=M599,"Home",IF(H599=N599,"Away",IF(H599="PICK","Pick","N/A")))</f>
        <v>Away</v>
      </c>
      <c r="S599" s="1" t="n">
        <f aca="false">IF(R599="Home",P599,IF(R599="Away",-P599,""))</f>
        <v>-14</v>
      </c>
      <c r="T599" s="1" t="str">
        <f aca="false">IF(R599="Pick","No Line",IF(S599="","N/A",IF(S599+I599&gt;0,"Favorite Covered",IF(S599+I599&lt;0,"Underdog Covered","Push"))))</f>
        <v>Underdog Covered</v>
      </c>
      <c r="U599" s="1" t="str">
        <f aca="false">IF(Q599&gt;J599,"Over",IF(Q599&lt;J599,"Under","Push"))</f>
        <v>Under</v>
      </c>
    </row>
    <row r="600" customFormat="false" ht="15" hidden="false" customHeight="false" outlineLevel="0" collapsed="false">
      <c r="A600" s="1" t="s">
        <v>306</v>
      </c>
      <c r="B600" s="1" t="n">
        <v>2012</v>
      </c>
      <c r="C600" s="1" t="s">
        <v>185</v>
      </c>
      <c r="D600" s="1" t="s">
        <v>61</v>
      </c>
      <c r="E600" s="1" t="s">
        <v>110</v>
      </c>
      <c r="F600" s="1" t="n">
        <v>12</v>
      </c>
      <c r="G600" s="1" t="n">
        <v>16</v>
      </c>
      <c r="H600" s="1" t="s">
        <v>62</v>
      </c>
      <c r="I600" s="1" t="n">
        <v>-2</v>
      </c>
      <c r="J600" s="1" t="n">
        <v>42</v>
      </c>
      <c r="K600" s="1" t="s">
        <v>162</v>
      </c>
      <c r="L600" s="1" t="b">
        <f aca="false">FALSE()</f>
        <v>0</v>
      </c>
      <c r="M600" s="1" t="str">
        <f aca="false">VLOOKUP(D600,'Team Reference'!$A:$B,2,FALSE())</f>
        <v>CAR</v>
      </c>
      <c r="N600" s="1" t="str">
        <f aca="false">VLOOKUP(E600,'Team Reference'!$A:$B,2,FALSE())</f>
        <v>SEA</v>
      </c>
      <c r="O600" s="1" t="str">
        <f aca="false">IF(F600&gt;G600,M600,IF(G600&gt;F600,N600,"Tie"))</f>
        <v>SEA</v>
      </c>
      <c r="P600" s="1" t="n">
        <f aca="false">F600-G600</f>
        <v>-4</v>
      </c>
      <c r="Q600" s="1" t="n">
        <f aca="false">F600+G600</f>
        <v>28</v>
      </c>
      <c r="R600" s="1" t="str">
        <f aca="false">IF(H600=M600,"Home",IF(H600=N600,"Away",IF(H600="PICK","Pick","N/A")))</f>
        <v>Home</v>
      </c>
      <c r="S600" s="1" t="n">
        <f aca="false">IF(R600="Home",P600,IF(R600="Away",-P600,""))</f>
        <v>-4</v>
      </c>
      <c r="T600" s="1" t="str">
        <f aca="false">IF(R600="Pick","No Line",IF(S600="","N/A",IF(S600+I600&gt;0,"Favorite Covered",IF(S600+I600&lt;0,"Underdog Covered","Push"))))</f>
        <v>Underdog Covered</v>
      </c>
      <c r="U600" s="1" t="str">
        <f aca="false">IF(Q600&gt;J600,"Over",IF(Q600&lt;J600,"Under","Push"))</f>
        <v>Under</v>
      </c>
    </row>
    <row r="601" customFormat="false" ht="15" hidden="false" customHeight="false" outlineLevel="0" collapsed="false">
      <c r="A601" s="1" t="s">
        <v>306</v>
      </c>
      <c r="B601" s="1" t="n">
        <v>2012</v>
      </c>
      <c r="C601" s="1" t="s">
        <v>185</v>
      </c>
      <c r="D601" s="1" t="s">
        <v>65</v>
      </c>
      <c r="E601" s="1" t="s">
        <v>89</v>
      </c>
      <c r="F601" s="1" t="n">
        <v>13</v>
      </c>
      <c r="G601" s="1" t="n">
        <v>17</v>
      </c>
      <c r="H601" s="1" t="s">
        <v>66</v>
      </c>
      <c r="I601" s="1" t="n">
        <v>-3</v>
      </c>
      <c r="J601" s="1" t="n">
        <v>45</v>
      </c>
      <c r="K601" s="1" t="s">
        <v>163</v>
      </c>
      <c r="L601" s="1" t="b">
        <f aca="false">FALSE()</f>
        <v>0</v>
      </c>
      <c r="M601" s="1" t="str">
        <f aca="false">VLOOKUP(D601,'Team Reference'!$A:$B,2,FALSE())</f>
        <v>CIN</v>
      </c>
      <c r="N601" s="1" t="str">
        <f aca="false">VLOOKUP(E601,'Team Reference'!$A:$B,2,FALSE())</f>
        <v>MIA</v>
      </c>
      <c r="O601" s="1" t="str">
        <f aca="false">IF(F601&gt;G601,M601,IF(G601&gt;F601,N601,"Tie"))</f>
        <v>MIA</v>
      </c>
      <c r="P601" s="1" t="n">
        <f aca="false">F601-G601</f>
        <v>-4</v>
      </c>
      <c r="Q601" s="1" t="n">
        <f aca="false">F601+G601</f>
        <v>30</v>
      </c>
      <c r="R601" s="1" t="str">
        <f aca="false">IF(H601=M601,"Home",IF(H601=N601,"Away",IF(H601="PICK","Pick","N/A")))</f>
        <v>Home</v>
      </c>
      <c r="S601" s="1" t="n">
        <f aca="false">IF(R601="Home",P601,IF(R601="Away",-P601,""))</f>
        <v>-4</v>
      </c>
      <c r="T601" s="1" t="str">
        <f aca="false">IF(R601="Pick","No Line",IF(S601="","N/A",IF(S601+I601&gt;0,"Favorite Covered",IF(S601+I601&lt;0,"Underdog Covered","Push"))))</f>
        <v>Underdog Covered</v>
      </c>
      <c r="U601" s="1" t="str">
        <f aca="false">IF(Q601&gt;J601,"Over",IF(Q601&lt;J601,"Under","Push"))</f>
        <v>Under</v>
      </c>
    </row>
    <row r="602" customFormat="false" ht="15" hidden="false" customHeight="false" outlineLevel="0" collapsed="false">
      <c r="A602" s="1" t="s">
        <v>306</v>
      </c>
      <c r="B602" s="1" t="n">
        <v>2012</v>
      </c>
      <c r="C602" s="1" t="s">
        <v>185</v>
      </c>
      <c r="D602" s="1" t="s">
        <v>79</v>
      </c>
      <c r="E602" s="1" t="s">
        <v>75</v>
      </c>
      <c r="F602" s="1" t="n">
        <v>30</v>
      </c>
      <c r="G602" s="1" t="n">
        <v>27</v>
      </c>
      <c r="H602" s="1" t="s">
        <v>76</v>
      </c>
      <c r="I602" s="1" t="n">
        <v>-6.5</v>
      </c>
      <c r="J602" s="1" t="n">
        <v>49</v>
      </c>
      <c r="K602" s="1" t="s">
        <v>169</v>
      </c>
      <c r="L602" s="1" t="b">
        <f aca="false">FALSE()</f>
        <v>0</v>
      </c>
      <c r="M602" s="1" t="str">
        <f aca="false">VLOOKUP(D602,'Team Reference'!$A:$B,2,FALSE())</f>
        <v>IND</v>
      </c>
      <c r="N602" s="1" t="str">
        <f aca="false">VLOOKUP(E602,'Team Reference'!$A:$B,2,FALSE())</f>
        <v>GB</v>
      </c>
      <c r="O602" s="1" t="str">
        <f aca="false">IF(F602&gt;G602,M602,IF(G602&gt;F602,N602,"Tie"))</f>
        <v>IND</v>
      </c>
      <c r="P602" s="1" t="n">
        <f aca="false">F602-G602</f>
        <v>3</v>
      </c>
      <c r="Q602" s="1" t="n">
        <f aca="false">F602+G602</f>
        <v>57</v>
      </c>
      <c r="R602" s="1" t="str">
        <f aca="false">IF(H602=M602,"Home",IF(H602=N602,"Away",IF(H602="PICK","Pick","N/A")))</f>
        <v>Away</v>
      </c>
      <c r="S602" s="1" t="n">
        <f aca="false">IF(R602="Home",P602,IF(R602="Away",-P602,""))</f>
        <v>-3</v>
      </c>
      <c r="T602" s="1" t="str">
        <f aca="false">IF(R602="Pick","No Line",IF(S602="","N/A",IF(S602+I602&gt;0,"Favorite Covered",IF(S602+I602&lt;0,"Underdog Covered","Push"))))</f>
        <v>Underdog Covered</v>
      </c>
      <c r="U602" s="1" t="str">
        <f aca="false">IF(Q602&gt;J602,"Over",IF(Q602&lt;J602,"Under","Push"))</f>
        <v>Over</v>
      </c>
    </row>
    <row r="603" customFormat="false" ht="15" hidden="false" customHeight="false" outlineLevel="0" collapsed="false">
      <c r="A603" s="1" t="s">
        <v>306</v>
      </c>
      <c r="B603" s="1" t="n">
        <v>2012</v>
      </c>
      <c r="C603" s="1" t="s">
        <v>185</v>
      </c>
      <c r="D603" s="1" t="s">
        <v>81</v>
      </c>
      <c r="E603" s="1" t="s">
        <v>63</v>
      </c>
      <c r="F603" s="1" t="n">
        <v>3</v>
      </c>
      <c r="G603" s="1" t="n">
        <v>41</v>
      </c>
      <c r="H603" s="1" t="s">
        <v>64</v>
      </c>
      <c r="I603" s="1" t="n">
        <v>-6.5</v>
      </c>
      <c r="J603" s="1" t="n">
        <v>40</v>
      </c>
      <c r="K603" s="1" t="s">
        <v>147</v>
      </c>
      <c r="L603" s="1" t="b">
        <f aca="false">FALSE()</f>
        <v>0</v>
      </c>
      <c r="M603" s="1" t="str">
        <f aca="false">VLOOKUP(D603,'Team Reference'!$A:$B,2,FALSE())</f>
        <v>JAX</v>
      </c>
      <c r="N603" s="1" t="str">
        <f aca="false">VLOOKUP(E603,'Team Reference'!$A:$B,2,FALSE())</f>
        <v>CHI</v>
      </c>
      <c r="O603" s="1" t="str">
        <f aca="false">IF(F603&gt;G603,M603,IF(G603&gt;F603,N603,"Tie"))</f>
        <v>CHI</v>
      </c>
      <c r="P603" s="1" t="n">
        <f aca="false">F603-G603</f>
        <v>-38</v>
      </c>
      <c r="Q603" s="1" t="n">
        <f aca="false">F603+G603</f>
        <v>44</v>
      </c>
      <c r="R603" s="1" t="str">
        <f aca="false">IF(H603=M603,"Home",IF(H603=N603,"Away",IF(H603="PICK","Pick","N/A")))</f>
        <v>Away</v>
      </c>
      <c r="S603" s="1" t="n">
        <f aca="false">IF(R603="Home",P603,IF(R603="Away",-P603,""))</f>
        <v>38</v>
      </c>
      <c r="T603" s="1" t="str">
        <f aca="false">IF(R603="Pick","No Line",IF(S603="","N/A",IF(S603+I603&gt;0,"Favorite Covered",IF(S603+I603&lt;0,"Underdog Covered","Push"))))</f>
        <v>Favorite Covered</v>
      </c>
      <c r="U603" s="1" t="str">
        <f aca="false">IF(Q603&gt;J603,"Over",IF(Q603&lt;J603,"Under","Push"))</f>
        <v>Over</v>
      </c>
    </row>
    <row r="604" customFormat="false" ht="15" hidden="false" customHeight="false" outlineLevel="0" collapsed="false">
      <c r="A604" s="1" t="s">
        <v>306</v>
      </c>
      <c r="B604" s="1" t="n">
        <v>2012</v>
      </c>
      <c r="C604" s="1" t="s">
        <v>185</v>
      </c>
      <c r="D604" s="1" t="s">
        <v>83</v>
      </c>
      <c r="E604" s="1" t="s">
        <v>57</v>
      </c>
      <c r="F604" s="1" t="n">
        <v>6</v>
      </c>
      <c r="G604" s="1" t="n">
        <v>9</v>
      </c>
      <c r="H604" s="1" t="s">
        <v>58</v>
      </c>
      <c r="I604" s="1" t="n">
        <v>-6.5</v>
      </c>
      <c r="J604" s="1" t="n">
        <v>47</v>
      </c>
      <c r="K604" s="1" t="s">
        <v>158</v>
      </c>
      <c r="L604" s="1" t="b">
        <f aca="false">FALSE()</f>
        <v>0</v>
      </c>
      <c r="M604" s="1" t="str">
        <f aca="false">VLOOKUP(D604,'Team Reference'!$A:$B,2,FALSE())</f>
        <v>KC</v>
      </c>
      <c r="N604" s="1" t="str">
        <f aca="false">VLOOKUP(E604,'Team Reference'!$A:$B,2,FALSE())</f>
        <v>BAL</v>
      </c>
      <c r="O604" s="1" t="str">
        <f aca="false">IF(F604&gt;G604,M604,IF(G604&gt;F604,N604,"Tie"))</f>
        <v>BAL</v>
      </c>
      <c r="P604" s="1" t="n">
        <f aca="false">F604-G604</f>
        <v>-3</v>
      </c>
      <c r="Q604" s="1" t="n">
        <f aca="false">F604+G604</f>
        <v>15</v>
      </c>
      <c r="R604" s="1" t="str">
        <f aca="false">IF(H604=M604,"Home",IF(H604=N604,"Away",IF(H604="PICK","Pick","N/A")))</f>
        <v>Away</v>
      </c>
      <c r="S604" s="1" t="n">
        <f aca="false">IF(R604="Home",P604,IF(R604="Away",-P604,""))</f>
        <v>3</v>
      </c>
      <c r="T604" s="1" t="str">
        <f aca="false">IF(R604="Pick","No Line",IF(S604="","N/A",IF(S604+I604&gt;0,"Favorite Covered",IF(S604+I604&lt;0,"Underdog Covered","Push"))))</f>
        <v>Underdog Covered</v>
      </c>
      <c r="U604" s="1" t="str">
        <f aca="false">IF(Q604&gt;J604,"Over",IF(Q604&lt;J604,"Under","Push"))</f>
        <v>Under</v>
      </c>
    </row>
    <row r="605" customFormat="false" ht="15" hidden="false" customHeight="false" outlineLevel="0" collapsed="false">
      <c r="A605" s="1" t="s">
        <v>306</v>
      </c>
      <c r="B605" s="1" t="n">
        <v>2012</v>
      </c>
      <c r="C605" s="1" t="s">
        <v>185</v>
      </c>
      <c r="D605" s="1" t="s">
        <v>91</v>
      </c>
      <c r="E605" s="1" t="s">
        <v>115</v>
      </c>
      <c r="F605" s="1" t="n">
        <v>30</v>
      </c>
      <c r="G605" s="1" t="n">
        <v>7</v>
      </c>
      <c r="H605" s="1" t="s">
        <v>92</v>
      </c>
      <c r="I605" s="1" t="n">
        <v>-6</v>
      </c>
      <c r="J605" s="1" t="n">
        <v>44</v>
      </c>
      <c r="K605" s="1" t="s">
        <v>170</v>
      </c>
      <c r="L605" s="1" t="b">
        <f aca="false">FALSE()</f>
        <v>0</v>
      </c>
      <c r="M605" s="1" t="str">
        <f aca="false">VLOOKUP(D605,'Team Reference'!$A:$B,2,FALSE())</f>
        <v>MIN</v>
      </c>
      <c r="N605" s="1" t="str">
        <f aca="false">VLOOKUP(E605,'Team Reference'!$A:$B,2,FALSE())</f>
        <v>TEN</v>
      </c>
      <c r="O605" s="1" t="str">
        <f aca="false">IF(F605&gt;G605,M605,IF(G605&gt;F605,N605,"Tie"))</f>
        <v>MIN</v>
      </c>
      <c r="P605" s="1" t="n">
        <f aca="false">F605-G605</f>
        <v>23</v>
      </c>
      <c r="Q605" s="1" t="n">
        <f aca="false">F605+G605</f>
        <v>37</v>
      </c>
      <c r="R605" s="1" t="str">
        <f aca="false">IF(H605=M605,"Home",IF(H605=N605,"Away",IF(H605="PICK","Pick","N/A")))</f>
        <v>Home</v>
      </c>
      <c r="S605" s="1" t="n">
        <f aca="false">IF(R605="Home",P605,IF(R605="Away",-P605,""))</f>
        <v>23</v>
      </c>
      <c r="T605" s="1" t="str">
        <f aca="false">IF(R605="Pick","No Line",IF(S605="","N/A",IF(S605+I605&gt;0,"Favorite Covered",IF(S605+I605&lt;0,"Underdog Covered","Push"))))</f>
        <v>Favorite Covered</v>
      </c>
      <c r="U605" s="1" t="str">
        <f aca="false">IF(Q605&gt;J605,"Over",IF(Q605&lt;J605,"Under","Push"))</f>
        <v>Under</v>
      </c>
    </row>
    <row r="606" customFormat="false" ht="15" hidden="false" customHeight="false" outlineLevel="0" collapsed="false">
      <c r="A606" s="1" t="s">
        <v>306</v>
      </c>
      <c r="B606" s="1" t="n">
        <v>2012</v>
      </c>
      <c r="C606" s="1" t="s">
        <v>185</v>
      </c>
      <c r="D606" s="1" t="s">
        <v>93</v>
      </c>
      <c r="E606" s="1" t="s">
        <v>71</v>
      </c>
      <c r="F606" s="1" t="n">
        <v>31</v>
      </c>
      <c r="G606" s="1" t="n">
        <v>21</v>
      </c>
      <c r="H606" s="1" t="s">
        <v>94</v>
      </c>
      <c r="I606" s="1" t="n">
        <v>-6</v>
      </c>
      <c r="J606" s="1" t="n">
        <v>51.5</v>
      </c>
      <c r="K606" s="1" t="s">
        <v>148</v>
      </c>
      <c r="L606" s="1" t="b">
        <f aca="false">FALSE()</f>
        <v>0</v>
      </c>
      <c r="M606" s="1" t="str">
        <f aca="false">VLOOKUP(D606,'Team Reference'!$A:$B,2,FALSE())</f>
        <v>NE</v>
      </c>
      <c r="N606" s="1" t="str">
        <f aca="false">VLOOKUP(E606,'Team Reference'!$A:$B,2,FALSE())</f>
        <v>DEN</v>
      </c>
      <c r="O606" s="1" t="str">
        <f aca="false">IF(F606&gt;G606,M606,IF(G606&gt;F606,N606,"Tie"))</f>
        <v>NE</v>
      </c>
      <c r="P606" s="1" t="n">
        <f aca="false">F606-G606</f>
        <v>10</v>
      </c>
      <c r="Q606" s="1" t="n">
        <f aca="false">F606+G606</f>
        <v>52</v>
      </c>
      <c r="R606" s="1" t="str">
        <f aca="false">IF(H606=M606,"Home",IF(H606=N606,"Away",IF(H606="PICK","Pick","N/A")))</f>
        <v>Home</v>
      </c>
      <c r="S606" s="1" t="n">
        <f aca="false">IF(R606="Home",P606,IF(R606="Away",-P606,""))</f>
        <v>10</v>
      </c>
      <c r="T606" s="1" t="str">
        <f aca="false">IF(R606="Pick","No Line",IF(S606="","N/A",IF(S606+I606&gt;0,"Favorite Covered",IF(S606+I606&lt;0,"Underdog Covered","Push"))))</f>
        <v>Favorite Covered</v>
      </c>
      <c r="U606" s="1" t="str">
        <f aca="false">IF(Q606&gt;J606,"Over",IF(Q606&lt;J606,"Under","Push"))</f>
        <v>Over</v>
      </c>
    </row>
    <row r="607" customFormat="false" ht="15" hidden="false" customHeight="false" outlineLevel="0" collapsed="false">
      <c r="A607" s="1" t="s">
        <v>306</v>
      </c>
      <c r="B607" s="1" t="n">
        <v>2012</v>
      </c>
      <c r="C607" s="1" t="s">
        <v>185</v>
      </c>
      <c r="D607" s="1" t="s">
        <v>95</v>
      </c>
      <c r="E607" s="1" t="s">
        <v>107</v>
      </c>
      <c r="F607" s="1" t="n">
        <v>31</v>
      </c>
      <c r="G607" s="1" t="n">
        <v>24</v>
      </c>
      <c r="H607" s="1" t="s">
        <v>96</v>
      </c>
      <c r="I607" s="1" t="n">
        <v>-3.5</v>
      </c>
      <c r="J607" s="1" t="n">
        <v>52.5</v>
      </c>
      <c r="K607" s="1" t="s">
        <v>142</v>
      </c>
      <c r="L607" s="1" t="b">
        <f aca="false">FALSE()</f>
        <v>0</v>
      </c>
      <c r="M607" s="1" t="str">
        <f aca="false">VLOOKUP(D607,'Team Reference'!$A:$B,2,FALSE())</f>
        <v>NO</v>
      </c>
      <c r="N607" s="1" t="str">
        <f aca="false">VLOOKUP(E607,'Team Reference'!$A:$B,2,FALSE())</f>
        <v>LAC</v>
      </c>
      <c r="O607" s="1" t="str">
        <f aca="false">IF(F607&gt;G607,M607,IF(G607&gt;F607,N607,"Tie"))</f>
        <v>NO</v>
      </c>
      <c r="P607" s="1" t="n">
        <f aca="false">F607-G607</f>
        <v>7</v>
      </c>
      <c r="Q607" s="1" t="n">
        <f aca="false">F607+G607</f>
        <v>55</v>
      </c>
      <c r="R607" s="1" t="str">
        <f aca="false">IF(H607=M607,"Home",IF(H607=N607,"Away",IF(H607="PICK","Pick","N/A")))</f>
        <v>Home</v>
      </c>
      <c r="S607" s="1" t="n">
        <f aca="false">IF(R607="Home",P607,IF(R607="Away",-P607,""))</f>
        <v>7</v>
      </c>
      <c r="T607" s="1" t="str">
        <f aca="false">IF(R607="Pick","No Line",IF(S607="","N/A",IF(S607+I607&gt;0,"Favorite Covered",IF(S607+I607&lt;0,"Underdog Covered","Push"))))</f>
        <v>Favorite Covered</v>
      </c>
      <c r="U607" s="1" t="str">
        <f aca="false">IF(Q607&gt;J607,"Over",IF(Q607&lt;J607,"Under","Push"))</f>
        <v>Over</v>
      </c>
    </row>
    <row r="608" customFormat="false" ht="15" hidden="false" customHeight="false" outlineLevel="0" collapsed="false">
      <c r="A608" s="1" t="s">
        <v>306</v>
      </c>
      <c r="B608" s="1" t="n">
        <v>2012</v>
      </c>
      <c r="C608" s="1" t="s">
        <v>185</v>
      </c>
      <c r="D608" s="1" t="s">
        <v>97</v>
      </c>
      <c r="E608" s="1" t="s">
        <v>67</v>
      </c>
      <c r="F608" s="1" t="n">
        <v>41</v>
      </c>
      <c r="G608" s="1" t="n">
        <v>27</v>
      </c>
      <c r="H608" s="1" t="s">
        <v>98</v>
      </c>
      <c r="I608" s="1" t="n">
        <v>-8</v>
      </c>
      <c r="J608" s="1" t="n">
        <v>44</v>
      </c>
      <c r="K608" s="1" t="s">
        <v>149</v>
      </c>
      <c r="L608" s="1" t="b">
        <f aca="false">FALSE()</f>
        <v>0</v>
      </c>
      <c r="M608" s="1" t="str">
        <f aca="false">VLOOKUP(D608,'Team Reference'!$A:$B,2,FALSE())</f>
        <v>NYG</v>
      </c>
      <c r="N608" s="1" t="str">
        <f aca="false">VLOOKUP(E608,'Team Reference'!$A:$B,2,FALSE())</f>
        <v>CLE</v>
      </c>
      <c r="O608" s="1" t="str">
        <f aca="false">IF(F608&gt;G608,M608,IF(G608&gt;F608,N608,"Tie"))</f>
        <v>NYG</v>
      </c>
      <c r="P608" s="1" t="n">
        <f aca="false">F608-G608</f>
        <v>14</v>
      </c>
      <c r="Q608" s="1" t="n">
        <f aca="false">F608+G608</f>
        <v>68</v>
      </c>
      <c r="R608" s="1" t="str">
        <f aca="false">IF(H608=M608,"Home",IF(H608=N608,"Away",IF(H608="PICK","Pick","N/A")))</f>
        <v>Home</v>
      </c>
      <c r="S608" s="1" t="n">
        <f aca="false">IF(R608="Home",P608,IF(R608="Away",-P608,""))</f>
        <v>14</v>
      </c>
      <c r="T608" s="1" t="str">
        <f aca="false">IF(R608="Pick","No Line",IF(S608="","N/A",IF(S608+I608&gt;0,"Favorite Covered",IF(S608+I608&lt;0,"Underdog Covered","Push"))))</f>
        <v>Favorite Covered</v>
      </c>
      <c r="U608" s="1" t="str">
        <f aca="false">IF(Q608&gt;J608,"Over",IF(Q608&lt;J608,"Under","Push"))</f>
        <v>Over</v>
      </c>
    </row>
    <row r="609" customFormat="false" ht="15" hidden="false" customHeight="false" outlineLevel="0" collapsed="false">
      <c r="A609" s="1" t="s">
        <v>306</v>
      </c>
      <c r="B609" s="1" t="n">
        <v>2012</v>
      </c>
      <c r="C609" s="1" t="s">
        <v>185</v>
      </c>
      <c r="D609" s="1" t="s">
        <v>105</v>
      </c>
      <c r="E609" s="1" t="s">
        <v>103</v>
      </c>
      <c r="F609" s="1" t="n">
        <v>16</v>
      </c>
      <c r="G609" s="1" t="n">
        <v>14</v>
      </c>
      <c r="H609" s="1" t="s">
        <v>106</v>
      </c>
      <c r="I609" s="1" t="n">
        <v>-4</v>
      </c>
      <c r="J609" s="1" t="n">
        <v>44</v>
      </c>
      <c r="K609" s="1" t="s">
        <v>151</v>
      </c>
      <c r="L609" s="1" t="b">
        <f aca="false">FALSE()</f>
        <v>0</v>
      </c>
      <c r="M609" s="1" t="str">
        <f aca="false">VLOOKUP(D609,'Team Reference'!$A:$B,2,FALSE())</f>
        <v>PIT</v>
      </c>
      <c r="N609" s="1" t="str">
        <f aca="false">VLOOKUP(E609,'Team Reference'!$A:$B,2,FALSE())</f>
        <v>PHI</v>
      </c>
      <c r="O609" s="1" t="str">
        <f aca="false">IF(F609&gt;G609,M609,IF(G609&gt;F609,N609,"Tie"))</f>
        <v>PIT</v>
      </c>
      <c r="P609" s="1" t="n">
        <f aca="false">F609-G609</f>
        <v>2</v>
      </c>
      <c r="Q609" s="1" t="n">
        <f aca="false">F609+G609</f>
        <v>30</v>
      </c>
      <c r="R609" s="1" t="str">
        <f aca="false">IF(H609=M609,"Home",IF(H609=N609,"Away",IF(H609="PICK","Pick","N/A")))</f>
        <v>Home</v>
      </c>
      <c r="S609" s="1" t="n">
        <f aca="false">IF(R609="Home",P609,IF(R609="Away",-P609,""))</f>
        <v>2</v>
      </c>
      <c r="T609" s="1" t="str">
        <f aca="false">IF(R609="Pick","No Line",IF(S609="","N/A",IF(S609+I609&gt;0,"Favorite Covered",IF(S609+I609&lt;0,"Underdog Covered","Push"))))</f>
        <v>Underdog Covered</v>
      </c>
      <c r="U609" s="1" t="str">
        <f aca="false">IF(Q609&gt;J609,"Over",IF(Q609&lt;J609,"Under","Push"))</f>
        <v>Under</v>
      </c>
    </row>
    <row r="610" customFormat="false" ht="15" hidden="false" customHeight="false" outlineLevel="0" collapsed="false">
      <c r="A610" s="1" t="s">
        <v>306</v>
      </c>
      <c r="B610" s="1" t="n">
        <v>2012</v>
      </c>
      <c r="C610" s="1" t="s">
        <v>185</v>
      </c>
      <c r="D610" s="1" t="s">
        <v>108</v>
      </c>
      <c r="E610" s="1" t="s">
        <v>59</v>
      </c>
      <c r="F610" s="1" t="n">
        <v>45</v>
      </c>
      <c r="G610" s="1" t="n">
        <v>3</v>
      </c>
      <c r="H610" s="1" t="s">
        <v>109</v>
      </c>
      <c r="I610" s="1" t="n">
        <v>-10</v>
      </c>
      <c r="J610" s="1" t="n">
        <v>45</v>
      </c>
      <c r="K610" s="1" t="s">
        <v>174</v>
      </c>
      <c r="L610" s="1" t="b">
        <f aca="false">FALSE()</f>
        <v>0</v>
      </c>
      <c r="M610" s="1" t="str">
        <f aca="false">VLOOKUP(D610,'Team Reference'!$A:$B,2,FALSE())</f>
        <v>SF</v>
      </c>
      <c r="N610" s="1" t="str">
        <f aca="false">VLOOKUP(E610,'Team Reference'!$A:$B,2,FALSE())</f>
        <v>BUF</v>
      </c>
      <c r="O610" s="1" t="str">
        <f aca="false">IF(F610&gt;G610,M610,IF(G610&gt;F610,N610,"Tie"))</f>
        <v>SF</v>
      </c>
      <c r="P610" s="1" t="n">
        <f aca="false">F610-G610</f>
        <v>42</v>
      </c>
      <c r="Q610" s="1" t="n">
        <f aca="false">F610+G610</f>
        <v>48</v>
      </c>
      <c r="R610" s="1" t="str">
        <f aca="false">IF(H610=M610,"Home",IF(H610=N610,"Away",IF(H610="PICK","Pick","N/A")))</f>
        <v>Home</v>
      </c>
      <c r="S610" s="1" t="n">
        <f aca="false">IF(R610="Home",P610,IF(R610="Away",-P610,""))</f>
        <v>42</v>
      </c>
      <c r="T610" s="1" t="str">
        <f aca="false">IF(R610="Pick","No Line",IF(S610="","N/A",IF(S610+I610&gt;0,"Favorite Covered",IF(S610+I610&lt;0,"Underdog Covered","Push"))))</f>
        <v>Favorite Covered</v>
      </c>
      <c r="U610" s="1" t="str">
        <f aca="false">IF(Q610&gt;J610,"Over",IF(Q610&lt;J610,"Under","Push"))</f>
        <v>Over</v>
      </c>
    </row>
    <row r="611" customFormat="false" ht="15" hidden="false" customHeight="false" outlineLevel="0" collapsed="false">
      <c r="A611" s="1" t="s">
        <v>306</v>
      </c>
      <c r="B611" s="1" t="n">
        <v>2012</v>
      </c>
      <c r="C611" s="1" t="s">
        <v>185</v>
      </c>
      <c r="D611" s="1" t="s">
        <v>117</v>
      </c>
      <c r="E611" s="1" t="s">
        <v>55</v>
      </c>
      <c r="F611" s="1" t="n">
        <v>17</v>
      </c>
      <c r="G611" s="1" t="n">
        <v>24</v>
      </c>
      <c r="H611" s="1" t="s">
        <v>56</v>
      </c>
      <c r="I611" s="1" t="n">
        <v>-3</v>
      </c>
      <c r="J611" s="1" t="n">
        <v>51</v>
      </c>
      <c r="K611" s="1" t="s">
        <v>156</v>
      </c>
      <c r="L611" s="1" t="b">
        <f aca="false">FALSE()</f>
        <v>0</v>
      </c>
      <c r="M611" s="1" t="str">
        <f aca="false">VLOOKUP(D611,'Team Reference'!$A:$B,2,FALSE())</f>
        <v>WAS</v>
      </c>
      <c r="N611" s="1" t="str">
        <f aca="false">VLOOKUP(E611,'Team Reference'!$A:$B,2,FALSE())</f>
        <v>ATL</v>
      </c>
      <c r="O611" s="1" t="str">
        <f aca="false">IF(F611&gt;G611,M611,IF(G611&gt;F611,N611,"Tie"))</f>
        <v>ATL</v>
      </c>
      <c r="P611" s="1" t="n">
        <f aca="false">F611-G611</f>
        <v>-7</v>
      </c>
      <c r="Q611" s="1" t="n">
        <f aca="false">F611+G611</f>
        <v>41</v>
      </c>
      <c r="R611" s="1" t="str">
        <f aca="false">IF(H611=M611,"Home",IF(H611=N611,"Away",IF(H611="PICK","Pick","N/A")))</f>
        <v>Away</v>
      </c>
      <c r="S611" s="1" t="n">
        <f aca="false">IF(R611="Home",P611,IF(R611="Away",-P611,""))</f>
        <v>7</v>
      </c>
      <c r="T611" s="1" t="str">
        <f aca="false">IF(R611="Pick","No Line",IF(S611="","N/A",IF(S611+I611&gt;0,"Favorite Covered",IF(S611+I611&lt;0,"Underdog Covered","Push"))))</f>
        <v>Favorite Covered</v>
      </c>
      <c r="U611" s="1" t="str">
        <f aca="false">IF(Q611&gt;J611,"Over",IF(Q611&lt;J611,"Under","Push"))</f>
        <v>Under</v>
      </c>
    </row>
    <row r="612" customFormat="false" ht="15" hidden="false" customHeight="false" outlineLevel="0" collapsed="false">
      <c r="A612" s="1" t="s">
        <v>307</v>
      </c>
      <c r="B612" s="1" t="n">
        <v>2012</v>
      </c>
      <c r="C612" s="1" t="s">
        <v>185</v>
      </c>
      <c r="D612" s="1" t="s">
        <v>99</v>
      </c>
      <c r="E612" s="1" t="s">
        <v>77</v>
      </c>
      <c r="F612" s="1" t="n">
        <v>17</v>
      </c>
      <c r="G612" s="1" t="n">
        <v>23</v>
      </c>
      <c r="H612" s="1" t="s">
        <v>78</v>
      </c>
      <c r="I612" s="1" t="n">
        <v>-10</v>
      </c>
      <c r="J612" s="1" t="n">
        <v>41</v>
      </c>
      <c r="K612" s="1" t="s">
        <v>149</v>
      </c>
      <c r="L612" s="1" t="b">
        <f aca="false">FALSE()</f>
        <v>0</v>
      </c>
      <c r="M612" s="1" t="str">
        <f aca="false">VLOOKUP(D612,'Team Reference'!$A:$B,2,FALSE())</f>
        <v>NYJ</v>
      </c>
      <c r="N612" s="1" t="str">
        <f aca="false">VLOOKUP(E612,'Team Reference'!$A:$B,2,FALSE())</f>
        <v>HOU</v>
      </c>
      <c r="O612" s="1" t="str">
        <f aca="false">IF(F612&gt;G612,M612,IF(G612&gt;F612,N612,"Tie"))</f>
        <v>HOU</v>
      </c>
      <c r="P612" s="1" t="n">
        <f aca="false">F612-G612</f>
        <v>-6</v>
      </c>
      <c r="Q612" s="1" t="n">
        <f aca="false">F612+G612</f>
        <v>40</v>
      </c>
      <c r="R612" s="1" t="str">
        <f aca="false">IF(H612=M612,"Home",IF(H612=N612,"Away",IF(H612="PICK","Pick","N/A")))</f>
        <v>Away</v>
      </c>
      <c r="S612" s="1" t="n">
        <f aca="false">IF(R612="Home",P612,IF(R612="Away",-P612,""))</f>
        <v>6</v>
      </c>
      <c r="T612" s="1" t="str">
        <f aca="false">IF(R612="Pick","No Line",IF(S612="","N/A",IF(S612+I612&gt;0,"Favorite Covered",IF(S612+I612&lt;0,"Underdog Covered","Push"))))</f>
        <v>Underdog Covered</v>
      </c>
      <c r="U612" s="1" t="str">
        <f aca="false">IF(Q612&gt;J612,"Over",IF(Q612&lt;J612,"Under","Push"))</f>
        <v>Under</v>
      </c>
    </row>
    <row r="613" customFormat="false" ht="15" hidden="false" customHeight="false" outlineLevel="0" collapsed="false">
      <c r="A613" s="1" t="s">
        <v>308</v>
      </c>
      <c r="B613" s="1" t="n">
        <v>2012</v>
      </c>
      <c r="C613" s="1" t="s">
        <v>188</v>
      </c>
      <c r="D613" s="1" t="s">
        <v>115</v>
      </c>
      <c r="E613" s="1" t="s">
        <v>105</v>
      </c>
      <c r="F613" s="1" t="n">
        <v>26</v>
      </c>
      <c r="G613" s="1" t="n">
        <v>23</v>
      </c>
      <c r="H613" s="1" t="s">
        <v>106</v>
      </c>
      <c r="I613" s="1" t="n">
        <v>-6.5</v>
      </c>
      <c r="J613" s="1" t="n">
        <v>43</v>
      </c>
      <c r="K613" s="1" t="s">
        <v>155</v>
      </c>
      <c r="L613" s="1" t="b">
        <f aca="false">FALSE()</f>
        <v>0</v>
      </c>
      <c r="M613" s="1" t="str">
        <f aca="false">VLOOKUP(D613,'Team Reference'!$A:$B,2,FALSE())</f>
        <v>TEN</v>
      </c>
      <c r="N613" s="1" t="str">
        <f aca="false">VLOOKUP(E613,'Team Reference'!$A:$B,2,FALSE())</f>
        <v>PIT</v>
      </c>
      <c r="O613" s="1" t="str">
        <f aca="false">IF(F613&gt;G613,M613,IF(G613&gt;F613,N613,"Tie"))</f>
        <v>TEN</v>
      </c>
      <c r="P613" s="1" t="n">
        <f aca="false">F613-G613</f>
        <v>3</v>
      </c>
      <c r="Q613" s="1" t="n">
        <f aca="false">F613+G613</f>
        <v>49</v>
      </c>
      <c r="R613" s="1" t="str">
        <f aca="false">IF(H613=M613,"Home",IF(H613=N613,"Away",IF(H613="PICK","Pick","N/A")))</f>
        <v>Away</v>
      </c>
      <c r="S613" s="1" t="n">
        <f aca="false">IF(R613="Home",P613,IF(R613="Away",-P613,""))</f>
        <v>-3</v>
      </c>
      <c r="T613" s="1" t="str">
        <f aca="false">IF(R613="Pick","No Line",IF(S613="","N/A",IF(S613+I613&gt;0,"Favorite Covered",IF(S613+I613&lt;0,"Underdog Covered","Push"))))</f>
        <v>Underdog Covered</v>
      </c>
      <c r="U613" s="1" t="str">
        <f aca="false">IF(Q613&gt;J613,"Over",IF(Q613&lt;J613,"Under","Push"))</f>
        <v>Over</v>
      </c>
    </row>
    <row r="614" customFormat="false" ht="15" hidden="false" customHeight="false" outlineLevel="0" collapsed="false">
      <c r="A614" s="1" t="s">
        <v>309</v>
      </c>
      <c r="B614" s="1" t="n">
        <v>2012</v>
      </c>
      <c r="C614" s="1" t="s">
        <v>188</v>
      </c>
      <c r="D614" s="1" t="s">
        <v>53</v>
      </c>
      <c r="E614" s="1" t="s">
        <v>59</v>
      </c>
      <c r="F614" s="1" t="n">
        <v>16</v>
      </c>
      <c r="G614" s="1" t="n">
        <v>19</v>
      </c>
      <c r="H614" s="1" t="s">
        <v>54</v>
      </c>
      <c r="I614" s="1" t="n">
        <v>-5</v>
      </c>
      <c r="J614" s="1" t="n">
        <v>44</v>
      </c>
      <c r="K614" s="1" t="s">
        <v>177</v>
      </c>
      <c r="L614" s="1" t="b">
        <f aca="false">FALSE()</f>
        <v>0</v>
      </c>
      <c r="M614" s="1" t="str">
        <f aca="false">VLOOKUP(D614,'Team Reference'!$A:$B,2,FALSE())</f>
        <v>ARI</v>
      </c>
      <c r="N614" s="1" t="str">
        <f aca="false">VLOOKUP(E614,'Team Reference'!$A:$B,2,FALSE())</f>
        <v>BUF</v>
      </c>
      <c r="O614" s="1" t="str">
        <f aca="false">IF(F614&gt;G614,M614,IF(G614&gt;F614,N614,"Tie"))</f>
        <v>BUF</v>
      </c>
      <c r="P614" s="1" t="n">
        <f aca="false">F614-G614</f>
        <v>-3</v>
      </c>
      <c r="Q614" s="1" t="n">
        <f aca="false">F614+G614</f>
        <v>35</v>
      </c>
      <c r="R614" s="1" t="str">
        <f aca="false">IF(H614=M614,"Home",IF(H614=N614,"Away",IF(H614="PICK","Pick","N/A")))</f>
        <v>Home</v>
      </c>
      <c r="S614" s="1" t="n">
        <f aca="false">IF(R614="Home",P614,IF(R614="Away",-P614,""))</f>
        <v>-3</v>
      </c>
      <c r="T614" s="1" t="str">
        <f aca="false">IF(R614="Pick","No Line",IF(S614="","N/A",IF(S614+I614&gt;0,"Favorite Covered",IF(S614+I614&lt;0,"Underdog Covered","Push"))))</f>
        <v>Underdog Covered</v>
      </c>
      <c r="U614" s="1" t="str">
        <f aca="false">IF(Q614&gt;J614,"Over",IF(Q614&lt;J614,"Under","Push"))</f>
        <v>Under</v>
      </c>
    </row>
    <row r="615" customFormat="false" ht="15" hidden="false" customHeight="false" outlineLevel="0" collapsed="false">
      <c r="A615" s="1" t="s">
        <v>309</v>
      </c>
      <c r="B615" s="1" t="n">
        <v>2012</v>
      </c>
      <c r="C615" s="1" t="s">
        <v>188</v>
      </c>
      <c r="D615" s="1" t="s">
        <v>55</v>
      </c>
      <c r="E615" s="1" t="s">
        <v>101</v>
      </c>
      <c r="F615" s="1" t="n">
        <v>23</v>
      </c>
      <c r="G615" s="1" t="n">
        <v>20</v>
      </c>
      <c r="H615" s="1" t="s">
        <v>56</v>
      </c>
      <c r="I615" s="1" t="n">
        <v>-10</v>
      </c>
      <c r="J615" s="1" t="n">
        <v>49</v>
      </c>
      <c r="K615" s="1" t="s">
        <v>161</v>
      </c>
      <c r="L615" s="1" t="b">
        <f aca="false">FALSE()</f>
        <v>0</v>
      </c>
      <c r="M615" s="1" t="str">
        <f aca="false">VLOOKUP(D615,'Team Reference'!$A:$B,2,FALSE())</f>
        <v>ATL</v>
      </c>
      <c r="N615" s="1" t="str">
        <f aca="false">VLOOKUP(E615,'Team Reference'!$A:$B,2,FALSE())</f>
        <v>OAK</v>
      </c>
      <c r="O615" s="1" t="str">
        <f aca="false">IF(F615&gt;G615,M615,IF(G615&gt;F615,N615,"Tie"))</f>
        <v>ATL</v>
      </c>
      <c r="P615" s="1" t="n">
        <f aca="false">F615-G615</f>
        <v>3</v>
      </c>
      <c r="Q615" s="1" t="n">
        <f aca="false">F615+G615</f>
        <v>43</v>
      </c>
      <c r="R615" s="1" t="str">
        <f aca="false">IF(H615=M615,"Home",IF(H615=N615,"Away",IF(H615="PICK","Pick","N/A")))</f>
        <v>Home</v>
      </c>
      <c r="S615" s="1" t="n">
        <f aca="false">IF(R615="Home",P615,IF(R615="Away",-P615,""))</f>
        <v>3</v>
      </c>
      <c r="T615" s="1" t="str">
        <f aca="false">IF(R615="Pick","No Line",IF(S615="","N/A",IF(S615+I615&gt;0,"Favorite Covered",IF(S615+I615&lt;0,"Underdog Covered","Push"))))</f>
        <v>Underdog Covered</v>
      </c>
      <c r="U615" s="1" t="str">
        <f aca="false">IF(Q615&gt;J615,"Over",IF(Q615&lt;J615,"Under","Push"))</f>
        <v>Under</v>
      </c>
    </row>
    <row r="616" customFormat="false" ht="15" hidden="false" customHeight="false" outlineLevel="0" collapsed="false">
      <c r="A616" s="1" t="s">
        <v>309</v>
      </c>
      <c r="B616" s="1" t="n">
        <v>2012</v>
      </c>
      <c r="C616" s="1" t="s">
        <v>188</v>
      </c>
      <c r="D616" s="1" t="s">
        <v>57</v>
      </c>
      <c r="E616" s="1" t="s">
        <v>69</v>
      </c>
      <c r="F616" s="1" t="n">
        <v>31</v>
      </c>
      <c r="G616" s="1" t="n">
        <v>29</v>
      </c>
      <c r="H616" s="1" t="s">
        <v>58</v>
      </c>
      <c r="I616" s="1" t="n">
        <v>-3</v>
      </c>
      <c r="J616" s="1" t="n">
        <v>45</v>
      </c>
      <c r="K616" s="1" t="s">
        <v>178</v>
      </c>
      <c r="L616" s="1" t="b">
        <f aca="false">FALSE()</f>
        <v>0</v>
      </c>
      <c r="M616" s="1" t="str">
        <f aca="false">VLOOKUP(D616,'Team Reference'!$A:$B,2,FALSE())</f>
        <v>BAL</v>
      </c>
      <c r="N616" s="1" t="str">
        <f aca="false">VLOOKUP(E616,'Team Reference'!$A:$B,2,FALSE())</f>
        <v>DAL</v>
      </c>
      <c r="O616" s="1" t="str">
        <f aca="false">IF(F616&gt;G616,M616,IF(G616&gt;F616,N616,"Tie"))</f>
        <v>BAL</v>
      </c>
      <c r="P616" s="1" t="n">
        <f aca="false">F616-G616</f>
        <v>2</v>
      </c>
      <c r="Q616" s="1" t="n">
        <f aca="false">F616+G616</f>
        <v>60</v>
      </c>
      <c r="R616" s="1" t="str">
        <f aca="false">IF(H616=M616,"Home",IF(H616=N616,"Away",IF(H616="PICK","Pick","N/A")))</f>
        <v>Home</v>
      </c>
      <c r="S616" s="1" t="n">
        <f aca="false">IF(R616="Home",P616,IF(R616="Away",-P616,""))</f>
        <v>2</v>
      </c>
      <c r="T616" s="1" t="str">
        <f aca="false">IF(R616="Pick","No Line",IF(S616="","N/A",IF(S616+I616&gt;0,"Favorite Covered",IF(S616+I616&lt;0,"Underdog Covered","Push"))))</f>
        <v>Underdog Covered</v>
      </c>
      <c r="U616" s="1" t="str">
        <f aca="false">IF(Q616&gt;J616,"Over",IF(Q616&lt;J616,"Under","Push"))</f>
        <v>Over</v>
      </c>
    </row>
    <row r="617" customFormat="false" ht="15" hidden="false" customHeight="false" outlineLevel="0" collapsed="false">
      <c r="A617" s="1" t="s">
        <v>309</v>
      </c>
      <c r="B617" s="1" t="n">
        <v>2012</v>
      </c>
      <c r="C617" s="1" t="s">
        <v>188</v>
      </c>
      <c r="D617" s="1" t="s">
        <v>67</v>
      </c>
      <c r="E617" s="1" t="s">
        <v>65</v>
      </c>
      <c r="F617" s="1" t="n">
        <v>34</v>
      </c>
      <c r="G617" s="1" t="n">
        <v>24</v>
      </c>
      <c r="H617" s="1" t="s">
        <v>66</v>
      </c>
      <c r="I617" s="1" t="n">
        <v>-2</v>
      </c>
      <c r="J617" s="1" t="n">
        <v>42</v>
      </c>
      <c r="K617" s="1" t="s">
        <v>164</v>
      </c>
      <c r="L617" s="1" t="b">
        <f aca="false">FALSE()</f>
        <v>0</v>
      </c>
      <c r="M617" s="1" t="str">
        <f aca="false">VLOOKUP(D617,'Team Reference'!$A:$B,2,FALSE())</f>
        <v>CLE</v>
      </c>
      <c r="N617" s="1" t="str">
        <f aca="false">VLOOKUP(E617,'Team Reference'!$A:$B,2,FALSE())</f>
        <v>CIN</v>
      </c>
      <c r="O617" s="1" t="str">
        <f aca="false">IF(F617&gt;G617,M617,IF(G617&gt;F617,N617,"Tie"))</f>
        <v>CLE</v>
      </c>
      <c r="P617" s="1" t="n">
        <f aca="false">F617-G617</f>
        <v>10</v>
      </c>
      <c r="Q617" s="1" t="n">
        <f aca="false">F617+G617</f>
        <v>58</v>
      </c>
      <c r="R617" s="1" t="str">
        <f aca="false">IF(H617=M617,"Home",IF(H617=N617,"Away",IF(H617="PICK","Pick","N/A")))</f>
        <v>Away</v>
      </c>
      <c r="S617" s="1" t="n">
        <f aca="false">IF(R617="Home",P617,IF(R617="Away",-P617,""))</f>
        <v>-10</v>
      </c>
      <c r="T617" s="1" t="str">
        <f aca="false">IF(R617="Pick","No Line",IF(S617="","N/A",IF(S617+I617&gt;0,"Favorite Covered",IF(S617+I617&lt;0,"Underdog Covered","Push"))))</f>
        <v>Underdog Covered</v>
      </c>
      <c r="U617" s="1" t="str">
        <f aca="false">IF(Q617&gt;J617,"Over",IF(Q617&lt;J617,"Under","Push"))</f>
        <v>Over</v>
      </c>
    </row>
    <row r="618" customFormat="false" ht="15" hidden="false" customHeight="false" outlineLevel="0" collapsed="false">
      <c r="A618" s="1" t="s">
        <v>309</v>
      </c>
      <c r="B618" s="1" t="n">
        <v>2012</v>
      </c>
      <c r="C618" s="1" t="s">
        <v>188</v>
      </c>
      <c r="D618" s="1" t="s">
        <v>77</v>
      </c>
      <c r="E618" s="1" t="s">
        <v>75</v>
      </c>
      <c r="F618" s="1" t="n">
        <v>24</v>
      </c>
      <c r="G618" s="1" t="n">
        <v>42</v>
      </c>
      <c r="H618" s="1" t="s">
        <v>78</v>
      </c>
      <c r="I618" s="1" t="n">
        <v>-4</v>
      </c>
      <c r="J618" s="1" t="n">
        <v>46.5</v>
      </c>
      <c r="K618" s="1" t="s">
        <v>146</v>
      </c>
      <c r="L618" s="1" t="b">
        <f aca="false">FALSE()</f>
        <v>0</v>
      </c>
      <c r="M618" s="1" t="str">
        <f aca="false">VLOOKUP(D618,'Team Reference'!$A:$B,2,FALSE())</f>
        <v>HOU</v>
      </c>
      <c r="N618" s="1" t="str">
        <f aca="false">VLOOKUP(E618,'Team Reference'!$A:$B,2,FALSE())</f>
        <v>GB</v>
      </c>
      <c r="O618" s="1" t="str">
        <f aca="false">IF(F618&gt;G618,M618,IF(G618&gt;F618,N618,"Tie"))</f>
        <v>GB</v>
      </c>
      <c r="P618" s="1" t="n">
        <f aca="false">F618-G618</f>
        <v>-18</v>
      </c>
      <c r="Q618" s="1" t="n">
        <f aca="false">F618+G618</f>
        <v>66</v>
      </c>
      <c r="R618" s="1" t="str">
        <f aca="false">IF(H618=M618,"Home",IF(H618=N618,"Away",IF(H618="PICK","Pick","N/A")))</f>
        <v>Home</v>
      </c>
      <c r="S618" s="1" t="n">
        <f aca="false">IF(R618="Home",P618,IF(R618="Away",-P618,""))</f>
        <v>-18</v>
      </c>
      <c r="T618" s="1" t="str">
        <f aca="false">IF(R618="Pick","No Line",IF(S618="","N/A",IF(S618+I618&gt;0,"Favorite Covered",IF(S618+I618&lt;0,"Underdog Covered","Push"))))</f>
        <v>Underdog Covered</v>
      </c>
      <c r="U618" s="1" t="str">
        <f aca="false">IF(Q618&gt;J618,"Over",IF(Q618&lt;J618,"Under","Push"))</f>
        <v>Over</v>
      </c>
    </row>
    <row r="619" customFormat="false" ht="15" hidden="false" customHeight="false" outlineLevel="0" collapsed="false">
      <c r="A619" s="1" t="s">
        <v>309</v>
      </c>
      <c r="B619" s="1" t="n">
        <v>2012</v>
      </c>
      <c r="C619" s="1" t="s">
        <v>188</v>
      </c>
      <c r="D619" s="1" t="s">
        <v>89</v>
      </c>
      <c r="E619" s="1" t="s">
        <v>112</v>
      </c>
      <c r="F619" s="1" t="n">
        <v>17</v>
      </c>
      <c r="G619" s="1" t="n">
        <v>14</v>
      </c>
      <c r="H619" s="1" t="s">
        <v>90</v>
      </c>
      <c r="I619" s="1" t="n">
        <v>-5</v>
      </c>
      <c r="J619" s="1" t="n">
        <v>38</v>
      </c>
      <c r="K619" s="1" t="s">
        <v>179</v>
      </c>
      <c r="L619" s="1" t="b">
        <f aca="false">FALSE()</f>
        <v>0</v>
      </c>
      <c r="M619" s="1" t="str">
        <f aca="false">VLOOKUP(D619,'Team Reference'!$A:$B,2,FALSE())</f>
        <v>MIA</v>
      </c>
      <c r="N619" s="1" t="str">
        <f aca="false">VLOOKUP(E619,'Team Reference'!$A:$B,2,FALSE())</f>
        <v>LAR</v>
      </c>
      <c r="O619" s="1" t="str">
        <f aca="false">IF(F619&gt;G619,M619,IF(G619&gt;F619,N619,"Tie"))</f>
        <v>MIA</v>
      </c>
      <c r="P619" s="1" t="n">
        <f aca="false">F619-G619</f>
        <v>3</v>
      </c>
      <c r="Q619" s="1" t="n">
        <f aca="false">F619+G619</f>
        <v>31</v>
      </c>
      <c r="R619" s="1" t="str">
        <f aca="false">IF(H619=M619,"Home",IF(H619=N619,"Away",IF(H619="PICK","Pick","N/A")))</f>
        <v>Home</v>
      </c>
      <c r="S619" s="1" t="n">
        <f aca="false">IF(R619="Home",P619,IF(R619="Away",-P619,""))</f>
        <v>3</v>
      </c>
      <c r="T619" s="1" t="str">
        <f aca="false">IF(R619="Pick","No Line",IF(S619="","N/A",IF(S619+I619&gt;0,"Favorite Covered",IF(S619+I619&lt;0,"Underdog Covered","Push"))))</f>
        <v>Underdog Covered</v>
      </c>
      <c r="U619" s="1" t="str">
        <f aca="false">IF(Q619&gt;J619,"Over",IF(Q619&lt;J619,"Under","Push"))</f>
        <v>Under</v>
      </c>
    </row>
    <row r="620" customFormat="false" ht="15" hidden="false" customHeight="false" outlineLevel="0" collapsed="false">
      <c r="A620" s="1" t="s">
        <v>309</v>
      </c>
      <c r="B620" s="1" t="n">
        <v>2012</v>
      </c>
      <c r="C620" s="1" t="s">
        <v>188</v>
      </c>
      <c r="D620" s="1" t="s">
        <v>99</v>
      </c>
      <c r="E620" s="1" t="s">
        <v>79</v>
      </c>
      <c r="F620" s="1" t="n">
        <v>35</v>
      </c>
      <c r="G620" s="1" t="n">
        <v>9</v>
      </c>
      <c r="H620" s="1" t="s">
        <v>100</v>
      </c>
      <c r="I620" s="1" t="n">
        <v>-3</v>
      </c>
      <c r="J620" s="1" t="n">
        <v>44</v>
      </c>
      <c r="K620" s="1" t="s">
        <v>149</v>
      </c>
      <c r="L620" s="1" t="b">
        <f aca="false">FALSE()</f>
        <v>0</v>
      </c>
      <c r="M620" s="1" t="str">
        <f aca="false">VLOOKUP(D620,'Team Reference'!$A:$B,2,FALSE())</f>
        <v>NYJ</v>
      </c>
      <c r="N620" s="1" t="str">
        <f aca="false">VLOOKUP(E620,'Team Reference'!$A:$B,2,FALSE())</f>
        <v>IND</v>
      </c>
      <c r="O620" s="1" t="str">
        <f aca="false">IF(F620&gt;G620,M620,IF(G620&gt;F620,N620,"Tie"))</f>
        <v>NYJ</v>
      </c>
      <c r="P620" s="1" t="n">
        <f aca="false">F620-G620</f>
        <v>26</v>
      </c>
      <c r="Q620" s="1" t="n">
        <f aca="false">F620+G620</f>
        <v>44</v>
      </c>
      <c r="R620" s="1" t="str">
        <f aca="false">IF(H620=M620,"Home",IF(H620=N620,"Away",IF(H620="PICK","Pick","N/A")))</f>
        <v>Home</v>
      </c>
      <c r="S620" s="1" t="n">
        <f aca="false">IF(R620="Home",P620,IF(R620="Away",-P620,""))</f>
        <v>26</v>
      </c>
      <c r="T620" s="1" t="str">
        <f aca="false">IF(R620="Pick","No Line",IF(S620="","N/A",IF(S620+I620&gt;0,"Favorite Covered",IF(S620+I620&lt;0,"Underdog Covered","Push"))))</f>
        <v>Favorite Covered</v>
      </c>
      <c r="U620" s="1" t="str">
        <f aca="false">IF(Q620&gt;J620,"Over",IF(Q620&lt;J620,"Under","Push"))</f>
        <v>Push</v>
      </c>
    </row>
    <row r="621" customFormat="false" ht="15" hidden="false" customHeight="false" outlineLevel="0" collapsed="false">
      <c r="A621" s="1" t="s">
        <v>309</v>
      </c>
      <c r="B621" s="1" t="n">
        <v>2012</v>
      </c>
      <c r="C621" s="1" t="s">
        <v>188</v>
      </c>
      <c r="D621" s="1" t="s">
        <v>103</v>
      </c>
      <c r="E621" s="1" t="s">
        <v>73</v>
      </c>
      <c r="F621" s="1" t="n">
        <v>23</v>
      </c>
      <c r="G621" s="1" t="n">
        <v>26</v>
      </c>
      <c r="H621" s="1" t="s">
        <v>104</v>
      </c>
      <c r="I621" s="1" t="n">
        <v>-3.5</v>
      </c>
      <c r="J621" s="1" t="n">
        <v>47.5</v>
      </c>
      <c r="K621" s="1" t="s">
        <v>150</v>
      </c>
      <c r="L621" s="1" t="b">
        <f aca="false">FALSE()</f>
        <v>0</v>
      </c>
      <c r="M621" s="1" t="str">
        <f aca="false">VLOOKUP(D621,'Team Reference'!$A:$B,2,FALSE())</f>
        <v>PHI</v>
      </c>
      <c r="N621" s="1" t="str">
        <f aca="false">VLOOKUP(E621,'Team Reference'!$A:$B,2,FALSE())</f>
        <v>DET</v>
      </c>
      <c r="O621" s="1" t="str">
        <f aca="false">IF(F621&gt;G621,M621,IF(G621&gt;F621,N621,"Tie"))</f>
        <v>DET</v>
      </c>
      <c r="P621" s="1" t="n">
        <f aca="false">F621-G621</f>
        <v>-3</v>
      </c>
      <c r="Q621" s="1" t="n">
        <f aca="false">F621+G621</f>
        <v>49</v>
      </c>
      <c r="R621" s="1" t="str">
        <f aca="false">IF(H621=M621,"Home",IF(H621=N621,"Away",IF(H621="PICK","Pick","N/A")))</f>
        <v>Home</v>
      </c>
      <c r="S621" s="1" t="n">
        <f aca="false">IF(R621="Home",P621,IF(R621="Away",-P621,""))</f>
        <v>-3</v>
      </c>
      <c r="T621" s="1" t="str">
        <f aca="false">IF(R621="Pick","No Line",IF(S621="","N/A",IF(S621+I621&gt;0,"Favorite Covered",IF(S621+I621&lt;0,"Underdog Covered","Push"))))</f>
        <v>Underdog Covered</v>
      </c>
      <c r="U621" s="1" t="str">
        <f aca="false">IF(Q621&gt;J621,"Over",IF(Q621&lt;J621,"Under","Push"))</f>
        <v>Over</v>
      </c>
    </row>
    <row r="622" customFormat="false" ht="15" hidden="false" customHeight="false" outlineLevel="0" collapsed="false">
      <c r="A622" s="1" t="s">
        <v>309</v>
      </c>
      <c r="B622" s="1" t="n">
        <v>2012</v>
      </c>
      <c r="C622" s="1" t="s">
        <v>188</v>
      </c>
      <c r="D622" s="1" t="s">
        <v>108</v>
      </c>
      <c r="E622" s="1" t="s">
        <v>97</v>
      </c>
      <c r="F622" s="1" t="n">
        <v>3</v>
      </c>
      <c r="G622" s="1" t="n">
        <v>26</v>
      </c>
      <c r="H622" s="1" t="s">
        <v>109</v>
      </c>
      <c r="I622" s="1" t="n">
        <v>-7</v>
      </c>
      <c r="J622" s="1" t="n">
        <v>46.5</v>
      </c>
      <c r="K622" s="1" t="s">
        <v>174</v>
      </c>
      <c r="L622" s="1" t="b">
        <f aca="false">FALSE()</f>
        <v>0</v>
      </c>
      <c r="M622" s="1" t="str">
        <f aca="false">VLOOKUP(D622,'Team Reference'!$A:$B,2,FALSE())</f>
        <v>SF</v>
      </c>
      <c r="N622" s="1" t="str">
        <f aca="false">VLOOKUP(E622,'Team Reference'!$A:$B,2,FALSE())</f>
        <v>NYG</v>
      </c>
      <c r="O622" s="1" t="str">
        <f aca="false">IF(F622&gt;G622,M622,IF(G622&gt;F622,N622,"Tie"))</f>
        <v>NYG</v>
      </c>
      <c r="P622" s="1" t="n">
        <f aca="false">F622-G622</f>
        <v>-23</v>
      </c>
      <c r="Q622" s="1" t="n">
        <f aca="false">F622+G622</f>
        <v>29</v>
      </c>
      <c r="R622" s="1" t="str">
        <f aca="false">IF(H622=M622,"Home",IF(H622=N622,"Away",IF(H622="PICK","Pick","N/A")))</f>
        <v>Home</v>
      </c>
      <c r="S622" s="1" t="n">
        <f aca="false">IF(R622="Home",P622,IF(R622="Away",-P622,""))</f>
        <v>-23</v>
      </c>
      <c r="T622" s="1" t="str">
        <f aca="false">IF(R622="Pick","No Line",IF(S622="","N/A",IF(S622+I622&gt;0,"Favorite Covered",IF(S622+I622&lt;0,"Underdog Covered","Push"))))</f>
        <v>Underdog Covered</v>
      </c>
      <c r="U622" s="1" t="str">
        <f aca="false">IF(Q622&gt;J622,"Over",IF(Q622&lt;J622,"Under","Push"))</f>
        <v>Under</v>
      </c>
    </row>
    <row r="623" customFormat="false" ht="15" hidden="false" customHeight="false" outlineLevel="0" collapsed="false">
      <c r="A623" s="1" t="s">
        <v>309</v>
      </c>
      <c r="B623" s="1" t="n">
        <v>2012</v>
      </c>
      <c r="C623" s="1" t="s">
        <v>188</v>
      </c>
      <c r="D623" s="1" t="s">
        <v>110</v>
      </c>
      <c r="E623" s="1" t="s">
        <v>93</v>
      </c>
      <c r="F623" s="1" t="n">
        <v>24</v>
      </c>
      <c r="G623" s="1" t="n">
        <v>23</v>
      </c>
      <c r="H623" s="1" t="s">
        <v>94</v>
      </c>
      <c r="I623" s="1" t="n">
        <v>-4</v>
      </c>
      <c r="J623" s="1" t="n">
        <v>42.5</v>
      </c>
      <c r="K623" s="1" t="s">
        <v>152</v>
      </c>
      <c r="L623" s="1" t="b">
        <f aca="false">FALSE()</f>
        <v>0</v>
      </c>
      <c r="M623" s="1" t="str">
        <f aca="false">VLOOKUP(D623,'Team Reference'!$A:$B,2,FALSE())</f>
        <v>SEA</v>
      </c>
      <c r="N623" s="1" t="str">
        <f aca="false">VLOOKUP(E623,'Team Reference'!$A:$B,2,FALSE())</f>
        <v>NE</v>
      </c>
      <c r="O623" s="1" t="str">
        <f aca="false">IF(F623&gt;G623,M623,IF(G623&gt;F623,N623,"Tie"))</f>
        <v>SEA</v>
      </c>
      <c r="P623" s="1" t="n">
        <f aca="false">F623-G623</f>
        <v>1</v>
      </c>
      <c r="Q623" s="1" t="n">
        <f aca="false">F623+G623</f>
        <v>47</v>
      </c>
      <c r="R623" s="1" t="str">
        <f aca="false">IF(H623=M623,"Home",IF(H623=N623,"Away",IF(H623="PICK","Pick","N/A")))</f>
        <v>Away</v>
      </c>
      <c r="S623" s="1" t="n">
        <f aca="false">IF(R623="Home",P623,IF(R623="Away",-P623,""))</f>
        <v>-1</v>
      </c>
      <c r="T623" s="1" t="str">
        <f aca="false">IF(R623="Pick","No Line",IF(S623="","N/A",IF(S623+I623&gt;0,"Favorite Covered",IF(S623+I623&lt;0,"Underdog Covered","Push"))))</f>
        <v>Underdog Covered</v>
      </c>
      <c r="U623" s="1" t="str">
        <f aca="false">IF(Q623&gt;J623,"Over",IF(Q623&lt;J623,"Under","Push"))</f>
        <v>Over</v>
      </c>
    </row>
    <row r="624" customFormat="false" ht="15" hidden="false" customHeight="false" outlineLevel="0" collapsed="false">
      <c r="A624" s="1" t="s">
        <v>309</v>
      </c>
      <c r="B624" s="1" t="n">
        <v>2012</v>
      </c>
      <c r="C624" s="1" t="s">
        <v>188</v>
      </c>
      <c r="D624" s="1" t="s">
        <v>113</v>
      </c>
      <c r="E624" s="1" t="s">
        <v>83</v>
      </c>
      <c r="F624" s="1" t="n">
        <v>38</v>
      </c>
      <c r="G624" s="1" t="n">
        <v>10</v>
      </c>
      <c r="H624" s="1" t="s">
        <v>114</v>
      </c>
      <c r="I624" s="1" t="n">
        <v>-5</v>
      </c>
      <c r="J624" s="1" t="n">
        <v>39.5</v>
      </c>
      <c r="K624" s="1" t="s">
        <v>154</v>
      </c>
      <c r="L624" s="1" t="b">
        <f aca="false">FALSE()</f>
        <v>0</v>
      </c>
      <c r="M624" s="1" t="str">
        <f aca="false">VLOOKUP(D624,'Team Reference'!$A:$B,2,FALSE())</f>
        <v>TB</v>
      </c>
      <c r="N624" s="1" t="str">
        <f aca="false">VLOOKUP(E624,'Team Reference'!$A:$B,2,FALSE())</f>
        <v>KC</v>
      </c>
      <c r="O624" s="1" t="str">
        <f aca="false">IF(F624&gt;G624,M624,IF(G624&gt;F624,N624,"Tie"))</f>
        <v>TB</v>
      </c>
      <c r="P624" s="1" t="n">
        <f aca="false">F624-G624</f>
        <v>28</v>
      </c>
      <c r="Q624" s="1" t="n">
        <f aca="false">F624+G624</f>
        <v>48</v>
      </c>
      <c r="R624" s="1" t="str">
        <f aca="false">IF(H624=M624,"Home",IF(H624=N624,"Away",IF(H624="PICK","Pick","N/A")))</f>
        <v>Home</v>
      </c>
      <c r="S624" s="1" t="n">
        <f aca="false">IF(R624="Home",P624,IF(R624="Away",-P624,""))</f>
        <v>28</v>
      </c>
      <c r="T624" s="1" t="str">
        <f aca="false">IF(R624="Pick","No Line",IF(S624="","N/A",IF(S624+I624&gt;0,"Favorite Covered",IF(S624+I624&lt;0,"Underdog Covered","Push"))))</f>
        <v>Favorite Covered</v>
      </c>
      <c r="U624" s="1" t="str">
        <f aca="false">IF(Q624&gt;J624,"Over",IF(Q624&lt;J624,"Under","Push"))</f>
        <v>Over</v>
      </c>
    </row>
    <row r="625" customFormat="false" ht="15" hidden="false" customHeight="false" outlineLevel="0" collapsed="false">
      <c r="A625" s="1" t="s">
        <v>309</v>
      </c>
      <c r="B625" s="1" t="n">
        <v>2012</v>
      </c>
      <c r="C625" s="1" t="s">
        <v>188</v>
      </c>
      <c r="D625" s="1" t="s">
        <v>117</v>
      </c>
      <c r="E625" s="1" t="s">
        <v>91</v>
      </c>
      <c r="F625" s="1" t="n">
        <v>38</v>
      </c>
      <c r="G625" s="1" t="n">
        <v>26</v>
      </c>
      <c r="H625" s="1" t="s">
        <v>92</v>
      </c>
      <c r="I625" s="1" t="n">
        <v>-2</v>
      </c>
      <c r="J625" s="1" t="n">
        <v>44</v>
      </c>
      <c r="K625" s="1" t="s">
        <v>156</v>
      </c>
      <c r="L625" s="1" t="b">
        <f aca="false">FALSE()</f>
        <v>0</v>
      </c>
      <c r="M625" s="1" t="str">
        <f aca="false">VLOOKUP(D625,'Team Reference'!$A:$B,2,FALSE())</f>
        <v>WAS</v>
      </c>
      <c r="N625" s="1" t="str">
        <f aca="false">VLOOKUP(E625,'Team Reference'!$A:$B,2,FALSE())</f>
        <v>MIN</v>
      </c>
      <c r="O625" s="1" t="str">
        <f aca="false">IF(F625&gt;G625,M625,IF(G625&gt;F625,N625,"Tie"))</f>
        <v>WAS</v>
      </c>
      <c r="P625" s="1" t="n">
        <f aca="false">F625-G625</f>
        <v>12</v>
      </c>
      <c r="Q625" s="1" t="n">
        <f aca="false">F625+G625</f>
        <v>64</v>
      </c>
      <c r="R625" s="1" t="str">
        <f aca="false">IF(H625=M625,"Home",IF(H625=N625,"Away",IF(H625="PICK","Pick","N/A")))</f>
        <v>Away</v>
      </c>
      <c r="S625" s="1" t="n">
        <f aca="false">IF(R625="Home",P625,IF(R625="Away",-P625,""))</f>
        <v>-12</v>
      </c>
      <c r="T625" s="1" t="str">
        <f aca="false">IF(R625="Pick","No Line",IF(S625="","N/A",IF(S625+I625&gt;0,"Favorite Covered",IF(S625+I625&lt;0,"Underdog Covered","Push"))))</f>
        <v>Underdog Covered</v>
      </c>
      <c r="U625" s="1" t="str">
        <f aca="false">IF(Q625&gt;J625,"Over",IF(Q625&lt;J625,"Under","Push"))</f>
        <v>Over</v>
      </c>
    </row>
    <row r="626" customFormat="false" ht="15" hidden="false" customHeight="false" outlineLevel="0" collapsed="false">
      <c r="A626" s="1" t="s">
        <v>310</v>
      </c>
      <c r="B626" s="1" t="n">
        <v>2012</v>
      </c>
      <c r="C626" s="1" t="s">
        <v>188</v>
      </c>
      <c r="D626" s="1" t="s">
        <v>107</v>
      </c>
      <c r="E626" s="1" t="s">
        <v>71</v>
      </c>
      <c r="F626" s="1" t="n">
        <v>24</v>
      </c>
      <c r="G626" s="1" t="n">
        <v>35</v>
      </c>
      <c r="H626" s="1" t="s">
        <v>200</v>
      </c>
      <c r="I626" s="1" t="n">
        <v>0</v>
      </c>
      <c r="J626" s="1" t="n">
        <v>47.5</v>
      </c>
      <c r="K626" s="1" t="s">
        <v>172</v>
      </c>
      <c r="L626" s="1" t="b">
        <f aca="false">FALSE()</f>
        <v>0</v>
      </c>
      <c r="M626" s="1" t="str">
        <f aca="false">VLOOKUP(D626,'Team Reference'!$A:$B,2,FALSE())</f>
        <v>LAC</v>
      </c>
      <c r="N626" s="1" t="str">
        <f aca="false">VLOOKUP(E626,'Team Reference'!$A:$B,2,FALSE())</f>
        <v>DEN</v>
      </c>
      <c r="O626" s="1" t="str">
        <f aca="false">IF(F626&gt;G626,M626,IF(G626&gt;F626,N626,"Tie"))</f>
        <v>DEN</v>
      </c>
      <c r="P626" s="1" t="n">
        <f aca="false">F626-G626</f>
        <v>-11</v>
      </c>
      <c r="Q626" s="1" t="n">
        <f aca="false">F626+G626</f>
        <v>59</v>
      </c>
      <c r="R626" s="1" t="str">
        <f aca="false">IF(H626=M626,"Home",IF(H626=N626,"Away",IF(H626="PICK","Pick","N/A")))</f>
        <v>Pick</v>
      </c>
      <c r="S626" s="1" t="str">
        <f aca="false">IF(R626="Home",P626,IF(R626="Away",-P626,""))</f>
        <v/>
      </c>
      <c r="T626" s="1" t="str">
        <f aca="false">IF(R626="Pick","No Line",IF(S626="","N/A",IF(S626+I626&gt;0,"Favorite Covered",IF(S626+I626&lt;0,"Underdog Covered","Push"))))</f>
        <v>No Line</v>
      </c>
      <c r="U626" s="1" t="str">
        <f aca="false">IF(Q626&gt;J626,"Over",IF(Q626&lt;J626,"Under","Push"))</f>
        <v>Over</v>
      </c>
    </row>
    <row r="627" customFormat="false" ht="15" hidden="false" customHeight="false" outlineLevel="0" collapsed="false">
      <c r="A627" s="1" t="s">
        <v>311</v>
      </c>
      <c r="B627" s="1" t="n">
        <v>2012</v>
      </c>
      <c r="C627" s="1" t="s">
        <v>191</v>
      </c>
      <c r="D627" s="1" t="s">
        <v>108</v>
      </c>
      <c r="E627" s="1" t="s">
        <v>110</v>
      </c>
      <c r="F627" s="1" t="n">
        <v>13</v>
      </c>
      <c r="G627" s="1" t="n">
        <v>6</v>
      </c>
      <c r="H627" s="1" t="s">
        <v>109</v>
      </c>
      <c r="I627" s="1" t="n">
        <v>-7.5</v>
      </c>
      <c r="J627" s="1" t="n">
        <v>37.5</v>
      </c>
      <c r="K627" s="1" t="s">
        <v>174</v>
      </c>
      <c r="L627" s="1" t="b">
        <f aca="false">FALSE()</f>
        <v>0</v>
      </c>
      <c r="M627" s="1" t="str">
        <f aca="false">VLOOKUP(D627,'Team Reference'!$A:$B,2,FALSE())</f>
        <v>SF</v>
      </c>
      <c r="N627" s="1" t="str">
        <f aca="false">VLOOKUP(E627,'Team Reference'!$A:$B,2,FALSE())</f>
        <v>SEA</v>
      </c>
      <c r="O627" s="1" t="str">
        <f aca="false">IF(F627&gt;G627,M627,IF(G627&gt;F627,N627,"Tie"))</f>
        <v>SF</v>
      </c>
      <c r="P627" s="1" t="n">
        <f aca="false">F627-G627</f>
        <v>7</v>
      </c>
      <c r="Q627" s="1" t="n">
        <f aca="false">F627+G627</f>
        <v>19</v>
      </c>
      <c r="R627" s="1" t="str">
        <f aca="false">IF(H627=M627,"Home",IF(H627=N627,"Away",IF(H627="PICK","Pick","N/A")))</f>
        <v>Home</v>
      </c>
      <c r="S627" s="1" t="n">
        <f aca="false">IF(R627="Home",P627,IF(R627="Away",-P627,""))</f>
        <v>7</v>
      </c>
      <c r="T627" s="1" t="str">
        <f aca="false">IF(R627="Pick","No Line",IF(S627="","N/A",IF(S627+I627&gt;0,"Favorite Covered",IF(S627+I627&lt;0,"Underdog Covered","Push"))))</f>
        <v>Underdog Covered</v>
      </c>
      <c r="U627" s="1" t="str">
        <f aca="false">IF(Q627&gt;J627,"Over",IF(Q627&lt;J627,"Under","Push"))</f>
        <v>Under</v>
      </c>
    </row>
    <row r="628" customFormat="false" ht="15" hidden="false" customHeight="false" outlineLevel="0" collapsed="false">
      <c r="A628" s="1" t="s">
        <v>312</v>
      </c>
      <c r="B628" s="1" t="n">
        <v>2012</v>
      </c>
      <c r="C628" s="1" t="s">
        <v>191</v>
      </c>
      <c r="D628" s="1" t="s">
        <v>59</v>
      </c>
      <c r="E628" s="1" t="s">
        <v>115</v>
      </c>
      <c r="F628" s="1" t="n">
        <v>34</v>
      </c>
      <c r="G628" s="1" t="n">
        <v>35</v>
      </c>
      <c r="H628" s="1" t="s">
        <v>60</v>
      </c>
      <c r="I628" s="1" t="n">
        <v>-4.5</v>
      </c>
      <c r="J628" s="1" t="n">
        <v>46.5</v>
      </c>
      <c r="K628" s="1" t="s">
        <v>144</v>
      </c>
      <c r="L628" s="1" t="b">
        <f aca="false">FALSE()</f>
        <v>0</v>
      </c>
      <c r="M628" s="1" t="str">
        <f aca="false">VLOOKUP(D628,'Team Reference'!$A:$B,2,FALSE())</f>
        <v>BUF</v>
      </c>
      <c r="N628" s="1" t="str">
        <f aca="false">VLOOKUP(E628,'Team Reference'!$A:$B,2,FALSE())</f>
        <v>TEN</v>
      </c>
      <c r="O628" s="1" t="str">
        <f aca="false">IF(F628&gt;G628,M628,IF(G628&gt;F628,N628,"Tie"))</f>
        <v>TEN</v>
      </c>
      <c r="P628" s="1" t="n">
        <f aca="false">F628-G628</f>
        <v>-1</v>
      </c>
      <c r="Q628" s="1" t="n">
        <f aca="false">F628+G628</f>
        <v>69</v>
      </c>
      <c r="R628" s="1" t="str">
        <f aca="false">IF(H628=M628,"Home",IF(H628=N628,"Away",IF(H628="PICK","Pick","N/A")))</f>
        <v>Home</v>
      </c>
      <c r="S628" s="1" t="n">
        <f aca="false">IF(R628="Home",P628,IF(R628="Away",-P628,""))</f>
        <v>-1</v>
      </c>
      <c r="T628" s="1" t="str">
        <f aca="false">IF(R628="Pick","No Line",IF(S628="","N/A",IF(S628+I628&gt;0,"Favorite Covered",IF(S628+I628&lt;0,"Underdog Covered","Push"))))</f>
        <v>Underdog Covered</v>
      </c>
      <c r="U628" s="1" t="str">
        <f aca="false">IF(Q628&gt;J628,"Over",IF(Q628&lt;J628,"Under","Push"))</f>
        <v>Over</v>
      </c>
    </row>
    <row r="629" customFormat="false" ht="15" hidden="false" customHeight="false" outlineLevel="0" collapsed="false">
      <c r="A629" s="1" t="s">
        <v>312</v>
      </c>
      <c r="B629" s="1" t="n">
        <v>2012</v>
      </c>
      <c r="C629" s="1" t="s">
        <v>191</v>
      </c>
      <c r="D629" s="1" t="s">
        <v>61</v>
      </c>
      <c r="E629" s="1" t="s">
        <v>69</v>
      </c>
      <c r="F629" s="1" t="n">
        <v>14</v>
      </c>
      <c r="G629" s="1" t="n">
        <v>19</v>
      </c>
      <c r="H629" s="1" t="s">
        <v>70</v>
      </c>
      <c r="I629" s="1" t="n">
        <v>-2.5</v>
      </c>
      <c r="J629" s="1" t="n">
        <v>45</v>
      </c>
      <c r="K629" s="1" t="s">
        <v>162</v>
      </c>
      <c r="L629" s="1" t="b">
        <f aca="false">FALSE()</f>
        <v>0</v>
      </c>
      <c r="M629" s="1" t="str">
        <f aca="false">VLOOKUP(D629,'Team Reference'!$A:$B,2,FALSE())</f>
        <v>CAR</v>
      </c>
      <c r="N629" s="1" t="str">
        <f aca="false">VLOOKUP(E629,'Team Reference'!$A:$B,2,FALSE())</f>
        <v>DAL</v>
      </c>
      <c r="O629" s="1" t="str">
        <f aca="false">IF(F629&gt;G629,M629,IF(G629&gt;F629,N629,"Tie"))</f>
        <v>DAL</v>
      </c>
      <c r="P629" s="1" t="n">
        <f aca="false">F629-G629</f>
        <v>-5</v>
      </c>
      <c r="Q629" s="1" t="n">
        <f aca="false">F629+G629</f>
        <v>33</v>
      </c>
      <c r="R629" s="1" t="str">
        <f aca="false">IF(H629=M629,"Home",IF(H629=N629,"Away",IF(H629="PICK","Pick","N/A")))</f>
        <v>Away</v>
      </c>
      <c r="S629" s="1" t="n">
        <f aca="false">IF(R629="Home",P629,IF(R629="Away",-P629,""))</f>
        <v>5</v>
      </c>
      <c r="T629" s="1" t="str">
        <f aca="false">IF(R629="Pick","No Line",IF(S629="","N/A",IF(S629+I629&gt;0,"Favorite Covered",IF(S629+I629&lt;0,"Underdog Covered","Push"))))</f>
        <v>Favorite Covered</v>
      </c>
      <c r="U629" s="1" t="str">
        <f aca="false">IF(Q629&gt;J629,"Over",IF(Q629&lt;J629,"Under","Push"))</f>
        <v>Under</v>
      </c>
    </row>
    <row r="630" customFormat="false" ht="15" hidden="false" customHeight="false" outlineLevel="0" collapsed="false">
      <c r="A630" s="1" t="s">
        <v>312</v>
      </c>
      <c r="B630" s="1" t="n">
        <v>2012</v>
      </c>
      <c r="C630" s="1" t="s">
        <v>191</v>
      </c>
      <c r="D630" s="1" t="s">
        <v>65</v>
      </c>
      <c r="E630" s="1" t="s">
        <v>105</v>
      </c>
      <c r="F630" s="1" t="n">
        <v>17</v>
      </c>
      <c r="G630" s="1" t="n">
        <v>24</v>
      </c>
      <c r="H630" s="1" t="s">
        <v>66</v>
      </c>
      <c r="I630" s="1" t="n">
        <v>-1</v>
      </c>
      <c r="J630" s="1" t="n">
        <v>45.5</v>
      </c>
      <c r="K630" s="1" t="s">
        <v>163</v>
      </c>
      <c r="L630" s="1" t="b">
        <f aca="false">FALSE()</f>
        <v>0</v>
      </c>
      <c r="M630" s="1" t="str">
        <f aca="false">VLOOKUP(D630,'Team Reference'!$A:$B,2,FALSE())</f>
        <v>CIN</v>
      </c>
      <c r="N630" s="1" t="str">
        <f aca="false">VLOOKUP(E630,'Team Reference'!$A:$B,2,FALSE())</f>
        <v>PIT</v>
      </c>
      <c r="O630" s="1" t="str">
        <f aca="false">IF(F630&gt;G630,M630,IF(G630&gt;F630,N630,"Tie"))</f>
        <v>PIT</v>
      </c>
      <c r="P630" s="1" t="n">
        <f aca="false">F630-G630</f>
        <v>-7</v>
      </c>
      <c r="Q630" s="1" t="n">
        <f aca="false">F630+G630</f>
        <v>41</v>
      </c>
      <c r="R630" s="1" t="str">
        <f aca="false">IF(H630=M630,"Home",IF(H630=N630,"Away",IF(H630="PICK","Pick","N/A")))</f>
        <v>Home</v>
      </c>
      <c r="S630" s="1" t="n">
        <f aca="false">IF(R630="Home",P630,IF(R630="Away",-P630,""))</f>
        <v>-7</v>
      </c>
      <c r="T630" s="1" t="str">
        <f aca="false">IF(R630="Pick","No Line",IF(S630="","N/A",IF(S630+I630&gt;0,"Favorite Covered",IF(S630+I630&lt;0,"Underdog Covered","Push"))))</f>
        <v>Underdog Covered</v>
      </c>
      <c r="U630" s="1" t="str">
        <f aca="false">IF(Q630&gt;J630,"Over",IF(Q630&lt;J630,"Under","Push"))</f>
        <v>Under</v>
      </c>
    </row>
    <row r="631" customFormat="false" ht="15" hidden="false" customHeight="false" outlineLevel="0" collapsed="false">
      <c r="A631" s="1" t="s">
        <v>312</v>
      </c>
      <c r="B631" s="1" t="n">
        <v>2012</v>
      </c>
      <c r="C631" s="1" t="s">
        <v>191</v>
      </c>
      <c r="D631" s="1" t="s">
        <v>77</v>
      </c>
      <c r="E631" s="1" t="s">
        <v>57</v>
      </c>
      <c r="F631" s="1" t="n">
        <v>43</v>
      </c>
      <c r="G631" s="1" t="n">
        <v>13</v>
      </c>
      <c r="H631" s="1" t="s">
        <v>78</v>
      </c>
      <c r="I631" s="1" t="n">
        <v>-6.5</v>
      </c>
      <c r="J631" s="1" t="n">
        <v>47.5</v>
      </c>
      <c r="K631" s="1" t="s">
        <v>146</v>
      </c>
      <c r="L631" s="1" t="b">
        <f aca="false">FALSE()</f>
        <v>0</v>
      </c>
      <c r="M631" s="1" t="str">
        <f aca="false">VLOOKUP(D631,'Team Reference'!$A:$B,2,FALSE())</f>
        <v>HOU</v>
      </c>
      <c r="N631" s="1" t="str">
        <f aca="false">VLOOKUP(E631,'Team Reference'!$A:$B,2,FALSE())</f>
        <v>BAL</v>
      </c>
      <c r="O631" s="1" t="str">
        <f aca="false">IF(F631&gt;G631,M631,IF(G631&gt;F631,N631,"Tie"))</f>
        <v>HOU</v>
      </c>
      <c r="P631" s="1" t="n">
        <f aca="false">F631-G631</f>
        <v>30</v>
      </c>
      <c r="Q631" s="1" t="n">
        <f aca="false">F631+G631</f>
        <v>56</v>
      </c>
      <c r="R631" s="1" t="str">
        <f aca="false">IF(H631=M631,"Home",IF(H631=N631,"Away",IF(H631="PICK","Pick","N/A")))</f>
        <v>Home</v>
      </c>
      <c r="S631" s="1" t="n">
        <f aca="false">IF(R631="Home",P631,IF(R631="Away",-P631,""))</f>
        <v>30</v>
      </c>
      <c r="T631" s="1" t="str">
        <f aca="false">IF(R631="Pick","No Line",IF(S631="","N/A",IF(S631+I631&gt;0,"Favorite Covered",IF(S631+I631&lt;0,"Underdog Covered","Push"))))</f>
        <v>Favorite Covered</v>
      </c>
      <c r="U631" s="1" t="str">
        <f aca="false">IF(Q631&gt;J631,"Over",IF(Q631&lt;J631,"Under","Push"))</f>
        <v>Over</v>
      </c>
    </row>
    <row r="632" customFormat="false" ht="15" hidden="false" customHeight="false" outlineLevel="0" collapsed="false">
      <c r="A632" s="1" t="s">
        <v>312</v>
      </c>
      <c r="B632" s="1" t="n">
        <v>2012</v>
      </c>
      <c r="C632" s="1" t="s">
        <v>191</v>
      </c>
      <c r="D632" s="1" t="s">
        <v>79</v>
      </c>
      <c r="E632" s="1" t="s">
        <v>67</v>
      </c>
      <c r="F632" s="1" t="n">
        <v>17</v>
      </c>
      <c r="G632" s="1" t="n">
        <v>13</v>
      </c>
      <c r="H632" s="1" t="s">
        <v>80</v>
      </c>
      <c r="I632" s="1" t="n">
        <v>-1</v>
      </c>
      <c r="J632" s="1" t="n">
        <v>46.5</v>
      </c>
      <c r="K632" s="1" t="s">
        <v>169</v>
      </c>
      <c r="L632" s="1" t="b">
        <f aca="false">FALSE()</f>
        <v>0</v>
      </c>
      <c r="M632" s="1" t="str">
        <f aca="false">VLOOKUP(D632,'Team Reference'!$A:$B,2,FALSE())</f>
        <v>IND</v>
      </c>
      <c r="N632" s="1" t="str">
        <f aca="false">VLOOKUP(E632,'Team Reference'!$A:$B,2,FALSE())</f>
        <v>CLE</v>
      </c>
      <c r="O632" s="1" t="str">
        <f aca="false">IF(F632&gt;G632,M632,IF(G632&gt;F632,N632,"Tie"))</f>
        <v>IND</v>
      </c>
      <c r="P632" s="1" t="n">
        <f aca="false">F632-G632</f>
        <v>4</v>
      </c>
      <c r="Q632" s="1" t="n">
        <f aca="false">F632+G632</f>
        <v>30</v>
      </c>
      <c r="R632" s="1" t="str">
        <f aca="false">IF(H632=M632,"Home",IF(H632=N632,"Away",IF(H632="PICK","Pick","N/A")))</f>
        <v>Home</v>
      </c>
      <c r="S632" s="1" t="n">
        <f aca="false">IF(R632="Home",P632,IF(R632="Away",-P632,""))</f>
        <v>4</v>
      </c>
      <c r="T632" s="1" t="str">
        <f aca="false">IF(R632="Pick","No Line",IF(S632="","N/A",IF(S632+I632&gt;0,"Favorite Covered",IF(S632+I632&lt;0,"Underdog Covered","Push"))))</f>
        <v>Favorite Covered</v>
      </c>
      <c r="U632" s="1" t="str">
        <f aca="false">IF(Q632&gt;J632,"Over",IF(Q632&lt;J632,"Under","Push"))</f>
        <v>Under</v>
      </c>
    </row>
    <row r="633" customFormat="false" ht="15" hidden="false" customHeight="false" outlineLevel="0" collapsed="false">
      <c r="A633" s="1" t="s">
        <v>312</v>
      </c>
      <c r="B633" s="1" t="n">
        <v>2012</v>
      </c>
      <c r="C633" s="1" t="s">
        <v>191</v>
      </c>
      <c r="D633" s="1" t="s">
        <v>91</v>
      </c>
      <c r="E633" s="1" t="s">
        <v>53</v>
      </c>
      <c r="F633" s="1" t="n">
        <v>21</v>
      </c>
      <c r="G633" s="1" t="n">
        <v>14</v>
      </c>
      <c r="H633" s="1" t="s">
        <v>92</v>
      </c>
      <c r="I633" s="1" t="n">
        <v>-6.5</v>
      </c>
      <c r="J633" s="1" t="n">
        <v>39.5</v>
      </c>
      <c r="K633" s="1" t="s">
        <v>170</v>
      </c>
      <c r="L633" s="1" t="b">
        <f aca="false">FALSE()</f>
        <v>0</v>
      </c>
      <c r="M633" s="1" t="str">
        <f aca="false">VLOOKUP(D633,'Team Reference'!$A:$B,2,FALSE())</f>
        <v>MIN</v>
      </c>
      <c r="N633" s="1" t="str">
        <f aca="false">VLOOKUP(E633,'Team Reference'!$A:$B,2,FALSE())</f>
        <v>ARI</v>
      </c>
      <c r="O633" s="1" t="str">
        <f aca="false">IF(F633&gt;G633,M633,IF(G633&gt;F633,N633,"Tie"))</f>
        <v>MIN</v>
      </c>
      <c r="P633" s="1" t="n">
        <f aca="false">F633-G633</f>
        <v>7</v>
      </c>
      <c r="Q633" s="1" t="n">
        <f aca="false">F633+G633</f>
        <v>35</v>
      </c>
      <c r="R633" s="1" t="str">
        <f aca="false">IF(H633=M633,"Home",IF(H633=N633,"Away",IF(H633="PICK","Pick","N/A")))</f>
        <v>Home</v>
      </c>
      <c r="S633" s="1" t="n">
        <f aca="false">IF(R633="Home",P633,IF(R633="Away",-P633,""))</f>
        <v>7</v>
      </c>
      <c r="T633" s="1" t="str">
        <f aca="false">IF(R633="Pick","No Line",IF(S633="","N/A",IF(S633+I633&gt;0,"Favorite Covered",IF(S633+I633&lt;0,"Underdog Covered","Push"))))</f>
        <v>Favorite Covered</v>
      </c>
      <c r="U633" s="1" t="str">
        <f aca="false">IF(Q633&gt;J633,"Over",IF(Q633&lt;J633,"Under","Push"))</f>
        <v>Under</v>
      </c>
    </row>
    <row r="634" customFormat="false" ht="15" hidden="false" customHeight="false" outlineLevel="0" collapsed="false">
      <c r="A634" s="1" t="s">
        <v>312</v>
      </c>
      <c r="B634" s="1" t="n">
        <v>2012</v>
      </c>
      <c r="C634" s="1" t="s">
        <v>191</v>
      </c>
      <c r="D634" s="1" t="s">
        <v>93</v>
      </c>
      <c r="E634" s="1" t="s">
        <v>99</v>
      </c>
      <c r="F634" s="1" t="n">
        <v>29</v>
      </c>
      <c r="G634" s="1" t="n">
        <v>26</v>
      </c>
      <c r="H634" s="1" t="s">
        <v>94</v>
      </c>
      <c r="I634" s="1" t="n">
        <v>-10.5</v>
      </c>
      <c r="J634" s="1" t="n">
        <v>47</v>
      </c>
      <c r="K634" s="1" t="s">
        <v>148</v>
      </c>
      <c r="L634" s="1" t="b">
        <f aca="false">FALSE()</f>
        <v>0</v>
      </c>
      <c r="M634" s="1" t="str">
        <f aca="false">VLOOKUP(D634,'Team Reference'!$A:$B,2,FALSE())</f>
        <v>NE</v>
      </c>
      <c r="N634" s="1" t="str">
        <f aca="false">VLOOKUP(E634,'Team Reference'!$A:$B,2,FALSE())</f>
        <v>NYJ</v>
      </c>
      <c r="O634" s="1" t="str">
        <f aca="false">IF(F634&gt;G634,M634,IF(G634&gt;F634,N634,"Tie"))</f>
        <v>NE</v>
      </c>
      <c r="P634" s="1" t="n">
        <f aca="false">F634-G634</f>
        <v>3</v>
      </c>
      <c r="Q634" s="1" t="n">
        <f aca="false">F634+G634</f>
        <v>55</v>
      </c>
      <c r="R634" s="1" t="str">
        <f aca="false">IF(H634=M634,"Home",IF(H634=N634,"Away",IF(H634="PICK","Pick","N/A")))</f>
        <v>Home</v>
      </c>
      <c r="S634" s="1" t="n">
        <f aca="false">IF(R634="Home",P634,IF(R634="Away",-P634,""))</f>
        <v>3</v>
      </c>
      <c r="T634" s="1" t="str">
        <f aca="false">IF(R634="Pick","No Line",IF(S634="","N/A",IF(S634+I634&gt;0,"Favorite Covered",IF(S634+I634&lt;0,"Underdog Covered","Push"))))</f>
        <v>Underdog Covered</v>
      </c>
      <c r="U634" s="1" t="str">
        <f aca="false">IF(Q634&gt;J634,"Over",IF(Q634&lt;J634,"Under","Push"))</f>
        <v>Over</v>
      </c>
    </row>
    <row r="635" customFormat="false" ht="15" hidden="false" customHeight="false" outlineLevel="0" collapsed="false">
      <c r="A635" s="1" t="s">
        <v>312</v>
      </c>
      <c r="B635" s="1" t="n">
        <v>2012</v>
      </c>
      <c r="C635" s="1" t="s">
        <v>191</v>
      </c>
      <c r="D635" s="1" t="s">
        <v>97</v>
      </c>
      <c r="E635" s="1" t="s">
        <v>117</v>
      </c>
      <c r="F635" s="1" t="n">
        <v>27</v>
      </c>
      <c r="G635" s="1" t="n">
        <v>23</v>
      </c>
      <c r="H635" s="1" t="s">
        <v>98</v>
      </c>
      <c r="I635" s="1" t="n">
        <v>-6.5</v>
      </c>
      <c r="J635" s="1" t="n">
        <v>51.5</v>
      </c>
      <c r="K635" s="1" t="s">
        <v>149</v>
      </c>
      <c r="L635" s="1" t="b">
        <f aca="false">FALSE()</f>
        <v>0</v>
      </c>
      <c r="M635" s="1" t="str">
        <f aca="false">VLOOKUP(D635,'Team Reference'!$A:$B,2,FALSE())</f>
        <v>NYG</v>
      </c>
      <c r="N635" s="1" t="str">
        <f aca="false">VLOOKUP(E635,'Team Reference'!$A:$B,2,FALSE())</f>
        <v>WAS</v>
      </c>
      <c r="O635" s="1" t="str">
        <f aca="false">IF(F635&gt;G635,M635,IF(G635&gt;F635,N635,"Tie"))</f>
        <v>NYG</v>
      </c>
      <c r="P635" s="1" t="n">
        <f aca="false">F635-G635</f>
        <v>4</v>
      </c>
      <c r="Q635" s="1" t="n">
        <f aca="false">F635+G635</f>
        <v>50</v>
      </c>
      <c r="R635" s="1" t="str">
        <f aca="false">IF(H635=M635,"Home",IF(H635=N635,"Away",IF(H635="PICK","Pick","N/A")))</f>
        <v>Home</v>
      </c>
      <c r="S635" s="1" t="n">
        <f aca="false">IF(R635="Home",P635,IF(R635="Away",-P635,""))</f>
        <v>4</v>
      </c>
      <c r="T635" s="1" t="str">
        <f aca="false">IF(R635="Pick","No Line",IF(S635="","N/A",IF(S635+I635&gt;0,"Favorite Covered",IF(S635+I635&lt;0,"Underdog Covered","Push"))))</f>
        <v>Underdog Covered</v>
      </c>
      <c r="U635" s="1" t="str">
        <f aca="false">IF(Q635&gt;J635,"Over",IF(Q635&lt;J635,"Under","Push"))</f>
        <v>Under</v>
      </c>
    </row>
    <row r="636" customFormat="false" ht="15" hidden="false" customHeight="false" outlineLevel="0" collapsed="false">
      <c r="A636" s="1" t="s">
        <v>312</v>
      </c>
      <c r="B636" s="1" t="n">
        <v>2012</v>
      </c>
      <c r="C636" s="1" t="s">
        <v>191</v>
      </c>
      <c r="D636" s="1" t="s">
        <v>101</v>
      </c>
      <c r="E636" s="1" t="s">
        <v>81</v>
      </c>
      <c r="F636" s="1" t="n">
        <v>26</v>
      </c>
      <c r="G636" s="1" t="n">
        <v>23</v>
      </c>
      <c r="H636" s="1" t="s">
        <v>102</v>
      </c>
      <c r="I636" s="1" t="n">
        <v>-6</v>
      </c>
      <c r="J636" s="1" t="n">
        <v>44</v>
      </c>
      <c r="K636" s="1" t="s">
        <v>171</v>
      </c>
      <c r="L636" s="1" t="b">
        <f aca="false">FALSE()</f>
        <v>0</v>
      </c>
      <c r="M636" s="1" t="str">
        <f aca="false">VLOOKUP(D636,'Team Reference'!$A:$B,2,FALSE())</f>
        <v>OAK</v>
      </c>
      <c r="N636" s="1" t="str">
        <f aca="false">VLOOKUP(E636,'Team Reference'!$A:$B,2,FALSE())</f>
        <v>JAX</v>
      </c>
      <c r="O636" s="1" t="str">
        <f aca="false">IF(F636&gt;G636,M636,IF(G636&gt;F636,N636,"Tie"))</f>
        <v>OAK</v>
      </c>
      <c r="P636" s="1" t="n">
        <f aca="false">F636-G636</f>
        <v>3</v>
      </c>
      <c r="Q636" s="1" t="n">
        <f aca="false">F636+G636</f>
        <v>49</v>
      </c>
      <c r="R636" s="1" t="str">
        <f aca="false">IF(H636=M636,"Home",IF(H636=N636,"Away",IF(H636="PICK","Pick","N/A")))</f>
        <v>Home</v>
      </c>
      <c r="S636" s="1" t="n">
        <f aca="false">IF(R636="Home",P636,IF(R636="Away",-P636,""))</f>
        <v>3</v>
      </c>
      <c r="T636" s="1" t="str">
        <f aca="false">IF(R636="Pick","No Line",IF(S636="","N/A",IF(S636+I636&gt;0,"Favorite Covered",IF(S636+I636&lt;0,"Underdog Covered","Push"))))</f>
        <v>Underdog Covered</v>
      </c>
      <c r="U636" s="1" t="str">
        <f aca="false">IF(Q636&gt;J636,"Over",IF(Q636&lt;J636,"Under","Push"))</f>
        <v>Over</v>
      </c>
    </row>
    <row r="637" customFormat="false" ht="15" hidden="false" customHeight="false" outlineLevel="0" collapsed="false">
      <c r="A637" s="1" t="s">
        <v>312</v>
      </c>
      <c r="B637" s="1" t="n">
        <v>2012</v>
      </c>
      <c r="C637" s="1" t="s">
        <v>191</v>
      </c>
      <c r="D637" s="1" t="s">
        <v>112</v>
      </c>
      <c r="E637" s="1" t="s">
        <v>75</v>
      </c>
      <c r="F637" s="1" t="n">
        <v>20</v>
      </c>
      <c r="G637" s="1" t="n">
        <v>30</v>
      </c>
      <c r="H637" s="1" t="s">
        <v>76</v>
      </c>
      <c r="I637" s="1" t="n">
        <v>-5</v>
      </c>
      <c r="J637" s="1" t="n">
        <v>45</v>
      </c>
      <c r="K637" s="1" t="s">
        <v>153</v>
      </c>
      <c r="L637" s="1" t="b">
        <f aca="false">FALSE()</f>
        <v>0</v>
      </c>
      <c r="M637" s="1" t="str">
        <f aca="false">VLOOKUP(D637,'Team Reference'!$A:$B,2,FALSE())</f>
        <v>LAR</v>
      </c>
      <c r="N637" s="1" t="str">
        <f aca="false">VLOOKUP(E637,'Team Reference'!$A:$B,2,FALSE())</f>
        <v>GB</v>
      </c>
      <c r="O637" s="1" t="str">
        <f aca="false">IF(F637&gt;G637,M637,IF(G637&gt;F637,N637,"Tie"))</f>
        <v>GB</v>
      </c>
      <c r="P637" s="1" t="n">
        <f aca="false">F637-G637</f>
        <v>-10</v>
      </c>
      <c r="Q637" s="1" t="n">
        <f aca="false">F637+G637</f>
        <v>50</v>
      </c>
      <c r="R637" s="1" t="str">
        <f aca="false">IF(H637=M637,"Home",IF(H637=N637,"Away",IF(H637="PICK","Pick","N/A")))</f>
        <v>Away</v>
      </c>
      <c r="S637" s="1" t="n">
        <f aca="false">IF(R637="Home",P637,IF(R637="Away",-P637,""))</f>
        <v>10</v>
      </c>
      <c r="T637" s="1" t="str">
        <f aca="false">IF(R637="Pick","No Line",IF(S637="","N/A",IF(S637+I637&gt;0,"Favorite Covered",IF(S637+I637&lt;0,"Underdog Covered","Push"))))</f>
        <v>Favorite Covered</v>
      </c>
      <c r="U637" s="1" t="str">
        <f aca="false">IF(Q637&gt;J637,"Over",IF(Q637&lt;J637,"Under","Push"))</f>
        <v>Over</v>
      </c>
    </row>
    <row r="638" customFormat="false" ht="15" hidden="false" customHeight="false" outlineLevel="0" collapsed="false">
      <c r="A638" s="1" t="s">
        <v>312</v>
      </c>
      <c r="B638" s="1" t="n">
        <v>2012</v>
      </c>
      <c r="C638" s="1" t="s">
        <v>191</v>
      </c>
      <c r="D638" s="1" t="s">
        <v>113</v>
      </c>
      <c r="E638" s="1" t="s">
        <v>95</v>
      </c>
      <c r="F638" s="1" t="n">
        <v>28</v>
      </c>
      <c r="G638" s="1" t="n">
        <v>35</v>
      </c>
      <c r="H638" s="1" t="s">
        <v>96</v>
      </c>
      <c r="I638" s="1" t="n">
        <v>-1.5</v>
      </c>
      <c r="J638" s="1" t="n">
        <v>49.5</v>
      </c>
      <c r="K638" s="1" t="s">
        <v>154</v>
      </c>
      <c r="L638" s="1" t="b">
        <f aca="false">FALSE()</f>
        <v>0</v>
      </c>
      <c r="M638" s="1" t="str">
        <f aca="false">VLOOKUP(D638,'Team Reference'!$A:$B,2,FALSE())</f>
        <v>TB</v>
      </c>
      <c r="N638" s="1" t="str">
        <f aca="false">VLOOKUP(E638,'Team Reference'!$A:$B,2,FALSE())</f>
        <v>NO</v>
      </c>
      <c r="O638" s="1" t="str">
        <f aca="false">IF(F638&gt;G638,M638,IF(G638&gt;F638,N638,"Tie"))</f>
        <v>NO</v>
      </c>
      <c r="P638" s="1" t="n">
        <f aca="false">F638-G638</f>
        <v>-7</v>
      </c>
      <c r="Q638" s="1" t="n">
        <f aca="false">F638+G638</f>
        <v>63</v>
      </c>
      <c r="R638" s="1" t="str">
        <f aca="false">IF(H638=M638,"Home",IF(H638=N638,"Away",IF(H638="PICK","Pick","N/A")))</f>
        <v>Away</v>
      </c>
      <c r="S638" s="1" t="n">
        <f aca="false">IF(R638="Home",P638,IF(R638="Away",-P638,""))</f>
        <v>7</v>
      </c>
      <c r="T638" s="1" t="str">
        <f aca="false">IF(R638="Pick","No Line",IF(S638="","N/A",IF(S638+I638&gt;0,"Favorite Covered",IF(S638+I638&lt;0,"Underdog Covered","Push"))))</f>
        <v>Favorite Covered</v>
      </c>
      <c r="U638" s="1" t="str">
        <f aca="false">IF(Q638&gt;J638,"Over",IF(Q638&lt;J638,"Under","Push"))</f>
        <v>Over</v>
      </c>
    </row>
    <row r="639" customFormat="false" ht="15" hidden="false" customHeight="false" outlineLevel="0" collapsed="false">
      <c r="A639" s="1" t="s">
        <v>313</v>
      </c>
      <c r="B639" s="1" t="n">
        <v>2012</v>
      </c>
      <c r="C639" s="1" t="s">
        <v>191</v>
      </c>
      <c r="D639" s="1" t="s">
        <v>63</v>
      </c>
      <c r="E639" s="1" t="s">
        <v>73</v>
      </c>
      <c r="F639" s="1" t="n">
        <v>13</v>
      </c>
      <c r="G639" s="1" t="n">
        <v>7</v>
      </c>
      <c r="H639" s="1" t="s">
        <v>64</v>
      </c>
      <c r="I639" s="1" t="n">
        <v>-6.5</v>
      </c>
      <c r="J639" s="1" t="n">
        <v>47</v>
      </c>
      <c r="K639" s="1" t="s">
        <v>145</v>
      </c>
      <c r="L639" s="1" t="b">
        <f aca="false">FALSE()</f>
        <v>0</v>
      </c>
      <c r="M639" s="1" t="str">
        <f aca="false">VLOOKUP(D639,'Team Reference'!$A:$B,2,FALSE())</f>
        <v>CHI</v>
      </c>
      <c r="N639" s="1" t="str">
        <f aca="false">VLOOKUP(E639,'Team Reference'!$A:$B,2,FALSE())</f>
        <v>DET</v>
      </c>
      <c r="O639" s="1" t="str">
        <f aca="false">IF(F639&gt;G639,M639,IF(G639&gt;F639,N639,"Tie"))</f>
        <v>CHI</v>
      </c>
      <c r="P639" s="1" t="n">
        <f aca="false">F639-G639</f>
        <v>6</v>
      </c>
      <c r="Q639" s="1" t="n">
        <f aca="false">F639+G639</f>
        <v>20</v>
      </c>
      <c r="R639" s="1" t="str">
        <f aca="false">IF(H639=M639,"Home",IF(H639=N639,"Away",IF(H639="PICK","Pick","N/A")))</f>
        <v>Home</v>
      </c>
      <c r="S639" s="1" t="n">
        <f aca="false">IF(R639="Home",P639,IF(R639="Away",-P639,""))</f>
        <v>6</v>
      </c>
      <c r="T639" s="1" t="str">
        <f aca="false">IF(R639="Pick","No Line",IF(S639="","N/A",IF(S639+I639&gt;0,"Favorite Covered",IF(S639+I639&lt;0,"Underdog Covered","Push"))))</f>
        <v>Underdog Covered</v>
      </c>
      <c r="U639" s="1" t="str">
        <f aca="false">IF(Q639&gt;J639,"Over",IF(Q639&lt;J639,"Under","Push"))</f>
        <v>Under</v>
      </c>
    </row>
    <row r="640" customFormat="false" ht="15" hidden="false" customHeight="false" outlineLevel="0" collapsed="false">
      <c r="A640" s="1" t="s">
        <v>314</v>
      </c>
      <c r="B640" s="1" t="n">
        <v>2012</v>
      </c>
      <c r="C640" s="1" t="s">
        <v>194</v>
      </c>
      <c r="D640" s="1" t="s">
        <v>91</v>
      </c>
      <c r="E640" s="1" t="s">
        <v>113</v>
      </c>
      <c r="F640" s="1" t="n">
        <v>17</v>
      </c>
      <c r="G640" s="1" t="n">
        <v>36</v>
      </c>
      <c r="H640" s="1" t="s">
        <v>92</v>
      </c>
      <c r="I640" s="1" t="n">
        <v>-5.5</v>
      </c>
      <c r="J640" s="1" t="n">
        <v>43</v>
      </c>
      <c r="K640" s="1" t="s">
        <v>170</v>
      </c>
      <c r="L640" s="1" t="b">
        <f aca="false">FALSE()</f>
        <v>0</v>
      </c>
      <c r="M640" s="1" t="str">
        <f aca="false">VLOOKUP(D640,'Team Reference'!$A:$B,2,FALSE())</f>
        <v>MIN</v>
      </c>
      <c r="N640" s="1" t="str">
        <f aca="false">VLOOKUP(E640,'Team Reference'!$A:$B,2,FALSE())</f>
        <v>TB</v>
      </c>
      <c r="O640" s="1" t="str">
        <f aca="false">IF(F640&gt;G640,M640,IF(G640&gt;F640,N640,"Tie"))</f>
        <v>TB</v>
      </c>
      <c r="P640" s="1" t="n">
        <f aca="false">F640-G640</f>
        <v>-19</v>
      </c>
      <c r="Q640" s="1" t="n">
        <f aca="false">F640+G640</f>
        <v>53</v>
      </c>
      <c r="R640" s="1" t="str">
        <f aca="false">IF(H640=M640,"Home",IF(H640=N640,"Away",IF(H640="PICK","Pick","N/A")))</f>
        <v>Home</v>
      </c>
      <c r="S640" s="1" t="n">
        <f aca="false">IF(R640="Home",P640,IF(R640="Away",-P640,""))</f>
        <v>-19</v>
      </c>
      <c r="T640" s="1" t="str">
        <f aca="false">IF(R640="Pick","No Line",IF(S640="","N/A",IF(S640+I640&gt;0,"Favorite Covered",IF(S640+I640&lt;0,"Underdog Covered","Push"))))</f>
        <v>Underdog Covered</v>
      </c>
      <c r="U640" s="1" t="str">
        <f aca="false">IF(Q640&gt;J640,"Over",IF(Q640&lt;J640,"Under","Push"))</f>
        <v>Over</v>
      </c>
    </row>
    <row r="641" customFormat="false" ht="15" hidden="false" customHeight="false" outlineLevel="0" collapsed="false">
      <c r="A641" s="1" t="s">
        <v>315</v>
      </c>
      <c r="B641" s="1" t="n">
        <v>2012</v>
      </c>
      <c r="C641" s="1" t="s">
        <v>194</v>
      </c>
      <c r="D641" s="1" t="s">
        <v>63</v>
      </c>
      <c r="E641" s="1" t="s">
        <v>61</v>
      </c>
      <c r="F641" s="1" t="n">
        <v>23</v>
      </c>
      <c r="G641" s="1" t="n">
        <v>22</v>
      </c>
      <c r="H641" s="1" t="s">
        <v>64</v>
      </c>
      <c r="I641" s="1" t="n">
        <v>-7.5</v>
      </c>
      <c r="J641" s="1" t="n">
        <v>41.5</v>
      </c>
      <c r="K641" s="1" t="s">
        <v>145</v>
      </c>
      <c r="L641" s="1" t="b">
        <f aca="false">FALSE()</f>
        <v>0</v>
      </c>
      <c r="M641" s="1" t="str">
        <f aca="false">VLOOKUP(D641,'Team Reference'!$A:$B,2,FALSE())</f>
        <v>CHI</v>
      </c>
      <c r="N641" s="1" t="str">
        <f aca="false">VLOOKUP(E641,'Team Reference'!$A:$B,2,FALSE())</f>
        <v>CAR</v>
      </c>
      <c r="O641" s="1" t="str">
        <f aca="false">IF(F641&gt;G641,M641,IF(G641&gt;F641,N641,"Tie"))</f>
        <v>CHI</v>
      </c>
      <c r="P641" s="1" t="n">
        <f aca="false">F641-G641</f>
        <v>1</v>
      </c>
      <c r="Q641" s="1" t="n">
        <f aca="false">F641+G641</f>
        <v>45</v>
      </c>
      <c r="R641" s="1" t="str">
        <f aca="false">IF(H641=M641,"Home",IF(H641=N641,"Away",IF(H641="PICK","Pick","N/A")))</f>
        <v>Home</v>
      </c>
      <c r="S641" s="1" t="n">
        <f aca="false">IF(R641="Home",P641,IF(R641="Away",-P641,""))</f>
        <v>1</v>
      </c>
      <c r="T641" s="1" t="str">
        <f aca="false">IF(R641="Pick","No Line",IF(S641="","N/A",IF(S641+I641&gt;0,"Favorite Covered",IF(S641+I641&lt;0,"Underdog Covered","Push"))))</f>
        <v>Underdog Covered</v>
      </c>
      <c r="U641" s="1" t="str">
        <f aca="false">IF(Q641&gt;J641,"Over",IF(Q641&lt;J641,"Under","Push"))</f>
        <v>Over</v>
      </c>
    </row>
    <row r="642" customFormat="false" ht="15" hidden="false" customHeight="false" outlineLevel="0" collapsed="false">
      <c r="A642" s="1" t="s">
        <v>315</v>
      </c>
      <c r="B642" s="1" t="n">
        <v>2012</v>
      </c>
      <c r="C642" s="1" t="s">
        <v>194</v>
      </c>
      <c r="D642" s="1" t="s">
        <v>67</v>
      </c>
      <c r="E642" s="1" t="s">
        <v>107</v>
      </c>
      <c r="F642" s="1" t="n">
        <v>7</v>
      </c>
      <c r="G642" s="1" t="n">
        <v>6</v>
      </c>
      <c r="H642" s="1" t="s">
        <v>86</v>
      </c>
      <c r="I642" s="1" t="n">
        <v>-3</v>
      </c>
      <c r="J642" s="1" t="n">
        <v>41</v>
      </c>
      <c r="K642" s="1" t="s">
        <v>164</v>
      </c>
      <c r="L642" s="1" t="b">
        <f aca="false">FALSE()</f>
        <v>0</v>
      </c>
      <c r="M642" s="1" t="str">
        <f aca="false">VLOOKUP(D642,'Team Reference'!$A:$B,2,FALSE())</f>
        <v>CLE</v>
      </c>
      <c r="N642" s="1" t="str">
        <f aca="false">VLOOKUP(E642,'Team Reference'!$A:$B,2,FALSE())</f>
        <v>LAC</v>
      </c>
      <c r="O642" s="1" t="str">
        <f aca="false">IF(F642&gt;G642,M642,IF(G642&gt;F642,N642,"Tie"))</f>
        <v>CLE</v>
      </c>
      <c r="P642" s="1" t="n">
        <f aca="false">F642-G642</f>
        <v>1</v>
      </c>
      <c r="Q642" s="1" t="n">
        <f aca="false">F642+G642</f>
        <v>13</v>
      </c>
      <c r="R642" s="1" t="str">
        <f aca="false">IF(H642=M642,"Home",IF(H642=N642,"Away",IF(H642="PICK","Pick","N/A")))</f>
        <v>Away</v>
      </c>
      <c r="S642" s="1" t="n">
        <f aca="false">IF(R642="Home",P642,IF(R642="Away",-P642,""))</f>
        <v>-1</v>
      </c>
      <c r="T642" s="1" t="str">
        <f aca="false">IF(R642="Pick","No Line",IF(S642="","N/A",IF(S642+I642&gt;0,"Favorite Covered",IF(S642+I642&lt;0,"Underdog Covered","Push"))))</f>
        <v>Underdog Covered</v>
      </c>
      <c r="U642" s="1" t="str">
        <f aca="false">IF(Q642&gt;J642,"Over",IF(Q642&lt;J642,"Under","Push"))</f>
        <v>Under</v>
      </c>
    </row>
    <row r="643" customFormat="false" ht="15" hidden="false" customHeight="false" outlineLevel="0" collapsed="false">
      <c r="A643" s="1" t="s">
        <v>315</v>
      </c>
      <c r="B643" s="1" t="n">
        <v>2012</v>
      </c>
      <c r="C643" s="1" t="s">
        <v>194</v>
      </c>
      <c r="D643" s="1" t="s">
        <v>69</v>
      </c>
      <c r="E643" s="1" t="s">
        <v>97</v>
      </c>
      <c r="F643" s="1" t="n">
        <v>24</v>
      </c>
      <c r="G643" s="1" t="n">
        <v>29</v>
      </c>
      <c r="H643" s="1" t="s">
        <v>98</v>
      </c>
      <c r="I643" s="1" t="n">
        <v>-2.5</v>
      </c>
      <c r="J643" s="1" t="n">
        <v>48</v>
      </c>
      <c r="K643" s="1" t="s">
        <v>165</v>
      </c>
      <c r="L643" s="1" t="b">
        <f aca="false">FALSE()</f>
        <v>0</v>
      </c>
      <c r="M643" s="1" t="str">
        <f aca="false">VLOOKUP(D643,'Team Reference'!$A:$B,2,FALSE())</f>
        <v>DAL</v>
      </c>
      <c r="N643" s="1" t="str">
        <f aca="false">VLOOKUP(E643,'Team Reference'!$A:$B,2,FALSE())</f>
        <v>NYG</v>
      </c>
      <c r="O643" s="1" t="str">
        <f aca="false">IF(F643&gt;G643,M643,IF(G643&gt;F643,N643,"Tie"))</f>
        <v>NYG</v>
      </c>
      <c r="P643" s="1" t="n">
        <f aca="false">F643-G643</f>
        <v>-5</v>
      </c>
      <c r="Q643" s="1" t="n">
        <f aca="false">F643+G643</f>
        <v>53</v>
      </c>
      <c r="R643" s="1" t="str">
        <f aca="false">IF(H643=M643,"Home",IF(H643=N643,"Away",IF(H643="PICK","Pick","N/A")))</f>
        <v>Away</v>
      </c>
      <c r="S643" s="1" t="n">
        <f aca="false">IF(R643="Home",P643,IF(R643="Away",-P643,""))</f>
        <v>5</v>
      </c>
      <c r="T643" s="1" t="str">
        <f aca="false">IF(R643="Pick","No Line",IF(S643="","N/A",IF(S643+I643&gt;0,"Favorite Covered",IF(S643+I643&lt;0,"Underdog Covered","Push"))))</f>
        <v>Favorite Covered</v>
      </c>
      <c r="U643" s="1" t="str">
        <f aca="false">IF(Q643&gt;J643,"Over",IF(Q643&lt;J643,"Under","Push"))</f>
        <v>Over</v>
      </c>
    </row>
    <row r="644" customFormat="false" ht="15" hidden="false" customHeight="false" outlineLevel="0" collapsed="false">
      <c r="A644" s="1" t="s">
        <v>315</v>
      </c>
      <c r="B644" s="1" t="n">
        <v>2012</v>
      </c>
      <c r="C644" s="1" t="s">
        <v>194</v>
      </c>
      <c r="D644" s="1" t="s">
        <v>71</v>
      </c>
      <c r="E644" s="1" t="s">
        <v>95</v>
      </c>
      <c r="F644" s="1" t="n">
        <v>34</v>
      </c>
      <c r="G644" s="1" t="n">
        <v>14</v>
      </c>
      <c r="H644" s="1" t="s">
        <v>72</v>
      </c>
      <c r="I644" s="1" t="n">
        <v>-6.5</v>
      </c>
      <c r="J644" s="1" t="n">
        <v>55</v>
      </c>
      <c r="K644" s="1" t="s">
        <v>166</v>
      </c>
      <c r="L644" s="1" t="b">
        <f aca="false">FALSE()</f>
        <v>0</v>
      </c>
      <c r="M644" s="1" t="str">
        <f aca="false">VLOOKUP(D644,'Team Reference'!$A:$B,2,FALSE())</f>
        <v>DEN</v>
      </c>
      <c r="N644" s="1" t="str">
        <f aca="false">VLOOKUP(E644,'Team Reference'!$A:$B,2,FALSE())</f>
        <v>NO</v>
      </c>
      <c r="O644" s="1" t="str">
        <f aca="false">IF(F644&gt;G644,M644,IF(G644&gt;F644,N644,"Tie"))</f>
        <v>DEN</v>
      </c>
      <c r="P644" s="1" t="n">
        <f aca="false">F644-G644</f>
        <v>20</v>
      </c>
      <c r="Q644" s="1" t="n">
        <f aca="false">F644+G644</f>
        <v>48</v>
      </c>
      <c r="R644" s="1" t="str">
        <f aca="false">IF(H644=M644,"Home",IF(H644=N644,"Away",IF(H644="PICK","Pick","N/A")))</f>
        <v>Home</v>
      </c>
      <c r="S644" s="1" t="n">
        <f aca="false">IF(R644="Home",P644,IF(R644="Away",-P644,""))</f>
        <v>20</v>
      </c>
      <c r="T644" s="1" t="str">
        <f aca="false">IF(R644="Pick","No Line",IF(S644="","N/A",IF(S644+I644&gt;0,"Favorite Covered",IF(S644+I644&lt;0,"Underdog Covered","Push"))))</f>
        <v>Favorite Covered</v>
      </c>
      <c r="U644" s="1" t="str">
        <f aca="false">IF(Q644&gt;J644,"Over",IF(Q644&lt;J644,"Under","Push"))</f>
        <v>Under</v>
      </c>
    </row>
    <row r="645" customFormat="false" ht="15" hidden="false" customHeight="false" outlineLevel="0" collapsed="false">
      <c r="A645" s="1" t="s">
        <v>315</v>
      </c>
      <c r="B645" s="1" t="n">
        <v>2012</v>
      </c>
      <c r="C645" s="1" t="s">
        <v>194</v>
      </c>
      <c r="D645" s="1" t="s">
        <v>73</v>
      </c>
      <c r="E645" s="1" t="s">
        <v>110</v>
      </c>
      <c r="F645" s="1" t="n">
        <v>28</v>
      </c>
      <c r="G645" s="1" t="n">
        <v>24</v>
      </c>
      <c r="H645" s="1" t="s">
        <v>74</v>
      </c>
      <c r="I645" s="1" t="n">
        <v>-3</v>
      </c>
      <c r="J645" s="1" t="n">
        <v>42.5</v>
      </c>
      <c r="K645" s="1" t="s">
        <v>167</v>
      </c>
      <c r="L645" s="1" t="b">
        <f aca="false">FALSE()</f>
        <v>0</v>
      </c>
      <c r="M645" s="1" t="str">
        <f aca="false">VLOOKUP(D645,'Team Reference'!$A:$B,2,FALSE())</f>
        <v>DET</v>
      </c>
      <c r="N645" s="1" t="str">
        <f aca="false">VLOOKUP(E645,'Team Reference'!$A:$B,2,FALSE())</f>
        <v>SEA</v>
      </c>
      <c r="O645" s="1" t="str">
        <f aca="false">IF(F645&gt;G645,M645,IF(G645&gt;F645,N645,"Tie"))</f>
        <v>DET</v>
      </c>
      <c r="P645" s="1" t="n">
        <f aca="false">F645-G645</f>
        <v>4</v>
      </c>
      <c r="Q645" s="1" t="n">
        <f aca="false">F645+G645</f>
        <v>52</v>
      </c>
      <c r="R645" s="1" t="str">
        <f aca="false">IF(H645=M645,"Home",IF(H645=N645,"Away",IF(H645="PICK","Pick","N/A")))</f>
        <v>Home</v>
      </c>
      <c r="S645" s="1" t="n">
        <f aca="false">IF(R645="Home",P645,IF(R645="Away",-P645,""))</f>
        <v>4</v>
      </c>
      <c r="T645" s="1" t="str">
        <f aca="false">IF(R645="Pick","No Line",IF(S645="","N/A",IF(S645+I645&gt;0,"Favorite Covered",IF(S645+I645&lt;0,"Underdog Covered","Push"))))</f>
        <v>Favorite Covered</v>
      </c>
      <c r="U645" s="1" t="str">
        <f aca="false">IF(Q645&gt;J645,"Over",IF(Q645&lt;J645,"Under","Push"))</f>
        <v>Over</v>
      </c>
    </row>
    <row r="646" customFormat="false" ht="15" hidden="false" customHeight="false" outlineLevel="0" collapsed="false">
      <c r="A646" s="1" t="s">
        <v>315</v>
      </c>
      <c r="B646" s="1" t="n">
        <v>2012</v>
      </c>
      <c r="C646" s="1" t="s">
        <v>194</v>
      </c>
      <c r="D646" s="1" t="s">
        <v>75</v>
      </c>
      <c r="E646" s="1" t="s">
        <v>81</v>
      </c>
      <c r="F646" s="1" t="n">
        <v>24</v>
      </c>
      <c r="G646" s="1" t="n">
        <v>15</v>
      </c>
      <c r="H646" s="1" t="s">
        <v>76</v>
      </c>
      <c r="I646" s="1" t="n">
        <v>-16</v>
      </c>
      <c r="J646" s="1" t="n">
        <v>45.5</v>
      </c>
      <c r="K646" s="1" t="s">
        <v>168</v>
      </c>
      <c r="L646" s="1" t="b">
        <f aca="false">FALSE()</f>
        <v>0</v>
      </c>
      <c r="M646" s="1" t="str">
        <f aca="false">VLOOKUP(D646,'Team Reference'!$A:$B,2,FALSE())</f>
        <v>GB</v>
      </c>
      <c r="N646" s="1" t="str">
        <f aca="false">VLOOKUP(E646,'Team Reference'!$A:$B,2,FALSE())</f>
        <v>JAX</v>
      </c>
      <c r="O646" s="1" t="str">
        <f aca="false">IF(F646&gt;G646,M646,IF(G646&gt;F646,N646,"Tie"))</f>
        <v>GB</v>
      </c>
      <c r="P646" s="1" t="n">
        <f aca="false">F646-G646</f>
        <v>9</v>
      </c>
      <c r="Q646" s="1" t="n">
        <f aca="false">F646+G646</f>
        <v>39</v>
      </c>
      <c r="R646" s="1" t="str">
        <f aca="false">IF(H646=M646,"Home",IF(H646=N646,"Away",IF(H646="PICK","Pick","N/A")))</f>
        <v>Home</v>
      </c>
      <c r="S646" s="1" t="n">
        <f aca="false">IF(R646="Home",P646,IF(R646="Away",-P646,""))</f>
        <v>9</v>
      </c>
      <c r="T646" s="1" t="str">
        <f aca="false">IF(R646="Pick","No Line",IF(S646="","N/A",IF(S646+I646&gt;0,"Favorite Covered",IF(S646+I646&lt;0,"Underdog Covered","Push"))))</f>
        <v>Underdog Covered</v>
      </c>
      <c r="U646" s="1" t="str">
        <f aca="false">IF(Q646&gt;J646,"Over",IF(Q646&lt;J646,"Under","Push"))</f>
        <v>Under</v>
      </c>
    </row>
    <row r="647" customFormat="false" ht="15" hidden="false" customHeight="false" outlineLevel="0" collapsed="false">
      <c r="A647" s="1" t="s">
        <v>315</v>
      </c>
      <c r="B647" s="1" t="n">
        <v>2012</v>
      </c>
      <c r="C647" s="1" t="s">
        <v>194</v>
      </c>
      <c r="D647" s="1" t="s">
        <v>83</v>
      </c>
      <c r="E647" s="1" t="s">
        <v>101</v>
      </c>
      <c r="F647" s="1" t="n">
        <v>16</v>
      </c>
      <c r="G647" s="1" t="n">
        <v>26</v>
      </c>
      <c r="H647" s="1" t="s">
        <v>84</v>
      </c>
      <c r="I647" s="1" t="n">
        <v>-1</v>
      </c>
      <c r="J647" s="1" t="n">
        <v>42.5</v>
      </c>
      <c r="K647" s="1" t="s">
        <v>158</v>
      </c>
      <c r="L647" s="1" t="b">
        <f aca="false">FALSE()</f>
        <v>0</v>
      </c>
      <c r="M647" s="1" t="str">
        <f aca="false">VLOOKUP(D647,'Team Reference'!$A:$B,2,FALSE())</f>
        <v>KC</v>
      </c>
      <c r="N647" s="1" t="str">
        <f aca="false">VLOOKUP(E647,'Team Reference'!$A:$B,2,FALSE())</f>
        <v>OAK</v>
      </c>
      <c r="O647" s="1" t="str">
        <f aca="false">IF(F647&gt;G647,M647,IF(G647&gt;F647,N647,"Tie"))</f>
        <v>OAK</v>
      </c>
      <c r="P647" s="1" t="n">
        <f aca="false">F647-G647</f>
        <v>-10</v>
      </c>
      <c r="Q647" s="1" t="n">
        <f aca="false">F647+G647</f>
        <v>42</v>
      </c>
      <c r="R647" s="1" t="str">
        <f aca="false">IF(H647=M647,"Home",IF(H647=N647,"Away",IF(H647="PICK","Pick","N/A")))</f>
        <v>Home</v>
      </c>
      <c r="S647" s="1" t="n">
        <f aca="false">IF(R647="Home",P647,IF(R647="Away",-P647,""))</f>
        <v>-10</v>
      </c>
      <c r="T647" s="1" t="str">
        <f aca="false">IF(R647="Pick","No Line",IF(S647="","N/A",IF(S647+I647&gt;0,"Favorite Covered",IF(S647+I647&lt;0,"Underdog Covered","Push"))))</f>
        <v>Underdog Covered</v>
      </c>
      <c r="U647" s="1" t="str">
        <f aca="false">IF(Q647&gt;J647,"Over",IF(Q647&lt;J647,"Under","Push"))</f>
        <v>Under</v>
      </c>
    </row>
    <row r="648" customFormat="false" ht="15" hidden="false" customHeight="false" outlineLevel="0" collapsed="false">
      <c r="A648" s="1" t="s">
        <v>315</v>
      </c>
      <c r="B648" s="1" t="n">
        <v>2012</v>
      </c>
      <c r="C648" s="1" t="s">
        <v>194</v>
      </c>
      <c r="D648" s="1" t="s">
        <v>99</v>
      </c>
      <c r="E648" s="1" t="s">
        <v>89</v>
      </c>
      <c r="F648" s="1" t="n">
        <v>9</v>
      </c>
      <c r="G648" s="1" t="n">
        <v>30</v>
      </c>
      <c r="H648" s="1" t="s">
        <v>100</v>
      </c>
      <c r="I648" s="1" t="n">
        <v>-1</v>
      </c>
      <c r="J648" s="1" t="n">
        <v>39</v>
      </c>
      <c r="K648" s="1" t="s">
        <v>149</v>
      </c>
      <c r="L648" s="1" t="b">
        <f aca="false">FALSE()</f>
        <v>0</v>
      </c>
      <c r="M648" s="1" t="str">
        <f aca="false">VLOOKUP(D648,'Team Reference'!$A:$B,2,FALSE())</f>
        <v>NYJ</v>
      </c>
      <c r="N648" s="1" t="str">
        <f aca="false">VLOOKUP(E648,'Team Reference'!$A:$B,2,FALSE())</f>
        <v>MIA</v>
      </c>
      <c r="O648" s="1" t="str">
        <f aca="false">IF(F648&gt;G648,M648,IF(G648&gt;F648,N648,"Tie"))</f>
        <v>MIA</v>
      </c>
      <c r="P648" s="1" t="n">
        <f aca="false">F648-G648</f>
        <v>-21</v>
      </c>
      <c r="Q648" s="1" t="n">
        <f aca="false">F648+G648</f>
        <v>39</v>
      </c>
      <c r="R648" s="1" t="str">
        <f aca="false">IF(H648=M648,"Home",IF(H648=N648,"Away",IF(H648="PICK","Pick","N/A")))</f>
        <v>Home</v>
      </c>
      <c r="S648" s="1" t="n">
        <f aca="false">IF(R648="Home",P648,IF(R648="Away",-P648,""))</f>
        <v>-21</v>
      </c>
      <c r="T648" s="1" t="str">
        <f aca="false">IF(R648="Pick","No Line",IF(S648="","N/A",IF(S648+I648&gt;0,"Favorite Covered",IF(S648+I648&lt;0,"Underdog Covered","Push"))))</f>
        <v>Underdog Covered</v>
      </c>
      <c r="U648" s="1" t="str">
        <f aca="false">IF(Q648&gt;J648,"Over",IF(Q648&lt;J648,"Under","Push"))</f>
        <v>Push</v>
      </c>
    </row>
    <row r="649" customFormat="false" ht="15" hidden="false" customHeight="false" outlineLevel="0" collapsed="false">
      <c r="A649" s="1" t="s">
        <v>315</v>
      </c>
      <c r="B649" s="1" t="n">
        <v>2012</v>
      </c>
      <c r="C649" s="1" t="s">
        <v>194</v>
      </c>
      <c r="D649" s="1" t="s">
        <v>103</v>
      </c>
      <c r="E649" s="1" t="s">
        <v>55</v>
      </c>
      <c r="F649" s="1" t="n">
        <v>17</v>
      </c>
      <c r="G649" s="1" t="n">
        <v>30</v>
      </c>
      <c r="H649" s="1" t="s">
        <v>104</v>
      </c>
      <c r="I649" s="1" t="n">
        <v>-3</v>
      </c>
      <c r="J649" s="1" t="n">
        <v>43</v>
      </c>
      <c r="K649" s="1" t="s">
        <v>150</v>
      </c>
      <c r="L649" s="1" t="b">
        <f aca="false">FALSE()</f>
        <v>0</v>
      </c>
      <c r="M649" s="1" t="str">
        <f aca="false">VLOOKUP(D649,'Team Reference'!$A:$B,2,FALSE())</f>
        <v>PHI</v>
      </c>
      <c r="N649" s="1" t="str">
        <f aca="false">VLOOKUP(E649,'Team Reference'!$A:$B,2,FALSE())</f>
        <v>ATL</v>
      </c>
      <c r="O649" s="1" t="str">
        <f aca="false">IF(F649&gt;G649,M649,IF(G649&gt;F649,N649,"Tie"))</f>
        <v>ATL</v>
      </c>
      <c r="P649" s="1" t="n">
        <f aca="false">F649-G649</f>
        <v>-13</v>
      </c>
      <c r="Q649" s="1" t="n">
        <f aca="false">F649+G649</f>
        <v>47</v>
      </c>
      <c r="R649" s="1" t="str">
        <f aca="false">IF(H649=M649,"Home",IF(H649=N649,"Away",IF(H649="PICK","Pick","N/A")))</f>
        <v>Home</v>
      </c>
      <c r="S649" s="1" t="n">
        <f aca="false">IF(R649="Home",P649,IF(R649="Away",-P649,""))</f>
        <v>-13</v>
      </c>
      <c r="T649" s="1" t="str">
        <f aca="false">IF(R649="Pick","No Line",IF(S649="","N/A",IF(S649+I649&gt;0,"Favorite Covered",IF(S649+I649&lt;0,"Underdog Covered","Push"))))</f>
        <v>Underdog Covered</v>
      </c>
      <c r="U649" s="1" t="str">
        <f aca="false">IF(Q649&gt;J649,"Over",IF(Q649&lt;J649,"Under","Push"))</f>
        <v>Over</v>
      </c>
    </row>
    <row r="650" customFormat="false" ht="15" hidden="false" customHeight="false" outlineLevel="0" collapsed="false">
      <c r="A650" s="1" t="s">
        <v>315</v>
      </c>
      <c r="B650" s="1" t="n">
        <v>2012</v>
      </c>
      <c r="C650" s="1" t="s">
        <v>194</v>
      </c>
      <c r="D650" s="1" t="s">
        <v>105</v>
      </c>
      <c r="E650" s="1" t="s">
        <v>117</v>
      </c>
      <c r="F650" s="1" t="n">
        <v>27</v>
      </c>
      <c r="G650" s="1" t="n">
        <v>12</v>
      </c>
      <c r="H650" s="1" t="s">
        <v>106</v>
      </c>
      <c r="I650" s="1" t="n">
        <v>-4.5</v>
      </c>
      <c r="J650" s="1" t="n">
        <v>44</v>
      </c>
      <c r="K650" s="1" t="s">
        <v>151</v>
      </c>
      <c r="L650" s="1" t="b">
        <f aca="false">FALSE()</f>
        <v>0</v>
      </c>
      <c r="M650" s="1" t="str">
        <f aca="false">VLOOKUP(D650,'Team Reference'!$A:$B,2,FALSE())</f>
        <v>PIT</v>
      </c>
      <c r="N650" s="1" t="str">
        <f aca="false">VLOOKUP(E650,'Team Reference'!$A:$B,2,FALSE())</f>
        <v>WAS</v>
      </c>
      <c r="O650" s="1" t="str">
        <f aca="false">IF(F650&gt;G650,M650,IF(G650&gt;F650,N650,"Tie"))</f>
        <v>PIT</v>
      </c>
      <c r="P650" s="1" t="n">
        <f aca="false">F650-G650</f>
        <v>15</v>
      </c>
      <c r="Q650" s="1" t="n">
        <f aca="false">F650+G650</f>
        <v>39</v>
      </c>
      <c r="R650" s="1" t="str">
        <f aca="false">IF(H650=M650,"Home",IF(H650=N650,"Away",IF(H650="PICK","Pick","N/A")))</f>
        <v>Home</v>
      </c>
      <c r="S650" s="1" t="n">
        <f aca="false">IF(R650="Home",P650,IF(R650="Away",-P650,""))</f>
        <v>15</v>
      </c>
      <c r="T650" s="1" t="str">
        <f aca="false">IF(R650="Pick","No Line",IF(S650="","N/A",IF(S650+I650&gt;0,"Favorite Covered",IF(S650+I650&lt;0,"Underdog Covered","Push"))))</f>
        <v>Favorite Covered</v>
      </c>
      <c r="U650" s="1" t="str">
        <f aca="false">IF(Q650&gt;J650,"Over",IF(Q650&lt;J650,"Under","Push"))</f>
        <v>Under</v>
      </c>
    </row>
    <row r="651" customFormat="false" ht="15" hidden="false" customHeight="false" outlineLevel="0" collapsed="false">
      <c r="A651" s="1" t="s">
        <v>315</v>
      </c>
      <c r="B651" s="1" t="n">
        <v>2012</v>
      </c>
      <c r="C651" s="1" t="s">
        <v>194</v>
      </c>
      <c r="D651" s="1" t="s">
        <v>112</v>
      </c>
      <c r="E651" s="1" t="s">
        <v>93</v>
      </c>
      <c r="F651" s="1" t="n">
        <v>7</v>
      </c>
      <c r="G651" s="1" t="n">
        <v>45</v>
      </c>
      <c r="H651" s="1" t="s">
        <v>94</v>
      </c>
      <c r="I651" s="1" t="n">
        <v>-7</v>
      </c>
      <c r="J651" s="1" t="n">
        <v>46</v>
      </c>
      <c r="K651" s="1" t="s">
        <v>195</v>
      </c>
      <c r="L651" s="1" t="b">
        <f aca="false">FALSE()</f>
        <v>0</v>
      </c>
      <c r="M651" s="1" t="str">
        <f aca="false">VLOOKUP(D651,'Team Reference'!$A:$B,2,FALSE())</f>
        <v>LAR</v>
      </c>
      <c r="N651" s="1" t="str">
        <f aca="false">VLOOKUP(E651,'Team Reference'!$A:$B,2,FALSE())</f>
        <v>NE</v>
      </c>
      <c r="O651" s="1" t="str">
        <f aca="false">IF(F651&gt;G651,M651,IF(G651&gt;F651,N651,"Tie"))</f>
        <v>NE</v>
      </c>
      <c r="P651" s="1" t="n">
        <f aca="false">F651-G651</f>
        <v>-38</v>
      </c>
      <c r="Q651" s="1" t="n">
        <f aca="false">F651+G651</f>
        <v>52</v>
      </c>
      <c r="R651" s="1" t="str">
        <f aca="false">IF(H651=M651,"Home",IF(H651=N651,"Away",IF(H651="PICK","Pick","N/A")))</f>
        <v>Away</v>
      </c>
      <c r="S651" s="1" t="n">
        <f aca="false">IF(R651="Home",P651,IF(R651="Away",-P651,""))</f>
        <v>38</v>
      </c>
      <c r="T651" s="1" t="str">
        <f aca="false">IF(R651="Pick","No Line",IF(S651="","N/A",IF(S651+I651&gt;0,"Favorite Covered",IF(S651+I651&lt;0,"Underdog Covered","Push"))))</f>
        <v>Favorite Covered</v>
      </c>
      <c r="U651" s="1" t="str">
        <f aca="false">IF(Q651&gt;J651,"Over",IF(Q651&lt;J651,"Under","Push"))</f>
        <v>Over</v>
      </c>
    </row>
    <row r="652" customFormat="false" ht="15" hidden="false" customHeight="false" outlineLevel="0" collapsed="false">
      <c r="A652" s="1" t="s">
        <v>315</v>
      </c>
      <c r="B652" s="1" t="n">
        <v>2012</v>
      </c>
      <c r="C652" s="1" t="s">
        <v>194</v>
      </c>
      <c r="D652" s="1" t="s">
        <v>115</v>
      </c>
      <c r="E652" s="1" t="s">
        <v>79</v>
      </c>
      <c r="F652" s="1" t="n">
        <v>13</v>
      </c>
      <c r="G652" s="1" t="n">
        <v>19</v>
      </c>
      <c r="H652" s="1" t="s">
        <v>116</v>
      </c>
      <c r="I652" s="1" t="n">
        <v>-3</v>
      </c>
      <c r="J652" s="1" t="n">
        <v>47</v>
      </c>
      <c r="K652" s="1" t="s">
        <v>155</v>
      </c>
      <c r="L652" s="1" t="b">
        <f aca="false">FALSE()</f>
        <v>0</v>
      </c>
      <c r="M652" s="1" t="str">
        <f aca="false">VLOOKUP(D652,'Team Reference'!$A:$B,2,FALSE())</f>
        <v>TEN</v>
      </c>
      <c r="N652" s="1" t="str">
        <f aca="false">VLOOKUP(E652,'Team Reference'!$A:$B,2,FALSE())</f>
        <v>IND</v>
      </c>
      <c r="O652" s="1" t="str">
        <f aca="false">IF(F652&gt;G652,M652,IF(G652&gt;F652,N652,"Tie"))</f>
        <v>IND</v>
      </c>
      <c r="P652" s="1" t="n">
        <f aca="false">F652-G652</f>
        <v>-6</v>
      </c>
      <c r="Q652" s="1" t="n">
        <f aca="false">F652+G652</f>
        <v>32</v>
      </c>
      <c r="R652" s="1" t="str">
        <f aca="false">IF(H652=M652,"Home",IF(H652=N652,"Away",IF(H652="PICK","Pick","N/A")))</f>
        <v>Home</v>
      </c>
      <c r="S652" s="1" t="n">
        <f aca="false">IF(R652="Home",P652,IF(R652="Away",-P652,""))</f>
        <v>-6</v>
      </c>
      <c r="T652" s="1" t="str">
        <f aca="false">IF(R652="Pick","No Line",IF(S652="","N/A",IF(S652+I652&gt;0,"Favorite Covered",IF(S652+I652&lt;0,"Underdog Covered","Push"))))</f>
        <v>Underdog Covered</v>
      </c>
      <c r="U652" s="1" t="str">
        <f aca="false">IF(Q652&gt;J652,"Over",IF(Q652&lt;J652,"Under","Push"))</f>
        <v>Under</v>
      </c>
    </row>
    <row r="653" customFormat="false" ht="15" hidden="false" customHeight="false" outlineLevel="0" collapsed="false">
      <c r="A653" s="1" t="s">
        <v>316</v>
      </c>
      <c r="B653" s="1" t="n">
        <v>2012</v>
      </c>
      <c r="C653" s="1" t="s">
        <v>194</v>
      </c>
      <c r="D653" s="1" t="s">
        <v>53</v>
      </c>
      <c r="E653" s="1" t="s">
        <v>108</v>
      </c>
      <c r="F653" s="1" t="n">
        <v>3</v>
      </c>
      <c r="G653" s="1" t="n">
        <v>24</v>
      </c>
      <c r="H653" s="1" t="s">
        <v>109</v>
      </c>
      <c r="I653" s="1" t="n">
        <v>-7</v>
      </c>
      <c r="J653" s="1" t="n">
        <v>38.5</v>
      </c>
      <c r="K653" s="1" t="s">
        <v>177</v>
      </c>
      <c r="L653" s="1" t="b">
        <f aca="false">FALSE()</f>
        <v>0</v>
      </c>
      <c r="M653" s="1" t="str">
        <f aca="false">VLOOKUP(D653,'Team Reference'!$A:$B,2,FALSE())</f>
        <v>ARI</v>
      </c>
      <c r="N653" s="1" t="str">
        <f aca="false">VLOOKUP(E653,'Team Reference'!$A:$B,2,FALSE())</f>
        <v>SF</v>
      </c>
      <c r="O653" s="1" t="str">
        <f aca="false">IF(F653&gt;G653,M653,IF(G653&gt;F653,N653,"Tie"))</f>
        <v>SF</v>
      </c>
      <c r="P653" s="1" t="n">
        <f aca="false">F653-G653</f>
        <v>-21</v>
      </c>
      <c r="Q653" s="1" t="n">
        <f aca="false">F653+G653</f>
        <v>27</v>
      </c>
      <c r="R653" s="1" t="str">
        <f aca="false">IF(H653=M653,"Home",IF(H653=N653,"Away",IF(H653="PICK","Pick","N/A")))</f>
        <v>Away</v>
      </c>
      <c r="S653" s="1" t="n">
        <f aca="false">IF(R653="Home",P653,IF(R653="Away",-P653,""))</f>
        <v>21</v>
      </c>
      <c r="T653" s="1" t="str">
        <f aca="false">IF(R653="Pick","No Line",IF(S653="","N/A",IF(S653+I653&gt;0,"Favorite Covered",IF(S653+I653&lt;0,"Underdog Covered","Push"))))</f>
        <v>Favorite Covered</v>
      </c>
      <c r="U653" s="1" t="str">
        <f aca="false">IF(Q653&gt;J653,"Over",IF(Q653&lt;J653,"Under","Push"))</f>
        <v>Under</v>
      </c>
    </row>
    <row r="654" customFormat="false" ht="15" hidden="false" customHeight="false" outlineLevel="0" collapsed="false">
      <c r="A654" s="1" t="s">
        <v>317</v>
      </c>
      <c r="B654" s="1" t="n">
        <v>2012</v>
      </c>
      <c r="C654" s="1" t="s">
        <v>198</v>
      </c>
      <c r="D654" s="1" t="s">
        <v>107</v>
      </c>
      <c r="E654" s="1" t="s">
        <v>83</v>
      </c>
      <c r="F654" s="1" t="n">
        <v>31</v>
      </c>
      <c r="G654" s="1" t="n">
        <v>13</v>
      </c>
      <c r="H654" s="1" t="s">
        <v>86</v>
      </c>
      <c r="I654" s="1" t="n">
        <v>-7</v>
      </c>
      <c r="J654" s="1" t="n">
        <v>41</v>
      </c>
      <c r="K654" s="1" t="s">
        <v>172</v>
      </c>
      <c r="L654" s="1" t="b">
        <f aca="false">FALSE()</f>
        <v>0</v>
      </c>
      <c r="M654" s="1" t="str">
        <f aca="false">VLOOKUP(D654,'Team Reference'!$A:$B,2,FALSE())</f>
        <v>LAC</v>
      </c>
      <c r="N654" s="1" t="str">
        <f aca="false">VLOOKUP(E654,'Team Reference'!$A:$B,2,FALSE())</f>
        <v>KC</v>
      </c>
      <c r="O654" s="1" t="str">
        <f aca="false">IF(F654&gt;G654,M654,IF(G654&gt;F654,N654,"Tie"))</f>
        <v>LAC</v>
      </c>
      <c r="P654" s="1" t="n">
        <f aca="false">F654-G654</f>
        <v>18</v>
      </c>
      <c r="Q654" s="1" t="n">
        <f aca="false">F654+G654</f>
        <v>44</v>
      </c>
      <c r="R654" s="1" t="str">
        <f aca="false">IF(H654=M654,"Home",IF(H654=N654,"Away",IF(H654="PICK","Pick","N/A")))</f>
        <v>Home</v>
      </c>
      <c r="S654" s="1" t="n">
        <f aca="false">IF(R654="Home",P654,IF(R654="Away",-P654,""))</f>
        <v>18</v>
      </c>
      <c r="T654" s="1" t="str">
        <f aca="false">IF(R654="Pick","No Line",IF(S654="","N/A",IF(S654+I654&gt;0,"Favorite Covered",IF(S654+I654&lt;0,"Underdog Covered","Push"))))</f>
        <v>Favorite Covered</v>
      </c>
      <c r="U654" s="1" t="str">
        <f aca="false">IF(Q654&gt;J654,"Over",IF(Q654&lt;J654,"Under","Push"))</f>
        <v>Over</v>
      </c>
    </row>
    <row r="655" customFormat="false" ht="15" hidden="false" customHeight="false" outlineLevel="0" collapsed="false">
      <c r="A655" s="1" t="s">
        <v>318</v>
      </c>
      <c r="B655" s="1" t="n">
        <v>2012</v>
      </c>
      <c r="C655" s="1" t="s">
        <v>198</v>
      </c>
      <c r="D655" s="1" t="s">
        <v>55</v>
      </c>
      <c r="E655" s="1" t="s">
        <v>69</v>
      </c>
      <c r="F655" s="1" t="n">
        <v>19</v>
      </c>
      <c r="G655" s="1" t="n">
        <v>13</v>
      </c>
      <c r="H655" s="1" t="s">
        <v>56</v>
      </c>
      <c r="I655" s="1" t="n">
        <v>-4.5</v>
      </c>
      <c r="J655" s="1" t="n">
        <v>47.5</v>
      </c>
      <c r="K655" s="1" t="s">
        <v>161</v>
      </c>
      <c r="L655" s="1" t="b">
        <f aca="false">FALSE()</f>
        <v>0</v>
      </c>
      <c r="M655" s="1" t="str">
        <f aca="false">VLOOKUP(D655,'Team Reference'!$A:$B,2,FALSE())</f>
        <v>ATL</v>
      </c>
      <c r="N655" s="1" t="str">
        <f aca="false">VLOOKUP(E655,'Team Reference'!$A:$B,2,FALSE())</f>
        <v>DAL</v>
      </c>
      <c r="O655" s="1" t="str">
        <f aca="false">IF(F655&gt;G655,M655,IF(G655&gt;F655,N655,"Tie"))</f>
        <v>ATL</v>
      </c>
      <c r="P655" s="1" t="n">
        <f aca="false">F655-G655</f>
        <v>6</v>
      </c>
      <c r="Q655" s="1" t="n">
        <f aca="false">F655+G655</f>
        <v>32</v>
      </c>
      <c r="R655" s="1" t="str">
        <f aca="false">IF(H655=M655,"Home",IF(H655=N655,"Away",IF(H655="PICK","Pick","N/A")))</f>
        <v>Home</v>
      </c>
      <c r="S655" s="1" t="n">
        <f aca="false">IF(R655="Home",P655,IF(R655="Away",-P655,""))</f>
        <v>6</v>
      </c>
      <c r="T655" s="1" t="str">
        <f aca="false">IF(R655="Pick","No Line",IF(S655="","N/A",IF(S655+I655&gt;0,"Favorite Covered",IF(S655+I655&lt;0,"Underdog Covered","Push"))))</f>
        <v>Favorite Covered</v>
      </c>
      <c r="U655" s="1" t="str">
        <f aca="false">IF(Q655&gt;J655,"Over",IF(Q655&lt;J655,"Under","Push"))</f>
        <v>Under</v>
      </c>
    </row>
    <row r="656" customFormat="false" ht="15" hidden="false" customHeight="false" outlineLevel="0" collapsed="false">
      <c r="A656" s="1" t="s">
        <v>318</v>
      </c>
      <c r="B656" s="1" t="n">
        <v>2012</v>
      </c>
      <c r="C656" s="1" t="s">
        <v>198</v>
      </c>
      <c r="D656" s="1" t="s">
        <v>65</v>
      </c>
      <c r="E656" s="1" t="s">
        <v>71</v>
      </c>
      <c r="F656" s="1" t="n">
        <v>23</v>
      </c>
      <c r="G656" s="1" t="n">
        <v>31</v>
      </c>
      <c r="H656" s="1" t="s">
        <v>72</v>
      </c>
      <c r="I656" s="1" t="n">
        <v>-5.5</v>
      </c>
      <c r="J656" s="1" t="n">
        <v>47.5</v>
      </c>
      <c r="K656" s="1" t="s">
        <v>163</v>
      </c>
      <c r="L656" s="1" t="b">
        <f aca="false">FALSE()</f>
        <v>0</v>
      </c>
      <c r="M656" s="1" t="str">
        <f aca="false">VLOOKUP(D656,'Team Reference'!$A:$B,2,FALSE())</f>
        <v>CIN</v>
      </c>
      <c r="N656" s="1" t="str">
        <f aca="false">VLOOKUP(E656,'Team Reference'!$A:$B,2,FALSE())</f>
        <v>DEN</v>
      </c>
      <c r="O656" s="1" t="str">
        <f aca="false">IF(F656&gt;G656,M656,IF(G656&gt;F656,N656,"Tie"))</f>
        <v>DEN</v>
      </c>
      <c r="P656" s="1" t="n">
        <f aca="false">F656-G656</f>
        <v>-8</v>
      </c>
      <c r="Q656" s="1" t="n">
        <f aca="false">F656+G656</f>
        <v>54</v>
      </c>
      <c r="R656" s="1" t="str">
        <f aca="false">IF(H656=M656,"Home",IF(H656=N656,"Away",IF(H656="PICK","Pick","N/A")))</f>
        <v>Away</v>
      </c>
      <c r="S656" s="1" t="n">
        <f aca="false">IF(R656="Home",P656,IF(R656="Away",-P656,""))</f>
        <v>8</v>
      </c>
      <c r="T656" s="1" t="str">
        <f aca="false">IF(R656="Pick","No Line",IF(S656="","N/A",IF(S656+I656&gt;0,"Favorite Covered",IF(S656+I656&lt;0,"Underdog Covered","Push"))))</f>
        <v>Favorite Covered</v>
      </c>
      <c r="U656" s="1" t="str">
        <f aca="false">IF(Q656&gt;J656,"Over",IF(Q656&lt;J656,"Under","Push"))</f>
        <v>Over</v>
      </c>
    </row>
    <row r="657" customFormat="false" ht="15" hidden="false" customHeight="false" outlineLevel="0" collapsed="false">
      <c r="A657" s="1" t="s">
        <v>318</v>
      </c>
      <c r="B657" s="1" t="n">
        <v>2012</v>
      </c>
      <c r="C657" s="1" t="s">
        <v>198</v>
      </c>
      <c r="D657" s="1" t="s">
        <v>67</v>
      </c>
      <c r="E657" s="1" t="s">
        <v>57</v>
      </c>
      <c r="F657" s="1" t="n">
        <v>15</v>
      </c>
      <c r="G657" s="1" t="n">
        <v>25</v>
      </c>
      <c r="H657" s="1" t="s">
        <v>58</v>
      </c>
      <c r="I657" s="1" t="n">
        <v>-3.5</v>
      </c>
      <c r="J657" s="1" t="n">
        <v>44</v>
      </c>
      <c r="K657" s="1" t="s">
        <v>164</v>
      </c>
      <c r="L657" s="1" t="b">
        <f aca="false">FALSE()</f>
        <v>0</v>
      </c>
      <c r="M657" s="1" t="str">
        <f aca="false">VLOOKUP(D657,'Team Reference'!$A:$B,2,FALSE())</f>
        <v>CLE</v>
      </c>
      <c r="N657" s="1" t="str">
        <f aca="false">VLOOKUP(E657,'Team Reference'!$A:$B,2,FALSE())</f>
        <v>BAL</v>
      </c>
      <c r="O657" s="1" t="str">
        <f aca="false">IF(F657&gt;G657,M657,IF(G657&gt;F657,N657,"Tie"))</f>
        <v>BAL</v>
      </c>
      <c r="P657" s="1" t="n">
        <f aca="false">F657-G657</f>
        <v>-10</v>
      </c>
      <c r="Q657" s="1" t="n">
        <f aca="false">F657+G657</f>
        <v>40</v>
      </c>
      <c r="R657" s="1" t="str">
        <f aca="false">IF(H657=M657,"Home",IF(H657=N657,"Away",IF(H657="PICK","Pick","N/A")))</f>
        <v>Away</v>
      </c>
      <c r="S657" s="1" t="n">
        <f aca="false">IF(R657="Home",P657,IF(R657="Away",-P657,""))</f>
        <v>10</v>
      </c>
      <c r="T657" s="1" t="str">
        <f aca="false">IF(R657="Pick","No Line",IF(S657="","N/A",IF(S657+I657&gt;0,"Favorite Covered",IF(S657+I657&lt;0,"Underdog Covered","Push"))))</f>
        <v>Favorite Covered</v>
      </c>
      <c r="U657" s="1" t="str">
        <f aca="false">IF(Q657&gt;J657,"Over",IF(Q657&lt;J657,"Under","Push"))</f>
        <v>Under</v>
      </c>
    </row>
    <row r="658" customFormat="false" ht="15" hidden="false" customHeight="false" outlineLevel="0" collapsed="false">
      <c r="A658" s="1" t="s">
        <v>318</v>
      </c>
      <c r="B658" s="1" t="n">
        <v>2012</v>
      </c>
      <c r="C658" s="1" t="s">
        <v>198</v>
      </c>
      <c r="D658" s="1" t="s">
        <v>75</v>
      </c>
      <c r="E658" s="1" t="s">
        <v>53</v>
      </c>
      <c r="F658" s="1" t="n">
        <v>31</v>
      </c>
      <c r="G658" s="1" t="n">
        <v>17</v>
      </c>
      <c r="H658" s="1" t="s">
        <v>76</v>
      </c>
      <c r="I658" s="1" t="n">
        <v>-10.5</v>
      </c>
      <c r="J658" s="1" t="n">
        <v>43.5</v>
      </c>
      <c r="K658" s="1" t="s">
        <v>168</v>
      </c>
      <c r="L658" s="1" t="b">
        <f aca="false">FALSE()</f>
        <v>0</v>
      </c>
      <c r="M658" s="1" t="str">
        <f aca="false">VLOOKUP(D658,'Team Reference'!$A:$B,2,FALSE())</f>
        <v>GB</v>
      </c>
      <c r="N658" s="1" t="str">
        <f aca="false">VLOOKUP(E658,'Team Reference'!$A:$B,2,FALSE())</f>
        <v>ARI</v>
      </c>
      <c r="O658" s="1" t="str">
        <f aca="false">IF(F658&gt;G658,M658,IF(G658&gt;F658,N658,"Tie"))</f>
        <v>GB</v>
      </c>
      <c r="P658" s="1" t="n">
        <f aca="false">F658-G658</f>
        <v>14</v>
      </c>
      <c r="Q658" s="1" t="n">
        <f aca="false">F658+G658</f>
        <v>48</v>
      </c>
      <c r="R658" s="1" t="str">
        <f aca="false">IF(H658=M658,"Home",IF(H658=N658,"Away",IF(H658="PICK","Pick","N/A")))</f>
        <v>Home</v>
      </c>
      <c r="S658" s="1" t="n">
        <f aca="false">IF(R658="Home",P658,IF(R658="Away",-P658,""))</f>
        <v>14</v>
      </c>
      <c r="T658" s="1" t="str">
        <f aca="false">IF(R658="Pick","No Line",IF(S658="","N/A",IF(S658+I658&gt;0,"Favorite Covered",IF(S658+I658&lt;0,"Underdog Covered","Push"))))</f>
        <v>Favorite Covered</v>
      </c>
      <c r="U658" s="1" t="str">
        <f aca="false">IF(Q658&gt;J658,"Over",IF(Q658&lt;J658,"Under","Push"))</f>
        <v>Over</v>
      </c>
    </row>
    <row r="659" customFormat="false" ht="15" hidden="false" customHeight="false" outlineLevel="0" collapsed="false">
      <c r="A659" s="1" t="s">
        <v>318</v>
      </c>
      <c r="B659" s="1" t="n">
        <v>2012</v>
      </c>
      <c r="C659" s="1" t="s">
        <v>198</v>
      </c>
      <c r="D659" s="1" t="s">
        <v>77</v>
      </c>
      <c r="E659" s="1" t="s">
        <v>59</v>
      </c>
      <c r="F659" s="1" t="n">
        <v>21</v>
      </c>
      <c r="G659" s="1" t="n">
        <v>9</v>
      </c>
      <c r="H659" s="1" t="s">
        <v>78</v>
      </c>
      <c r="I659" s="1" t="n">
        <v>-11.5</v>
      </c>
      <c r="J659" s="1" t="n">
        <v>48</v>
      </c>
      <c r="K659" s="1" t="s">
        <v>146</v>
      </c>
      <c r="L659" s="1" t="b">
        <f aca="false">FALSE()</f>
        <v>0</v>
      </c>
      <c r="M659" s="1" t="str">
        <f aca="false">VLOOKUP(D659,'Team Reference'!$A:$B,2,FALSE())</f>
        <v>HOU</v>
      </c>
      <c r="N659" s="1" t="str">
        <f aca="false">VLOOKUP(E659,'Team Reference'!$A:$B,2,FALSE())</f>
        <v>BUF</v>
      </c>
      <c r="O659" s="1" t="str">
        <f aca="false">IF(F659&gt;G659,M659,IF(G659&gt;F659,N659,"Tie"))</f>
        <v>HOU</v>
      </c>
      <c r="P659" s="1" t="n">
        <f aca="false">F659-G659</f>
        <v>12</v>
      </c>
      <c r="Q659" s="1" t="n">
        <f aca="false">F659+G659</f>
        <v>30</v>
      </c>
      <c r="R659" s="1" t="str">
        <f aca="false">IF(H659=M659,"Home",IF(H659=N659,"Away",IF(H659="PICK","Pick","N/A")))</f>
        <v>Home</v>
      </c>
      <c r="S659" s="1" t="n">
        <f aca="false">IF(R659="Home",P659,IF(R659="Away",-P659,""))</f>
        <v>12</v>
      </c>
      <c r="T659" s="1" t="str">
        <f aca="false">IF(R659="Pick","No Line",IF(S659="","N/A",IF(S659+I659&gt;0,"Favorite Covered",IF(S659+I659&lt;0,"Underdog Covered","Push"))))</f>
        <v>Favorite Covered</v>
      </c>
      <c r="U659" s="1" t="str">
        <f aca="false">IF(Q659&gt;J659,"Over",IF(Q659&lt;J659,"Under","Push"))</f>
        <v>Under</v>
      </c>
    </row>
    <row r="660" customFormat="false" ht="15" hidden="false" customHeight="false" outlineLevel="0" collapsed="false">
      <c r="A660" s="1" t="s">
        <v>318</v>
      </c>
      <c r="B660" s="1" t="n">
        <v>2012</v>
      </c>
      <c r="C660" s="1" t="s">
        <v>198</v>
      </c>
      <c r="D660" s="1" t="s">
        <v>79</v>
      </c>
      <c r="E660" s="1" t="s">
        <v>89</v>
      </c>
      <c r="F660" s="1" t="n">
        <v>23</v>
      </c>
      <c r="G660" s="1" t="n">
        <v>20</v>
      </c>
      <c r="H660" s="1" t="s">
        <v>90</v>
      </c>
      <c r="I660" s="1" t="n">
        <v>-2</v>
      </c>
      <c r="J660" s="1" t="n">
        <v>43.5</v>
      </c>
      <c r="K660" s="1" t="s">
        <v>169</v>
      </c>
      <c r="L660" s="1" t="b">
        <f aca="false">FALSE()</f>
        <v>0</v>
      </c>
      <c r="M660" s="1" t="str">
        <f aca="false">VLOOKUP(D660,'Team Reference'!$A:$B,2,FALSE())</f>
        <v>IND</v>
      </c>
      <c r="N660" s="1" t="str">
        <f aca="false">VLOOKUP(E660,'Team Reference'!$A:$B,2,FALSE())</f>
        <v>MIA</v>
      </c>
      <c r="O660" s="1" t="str">
        <f aca="false">IF(F660&gt;G660,M660,IF(G660&gt;F660,N660,"Tie"))</f>
        <v>IND</v>
      </c>
      <c r="P660" s="1" t="n">
        <f aca="false">F660-G660</f>
        <v>3</v>
      </c>
      <c r="Q660" s="1" t="n">
        <f aca="false">F660+G660</f>
        <v>43</v>
      </c>
      <c r="R660" s="1" t="str">
        <f aca="false">IF(H660=M660,"Home",IF(H660=N660,"Away",IF(H660="PICK","Pick","N/A")))</f>
        <v>Away</v>
      </c>
      <c r="S660" s="1" t="n">
        <f aca="false">IF(R660="Home",P660,IF(R660="Away",-P660,""))</f>
        <v>-3</v>
      </c>
      <c r="T660" s="1" t="str">
        <f aca="false">IF(R660="Pick","No Line",IF(S660="","N/A",IF(S660+I660&gt;0,"Favorite Covered",IF(S660+I660&lt;0,"Underdog Covered","Push"))))</f>
        <v>Underdog Covered</v>
      </c>
      <c r="U660" s="1" t="str">
        <f aca="false">IF(Q660&gt;J660,"Over",IF(Q660&lt;J660,"Under","Push"))</f>
        <v>Under</v>
      </c>
    </row>
    <row r="661" customFormat="false" ht="15" hidden="false" customHeight="false" outlineLevel="0" collapsed="false">
      <c r="A661" s="1" t="s">
        <v>318</v>
      </c>
      <c r="B661" s="1" t="n">
        <v>2012</v>
      </c>
      <c r="C661" s="1" t="s">
        <v>198</v>
      </c>
      <c r="D661" s="1" t="s">
        <v>81</v>
      </c>
      <c r="E661" s="1" t="s">
        <v>73</v>
      </c>
      <c r="F661" s="1" t="n">
        <v>14</v>
      </c>
      <c r="G661" s="1" t="n">
        <v>31</v>
      </c>
      <c r="H661" s="1" t="s">
        <v>74</v>
      </c>
      <c r="I661" s="1" t="n">
        <v>-6</v>
      </c>
      <c r="J661" s="1" t="n">
        <v>44</v>
      </c>
      <c r="K661" s="1" t="s">
        <v>147</v>
      </c>
      <c r="L661" s="1" t="b">
        <f aca="false">FALSE()</f>
        <v>0</v>
      </c>
      <c r="M661" s="1" t="str">
        <f aca="false">VLOOKUP(D661,'Team Reference'!$A:$B,2,FALSE())</f>
        <v>JAX</v>
      </c>
      <c r="N661" s="1" t="str">
        <f aca="false">VLOOKUP(E661,'Team Reference'!$A:$B,2,FALSE())</f>
        <v>DET</v>
      </c>
      <c r="O661" s="1" t="str">
        <f aca="false">IF(F661&gt;G661,M661,IF(G661&gt;F661,N661,"Tie"))</f>
        <v>DET</v>
      </c>
      <c r="P661" s="1" t="n">
        <f aca="false">F661-G661</f>
        <v>-17</v>
      </c>
      <c r="Q661" s="1" t="n">
        <f aca="false">F661+G661</f>
        <v>45</v>
      </c>
      <c r="R661" s="1" t="str">
        <f aca="false">IF(H661=M661,"Home",IF(H661=N661,"Away",IF(H661="PICK","Pick","N/A")))</f>
        <v>Away</v>
      </c>
      <c r="S661" s="1" t="n">
        <f aca="false">IF(R661="Home",P661,IF(R661="Away",-P661,""))</f>
        <v>17</v>
      </c>
      <c r="T661" s="1" t="str">
        <f aca="false">IF(R661="Pick","No Line",IF(S661="","N/A",IF(S661+I661&gt;0,"Favorite Covered",IF(S661+I661&lt;0,"Underdog Covered","Push"))))</f>
        <v>Favorite Covered</v>
      </c>
      <c r="U661" s="1" t="str">
        <f aca="false">IF(Q661&gt;J661,"Over",IF(Q661&lt;J661,"Under","Push"))</f>
        <v>Over</v>
      </c>
    </row>
    <row r="662" customFormat="false" ht="15" hidden="false" customHeight="false" outlineLevel="0" collapsed="false">
      <c r="A662" s="1" t="s">
        <v>318</v>
      </c>
      <c r="B662" s="1" t="n">
        <v>2012</v>
      </c>
      <c r="C662" s="1" t="s">
        <v>198</v>
      </c>
      <c r="D662" s="1" t="s">
        <v>97</v>
      </c>
      <c r="E662" s="1" t="s">
        <v>105</v>
      </c>
      <c r="F662" s="1" t="n">
        <v>20</v>
      </c>
      <c r="G662" s="1" t="n">
        <v>24</v>
      </c>
      <c r="H662" s="1" t="s">
        <v>98</v>
      </c>
      <c r="I662" s="1" t="n">
        <v>-3.5</v>
      </c>
      <c r="J662" s="1" t="n">
        <v>47.5</v>
      </c>
      <c r="K662" s="1" t="s">
        <v>149</v>
      </c>
      <c r="L662" s="1" t="b">
        <f aca="false">FALSE()</f>
        <v>0</v>
      </c>
      <c r="M662" s="1" t="str">
        <f aca="false">VLOOKUP(D662,'Team Reference'!$A:$B,2,FALSE())</f>
        <v>NYG</v>
      </c>
      <c r="N662" s="1" t="str">
        <f aca="false">VLOOKUP(E662,'Team Reference'!$A:$B,2,FALSE())</f>
        <v>PIT</v>
      </c>
      <c r="O662" s="1" t="str">
        <f aca="false">IF(F662&gt;G662,M662,IF(G662&gt;F662,N662,"Tie"))</f>
        <v>PIT</v>
      </c>
      <c r="P662" s="1" t="n">
        <f aca="false">F662-G662</f>
        <v>-4</v>
      </c>
      <c r="Q662" s="1" t="n">
        <f aca="false">F662+G662</f>
        <v>44</v>
      </c>
      <c r="R662" s="1" t="str">
        <f aca="false">IF(H662=M662,"Home",IF(H662=N662,"Away",IF(H662="PICK","Pick","N/A")))</f>
        <v>Home</v>
      </c>
      <c r="S662" s="1" t="n">
        <f aca="false">IF(R662="Home",P662,IF(R662="Away",-P662,""))</f>
        <v>-4</v>
      </c>
      <c r="T662" s="1" t="str">
        <f aca="false">IF(R662="Pick","No Line",IF(S662="","N/A",IF(S662+I662&gt;0,"Favorite Covered",IF(S662+I662&lt;0,"Underdog Covered","Push"))))</f>
        <v>Underdog Covered</v>
      </c>
      <c r="U662" s="1" t="str">
        <f aca="false">IF(Q662&gt;J662,"Over",IF(Q662&lt;J662,"Under","Push"))</f>
        <v>Under</v>
      </c>
    </row>
    <row r="663" customFormat="false" ht="15" hidden="false" customHeight="false" outlineLevel="0" collapsed="false">
      <c r="A663" s="1" t="s">
        <v>318</v>
      </c>
      <c r="B663" s="1" t="n">
        <v>2012</v>
      </c>
      <c r="C663" s="1" t="s">
        <v>198</v>
      </c>
      <c r="D663" s="1" t="s">
        <v>101</v>
      </c>
      <c r="E663" s="1" t="s">
        <v>113</v>
      </c>
      <c r="F663" s="1" t="n">
        <v>32</v>
      </c>
      <c r="G663" s="1" t="n">
        <v>42</v>
      </c>
      <c r="H663" s="1" t="s">
        <v>102</v>
      </c>
      <c r="I663" s="1" t="n">
        <v>-1</v>
      </c>
      <c r="J663" s="1" t="n">
        <v>47.5</v>
      </c>
      <c r="K663" s="1" t="s">
        <v>171</v>
      </c>
      <c r="L663" s="1" t="b">
        <f aca="false">FALSE()</f>
        <v>0</v>
      </c>
      <c r="M663" s="1" t="str">
        <f aca="false">VLOOKUP(D663,'Team Reference'!$A:$B,2,FALSE())</f>
        <v>OAK</v>
      </c>
      <c r="N663" s="1" t="str">
        <f aca="false">VLOOKUP(E663,'Team Reference'!$A:$B,2,FALSE())</f>
        <v>TB</v>
      </c>
      <c r="O663" s="1" t="str">
        <f aca="false">IF(F663&gt;G663,M663,IF(G663&gt;F663,N663,"Tie"))</f>
        <v>TB</v>
      </c>
      <c r="P663" s="1" t="n">
        <f aca="false">F663-G663</f>
        <v>-10</v>
      </c>
      <c r="Q663" s="1" t="n">
        <f aca="false">F663+G663</f>
        <v>74</v>
      </c>
      <c r="R663" s="1" t="str">
        <f aca="false">IF(H663=M663,"Home",IF(H663=N663,"Away",IF(H663="PICK","Pick","N/A")))</f>
        <v>Home</v>
      </c>
      <c r="S663" s="1" t="n">
        <f aca="false">IF(R663="Home",P663,IF(R663="Away",-P663,""))</f>
        <v>-10</v>
      </c>
      <c r="T663" s="1" t="str">
        <f aca="false">IF(R663="Pick","No Line",IF(S663="","N/A",IF(S663+I663&gt;0,"Favorite Covered",IF(S663+I663&lt;0,"Underdog Covered","Push"))))</f>
        <v>Underdog Covered</v>
      </c>
      <c r="U663" s="1" t="str">
        <f aca="false">IF(Q663&gt;J663,"Over",IF(Q663&lt;J663,"Under","Push"))</f>
        <v>Over</v>
      </c>
    </row>
    <row r="664" customFormat="false" ht="15" hidden="false" customHeight="false" outlineLevel="0" collapsed="false">
      <c r="A664" s="1" t="s">
        <v>318</v>
      </c>
      <c r="B664" s="1" t="n">
        <v>2012</v>
      </c>
      <c r="C664" s="1" t="s">
        <v>198</v>
      </c>
      <c r="D664" s="1" t="s">
        <v>110</v>
      </c>
      <c r="E664" s="1" t="s">
        <v>91</v>
      </c>
      <c r="F664" s="1" t="n">
        <v>30</v>
      </c>
      <c r="G664" s="1" t="n">
        <v>20</v>
      </c>
      <c r="H664" s="1" t="s">
        <v>111</v>
      </c>
      <c r="I664" s="1" t="n">
        <v>-4</v>
      </c>
      <c r="J664" s="1" t="n">
        <v>38.5</v>
      </c>
      <c r="K664" s="1" t="s">
        <v>152</v>
      </c>
      <c r="L664" s="1" t="b">
        <f aca="false">FALSE()</f>
        <v>0</v>
      </c>
      <c r="M664" s="1" t="str">
        <f aca="false">VLOOKUP(D664,'Team Reference'!$A:$B,2,FALSE())</f>
        <v>SEA</v>
      </c>
      <c r="N664" s="1" t="str">
        <f aca="false">VLOOKUP(E664,'Team Reference'!$A:$B,2,FALSE())</f>
        <v>MIN</v>
      </c>
      <c r="O664" s="1" t="str">
        <f aca="false">IF(F664&gt;G664,M664,IF(G664&gt;F664,N664,"Tie"))</f>
        <v>SEA</v>
      </c>
      <c r="P664" s="1" t="n">
        <f aca="false">F664-G664</f>
        <v>10</v>
      </c>
      <c r="Q664" s="1" t="n">
        <f aca="false">F664+G664</f>
        <v>50</v>
      </c>
      <c r="R664" s="1" t="str">
        <f aca="false">IF(H664=M664,"Home",IF(H664=N664,"Away",IF(H664="PICK","Pick","N/A")))</f>
        <v>Home</v>
      </c>
      <c r="S664" s="1" t="n">
        <f aca="false">IF(R664="Home",P664,IF(R664="Away",-P664,""))</f>
        <v>10</v>
      </c>
      <c r="T664" s="1" t="str">
        <f aca="false">IF(R664="Pick","No Line",IF(S664="","N/A",IF(S664+I664&gt;0,"Favorite Covered",IF(S664+I664&lt;0,"Underdog Covered","Push"))))</f>
        <v>Favorite Covered</v>
      </c>
      <c r="U664" s="1" t="str">
        <f aca="false">IF(Q664&gt;J664,"Over",IF(Q664&lt;J664,"Under","Push"))</f>
        <v>Over</v>
      </c>
    </row>
    <row r="665" customFormat="false" ht="15" hidden="false" customHeight="false" outlineLevel="0" collapsed="false">
      <c r="A665" s="1" t="s">
        <v>318</v>
      </c>
      <c r="B665" s="1" t="n">
        <v>2012</v>
      </c>
      <c r="C665" s="1" t="s">
        <v>198</v>
      </c>
      <c r="D665" s="1" t="s">
        <v>115</v>
      </c>
      <c r="E665" s="1" t="s">
        <v>63</v>
      </c>
      <c r="F665" s="1" t="n">
        <v>20</v>
      </c>
      <c r="G665" s="1" t="n">
        <v>51</v>
      </c>
      <c r="H665" s="1" t="s">
        <v>64</v>
      </c>
      <c r="I665" s="1" t="n">
        <v>-5</v>
      </c>
      <c r="J665" s="1" t="n">
        <v>43.5</v>
      </c>
      <c r="K665" s="1" t="s">
        <v>155</v>
      </c>
      <c r="L665" s="1" t="b">
        <f aca="false">FALSE()</f>
        <v>0</v>
      </c>
      <c r="M665" s="1" t="str">
        <f aca="false">VLOOKUP(D665,'Team Reference'!$A:$B,2,FALSE())</f>
        <v>TEN</v>
      </c>
      <c r="N665" s="1" t="str">
        <f aca="false">VLOOKUP(E665,'Team Reference'!$A:$B,2,FALSE())</f>
        <v>CHI</v>
      </c>
      <c r="O665" s="1" t="str">
        <f aca="false">IF(F665&gt;G665,M665,IF(G665&gt;F665,N665,"Tie"))</f>
        <v>CHI</v>
      </c>
      <c r="P665" s="1" t="n">
        <f aca="false">F665-G665</f>
        <v>-31</v>
      </c>
      <c r="Q665" s="1" t="n">
        <f aca="false">F665+G665</f>
        <v>71</v>
      </c>
      <c r="R665" s="1" t="str">
        <f aca="false">IF(H665=M665,"Home",IF(H665=N665,"Away",IF(H665="PICK","Pick","N/A")))</f>
        <v>Away</v>
      </c>
      <c r="S665" s="1" t="n">
        <f aca="false">IF(R665="Home",P665,IF(R665="Away",-P665,""))</f>
        <v>31</v>
      </c>
      <c r="T665" s="1" t="str">
        <f aca="false">IF(R665="Pick","No Line",IF(S665="","N/A",IF(S665+I665&gt;0,"Favorite Covered",IF(S665+I665&lt;0,"Underdog Covered","Push"))))</f>
        <v>Favorite Covered</v>
      </c>
      <c r="U665" s="1" t="str">
        <f aca="false">IF(Q665&gt;J665,"Over",IF(Q665&lt;J665,"Under","Push"))</f>
        <v>Over</v>
      </c>
    </row>
    <row r="666" customFormat="false" ht="15" hidden="false" customHeight="false" outlineLevel="0" collapsed="false">
      <c r="A666" s="1" t="s">
        <v>318</v>
      </c>
      <c r="B666" s="1" t="n">
        <v>2012</v>
      </c>
      <c r="C666" s="1" t="s">
        <v>198</v>
      </c>
      <c r="D666" s="1" t="s">
        <v>117</v>
      </c>
      <c r="E666" s="1" t="s">
        <v>61</v>
      </c>
      <c r="F666" s="1" t="n">
        <v>13</v>
      </c>
      <c r="G666" s="1" t="n">
        <v>21</v>
      </c>
      <c r="H666" s="1" t="s">
        <v>118</v>
      </c>
      <c r="I666" s="1" t="n">
        <v>-3</v>
      </c>
      <c r="J666" s="1" t="n">
        <v>48.5</v>
      </c>
      <c r="K666" s="1" t="s">
        <v>156</v>
      </c>
      <c r="L666" s="1" t="b">
        <f aca="false">FALSE()</f>
        <v>0</v>
      </c>
      <c r="M666" s="1" t="str">
        <f aca="false">VLOOKUP(D666,'Team Reference'!$A:$B,2,FALSE())</f>
        <v>WAS</v>
      </c>
      <c r="N666" s="1" t="str">
        <f aca="false">VLOOKUP(E666,'Team Reference'!$A:$B,2,FALSE())</f>
        <v>CAR</v>
      </c>
      <c r="O666" s="1" t="str">
        <f aca="false">IF(F666&gt;G666,M666,IF(G666&gt;F666,N666,"Tie"))</f>
        <v>CAR</v>
      </c>
      <c r="P666" s="1" t="n">
        <f aca="false">F666-G666</f>
        <v>-8</v>
      </c>
      <c r="Q666" s="1" t="n">
        <f aca="false">F666+G666</f>
        <v>34</v>
      </c>
      <c r="R666" s="1" t="str">
        <f aca="false">IF(H666=M666,"Home",IF(H666=N666,"Away",IF(H666="PICK","Pick","N/A")))</f>
        <v>Home</v>
      </c>
      <c r="S666" s="1" t="n">
        <f aca="false">IF(R666="Home",P666,IF(R666="Away",-P666,""))</f>
        <v>-8</v>
      </c>
      <c r="T666" s="1" t="str">
        <f aca="false">IF(R666="Pick","No Line",IF(S666="","N/A",IF(S666+I666&gt;0,"Favorite Covered",IF(S666+I666&lt;0,"Underdog Covered","Push"))))</f>
        <v>Underdog Covered</v>
      </c>
      <c r="U666" s="1" t="str">
        <f aca="false">IF(Q666&gt;J666,"Over",IF(Q666&lt;J666,"Under","Push"))</f>
        <v>Under</v>
      </c>
    </row>
    <row r="667" customFormat="false" ht="15" hidden="false" customHeight="false" outlineLevel="0" collapsed="false">
      <c r="A667" s="1" t="s">
        <v>319</v>
      </c>
      <c r="B667" s="1" t="n">
        <v>2012</v>
      </c>
      <c r="C667" s="1" t="s">
        <v>198</v>
      </c>
      <c r="D667" s="1" t="s">
        <v>95</v>
      </c>
      <c r="E667" s="1" t="s">
        <v>103</v>
      </c>
      <c r="F667" s="1" t="n">
        <v>28</v>
      </c>
      <c r="G667" s="1" t="n">
        <v>13</v>
      </c>
      <c r="H667" s="1" t="s">
        <v>96</v>
      </c>
      <c r="I667" s="1" t="n">
        <v>-3</v>
      </c>
      <c r="J667" s="1" t="n">
        <v>52</v>
      </c>
      <c r="K667" s="1" t="s">
        <v>142</v>
      </c>
      <c r="L667" s="1" t="b">
        <f aca="false">FALSE()</f>
        <v>0</v>
      </c>
      <c r="M667" s="1" t="str">
        <f aca="false">VLOOKUP(D667,'Team Reference'!$A:$B,2,FALSE())</f>
        <v>NO</v>
      </c>
      <c r="N667" s="1" t="str">
        <f aca="false">VLOOKUP(E667,'Team Reference'!$A:$B,2,FALSE())</f>
        <v>PHI</v>
      </c>
      <c r="O667" s="1" t="str">
        <f aca="false">IF(F667&gt;G667,M667,IF(G667&gt;F667,N667,"Tie"))</f>
        <v>NO</v>
      </c>
      <c r="P667" s="1" t="n">
        <f aca="false">F667-G667</f>
        <v>15</v>
      </c>
      <c r="Q667" s="1" t="n">
        <f aca="false">F667+G667</f>
        <v>41</v>
      </c>
      <c r="R667" s="1" t="str">
        <f aca="false">IF(H667=M667,"Home",IF(H667=N667,"Away",IF(H667="PICK","Pick","N/A")))</f>
        <v>Home</v>
      </c>
      <c r="S667" s="1" t="n">
        <f aca="false">IF(R667="Home",P667,IF(R667="Away",-P667,""))</f>
        <v>15</v>
      </c>
      <c r="T667" s="1" t="str">
        <f aca="false">IF(R667="Pick","No Line",IF(S667="","N/A",IF(S667+I667&gt;0,"Favorite Covered",IF(S667+I667&lt;0,"Underdog Covered","Push"))))</f>
        <v>Favorite Covered</v>
      </c>
      <c r="U667" s="1" t="str">
        <f aca="false">IF(Q667&gt;J667,"Over",IF(Q667&lt;J667,"Under","Push"))</f>
        <v>Under</v>
      </c>
    </row>
    <row r="668" customFormat="false" ht="15" hidden="false" customHeight="false" outlineLevel="0" collapsed="false">
      <c r="A668" s="1" t="s">
        <v>320</v>
      </c>
      <c r="B668" s="1" t="n">
        <v>2012</v>
      </c>
      <c r="C668" s="1" t="s">
        <v>203</v>
      </c>
      <c r="D668" s="1" t="s">
        <v>81</v>
      </c>
      <c r="E668" s="1" t="s">
        <v>79</v>
      </c>
      <c r="F668" s="1" t="n">
        <v>10</v>
      </c>
      <c r="G668" s="1" t="n">
        <v>27</v>
      </c>
      <c r="H668" s="1" t="s">
        <v>80</v>
      </c>
      <c r="I668" s="1" t="n">
        <v>-3.5</v>
      </c>
      <c r="J668" s="1" t="n">
        <v>43.5</v>
      </c>
      <c r="K668" s="1" t="s">
        <v>147</v>
      </c>
      <c r="L668" s="1" t="b">
        <f aca="false">FALSE()</f>
        <v>0</v>
      </c>
      <c r="M668" s="1" t="str">
        <f aca="false">VLOOKUP(D668,'Team Reference'!$A:$B,2,FALSE())</f>
        <v>JAX</v>
      </c>
      <c r="N668" s="1" t="str">
        <f aca="false">VLOOKUP(E668,'Team Reference'!$A:$B,2,FALSE())</f>
        <v>IND</v>
      </c>
      <c r="O668" s="1" t="str">
        <f aca="false">IF(F668&gt;G668,M668,IF(G668&gt;F668,N668,"Tie"))</f>
        <v>IND</v>
      </c>
      <c r="P668" s="1" t="n">
        <f aca="false">F668-G668</f>
        <v>-17</v>
      </c>
      <c r="Q668" s="1" t="n">
        <f aca="false">F668+G668</f>
        <v>37</v>
      </c>
      <c r="R668" s="1" t="str">
        <f aca="false">IF(H668=M668,"Home",IF(H668=N668,"Away",IF(H668="PICK","Pick","N/A")))</f>
        <v>Away</v>
      </c>
      <c r="S668" s="1" t="n">
        <f aca="false">IF(R668="Home",P668,IF(R668="Away",-P668,""))</f>
        <v>17</v>
      </c>
      <c r="T668" s="1" t="str">
        <f aca="false">IF(R668="Pick","No Line",IF(S668="","N/A",IF(S668+I668&gt;0,"Favorite Covered",IF(S668+I668&lt;0,"Underdog Covered","Push"))))</f>
        <v>Favorite Covered</v>
      </c>
      <c r="U668" s="1" t="str">
        <f aca="false">IF(Q668&gt;J668,"Over",IF(Q668&lt;J668,"Under","Push"))</f>
        <v>Under</v>
      </c>
    </row>
    <row r="669" customFormat="false" ht="15" hidden="false" customHeight="false" outlineLevel="0" collapsed="false">
      <c r="A669" s="1" t="s">
        <v>321</v>
      </c>
      <c r="B669" s="1" t="n">
        <v>2012</v>
      </c>
      <c r="C669" s="1" t="s">
        <v>203</v>
      </c>
      <c r="D669" s="1" t="s">
        <v>57</v>
      </c>
      <c r="E669" s="1" t="s">
        <v>101</v>
      </c>
      <c r="F669" s="1" t="n">
        <v>55</v>
      </c>
      <c r="G669" s="1" t="n">
        <v>20</v>
      </c>
      <c r="H669" s="1" t="s">
        <v>58</v>
      </c>
      <c r="I669" s="1" t="n">
        <v>-7.5</v>
      </c>
      <c r="J669" s="1" t="n">
        <v>47.5</v>
      </c>
      <c r="K669" s="1" t="s">
        <v>178</v>
      </c>
      <c r="L669" s="1" t="b">
        <f aca="false">FALSE()</f>
        <v>0</v>
      </c>
      <c r="M669" s="1" t="str">
        <f aca="false">VLOOKUP(D669,'Team Reference'!$A:$B,2,FALSE())</f>
        <v>BAL</v>
      </c>
      <c r="N669" s="1" t="str">
        <f aca="false">VLOOKUP(E669,'Team Reference'!$A:$B,2,FALSE())</f>
        <v>OAK</v>
      </c>
      <c r="O669" s="1" t="str">
        <f aca="false">IF(F669&gt;G669,M669,IF(G669&gt;F669,N669,"Tie"))</f>
        <v>BAL</v>
      </c>
      <c r="P669" s="1" t="n">
        <f aca="false">F669-G669</f>
        <v>35</v>
      </c>
      <c r="Q669" s="1" t="n">
        <f aca="false">F669+G669</f>
        <v>75</v>
      </c>
      <c r="R669" s="1" t="str">
        <f aca="false">IF(H669=M669,"Home",IF(H669=N669,"Away",IF(H669="PICK","Pick","N/A")))</f>
        <v>Home</v>
      </c>
      <c r="S669" s="1" t="n">
        <f aca="false">IF(R669="Home",P669,IF(R669="Away",-P669,""))</f>
        <v>35</v>
      </c>
      <c r="T669" s="1" t="str">
        <f aca="false">IF(R669="Pick","No Line",IF(S669="","N/A",IF(S669+I669&gt;0,"Favorite Covered",IF(S669+I669&lt;0,"Underdog Covered","Push"))))</f>
        <v>Favorite Covered</v>
      </c>
      <c r="U669" s="1" t="str">
        <f aca="false">IF(Q669&gt;J669,"Over",IF(Q669&lt;J669,"Under","Push"))</f>
        <v>Over</v>
      </c>
    </row>
    <row r="670" customFormat="false" ht="15" hidden="false" customHeight="false" outlineLevel="0" collapsed="false">
      <c r="A670" s="1" t="s">
        <v>321</v>
      </c>
      <c r="B670" s="1" t="n">
        <v>2012</v>
      </c>
      <c r="C670" s="1" t="s">
        <v>203</v>
      </c>
      <c r="D670" s="1" t="s">
        <v>61</v>
      </c>
      <c r="E670" s="1" t="s">
        <v>71</v>
      </c>
      <c r="F670" s="1" t="n">
        <v>14</v>
      </c>
      <c r="G670" s="1" t="n">
        <v>36</v>
      </c>
      <c r="H670" s="1" t="s">
        <v>72</v>
      </c>
      <c r="I670" s="1" t="n">
        <v>-4</v>
      </c>
      <c r="J670" s="1" t="n">
        <v>47</v>
      </c>
      <c r="K670" s="1" t="s">
        <v>162</v>
      </c>
      <c r="L670" s="1" t="b">
        <f aca="false">FALSE()</f>
        <v>0</v>
      </c>
      <c r="M670" s="1" t="str">
        <f aca="false">VLOOKUP(D670,'Team Reference'!$A:$B,2,FALSE())</f>
        <v>CAR</v>
      </c>
      <c r="N670" s="1" t="str">
        <f aca="false">VLOOKUP(E670,'Team Reference'!$A:$B,2,FALSE())</f>
        <v>DEN</v>
      </c>
      <c r="O670" s="1" t="str">
        <f aca="false">IF(F670&gt;G670,M670,IF(G670&gt;F670,N670,"Tie"))</f>
        <v>DEN</v>
      </c>
      <c r="P670" s="1" t="n">
        <f aca="false">F670-G670</f>
        <v>-22</v>
      </c>
      <c r="Q670" s="1" t="n">
        <f aca="false">F670+G670</f>
        <v>50</v>
      </c>
      <c r="R670" s="1" t="str">
        <f aca="false">IF(H670=M670,"Home",IF(H670=N670,"Away",IF(H670="PICK","Pick","N/A")))</f>
        <v>Away</v>
      </c>
      <c r="S670" s="1" t="n">
        <f aca="false">IF(R670="Home",P670,IF(R670="Away",-P670,""))</f>
        <v>22</v>
      </c>
      <c r="T670" s="1" t="str">
        <f aca="false">IF(R670="Pick","No Line",IF(S670="","N/A",IF(S670+I670&gt;0,"Favorite Covered",IF(S670+I670&lt;0,"Underdog Covered","Push"))))</f>
        <v>Favorite Covered</v>
      </c>
      <c r="U670" s="1" t="str">
        <f aca="false">IF(Q670&gt;J670,"Over",IF(Q670&lt;J670,"Under","Push"))</f>
        <v>Over</v>
      </c>
    </row>
    <row r="671" customFormat="false" ht="15" hidden="false" customHeight="false" outlineLevel="0" collapsed="false">
      <c r="A671" s="1" t="s">
        <v>321</v>
      </c>
      <c r="B671" s="1" t="n">
        <v>2012</v>
      </c>
      <c r="C671" s="1" t="s">
        <v>203</v>
      </c>
      <c r="D671" s="1" t="s">
        <v>63</v>
      </c>
      <c r="E671" s="1" t="s">
        <v>77</v>
      </c>
      <c r="F671" s="1" t="n">
        <v>6</v>
      </c>
      <c r="G671" s="1" t="n">
        <v>13</v>
      </c>
      <c r="H671" s="1" t="s">
        <v>64</v>
      </c>
      <c r="I671" s="1" t="n">
        <v>-1</v>
      </c>
      <c r="J671" s="1" t="n">
        <v>40</v>
      </c>
      <c r="K671" s="1" t="s">
        <v>145</v>
      </c>
      <c r="L671" s="1" t="b">
        <f aca="false">FALSE()</f>
        <v>0</v>
      </c>
      <c r="M671" s="1" t="str">
        <f aca="false">VLOOKUP(D671,'Team Reference'!$A:$B,2,FALSE())</f>
        <v>CHI</v>
      </c>
      <c r="N671" s="1" t="str">
        <f aca="false">VLOOKUP(E671,'Team Reference'!$A:$B,2,FALSE())</f>
        <v>HOU</v>
      </c>
      <c r="O671" s="1" t="str">
        <f aca="false">IF(F671&gt;G671,M671,IF(G671&gt;F671,N671,"Tie"))</f>
        <v>HOU</v>
      </c>
      <c r="P671" s="1" t="n">
        <f aca="false">F671-G671</f>
        <v>-7</v>
      </c>
      <c r="Q671" s="1" t="n">
        <f aca="false">F671+G671</f>
        <v>19</v>
      </c>
      <c r="R671" s="1" t="str">
        <f aca="false">IF(H671=M671,"Home",IF(H671=N671,"Away",IF(H671="PICK","Pick","N/A")))</f>
        <v>Home</v>
      </c>
      <c r="S671" s="1" t="n">
        <f aca="false">IF(R671="Home",P671,IF(R671="Away",-P671,""))</f>
        <v>-7</v>
      </c>
      <c r="T671" s="1" t="str">
        <f aca="false">IF(R671="Pick","No Line",IF(S671="","N/A",IF(S671+I671&gt;0,"Favorite Covered",IF(S671+I671&lt;0,"Underdog Covered","Push"))))</f>
        <v>Underdog Covered</v>
      </c>
      <c r="U671" s="1" t="str">
        <f aca="false">IF(Q671&gt;J671,"Over",IF(Q671&lt;J671,"Under","Push"))</f>
        <v>Under</v>
      </c>
    </row>
    <row r="672" customFormat="false" ht="15" hidden="false" customHeight="false" outlineLevel="0" collapsed="false">
      <c r="A672" s="1" t="s">
        <v>321</v>
      </c>
      <c r="B672" s="1" t="n">
        <v>2012</v>
      </c>
      <c r="C672" s="1" t="s">
        <v>203</v>
      </c>
      <c r="D672" s="1" t="s">
        <v>65</v>
      </c>
      <c r="E672" s="1" t="s">
        <v>97</v>
      </c>
      <c r="F672" s="1" t="n">
        <v>31</v>
      </c>
      <c r="G672" s="1" t="n">
        <v>13</v>
      </c>
      <c r="H672" s="1" t="s">
        <v>98</v>
      </c>
      <c r="I672" s="1" t="n">
        <v>-4.5</v>
      </c>
      <c r="J672" s="1" t="n">
        <v>47.5</v>
      </c>
      <c r="K672" s="1" t="s">
        <v>163</v>
      </c>
      <c r="L672" s="1" t="b">
        <f aca="false">FALSE()</f>
        <v>0</v>
      </c>
      <c r="M672" s="1" t="str">
        <f aca="false">VLOOKUP(D672,'Team Reference'!$A:$B,2,FALSE())</f>
        <v>CIN</v>
      </c>
      <c r="N672" s="1" t="str">
        <f aca="false">VLOOKUP(E672,'Team Reference'!$A:$B,2,FALSE())</f>
        <v>NYG</v>
      </c>
      <c r="O672" s="1" t="str">
        <f aca="false">IF(F672&gt;G672,M672,IF(G672&gt;F672,N672,"Tie"))</f>
        <v>CIN</v>
      </c>
      <c r="P672" s="1" t="n">
        <f aca="false">F672-G672</f>
        <v>18</v>
      </c>
      <c r="Q672" s="1" t="n">
        <f aca="false">F672+G672</f>
        <v>44</v>
      </c>
      <c r="R672" s="1" t="str">
        <f aca="false">IF(H672=M672,"Home",IF(H672=N672,"Away",IF(H672="PICK","Pick","N/A")))</f>
        <v>Away</v>
      </c>
      <c r="S672" s="1" t="n">
        <f aca="false">IF(R672="Home",P672,IF(R672="Away",-P672,""))</f>
        <v>-18</v>
      </c>
      <c r="T672" s="1" t="str">
        <f aca="false">IF(R672="Pick","No Line",IF(S672="","N/A",IF(S672+I672&gt;0,"Favorite Covered",IF(S672+I672&lt;0,"Underdog Covered","Push"))))</f>
        <v>Underdog Covered</v>
      </c>
      <c r="U672" s="1" t="str">
        <f aca="false">IF(Q672&gt;J672,"Over",IF(Q672&lt;J672,"Under","Push"))</f>
        <v>Under</v>
      </c>
    </row>
    <row r="673" customFormat="false" ht="15" hidden="false" customHeight="false" outlineLevel="0" collapsed="false">
      <c r="A673" s="1" t="s">
        <v>321</v>
      </c>
      <c r="B673" s="1" t="n">
        <v>2012</v>
      </c>
      <c r="C673" s="1" t="s">
        <v>203</v>
      </c>
      <c r="D673" s="1" t="s">
        <v>89</v>
      </c>
      <c r="E673" s="1" t="s">
        <v>115</v>
      </c>
      <c r="F673" s="1" t="n">
        <v>3</v>
      </c>
      <c r="G673" s="1" t="n">
        <v>37</v>
      </c>
      <c r="H673" s="1" t="s">
        <v>90</v>
      </c>
      <c r="I673" s="1" t="n">
        <v>-7</v>
      </c>
      <c r="J673" s="1" t="n">
        <v>44</v>
      </c>
      <c r="K673" s="1" t="s">
        <v>179</v>
      </c>
      <c r="L673" s="1" t="b">
        <f aca="false">FALSE()</f>
        <v>0</v>
      </c>
      <c r="M673" s="1" t="str">
        <f aca="false">VLOOKUP(D673,'Team Reference'!$A:$B,2,FALSE())</f>
        <v>MIA</v>
      </c>
      <c r="N673" s="1" t="str">
        <f aca="false">VLOOKUP(E673,'Team Reference'!$A:$B,2,FALSE())</f>
        <v>TEN</v>
      </c>
      <c r="O673" s="1" t="str">
        <f aca="false">IF(F673&gt;G673,M673,IF(G673&gt;F673,N673,"Tie"))</f>
        <v>TEN</v>
      </c>
      <c r="P673" s="1" t="n">
        <f aca="false">F673-G673</f>
        <v>-34</v>
      </c>
      <c r="Q673" s="1" t="n">
        <f aca="false">F673+G673</f>
        <v>40</v>
      </c>
      <c r="R673" s="1" t="str">
        <f aca="false">IF(H673=M673,"Home",IF(H673=N673,"Away",IF(H673="PICK","Pick","N/A")))</f>
        <v>Home</v>
      </c>
      <c r="S673" s="1" t="n">
        <f aca="false">IF(R673="Home",P673,IF(R673="Away",-P673,""))</f>
        <v>-34</v>
      </c>
      <c r="T673" s="1" t="str">
        <f aca="false">IF(R673="Pick","No Line",IF(S673="","N/A",IF(S673+I673&gt;0,"Favorite Covered",IF(S673+I673&lt;0,"Underdog Covered","Push"))))</f>
        <v>Underdog Covered</v>
      </c>
      <c r="U673" s="1" t="str">
        <f aca="false">IF(Q673&gt;J673,"Over",IF(Q673&lt;J673,"Under","Push"))</f>
        <v>Under</v>
      </c>
    </row>
    <row r="674" customFormat="false" ht="15" hidden="false" customHeight="false" outlineLevel="0" collapsed="false">
      <c r="A674" s="1" t="s">
        <v>321</v>
      </c>
      <c r="B674" s="1" t="n">
        <v>2012</v>
      </c>
      <c r="C674" s="1" t="s">
        <v>203</v>
      </c>
      <c r="D674" s="1" t="s">
        <v>91</v>
      </c>
      <c r="E674" s="1" t="s">
        <v>73</v>
      </c>
      <c r="F674" s="1" t="n">
        <v>34</v>
      </c>
      <c r="G674" s="1" t="n">
        <v>24</v>
      </c>
      <c r="H674" s="1" t="s">
        <v>74</v>
      </c>
      <c r="I674" s="1" t="n">
        <v>-3</v>
      </c>
      <c r="J674" s="1" t="n">
        <v>45.5</v>
      </c>
      <c r="K674" s="1" t="s">
        <v>170</v>
      </c>
      <c r="L674" s="1" t="b">
        <f aca="false">FALSE()</f>
        <v>0</v>
      </c>
      <c r="M674" s="1" t="str">
        <f aca="false">VLOOKUP(D674,'Team Reference'!$A:$B,2,FALSE())</f>
        <v>MIN</v>
      </c>
      <c r="N674" s="1" t="str">
        <f aca="false">VLOOKUP(E674,'Team Reference'!$A:$B,2,FALSE())</f>
        <v>DET</v>
      </c>
      <c r="O674" s="1" t="str">
        <f aca="false">IF(F674&gt;G674,M674,IF(G674&gt;F674,N674,"Tie"))</f>
        <v>MIN</v>
      </c>
      <c r="P674" s="1" t="n">
        <f aca="false">F674-G674</f>
        <v>10</v>
      </c>
      <c r="Q674" s="1" t="n">
        <f aca="false">F674+G674</f>
        <v>58</v>
      </c>
      <c r="R674" s="1" t="str">
        <f aca="false">IF(H674=M674,"Home",IF(H674=N674,"Away",IF(H674="PICK","Pick","N/A")))</f>
        <v>Away</v>
      </c>
      <c r="S674" s="1" t="n">
        <f aca="false">IF(R674="Home",P674,IF(R674="Away",-P674,""))</f>
        <v>-10</v>
      </c>
      <c r="T674" s="1" t="str">
        <f aca="false">IF(R674="Pick","No Line",IF(S674="","N/A",IF(S674+I674&gt;0,"Favorite Covered",IF(S674+I674&lt;0,"Underdog Covered","Push"))))</f>
        <v>Underdog Covered</v>
      </c>
      <c r="U674" s="1" t="str">
        <f aca="false">IF(Q674&gt;J674,"Over",IF(Q674&lt;J674,"Under","Push"))</f>
        <v>Over</v>
      </c>
    </row>
    <row r="675" customFormat="false" ht="15" hidden="false" customHeight="false" outlineLevel="0" collapsed="false">
      <c r="A675" s="1" t="s">
        <v>321</v>
      </c>
      <c r="B675" s="1" t="n">
        <v>2012</v>
      </c>
      <c r="C675" s="1" t="s">
        <v>203</v>
      </c>
      <c r="D675" s="1" t="s">
        <v>93</v>
      </c>
      <c r="E675" s="1" t="s">
        <v>59</v>
      </c>
      <c r="F675" s="1" t="n">
        <v>37</v>
      </c>
      <c r="G675" s="1" t="n">
        <v>31</v>
      </c>
      <c r="H675" s="1" t="s">
        <v>94</v>
      </c>
      <c r="I675" s="1" t="n">
        <v>-13.5</v>
      </c>
      <c r="J675" s="1" t="n">
        <v>54</v>
      </c>
      <c r="K675" s="1" t="s">
        <v>148</v>
      </c>
      <c r="L675" s="1" t="b">
        <f aca="false">FALSE()</f>
        <v>0</v>
      </c>
      <c r="M675" s="1" t="str">
        <f aca="false">VLOOKUP(D675,'Team Reference'!$A:$B,2,FALSE())</f>
        <v>NE</v>
      </c>
      <c r="N675" s="1" t="str">
        <f aca="false">VLOOKUP(E675,'Team Reference'!$A:$B,2,FALSE())</f>
        <v>BUF</v>
      </c>
      <c r="O675" s="1" t="str">
        <f aca="false">IF(F675&gt;G675,M675,IF(G675&gt;F675,N675,"Tie"))</f>
        <v>NE</v>
      </c>
      <c r="P675" s="1" t="n">
        <f aca="false">F675-G675</f>
        <v>6</v>
      </c>
      <c r="Q675" s="1" t="n">
        <f aca="false">F675+G675</f>
        <v>68</v>
      </c>
      <c r="R675" s="1" t="str">
        <f aca="false">IF(H675=M675,"Home",IF(H675=N675,"Away",IF(H675="PICK","Pick","N/A")))</f>
        <v>Home</v>
      </c>
      <c r="S675" s="1" t="n">
        <f aca="false">IF(R675="Home",P675,IF(R675="Away",-P675,""))</f>
        <v>6</v>
      </c>
      <c r="T675" s="1" t="str">
        <f aca="false">IF(R675="Pick","No Line",IF(S675="","N/A",IF(S675+I675&gt;0,"Favorite Covered",IF(S675+I675&lt;0,"Underdog Covered","Push"))))</f>
        <v>Underdog Covered</v>
      </c>
      <c r="U675" s="1" t="str">
        <f aca="false">IF(Q675&gt;J675,"Over",IF(Q675&lt;J675,"Under","Push"))</f>
        <v>Over</v>
      </c>
    </row>
    <row r="676" customFormat="false" ht="15" hidden="false" customHeight="false" outlineLevel="0" collapsed="false">
      <c r="A676" s="1" t="s">
        <v>321</v>
      </c>
      <c r="B676" s="1" t="n">
        <v>2012</v>
      </c>
      <c r="C676" s="1" t="s">
        <v>203</v>
      </c>
      <c r="D676" s="1" t="s">
        <v>95</v>
      </c>
      <c r="E676" s="1" t="s">
        <v>55</v>
      </c>
      <c r="F676" s="1" t="n">
        <v>31</v>
      </c>
      <c r="G676" s="1" t="n">
        <v>27</v>
      </c>
      <c r="H676" s="1" t="s">
        <v>56</v>
      </c>
      <c r="I676" s="1" t="n">
        <v>-1.5</v>
      </c>
      <c r="J676" s="1" t="n">
        <v>54</v>
      </c>
      <c r="K676" s="1" t="s">
        <v>142</v>
      </c>
      <c r="L676" s="1" t="b">
        <f aca="false">FALSE()</f>
        <v>0</v>
      </c>
      <c r="M676" s="1" t="str">
        <f aca="false">VLOOKUP(D676,'Team Reference'!$A:$B,2,FALSE())</f>
        <v>NO</v>
      </c>
      <c r="N676" s="1" t="str">
        <f aca="false">VLOOKUP(E676,'Team Reference'!$A:$B,2,FALSE())</f>
        <v>ATL</v>
      </c>
      <c r="O676" s="1" t="str">
        <f aca="false">IF(F676&gt;G676,M676,IF(G676&gt;F676,N676,"Tie"))</f>
        <v>NO</v>
      </c>
      <c r="P676" s="1" t="n">
        <f aca="false">F676-G676</f>
        <v>4</v>
      </c>
      <c r="Q676" s="1" t="n">
        <f aca="false">F676+G676</f>
        <v>58</v>
      </c>
      <c r="R676" s="1" t="str">
        <f aca="false">IF(H676=M676,"Home",IF(H676=N676,"Away",IF(H676="PICK","Pick","N/A")))</f>
        <v>Away</v>
      </c>
      <c r="S676" s="1" t="n">
        <f aca="false">IF(R676="Home",P676,IF(R676="Away",-P676,""))</f>
        <v>-4</v>
      </c>
      <c r="T676" s="1" t="str">
        <f aca="false">IF(R676="Pick","No Line",IF(S676="","N/A",IF(S676+I676&gt;0,"Favorite Covered",IF(S676+I676&lt;0,"Underdog Covered","Push"))))</f>
        <v>Underdog Covered</v>
      </c>
      <c r="U676" s="1" t="str">
        <f aca="false">IF(Q676&gt;J676,"Over",IF(Q676&lt;J676,"Under","Push"))</f>
        <v>Over</v>
      </c>
    </row>
    <row r="677" customFormat="false" ht="15" hidden="false" customHeight="false" outlineLevel="0" collapsed="false">
      <c r="A677" s="1" t="s">
        <v>321</v>
      </c>
      <c r="B677" s="1" t="n">
        <v>2012</v>
      </c>
      <c r="C677" s="1" t="s">
        <v>203</v>
      </c>
      <c r="D677" s="1" t="s">
        <v>103</v>
      </c>
      <c r="E677" s="1" t="s">
        <v>69</v>
      </c>
      <c r="F677" s="1" t="n">
        <v>23</v>
      </c>
      <c r="G677" s="1" t="n">
        <v>38</v>
      </c>
      <c r="H677" s="1" t="s">
        <v>70</v>
      </c>
      <c r="I677" s="1" t="n">
        <v>-2.5</v>
      </c>
      <c r="J677" s="1" t="n">
        <v>44.5</v>
      </c>
      <c r="K677" s="1" t="s">
        <v>150</v>
      </c>
      <c r="L677" s="1" t="b">
        <f aca="false">FALSE()</f>
        <v>0</v>
      </c>
      <c r="M677" s="1" t="str">
        <f aca="false">VLOOKUP(D677,'Team Reference'!$A:$B,2,FALSE())</f>
        <v>PHI</v>
      </c>
      <c r="N677" s="1" t="str">
        <f aca="false">VLOOKUP(E677,'Team Reference'!$A:$B,2,FALSE())</f>
        <v>DAL</v>
      </c>
      <c r="O677" s="1" t="str">
        <f aca="false">IF(F677&gt;G677,M677,IF(G677&gt;F677,N677,"Tie"))</f>
        <v>DAL</v>
      </c>
      <c r="P677" s="1" t="n">
        <f aca="false">F677-G677</f>
        <v>-15</v>
      </c>
      <c r="Q677" s="1" t="n">
        <f aca="false">F677+G677</f>
        <v>61</v>
      </c>
      <c r="R677" s="1" t="str">
        <f aca="false">IF(H677=M677,"Home",IF(H677=N677,"Away",IF(H677="PICK","Pick","N/A")))</f>
        <v>Away</v>
      </c>
      <c r="S677" s="1" t="n">
        <f aca="false">IF(R677="Home",P677,IF(R677="Away",-P677,""))</f>
        <v>15</v>
      </c>
      <c r="T677" s="1" t="str">
        <f aca="false">IF(R677="Pick","No Line",IF(S677="","N/A",IF(S677+I677&gt;0,"Favorite Covered",IF(S677+I677&lt;0,"Underdog Covered","Push"))))</f>
        <v>Favorite Covered</v>
      </c>
      <c r="U677" s="1" t="str">
        <f aca="false">IF(Q677&gt;J677,"Over",IF(Q677&lt;J677,"Under","Push"))</f>
        <v>Over</v>
      </c>
    </row>
    <row r="678" customFormat="false" ht="15" hidden="false" customHeight="false" outlineLevel="0" collapsed="false">
      <c r="A678" s="1" t="s">
        <v>321</v>
      </c>
      <c r="B678" s="1" t="n">
        <v>2012</v>
      </c>
      <c r="C678" s="1" t="s">
        <v>203</v>
      </c>
      <c r="D678" s="1" t="s">
        <v>108</v>
      </c>
      <c r="E678" s="1" t="s">
        <v>112</v>
      </c>
      <c r="F678" s="1" t="n">
        <v>24</v>
      </c>
      <c r="G678" s="1" t="n">
        <v>24</v>
      </c>
      <c r="H678" s="1" t="s">
        <v>109</v>
      </c>
      <c r="I678" s="1" t="n">
        <v>-13</v>
      </c>
      <c r="J678" s="1" t="n">
        <v>38</v>
      </c>
      <c r="K678" s="1" t="s">
        <v>174</v>
      </c>
      <c r="L678" s="1" t="b">
        <f aca="false">FALSE()</f>
        <v>0</v>
      </c>
      <c r="M678" s="1" t="str">
        <f aca="false">VLOOKUP(D678,'Team Reference'!$A:$B,2,FALSE())</f>
        <v>SF</v>
      </c>
      <c r="N678" s="1" t="str">
        <f aca="false">VLOOKUP(E678,'Team Reference'!$A:$B,2,FALSE())</f>
        <v>LAR</v>
      </c>
      <c r="O678" s="1" t="str">
        <f aca="false">IF(F678&gt;G678,M678,IF(G678&gt;F678,N678,"Tie"))</f>
        <v>Tie</v>
      </c>
      <c r="P678" s="1" t="n">
        <f aca="false">F678-G678</f>
        <v>0</v>
      </c>
      <c r="Q678" s="1" t="n">
        <f aca="false">F678+G678</f>
        <v>48</v>
      </c>
      <c r="R678" s="1" t="str">
        <f aca="false">IF(H678=M678,"Home",IF(H678=N678,"Away",IF(H678="PICK","Pick","N/A")))</f>
        <v>Home</v>
      </c>
      <c r="S678" s="1" t="n">
        <f aca="false">IF(R678="Home",P678,IF(R678="Away",-P678,""))</f>
        <v>0</v>
      </c>
      <c r="T678" s="1" t="str">
        <f aca="false">IF(R678="Pick","No Line",IF(S678="","N/A",IF(S678+I678&gt;0,"Favorite Covered",IF(S678+I678&lt;0,"Underdog Covered","Push"))))</f>
        <v>Underdog Covered</v>
      </c>
      <c r="U678" s="1" t="str">
        <f aca="false">IF(Q678&gt;J678,"Over",IF(Q678&lt;J678,"Under","Push"))</f>
        <v>Over</v>
      </c>
    </row>
    <row r="679" customFormat="false" ht="15" hidden="false" customHeight="false" outlineLevel="0" collapsed="false">
      <c r="A679" s="1" t="s">
        <v>321</v>
      </c>
      <c r="B679" s="1" t="n">
        <v>2012</v>
      </c>
      <c r="C679" s="1" t="s">
        <v>203</v>
      </c>
      <c r="D679" s="1" t="s">
        <v>110</v>
      </c>
      <c r="E679" s="1" t="s">
        <v>99</v>
      </c>
      <c r="F679" s="1" t="n">
        <v>28</v>
      </c>
      <c r="G679" s="1" t="n">
        <v>7</v>
      </c>
      <c r="H679" s="1" t="s">
        <v>111</v>
      </c>
      <c r="I679" s="1" t="n">
        <v>-5.5</v>
      </c>
      <c r="J679" s="1" t="n">
        <v>38.5</v>
      </c>
      <c r="K679" s="1" t="s">
        <v>152</v>
      </c>
      <c r="L679" s="1" t="b">
        <f aca="false">FALSE()</f>
        <v>0</v>
      </c>
      <c r="M679" s="1" t="str">
        <f aca="false">VLOOKUP(D679,'Team Reference'!$A:$B,2,FALSE())</f>
        <v>SEA</v>
      </c>
      <c r="N679" s="1" t="str">
        <f aca="false">VLOOKUP(E679,'Team Reference'!$A:$B,2,FALSE())</f>
        <v>NYJ</v>
      </c>
      <c r="O679" s="1" t="str">
        <f aca="false">IF(F679&gt;G679,M679,IF(G679&gt;F679,N679,"Tie"))</f>
        <v>SEA</v>
      </c>
      <c r="P679" s="1" t="n">
        <f aca="false">F679-G679</f>
        <v>21</v>
      </c>
      <c r="Q679" s="1" t="n">
        <f aca="false">F679+G679</f>
        <v>35</v>
      </c>
      <c r="R679" s="1" t="str">
        <f aca="false">IF(H679=M679,"Home",IF(H679=N679,"Away",IF(H679="PICK","Pick","N/A")))</f>
        <v>Home</v>
      </c>
      <c r="S679" s="1" t="n">
        <f aca="false">IF(R679="Home",P679,IF(R679="Away",-P679,""))</f>
        <v>21</v>
      </c>
      <c r="T679" s="1" t="str">
        <f aca="false">IF(R679="Pick","No Line",IF(S679="","N/A",IF(S679+I679&gt;0,"Favorite Covered",IF(S679+I679&lt;0,"Underdog Covered","Push"))))</f>
        <v>Favorite Covered</v>
      </c>
      <c r="U679" s="1" t="str">
        <f aca="false">IF(Q679&gt;J679,"Over",IF(Q679&lt;J679,"Under","Push"))</f>
        <v>Under</v>
      </c>
    </row>
    <row r="680" customFormat="false" ht="15" hidden="false" customHeight="false" outlineLevel="0" collapsed="false">
      <c r="A680" s="1" t="s">
        <v>321</v>
      </c>
      <c r="B680" s="1" t="n">
        <v>2012</v>
      </c>
      <c r="C680" s="1" t="s">
        <v>203</v>
      </c>
      <c r="D680" s="1" t="s">
        <v>113</v>
      </c>
      <c r="E680" s="1" t="s">
        <v>107</v>
      </c>
      <c r="F680" s="1" t="n">
        <v>34</v>
      </c>
      <c r="G680" s="1" t="n">
        <v>24</v>
      </c>
      <c r="H680" s="1" t="s">
        <v>114</v>
      </c>
      <c r="I680" s="1" t="n">
        <v>-3</v>
      </c>
      <c r="J680" s="1" t="n">
        <v>47</v>
      </c>
      <c r="K680" s="1" t="s">
        <v>154</v>
      </c>
      <c r="L680" s="1" t="b">
        <f aca="false">FALSE()</f>
        <v>0</v>
      </c>
      <c r="M680" s="1" t="str">
        <f aca="false">VLOOKUP(D680,'Team Reference'!$A:$B,2,FALSE())</f>
        <v>TB</v>
      </c>
      <c r="N680" s="1" t="str">
        <f aca="false">VLOOKUP(E680,'Team Reference'!$A:$B,2,FALSE())</f>
        <v>LAC</v>
      </c>
      <c r="O680" s="1" t="str">
        <f aca="false">IF(F680&gt;G680,M680,IF(G680&gt;F680,N680,"Tie"))</f>
        <v>TB</v>
      </c>
      <c r="P680" s="1" t="n">
        <f aca="false">F680-G680</f>
        <v>10</v>
      </c>
      <c r="Q680" s="1" t="n">
        <f aca="false">F680+G680</f>
        <v>58</v>
      </c>
      <c r="R680" s="1" t="str">
        <f aca="false">IF(H680=M680,"Home",IF(H680=N680,"Away",IF(H680="PICK","Pick","N/A")))</f>
        <v>Home</v>
      </c>
      <c r="S680" s="1" t="n">
        <f aca="false">IF(R680="Home",P680,IF(R680="Away",-P680,""))</f>
        <v>10</v>
      </c>
      <c r="T680" s="1" t="str">
        <f aca="false">IF(R680="Pick","No Line",IF(S680="","N/A",IF(S680+I680&gt;0,"Favorite Covered",IF(S680+I680&lt;0,"Underdog Covered","Push"))))</f>
        <v>Favorite Covered</v>
      </c>
      <c r="U680" s="1" t="str">
        <f aca="false">IF(Q680&gt;J680,"Over",IF(Q680&lt;J680,"Under","Push"))</f>
        <v>Over</v>
      </c>
    </row>
    <row r="681" customFormat="false" ht="15" hidden="false" customHeight="false" outlineLevel="0" collapsed="false">
      <c r="A681" s="1" t="s">
        <v>322</v>
      </c>
      <c r="B681" s="1" t="n">
        <v>2012</v>
      </c>
      <c r="C681" s="1" t="s">
        <v>203</v>
      </c>
      <c r="D681" s="1" t="s">
        <v>105</v>
      </c>
      <c r="E681" s="1" t="s">
        <v>83</v>
      </c>
      <c r="F681" s="1" t="n">
        <v>16</v>
      </c>
      <c r="G681" s="1" t="n">
        <v>13</v>
      </c>
      <c r="H681" s="1" t="s">
        <v>106</v>
      </c>
      <c r="I681" s="1" t="n">
        <v>-13</v>
      </c>
      <c r="J681" s="1" t="n">
        <v>40</v>
      </c>
      <c r="K681" s="1" t="s">
        <v>151</v>
      </c>
      <c r="L681" s="1" t="b">
        <f aca="false">FALSE()</f>
        <v>0</v>
      </c>
      <c r="M681" s="1" t="str">
        <f aca="false">VLOOKUP(D681,'Team Reference'!$A:$B,2,FALSE())</f>
        <v>PIT</v>
      </c>
      <c r="N681" s="1" t="str">
        <f aca="false">VLOOKUP(E681,'Team Reference'!$A:$B,2,FALSE())</f>
        <v>KC</v>
      </c>
      <c r="O681" s="1" t="str">
        <f aca="false">IF(F681&gt;G681,M681,IF(G681&gt;F681,N681,"Tie"))</f>
        <v>PIT</v>
      </c>
      <c r="P681" s="1" t="n">
        <f aca="false">F681-G681</f>
        <v>3</v>
      </c>
      <c r="Q681" s="1" t="n">
        <f aca="false">F681+G681</f>
        <v>29</v>
      </c>
      <c r="R681" s="1" t="str">
        <f aca="false">IF(H681=M681,"Home",IF(H681=N681,"Away",IF(H681="PICK","Pick","N/A")))</f>
        <v>Home</v>
      </c>
      <c r="S681" s="1" t="n">
        <f aca="false">IF(R681="Home",P681,IF(R681="Away",-P681,""))</f>
        <v>3</v>
      </c>
      <c r="T681" s="1" t="str">
        <f aca="false">IF(R681="Pick","No Line",IF(S681="","N/A",IF(S681+I681&gt;0,"Favorite Covered",IF(S681+I681&lt;0,"Underdog Covered","Push"))))</f>
        <v>Underdog Covered</v>
      </c>
      <c r="U681" s="1" t="str">
        <f aca="false">IF(Q681&gt;J681,"Over",IF(Q681&lt;J681,"Under","Push"))</f>
        <v>Under</v>
      </c>
    </row>
    <row r="682" customFormat="false" ht="15" hidden="false" customHeight="false" outlineLevel="0" collapsed="false">
      <c r="A682" s="1" t="s">
        <v>323</v>
      </c>
      <c r="B682" s="1" t="n">
        <v>2012</v>
      </c>
      <c r="C682" s="1" t="s">
        <v>207</v>
      </c>
      <c r="D682" s="1" t="s">
        <v>59</v>
      </c>
      <c r="E682" s="1" t="s">
        <v>89</v>
      </c>
      <c r="F682" s="1" t="n">
        <v>19</v>
      </c>
      <c r="G682" s="1" t="n">
        <v>14</v>
      </c>
      <c r="H682" s="1" t="s">
        <v>60</v>
      </c>
      <c r="I682" s="1" t="n">
        <v>-2.5</v>
      </c>
      <c r="J682" s="1" t="n">
        <v>46</v>
      </c>
      <c r="K682" s="1" t="s">
        <v>144</v>
      </c>
      <c r="L682" s="1" t="b">
        <f aca="false">FALSE()</f>
        <v>0</v>
      </c>
      <c r="M682" s="1" t="str">
        <f aca="false">VLOOKUP(D682,'Team Reference'!$A:$B,2,FALSE())</f>
        <v>BUF</v>
      </c>
      <c r="N682" s="1" t="str">
        <f aca="false">VLOOKUP(E682,'Team Reference'!$A:$B,2,FALSE())</f>
        <v>MIA</v>
      </c>
      <c r="O682" s="1" t="str">
        <f aca="false">IF(F682&gt;G682,M682,IF(G682&gt;F682,N682,"Tie"))</f>
        <v>BUF</v>
      </c>
      <c r="P682" s="1" t="n">
        <f aca="false">F682-G682</f>
        <v>5</v>
      </c>
      <c r="Q682" s="1" t="n">
        <f aca="false">F682+G682</f>
        <v>33</v>
      </c>
      <c r="R682" s="1" t="str">
        <f aca="false">IF(H682=M682,"Home",IF(H682=N682,"Away",IF(H682="PICK","Pick","N/A")))</f>
        <v>Home</v>
      </c>
      <c r="S682" s="1" t="n">
        <f aca="false">IF(R682="Home",P682,IF(R682="Away",-P682,""))</f>
        <v>5</v>
      </c>
      <c r="T682" s="1" t="str">
        <f aca="false">IF(R682="Pick","No Line",IF(S682="","N/A",IF(S682+I682&gt;0,"Favorite Covered",IF(S682+I682&lt;0,"Underdog Covered","Push"))))</f>
        <v>Favorite Covered</v>
      </c>
      <c r="U682" s="1" t="str">
        <f aca="false">IF(Q682&gt;J682,"Over",IF(Q682&lt;J682,"Under","Push"))</f>
        <v>Under</v>
      </c>
    </row>
    <row r="683" customFormat="false" ht="15" hidden="false" customHeight="false" outlineLevel="0" collapsed="false">
      <c r="A683" s="1" t="s">
        <v>324</v>
      </c>
      <c r="B683" s="1" t="n">
        <v>2012</v>
      </c>
      <c r="C683" s="1" t="s">
        <v>207</v>
      </c>
      <c r="D683" s="1" t="s">
        <v>55</v>
      </c>
      <c r="E683" s="1" t="s">
        <v>53</v>
      </c>
      <c r="F683" s="1" t="n">
        <v>23</v>
      </c>
      <c r="G683" s="1" t="n">
        <v>19</v>
      </c>
      <c r="H683" s="1" t="s">
        <v>56</v>
      </c>
      <c r="I683" s="1" t="n">
        <v>-9.5</v>
      </c>
      <c r="J683" s="1" t="n">
        <v>44</v>
      </c>
      <c r="K683" s="1" t="s">
        <v>161</v>
      </c>
      <c r="L683" s="1" t="b">
        <f aca="false">FALSE()</f>
        <v>0</v>
      </c>
      <c r="M683" s="1" t="str">
        <f aca="false">VLOOKUP(D683,'Team Reference'!$A:$B,2,FALSE())</f>
        <v>ATL</v>
      </c>
      <c r="N683" s="1" t="str">
        <f aca="false">VLOOKUP(E683,'Team Reference'!$A:$B,2,FALSE())</f>
        <v>ARI</v>
      </c>
      <c r="O683" s="1" t="str">
        <f aca="false">IF(F683&gt;G683,M683,IF(G683&gt;F683,N683,"Tie"))</f>
        <v>ATL</v>
      </c>
      <c r="P683" s="1" t="n">
        <f aca="false">F683-G683</f>
        <v>4</v>
      </c>
      <c r="Q683" s="1" t="n">
        <f aca="false">F683+G683</f>
        <v>42</v>
      </c>
      <c r="R683" s="1" t="str">
        <f aca="false">IF(H683=M683,"Home",IF(H683=N683,"Away",IF(H683="PICK","Pick","N/A")))</f>
        <v>Home</v>
      </c>
      <c r="S683" s="1" t="n">
        <f aca="false">IF(R683="Home",P683,IF(R683="Away",-P683,""))</f>
        <v>4</v>
      </c>
      <c r="T683" s="1" t="str">
        <f aca="false">IF(R683="Pick","No Line",IF(S683="","N/A",IF(S683+I683&gt;0,"Favorite Covered",IF(S683+I683&lt;0,"Underdog Covered","Push"))))</f>
        <v>Underdog Covered</v>
      </c>
      <c r="U683" s="1" t="str">
        <f aca="false">IF(Q683&gt;J683,"Over",IF(Q683&lt;J683,"Under","Push"))</f>
        <v>Under</v>
      </c>
    </row>
    <row r="684" customFormat="false" ht="15" hidden="false" customHeight="false" outlineLevel="0" collapsed="false">
      <c r="A684" s="1" t="s">
        <v>324</v>
      </c>
      <c r="B684" s="1" t="n">
        <v>2012</v>
      </c>
      <c r="C684" s="1" t="s">
        <v>207</v>
      </c>
      <c r="D684" s="1" t="s">
        <v>61</v>
      </c>
      <c r="E684" s="1" t="s">
        <v>113</v>
      </c>
      <c r="F684" s="1" t="n">
        <v>21</v>
      </c>
      <c r="G684" s="1" t="n">
        <v>27</v>
      </c>
      <c r="H684" s="1" t="s">
        <v>114</v>
      </c>
      <c r="I684" s="1" t="n">
        <v>-1.5</v>
      </c>
      <c r="J684" s="1" t="n">
        <v>47</v>
      </c>
      <c r="K684" s="1" t="s">
        <v>162</v>
      </c>
      <c r="L684" s="1" t="b">
        <f aca="false">FALSE()</f>
        <v>0</v>
      </c>
      <c r="M684" s="1" t="str">
        <f aca="false">VLOOKUP(D684,'Team Reference'!$A:$B,2,FALSE())</f>
        <v>CAR</v>
      </c>
      <c r="N684" s="1" t="str">
        <f aca="false">VLOOKUP(E684,'Team Reference'!$A:$B,2,FALSE())</f>
        <v>TB</v>
      </c>
      <c r="O684" s="1" t="str">
        <f aca="false">IF(F684&gt;G684,M684,IF(G684&gt;F684,N684,"Tie"))</f>
        <v>TB</v>
      </c>
      <c r="P684" s="1" t="n">
        <f aca="false">F684-G684</f>
        <v>-6</v>
      </c>
      <c r="Q684" s="1" t="n">
        <f aca="false">F684+G684</f>
        <v>48</v>
      </c>
      <c r="R684" s="1" t="str">
        <f aca="false">IF(H684=M684,"Home",IF(H684=N684,"Away",IF(H684="PICK","Pick","N/A")))</f>
        <v>Away</v>
      </c>
      <c r="S684" s="1" t="n">
        <f aca="false">IF(R684="Home",P684,IF(R684="Away",-P684,""))</f>
        <v>6</v>
      </c>
      <c r="T684" s="1" t="str">
        <f aca="false">IF(R684="Pick","No Line",IF(S684="","N/A",IF(S684+I684&gt;0,"Favorite Covered",IF(S684+I684&lt;0,"Underdog Covered","Push"))))</f>
        <v>Favorite Covered</v>
      </c>
      <c r="U684" s="1" t="str">
        <f aca="false">IF(Q684&gt;J684,"Over",IF(Q684&lt;J684,"Under","Push"))</f>
        <v>Over</v>
      </c>
    </row>
    <row r="685" customFormat="false" ht="15" hidden="false" customHeight="false" outlineLevel="0" collapsed="false">
      <c r="A685" s="1" t="s">
        <v>324</v>
      </c>
      <c r="B685" s="1" t="n">
        <v>2012</v>
      </c>
      <c r="C685" s="1" t="s">
        <v>207</v>
      </c>
      <c r="D685" s="1" t="s">
        <v>69</v>
      </c>
      <c r="E685" s="1" t="s">
        <v>67</v>
      </c>
      <c r="F685" s="1" t="n">
        <v>23</v>
      </c>
      <c r="G685" s="1" t="n">
        <v>20</v>
      </c>
      <c r="H685" s="1" t="s">
        <v>70</v>
      </c>
      <c r="I685" s="1" t="n">
        <v>-7</v>
      </c>
      <c r="J685" s="1" t="n">
        <v>43.5</v>
      </c>
      <c r="K685" s="1" t="s">
        <v>165</v>
      </c>
      <c r="L685" s="1" t="b">
        <f aca="false">FALSE()</f>
        <v>0</v>
      </c>
      <c r="M685" s="1" t="str">
        <f aca="false">VLOOKUP(D685,'Team Reference'!$A:$B,2,FALSE())</f>
        <v>DAL</v>
      </c>
      <c r="N685" s="1" t="str">
        <f aca="false">VLOOKUP(E685,'Team Reference'!$A:$B,2,FALSE())</f>
        <v>CLE</v>
      </c>
      <c r="O685" s="1" t="str">
        <f aca="false">IF(F685&gt;G685,M685,IF(G685&gt;F685,N685,"Tie"))</f>
        <v>DAL</v>
      </c>
      <c r="P685" s="1" t="n">
        <f aca="false">F685-G685</f>
        <v>3</v>
      </c>
      <c r="Q685" s="1" t="n">
        <f aca="false">F685+G685</f>
        <v>43</v>
      </c>
      <c r="R685" s="1" t="str">
        <f aca="false">IF(H685=M685,"Home",IF(H685=N685,"Away",IF(H685="PICK","Pick","N/A")))</f>
        <v>Home</v>
      </c>
      <c r="S685" s="1" t="n">
        <f aca="false">IF(R685="Home",P685,IF(R685="Away",-P685,""))</f>
        <v>3</v>
      </c>
      <c r="T685" s="1" t="str">
        <f aca="false">IF(R685="Pick","No Line",IF(S685="","N/A",IF(S685+I685&gt;0,"Favorite Covered",IF(S685+I685&lt;0,"Underdog Covered","Push"))))</f>
        <v>Underdog Covered</v>
      </c>
      <c r="U685" s="1" t="str">
        <f aca="false">IF(Q685&gt;J685,"Over",IF(Q685&lt;J685,"Under","Push"))</f>
        <v>Under</v>
      </c>
    </row>
    <row r="686" customFormat="false" ht="15" hidden="false" customHeight="false" outlineLevel="0" collapsed="false">
      <c r="A686" s="1" t="s">
        <v>324</v>
      </c>
      <c r="B686" s="1" t="n">
        <v>2012</v>
      </c>
      <c r="C686" s="1" t="s">
        <v>207</v>
      </c>
      <c r="D686" s="1" t="s">
        <v>71</v>
      </c>
      <c r="E686" s="1" t="s">
        <v>107</v>
      </c>
      <c r="F686" s="1" t="n">
        <v>30</v>
      </c>
      <c r="G686" s="1" t="n">
        <v>23</v>
      </c>
      <c r="H686" s="1" t="s">
        <v>72</v>
      </c>
      <c r="I686" s="1" t="n">
        <v>-7.5</v>
      </c>
      <c r="J686" s="1" t="n">
        <v>48</v>
      </c>
      <c r="K686" s="1" t="s">
        <v>166</v>
      </c>
      <c r="L686" s="1" t="b">
        <f aca="false">FALSE()</f>
        <v>0</v>
      </c>
      <c r="M686" s="1" t="str">
        <f aca="false">VLOOKUP(D686,'Team Reference'!$A:$B,2,FALSE())</f>
        <v>DEN</v>
      </c>
      <c r="N686" s="1" t="str">
        <f aca="false">VLOOKUP(E686,'Team Reference'!$A:$B,2,FALSE())</f>
        <v>LAC</v>
      </c>
      <c r="O686" s="1" t="str">
        <f aca="false">IF(F686&gt;G686,M686,IF(G686&gt;F686,N686,"Tie"))</f>
        <v>DEN</v>
      </c>
      <c r="P686" s="1" t="n">
        <f aca="false">F686-G686</f>
        <v>7</v>
      </c>
      <c r="Q686" s="1" t="n">
        <f aca="false">F686+G686</f>
        <v>53</v>
      </c>
      <c r="R686" s="1" t="str">
        <f aca="false">IF(H686=M686,"Home",IF(H686=N686,"Away",IF(H686="PICK","Pick","N/A")))</f>
        <v>Home</v>
      </c>
      <c r="S686" s="1" t="n">
        <f aca="false">IF(R686="Home",P686,IF(R686="Away",-P686,""))</f>
        <v>7</v>
      </c>
      <c r="T686" s="1" t="str">
        <f aca="false">IF(R686="Pick","No Line",IF(S686="","N/A",IF(S686+I686&gt;0,"Favorite Covered",IF(S686+I686&lt;0,"Underdog Covered","Push"))))</f>
        <v>Underdog Covered</v>
      </c>
      <c r="U686" s="1" t="str">
        <f aca="false">IF(Q686&gt;J686,"Over",IF(Q686&lt;J686,"Under","Push"))</f>
        <v>Over</v>
      </c>
    </row>
    <row r="687" customFormat="false" ht="15" hidden="false" customHeight="false" outlineLevel="0" collapsed="false">
      <c r="A687" s="1" t="s">
        <v>324</v>
      </c>
      <c r="B687" s="1" t="n">
        <v>2012</v>
      </c>
      <c r="C687" s="1" t="s">
        <v>207</v>
      </c>
      <c r="D687" s="1" t="s">
        <v>73</v>
      </c>
      <c r="E687" s="1" t="s">
        <v>75</v>
      </c>
      <c r="F687" s="1" t="n">
        <v>20</v>
      </c>
      <c r="G687" s="1" t="n">
        <v>24</v>
      </c>
      <c r="H687" s="1" t="s">
        <v>76</v>
      </c>
      <c r="I687" s="1" t="n">
        <v>-3</v>
      </c>
      <c r="J687" s="1" t="n">
        <v>53.5</v>
      </c>
      <c r="K687" s="1" t="s">
        <v>167</v>
      </c>
      <c r="L687" s="1" t="b">
        <f aca="false">FALSE()</f>
        <v>0</v>
      </c>
      <c r="M687" s="1" t="str">
        <f aca="false">VLOOKUP(D687,'Team Reference'!$A:$B,2,FALSE())</f>
        <v>DET</v>
      </c>
      <c r="N687" s="1" t="str">
        <f aca="false">VLOOKUP(E687,'Team Reference'!$A:$B,2,FALSE())</f>
        <v>GB</v>
      </c>
      <c r="O687" s="1" t="str">
        <f aca="false">IF(F687&gt;G687,M687,IF(G687&gt;F687,N687,"Tie"))</f>
        <v>GB</v>
      </c>
      <c r="P687" s="1" t="n">
        <f aca="false">F687-G687</f>
        <v>-4</v>
      </c>
      <c r="Q687" s="1" t="n">
        <f aca="false">F687+G687</f>
        <v>44</v>
      </c>
      <c r="R687" s="1" t="str">
        <f aca="false">IF(H687=M687,"Home",IF(H687=N687,"Away",IF(H687="PICK","Pick","N/A")))</f>
        <v>Away</v>
      </c>
      <c r="S687" s="1" t="n">
        <f aca="false">IF(R687="Home",P687,IF(R687="Away",-P687,""))</f>
        <v>4</v>
      </c>
      <c r="T687" s="1" t="str">
        <f aca="false">IF(R687="Pick","No Line",IF(S687="","N/A",IF(S687+I687&gt;0,"Favorite Covered",IF(S687+I687&lt;0,"Underdog Covered","Push"))))</f>
        <v>Favorite Covered</v>
      </c>
      <c r="U687" s="1" t="str">
        <f aca="false">IF(Q687&gt;J687,"Over",IF(Q687&lt;J687,"Under","Push"))</f>
        <v>Under</v>
      </c>
    </row>
    <row r="688" customFormat="false" ht="15" hidden="false" customHeight="false" outlineLevel="0" collapsed="false">
      <c r="A688" s="1" t="s">
        <v>324</v>
      </c>
      <c r="B688" s="1" t="n">
        <v>2012</v>
      </c>
      <c r="C688" s="1" t="s">
        <v>207</v>
      </c>
      <c r="D688" s="1" t="s">
        <v>77</v>
      </c>
      <c r="E688" s="1" t="s">
        <v>81</v>
      </c>
      <c r="F688" s="1" t="n">
        <v>43</v>
      </c>
      <c r="G688" s="1" t="n">
        <v>37</v>
      </c>
      <c r="H688" s="1" t="s">
        <v>78</v>
      </c>
      <c r="I688" s="1" t="n">
        <v>-15.5</v>
      </c>
      <c r="J688" s="1" t="n">
        <v>40.5</v>
      </c>
      <c r="K688" s="1" t="s">
        <v>146</v>
      </c>
      <c r="L688" s="1" t="b">
        <f aca="false">FALSE()</f>
        <v>0</v>
      </c>
      <c r="M688" s="1" t="str">
        <f aca="false">VLOOKUP(D688,'Team Reference'!$A:$B,2,FALSE())</f>
        <v>HOU</v>
      </c>
      <c r="N688" s="1" t="str">
        <f aca="false">VLOOKUP(E688,'Team Reference'!$A:$B,2,FALSE())</f>
        <v>JAX</v>
      </c>
      <c r="O688" s="1" t="str">
        <f aca="false">IF(F688&gt;G688,M688,IF(G688&gt;F688,N688,"Tie"))</f>
        <v>HOU</v>
      </c>
      <c r="P688" s="1" t="n">
        <f aca="false">F688-G688</f>
        <v>6</v>
      </c>
      <c r="Q688" s="1" t="n">
        <f aca="false">F688+G688</f>
        <v>80</v>
      </c>
      <c r="R688" s="1" t="str">
        <f aca="false">IF(H688=M688,"Home",IF(H688=N688,"Away",IF(H688="PICK","Pick","N/A")))</f>
        <v>Home</v>
      </c>
      <c r="S688" s="1" t="n">
        <f aca="false">IF(R688="Home",P688,IF(R688="Away",-P688,""))</f>
        <v>6</v>
      </c>
      <c r="T688" s="1" t="str">
        <f aca="false">IF(R688="Pick","No Line",IF(S688="","N/A",IF(S688+I688&gt;0,"Favorite Covered",IF(S688+I688&lt;0,"Underdog Covered","Push"))))</f>
        <v>Underdog Covered</v>
      </c>
      <c r="U688" s="1" t="str">
        <f aca="false">IF(Q688&gt;J688,"Over",IF(Q688&lt;J688,"Under","Push"))</f>
        <v>Over</v>
      </c>
    </row>
    <row r="689" customFormat="false" ht="15" hidden="false" customHeight="false" outlineLevel="0" collapsed="false">
      <c r="A689" s="1" t="s">
        <v>324</v>
      </c>
      <c r="B689" s="1" t="n">
        <v>2012</v>
      </c>
      <c r="C689" s="1" t="s">
        <v>207</v>
      </c>
      <c r="D689" s="1" t="s">
        <v>83</v>
      </c>
      <c r="E689" s="1" t="s">
        <v>65</v>
      </c>
      <c r="F689" s="1" t="n">
        <v>6</v>
      </c>
      <c r="G689" s="1" t="n">
        <v>28</v>
      </c>
      <c r="H689" s="1" t="s">
        <v>66</v>
      </c>
      <c r="I689" s="1" t="n">
        <v>-3</v>
      </c>
      <c r="J689" s="1" t="n">
        <v>42.5</v>
      </c>
      <c r="K689" s="1" t="s">
        <v>158</v>
      </c>
      <c r="L689" s="1" t="b">
        <f aca="false">FALSE()</f>
        <v>0</v>
      </c>
      <c r="M689" s="1" t="str">
        <f aca="false">VLOOKUP(D689,'Team Reference'!$A:$B,2,FALSE())</f>
        <v>KC</v>
      </c>
      <c r="N689" s="1" t="str">
        <f aca="false">VLOOKUP(E689,'Team Reference'!$A:$B,2,FALSE())</f>
        <v>CIN</v>
      </c>
      <c r="O689" s="1" t="str">
        <f aca="false">IF(F689&gt;G689,M689,IF(G689&gt;F689,N689,"Tie"))</f>
        <v>CIN</v>
      </c>
      <c r="P689" s="1" t="n">
        <f aca="false">F689-G689</f>
        <v>-22</v>
      </c>
      <c r="Q689" s="1" t="n">
        <f aca="false">F689+G689</f>
        <v>34</v>
      </c>
      <c r="R689" s="1" t="str">
        <f aca="false">IF(H689=M689,"Home",IF(H689=N689,"Away",IF(H689="PICK","Pick","N/A")))</f>
        <v>Away</v>
      </c>
      <c r="S689" s="1" t="n">
        <f aca="false">IF(R689="Home",P689,IF(R689="Away",-P689,""))</f>
        <v>22</v>
      </c>
      <c r="T689" s="1" t="str">
        <f aca="false">IF(R689="Pick","No Line",IF(S689="","N/A",IF(S689+I689&gt;0,"Favorite Covered",IF(S689+I689&lt;0,"Underdog Covered","Push"))))</f>
        <v>Favorite Covered</v>
      </c>
      <c r="U689" s="1" t="str">
        <f aca="false">IF(Q689&gt;J689,"Over",IF(Q689&lt;J689,"Under","Push"))</f>
        <v>Under</v>
      </c>
    </row>
    <row r="690" customFormat="false" ht="15" hidden="false" customHeight="false" outlineLevel="0" collapsed="false">
      <c r="A690" s="1" t="s">
        <v>324</v>
      </c>
      <c r="B690" s="1" t="n">
        <v>2012</v>
      </c>
      <c r="C690" s="1" t="s">
        <v>207</v>
      </c>
      <c r="D690" s="1" t="s">
        <v>93</v>
      </c>
      <c r="E690" s="1" t="s">
        <v>79</v>
      </c>
      <c r="F690" s="1" t="n">
        <v>59</v>
      </c>
      <c r="G690" s="1" t="n">
        <v>24</v>
      </c>
      <c r="H690" s="1" t="s">
        <v>94</v>
      </c>
      <c r="I690" s="1" t="n">
        <v>-10</v>
      </c>
      <c r="J690" s="1" t="n">
        <v>55</v>
      </c>
      <c r="K690" s="1" t="s">
        <v>148</v>
      </c>
      <c r="L690" s="1" t="b">
        <f aca="false">FALSE()</f>
        <v>0</v>
      </c>
      <c r="M690" s="1" t="str">
        <f aca="false">VLOOKUP(D690,'Team Reference'!$A:$B,2,FALSE())</f>
        <v>NE</v>
      </c>
      <c r="N690" s="1" t="str">
        <f aca="false">VLOOKUP(E690,'Team Reference'!$A:$B,2,FALSE())</f>
        <v>IND</v>
      </c>
      <c r="O690" s="1" t="str">
        <f aca="false">IF(F690&gt;G690,M690,IF(G690&gt;F690,N690,"Tie"))</f>
        <v>NE</v>
      </c>
      <c r="P690" s="1" t="n">
        <f aca="false">F690-G690</f>
        <v>35</v>
      </c>
      <c r="Q690" s="1" t="n">
        <f aca="false">F690+G690</f>
        <v>83</v>
      </c>
      <c r="R690" s="1" t="str">
        <f aca="false">IF(H690=M690,"Home",IF(H690=N690,"Away",IF(H690="PICK","Pick","N/A")))</f>
        <v>Home</v>
      </c>
      <c r="S690" s="1" t="n">
        <f aca="false">IF(R690="Home",P690,IF(R690="Away",-P690,""))</f>
        <v>35</v>
      </c>
      <c r="T690" s="1" t="str">
        <f aca="false">IF(R690="Pick","No Line",IF(S690="","N/A",IF(S690+I690&gt;0,"Favorite Covered",IF(S690+I690&lt;0,"Underdog Covered","Push"))))</f>
        <v>Favorite Covered</v>
      </c>
      <c r="U690" s="1" t="str">
        <f aca="false">IF(Q690&gt;J690,"Over",IF(Q690&lt;J690,"Under","Push"))</f>
        <v>Over</v>
      </c>
    </row>
    <row r="691" customFormat="false" ht="15" hidden="false" customHeight="false" outlineLevel="0" collapsed="false">
      <c r="A691" s="1" t="s">
        <v>324</v>
      </c>
      <c r="B691" s="1" t="n">
        <v>2012</v>
      </c>
      <c r="C691" s="1" t="s">
        <v>207</v>
      </c>
      <c r="D691" s="1" t="s">
        <v>101</v>
      </c>
      <c r="E691" s="1" t="s">
        <v>95</v>
      </c>
      <c r="F691" s="1" t="n">
        <v>17</v>
      </c>
      <c r="G691" s="1" t="n">
        <v>38</v>
      </c>
      <c r="H691" s="1" t="s">
        <v>96</v>
      </c>
      <c r="I691" s="1" t="n">
        <v>-6.5</v>
      </c>
      <c r="J691" s="1" t="n">
        <v>56</v>
      </c>
      <c r="K691" s="1" t="s">
        <v>171</v>
      </c>
      <c r="L691" s="1" t="b">
        <f aca="false">FALSE()</f>
        <v>0</v>
      </c>
      <c r="M691" s="1" t="str">
        <f aca="false">VLOOKUP(D691,'Team Reference'!$A:$B,2,FALSE())</f>
        <v>OAK</v>
      </c>
      <c r="N691" s="1" t="str">
        <f aca="false">VLOOKUP(E691,'Team Reference'!$A:$B,2,FALSE())</f>
        <v>NO</v>
      </c>
      <c r="O691" s="1" t="str">
        <f aca="false">IF(F691&gt;G691,M691,IF(G691&gt;F691,N691,"Tie"))</f>
        <v>NO</v>
      </c>
      <c r="P691" s="1" t="n">
        <f aca="false">F691-G691</f>
        <v>-21</v>
      </c>
      <c r="Q691" s="1" t="n">
        <f aca="false">F691+G691</f>
        <v>55</v>
      </c>
      <c r="R691" s="1" t="str">
        <f aca="false">IF(H691=M691,"Home",IF(H691=N691,"Away",IF(H691="PICK","Pick","N/A")))</f>
        <v>Away</v>
      </c>
      <c r="S691" s="1" t="n">
        <f aca="false">IF(R691="Home",P691,IF(R691="Away",-P691,""))</f>
        <v>21</v>
      </c>
      <c r="T691" s="1" t="str">
        <f aca="false">IF(R691="Pick","No Line",IF(S691="","N/A",IF(S691+I691&gt;0,"Favorite Covered",IF(S691+I691&lt;0,"Underdog Covered","Push"))))</f>
        <v>Favorite Covered</v>
      </c>
      <c r="U691" s="1" t="str">
        <f aca="false">IF(Q691&gt;J691,"Over",IF(Q691&lt;J691,"Under","Push"))</f>
        <v>Under</v>
      </c>
    </row>
    <row r="692" customFormat="false" ht="15" hidden="false" customHeight="false" outlineLevel="0" collapsed="false">
      <c r="A692" s="1" t="s">
        <v>324</v>
      </c>
      <c r="B692" s="1" t="n">
        <v>2012</v>
      </c>
      <c r="C692" s="1" t="s">
        <v>207</v>
      </c>
      <c r="D692" s="1" t="s">
        <v>105</v>
      </c>
      <c r="E692" s="1" t="s">
        <v>57</v>
      </c>
      <c r="F692" s="1" t="n">
        <v>10</v>
      </c>
      <c r="G692" s="1" t="n">
        <v>13</v>
      </c>
      <c r="H692" s="1" t="s">
        <v>58</v>
      </c>
      <c r="I692" s="1" t="n">
        <v>-3</v>
      </c>
      <c r="J692" s="1" t="n">
        <v>40.5</v>
      </c>
      <c r="K692" s="1" t="s">
        <v>151</v>
      </c>
      <c r="L692" s="1" t="b">
        <f aca="false">FALSE()</f>
        <v>0</v>
      </c>
      <c r="M692" s="1" t="str">
        <f aca="false">VLOOKUP(D692,'Team Reference'!$A:$B,2,FALSE())</f>
        <v>PIT</v>
      </c>
      <c r="N692" s="1" t="str">
        <f aca="false">VLOOKUP(E692,'Team Reference'!$A:$B,2,FALSE())</f>
        <v>BAL</v>
      </c>
      <c r="O692" s="1" t="str">
        <f aca="false">IF(F692&gt;G692,M692,IF(G692&gt;F692,N692,"Tie"))</f>
        <v>BAL</v>
      </c>
      <c r="P692" s="1" t="n">
        <f aca="false">F692-G692</f>
        <v>-3</v>
      </c>
      <c r="Q692" s="1" t="n">
        <f aca="false">F692+G692</f>
        <v>23</v>
      </c>
      <c r="R692" s="1" t="str">
        <f aca="false">IF(H692=M692,"Home",IF(H692=N692,"Away",IF(H692="PICK","Pick","N/A")))</f>
        <v>Away</v>
      </c>
      <c r="S692" s="1" t="n">
        <f aca="false">IF(R692="Home",P692,IF(R692="Away",-P692,""))</f>
        <v>3</v>
      </c>
      <c r="T692" s="1" t="str">
        <f aca="false">IF(R692="Pick","No Line",IF(S692="","N/A",IF(S692+I692&gt;0,"Favorite Covered",IF(S692+I692&lt;0,"Underdog Covered","Push"))))</f>
        <v>Push</v>
      </c>
      <c r="U692" s="1" t="str">
        <f aca="false">IF(Q692&gt;J692,"Over",IF(Q692&lt;J692,"Under","Push"))</f>
        <v>Under</v>
      </c>
    </row>
    <row r="693" customFormat="false" ht="15" hidden="false" customHeight="false" outlineLevel="0" collapsed="false">
      <c r="A693" s="1" t="s">
        <v>324</v>
      </c>
      <c r="B693" s="1" t="n">
        <v>2012</v>
      </c>
      <c r="C693" s="1" t="s">
        <v>207</v>
      </c>
      <c r="D693" s="1" t="s">
        <v>112</v>
      </c>
      <c r="E693" s="1" t="s">
        <v>99</v>
      </c>
      <c r="F693" s="1" t="n">
        <v>13</v>
      </c>
      <c r="G693" s="1" t="n">
        <v>27</v>
      </c>
      <c r="H693" s="1" t="s">
        <v>88</v>
      </c>
      <c r="I693" s="1" t="n">
        <v>-3.5</v>
      </c>
      <c r="J693" s="1" t="n">
        <v>38.5</v>
      </c>
      <c r="K693" s="1" t="s">
        <v>153</v>
      </c>
      <c r="L693" s="1" t="b">
        <f aca="false">FALSE()</f>
        <v>0</v>
      </c>
      <c r="M693" s="1" t="str">
        <f aca="false">VLOOKUP(D693,'Team Reference'!$A:$B,2,FALSE())</f>
        <v>LAR</v>
      </c>
      <c r="N693" s="1" t="str">
        <f aca="false">VLOOKUP(E693,'Team Reference'!$A:$B,2,FALSE())</f>
        <v>NYJ</v>
      </c>
      <c r="O693" s="1" t="str">
        <f aca="false">IF(F693&gt;G693,M693,IF(G693&gt;F693,N693,"Tie"))</f>
        <v>NYJ</v>
      </c>
      <c r="P693" s="1" t="n">
        <f aca="false">F693-G693</f>
        <v>-14</v>
      </c>
      <c r="Q693" s="1" t="n">
        <f aca="false">F693+G693</f>
        <v>40</v>
      </c>
      <c r="R693" s="1" t="str">
        <f aca="false">IF(H693=M693,"Home",IF(H693=N693,"Away",IF(H693="PICK","Pick","N/A")))</f>
        <v>Home</v>
      </c>
      <c r="S693" s="1" t="n">
        <f aca="false">IF(R693="Home",P693,IF(R693="Away",-P693,""))</f>
        <v>-14</v>
      </c>
      <c r="T693" s="1" t="str">
        <f aca="false">IF(R693="Pick","No Line",IF(S693="","N/A",IF(S693+I693&gt;0,"Favorite Covered",IF(S693+I693&lt;0,"Underdog Covered","Push"))))</f>
        <v>Underdog Covered</v>
      </c>
      <c r="U693" s="1" t="str">
        <f aca="false">IF(Q693&gt;J693,"Over",IF(Q693&lt;J693,"Under","Push"))</f>
        <v>Over</v>
      </c>
    </row>
    <row r="694" customFormat="false" ht="15" hidden="false" customHeight="false" outlineLevel="0" collapsed="false">
      <c r="A694" s="1" t="s">
        <v>324</v>
      </c>
      <c r="B694" s="1" t="n">
        <v>2012</v>
      </c>
      <c r="C694" s="1" t="s">
        <v>207</v>
      </c>
      <c r="D694" s="1" t="s">
        <v>117</v>
      </c>
      <c r="E694" s="1" t="s">
        <v>103</v>
      </c>
      <c r="F694" s="1" t="n">
        <v>31</v>
      </c>
      <c r="G694" s="1" t="n">
        <v>6</v>
      </c>
      <c r="H694" s="1" t="s">
        <v>118</v>
      </c>
      <c r="I694" s="1" t="n">
        <v>-3.5</v>
      </c>
      <c r="J694" s="1" t="n">
        <v>46</v>
      </c>
      <c r="K694" s="1" t="s">
        <v>156</v>
      </c>
      <c r="L694" s="1" t="b">
        <f aca="false">FALSE()</f>
        <v>0</v>
      </c>
      <c r="M694" s="1" t="str">
        <f aca="false">VLOOKUP(D694,'Team Reference'!$A:$B,2,FALSE())</f>
        <v>WAS</v>
      </c>
      <c r="N694" s="1" t="str">
        <f aca="false">VLOOKUP(E694,'Team Reference'!$A:$B,2,FALSE())</f>
        <v>PHI</v>
      </c>
      <c r="O694" s="1" t="str">
        <f aca="false">IF(F694&gt;G694,M694,IF(G694&gt;F694,N694,"Tie"))</f>
        <v>WAS</v>
      </c>
      <c r="P694" s="1" t="n">
        <f aca="false">F694-G694</f>
        <v>25</v>
      </c>
      <c r="Q694" s="1" t="n">
        <f aca="false">F694+G694</f>
        <v>37</v>
      </c>
      <c r="R694" s="1" t="str">
        <f aca="false">IF(H694=M694,"Home",IF(H694=N694,"Away",IF(H694="PICK","Pick","N/A")))</f>
        <v>Home</v>
      </c>
      <c r="S694" s="1" t="n">
        <f aca="false">IF(R694="Home",P694,IF(R694="Away",-P694,""))</f>
        <v>25</v>
      </c>
      <c r="T694" s="1" t="str">
        <f aca="false">IF(R694="Pick","No Line",IF(S694="","N/A",IF(S694+I694&gt;0,"Favorite Covered",IF(S694+I694&lt;0,"Underdog Covered","Push"))))</f>
        <v>Favorite Covered</v>
      </c>
      <c r="U694" s="1" t="str">
        <f aca="false">IF(Q694&gt;J694,"Over",IF(Q694&lt;J694,"Under","Push"))</f>
        <v>Under</v>
      </c>
    </row>
    <row r="695" customFormat="false" ht="15" hidden="false" customHeight="false" outlineLevel="0" collapsed="false">
      <c r="A695" s="1" t="s">
        <v>325</v>
      </c>
      <c r="B695" s="1" t="n">
        <v>2012</v>
      </c>
      <c r="C695" s="1" t="s">
        <v>207</v>
      </c>
      <c r="D695" s="1" t="s">
        <v>108</v>
      </c>
      <c r="E695" s="1" t="s">
        <v>63</v>
      </c>
      <c r="F695" s="1" t="n">
        <v>32</v>
      </c>
      <c r="G695" s="1" t="n">
        <v>7</v>
      </c>
      <c r="H695" s="1" t="s">
        <v>109</v>
      </c>
      <c r="I695" s="1" t="n">
        <v>-5</v>
      </c>
      <c r="J695" s="1" t="n">
        <v>35</v>
      </c>
      <c r="K695" s="1" t="s">
        <v>174</v>
      </c>
      <c r="L695" s="1" t="b">
        <f aca="false">FALSE()</f>
        <v>0</v>
      </c>
      <c r="M695" s="1" t="str">
        <f aca="false">VLOOKUP(D695,'Team Reference'!$A:$B,2,FALSE())</f>
        <v>SF</v>
      </c>
      <c r="N695" s="1" t="str">
        <f aca="false">VLOOKUP(E695,'Team Reference'!$A:$B,2,FALSE())</f>
        <v>CHI</v>
      </c>
      <c r="O695" s="1" t="str">
        <f aca="false">IF(F695&gt;G695,M695,IF(G695&gt;F695,N695,"Tie"))</f>
        <v>SF</v>
      </c>
      <c r="P695" s="1" t="n">
        <f aca="false">F695-G695</f>
        <v>25</v>
      </c>
      <c r="Q695" s="1" t="n">
        <f aca="false">F695+G695</f>
        <v>39</v>
      </c>
      <c r="R695" s="1" t="str">
        <f aca="false">IF(H695=M695,"Home",IF(H695=N695,"Away",IF(H695="PICK","Pick","N/A")))</f>
        <v>Home</v>
      </c>
      <c r="S695" s="1" t="n">
        <f aca="false">IF(R695="Home",P695,IF(R695="Away",-P695,""))</f>
        <v>25</v>
      </c>
      <c r="T695" s="1" t="str">
        <f aca="false">IF(R695="Pick","No Line",IF(S695="","N/A",IF(S695+I695&gt;0,"Favorite Covered",IF(S695+I695&lt;0,"Underdog Covered","Push"))))</f>
        <v>Favorite Covered</v>
      </c>
      <c r="U695" s="1" t="str">
        <f aca="false">IF(Q695&gt;J695,"Over",IF(Q695&lt;J695,"Under","Push"))</f>
        <v>Over</v>
      </c>
    </row>
    <row r="696" customFormat="false" ht="15" hidden="false" customHeight="false" outlineLevel="0" collapsed="false">
      <c r="A696" s="1" t="s">
        <v>326</v>
      </c>
      <c r="B696" s="1" t="n">
        <v>2012</v>
      </c>
      <c r="C696" s="1" t="s">
        <v>211</v>
      </c>
      <c r="D696" s="1" t="s">
        <v>69</v>
      </c>
      <c r="E696" s="1" t="s">
        <v>117</v>
      </c>
      <c r="F696" s="1" t="n">
        <v>31</v>
      </c>
      <c r="G696" s="1" t="n">
        <v>38</v>
      </c>
      <c r="H696" s="1" t="s">
        <v>70</v>
      </c>
      <c r="I696" s="1" t="n">
        <v>-3.5</v>
      </c>
      <c r="J696" s="1" t="n">
        <v>47.5</v>
      </c>
      <c r="K696" s="1" t="s">
        <v>165</v>
      </c>
      <c r="L696" s="1" t="b">
        <f aca="false">FALSE()</f>
        <v>0</v>
      </c>
      <c r="M696" s="1" t="str">
        <f aca="false">VLOOKUP(D696,'Team Reference'!$A:$B,2,FALSE())</f>
        <v>DAL</v>
      </c>
      <c r="N696" s="1" t="str">
        <f aca="false">VLOOKUP(E696,'Team Reference'!$A:$B,2,FALSE())</f>
        <v>WAS</v>
      </c>
      <c r="O696" s="1" t="str">
        <f aca="false">IF(F696&gt;G696,M696,IF(G696&gt;F696,N696,"Tie"))</f>
        <v>WAS</v>
      </c>
      <c r="P696" s="1" t="n">
        <f aca="false">F696-G696</f>
        <v>-7</v>
      </c>
      <c r="Q696" s="1" t="n">
        <f aca="false">F696+G696</f>
        <v>69</v>
      </c>
      <c r="R696" s="1" t="str">
        <f aca="false">IF(H696=M696,"Home",IF(H696=N696,"Away",IF(H696="PICK","Pick","N/A")))</f>
        <v>Home</v>
      </c>
      <c r="S696" s="1" t="n">
        <f aca="false">IF(R696="Home",P696,IF(R696="Away",-P696,""))</f>
        <v>-7</v>
      </c>
      <c r="T696" s="1" t="str">
        <f aca="false">IF(R696="Pick","No Line",IF(S696="","N/A",IF(S696+I696&gt;0,"Favorite Covered",IF(S696+I696&lt;0,"Underdog Covered","Push"))))</f>
        <v>Underdog Covered</v>
      </c>
      <c r="U696" s="1" t="str">
        <f aca="false">IF(Q696&gt;J696,"Over",IF(Q696&lt;J696,"Under","Push"))</f>
        <v>Over</v>
      </c>
    </row>
    <row r="697" customFormat="false" ht="15" hidden="false" customHeight="false" outlineLevel="0" collapsed="false">
      <c r="A697" s="1" t="s">
        <v>326</v>
      </c>
      <c r="B697" s="1" t="n">
        <v>2012</v>
      </c>
      <c r="C697" s="1" t="s">
        <v>211</v>
      </c>
      <c r="D697" s="1" t="s">
        <v>73</v>
      </c>
      <c r="E697" s="1" t="s">
        <v>77</v>
      </c>
      <c r="F697" s="1" t="n">
        <v>31</v>
      </c>
      <c r="G697" s="1" t="n">
        <v>34</v>
      </c>
      <c r="H697" s="1" t="s">
        <v>78</v>
      </c>
      <c r="I697" s="1" t="n">
        <v>-4</v>
      </c>
      <c r="J697" s="1" t="n">
        <v>49</v>
      </c>
      <c r="K697" s="1" t="s">
        <v>167</v>
      </c>
      <c r="L697" s="1" t="b">
        <f aca="false">FALSE()</f>
        <v>0</v>
      </c>
      <c r="M697" s="1" t="str">
        <f aca="false">VLOOKUP(D697,'Team Reference'!$A:$B,2,FALSE())</f>
        <v>DET</v>
      </c>
      <c r="N697" s="1" t="str">
        <f aca="false">VLOOKUP(E697,'Team Reference'!$A:$B,2,FALSE())</f>
        <v>HOU</v>
      </c>
      <c r="O697" s="1" t="str">
        <f aca="false">IF(F697&gt;G697,M697,IF(G697&gt;F697,N697,"Tie"))</f>
        <v>HOU</v>
      </c>
      <c r="P697" s="1" t="n">
        <f aca="false">F697-G697</f>
        <v>-3</v>
      </c>
      <c r="Q697" s="1" t="n">
        <f aca="false">F697+G697</f>
        <v>65</v>
      </c>
      <c r="R697" s="1" t="str">
        <f aca="false">IF(H697=M697,"Home",IF(H697=N697,"Away",IF(H697="PICK","Pick","N/A")))</f>
        <v>Away</v>
      </c>
      <c r="S697" s="1" t="n">
        <f aca="false">IF(R697="Home",P697,IF(R697="Away",-P697,""))</f>
        <v>3</v>
      </c>
      <c r="T697" s="1" t="str">
        <f aca="false">IF(R697="Pick","No Line",IF(S697="","N/A",IF(S697+I697&gt;0,"Favorite Covered",IF(S697+I697&lt;0,"Underdog Covered","Push"))))</f>
        <v>Underdog Covered</v>
      </c>
      <c r="U697" s="1" t="str">
        <f aca="false">IF(Q697&gt;J697,"Over",IF(Q697&lt;J697,"Under","Push"))</f>
        <v>Over</v>
      </c>
    </row>
    <row r="698" customFormat="false" ht="15" hidden="false" customHeight="false" outlineLevel="0" collapsed="false">
      <c r="A698" s="1" t="s">
        <v>326</v>
      </c>
      <c r="B698" s="1" t="n">
        <v>2012</v>
      </c>
      <c r="C698" s="1" t="s">
        <v>211</v>
      </c>
      <c r="D698" s="1" t="s">
        <v>99</v>
      </c>
      <c r="E698" s="1" t="s">
        <v>93</v>
      </c>
      <c r="F698" s="1" t="n">
        <v>19</v>
      </c>
      <c r="G698" s="1" t="n">
        <v>49</v>
      </c>
      <c r="H698" s="1" t="s">
        <v>94</v>
      </c>
      <c r="I698" s="1" t="n">
        <v>-7</v>
      </c>
      <c r="J698" s="1" t="n">
        <v>48.5</v>
      </c>
      <c r="K698" s="1" t="s">
        <v>149</v>
      </c>
      <c r="L698" s="1" t="b">
        <f aca="false">FALSE()</f>
        <v>0</v>
      </c>
      <c r="M698" s="1" t="str">
        <f aca="false">VLOOKUP(D698,'Team Reference'!$A:$B,2,FALSE())</f>
        <v>NYJ</v>
      </c>
      <c r="N698" s="1" t="str">
        <f aca="false">VLOOKUP(E698,'Team Reference'!$A:$B,2,FALSE())</f>
        <v>NE</v>
      </c>
      <c r="O698" s="1" t="str">
        <f aca="false">IF(F698&gt;G698,M698,IF(G698&gt;F698,N698,"Tie"))</f>
        <v>NE</v>
      </c>
      <c r="P698" s="1" t="n">
        <f aca="false">F698-G698</f>
        <v>-30</v>
      </c>
      <c r="Q698" s="1" t="n">
        <f aca="false">F698+G698</f>
        <v>68</v>
      </c>
      <c r="R698" s="1" t="str">
        <f aca="false">IF(H698=M698,"Home",IF(H698=N698,"Away",IF(H698="PICK","Pick","N/A")))</f>
        <v>Away</v>
      </c>
      <c r="S698" s="1" t="n">
        <f aca="false">IF(R698="Home",P698,IF(R698="Away",-P698,""))</f>
        <v>30</v>
      </c>
      <c r="T698" s="1" t="str">
        <f aca="false">IF(R698="Pick","No Line",IF(S698="","N/A",IF(S698+I698&gt;0,"Favorite Covered",IF(S698+I698&lt;0,"Underdog Covered","Push"))))</f>
        <v>Favorite Covered</v>
      </c>
      <c r="U698" s="1" t="str">
        <f aca="false">IF(Q698&gt;J698,"Over",IF(Q698&lt;J698,"Under","Push"))</f>
        <v>Over</v>
      </c>
    </row>
    <row r="699" customFormat="false" ht="15" hidden="false" customHeight="false" outlineLevel="0" collapsed="false">
      <c r="A699" s="1" t="s">
        <v>327</v>
      </c>
      <c r="B699" s="1" t="n">
        <v>2012</v>
      </c>
      <c r="C699" s="1" t="s">
        <v>211</v>
      </c>
      <c r="D699" s="1" t="s">
        <v>53</v>
      </c>
      <c r="E699" s="1" t="s">
        <v>112</v>
      </c>
      <c r="F699" s="1" t="n">
        <v>17</v>
      </c>
      <c r="G699" s="1" t="n">
        <v>31</v>
      </c>
      <c r="H699" s="1" t="s">
        <v>54</v>
      </c>
      <c r="I699" s="1" t="n">
        <v>-1</v>
      </c>
      <c r="J699" s="1" t="n">
        <v>36.5</v>
      </c>
      <c r="K699" s="1" t="s">
        <v>177</v>
      </c>
      <c r="L699" s="1" t="b">
        <f aca="false">FALSE()</f>
        <v>0</v>
      </c>
      <c r="M699" s="1" t="str">
        <f aca="false">VLOOKUP(D699,'Team Reference'!$A:$B,2,FALSE())</f>
        <v>ARI</v>
      </c>
      <c r="N699" s="1" t="str">
        <f aca="false">VLOOKUP(E699,'Team Reference'!$A:$B,2,FALSE())</f>
        <v>LAR</v>
      </c>
      <c r="O699" s="1" t="str">
        <f aca="false">IF(F699&gt;G699,M699,IF(G699&gt;F699,N699,"Tie"))</f>
        <v>LAR</v>
      </c>
      <c r="P699" s="1" t="n">
        <f aca="false">F699-G699</f>
        <v>-14</v>
      </c>
      <c r="Q699" s="1" t="n">
        <f aca="false">F699+G699</f>
        <v>48</v>
      </c>
      <c r="R699" s="1" t="str">
        <f aca="false">IF(H699=M699,"Home",IF(H699=N699,"Away",IF(H699="PICK","Pick","N/A")))</f>
        <v>Home</v>
      </c>
      <c r="S699" s="1" t="n">
        <f aca="false">IF(R699="Home",P699,IF(R699="Away",-P699,""))</f>
        <v>-14</v>
      </c>
      <c r="T699" s="1" t="str">
        <f aca="false">IF(R699="Pick","No Line",IF(S699="","N/A",IF(S699+I699&gt;0,"Favorite Covered",IF(S699+I699&lt;0,"Underdog Covered","Push"))))</f>
        <v>Underdog Covered</v>
      </c>
      <c r="U699" s="1" t="str">
        <f aca="false">IF(Q699&gt;J699,"Over",IF(Q699&lt;J699,"Under","Push"))</f>
        <v>Over</v>
      </c>
    </row>
    <row r="700" customFormat="false" ht="15" hidden="false" customHeight="false" outlineLevel="0" collapsed="false">
      <c r="A700" s="1" t="s">
        <v>327</v>
      </c>
      <c r="B700" s="1" t="n">
        <v>2012</v>
      </c>
      <c r="C700" s="1" t="s">
        <v>211</v>
      </c>
      <c r="D700" s="1" t="s">
        <v>63</v>
      </c>
      <c r="E700" s="1" t="s">
        <v>91</v>
      </c>
      <c r="F700" s="1" t="n">
        <v>28</v>
      </c>
      <c r="G700" s="1" t="n">
        <v>10</v>
      </c>
      <c r="H700" s="1" t="s">
        <v>64</v>
      </c>
      <c r="I700" s="1" t="n">
        <v>-6.5</v>
      </c>
      <c r="J700" s="1" t="n">
        <v>39</v>
      </c>
      <c r="K700" s="1" t="s">
        <v>145</v>
      </c>
      <c r="L700" s="1" t="b">
        <f aca="false">FALSE()</f>
        <v>0</v>
      </c>
      <c r="M700" s="1" t="str">
        <f aca="false">VLOOKUP(D700,'Team Reference'!$A:$B,2,FALSE())</f>
        <v>CHI</v>
      </c>
      <c r="N700" s="1" t="str">
        <f aca="false">VLOOKUP(E700,'Team Reference'!$A:$B,2,FALSE())</f>
        <v>MIN</v>
      </c>
      <c r="O700" s="1" t="str">
        <f aca="false">IF(F700&gt;G700,M700,IF(G700&gt;F700,N700,"Tie"))</f>
        <v>CHI</v>
      </c>
      <c r="P700" s="1" t="n">
        <f aca="false">F700-G700</f>
        <v>18</v>
      </c>
      <c r="Q700" s="1" t="n">
        <f aca="false">F700+G700</f>
        <v>38</v>
      </c>
      <c r="R700" s="1" t="str">
        <f aca="false">IF(H700=M700,"Home",IF(H700=N700,"Away",IF(H700="PICK","Pick","N/A")))</f>
        <v>Home</v>
      </c>
      <c r="S700" s="1" t="n">
        <f aca="false">IF(R700="Home",P700,IF(R700="Away",-P700,""))</f>
        <v>18</v>
      </c>
      <c r="T700" s="1" t="str">
        <f aca="false">IF(R700="Pick","No Line",IF(S700="","N/A",IF(S700+I700&gt;0,"Favorite Covered",IF(S700+I700&lt;0,"Underdog Covered","Push"))))</f>
        <v>Favorite Covered</v>
      </c>
      <c r="U700" s="1" t="str">
        <f aca="false">IF(Q700&gt;J700,"Over",IF(Q700&lt;J700,"Under","Push"))</f>
        <v>Under</v>
      </c>
    </row>
    <row r="701" customFormat="false" ht="15" hidden="false" customHeight="false" outlineLevel="0" collapsed="false">
      <c r="A701" s="1" t="s">
        <v>327</v>
      </c>
      <c r="B701" s="1" t="n">
        <v>2012</v>
      </c>
      <c r="C701" s="1" t="s">
        <v>211</v>
      </c>
      <c r="D701" s="1" t="s">
        <v>65</v>
      </c>
      <c r="E701" s="1" t="s">
        <v>101</v>
      </c>
      <c r="F701" s="1" t="n">
        <v>34</v>
      </c>
      <c r="G701" s="1" t="n">
        <v>10</v>
      </c>
      <c r="H701" s="1" t="s">
        <v>66</v>
      </c>
      <c r="I701" s="1" t="n">
        <v>-8</v>
      </c>
      <c r="J701" s="1" t="n">
        <v>51</v>
      </c>
      <c r="K701" s="1" t="s">
        <v>163</v>
      </c>
      <c r="L701" s="1" t="b">
        <f aca="false">FALSE()</f>
        <v>0</v>
      </c>
      <c r="M701" s="1" t="str">
        <f aca="false">VLOOKUP(D701,'Team Reference'!$A:$B,2,FALSE())</f>
        <v>CIN</v>
      </c>
      <c r="N701" s="1" t="str">
        <f aca="false">VLOOKUP(E701,'Team Reference'!$A:$B,2,FALSE())</f>
        <v>OAK</v>
      </c>
      <c r="O701" s="1" t="str">
        <f aca="false">IF(F701&gt;G701,M701,IF(G701&gt;F701,N701,"Tie"))</f>
        <v>CIN</v>
      </c>
      <c r="P701" s="1" t="n">
        <f aca="false">F701-G701</f>
        <v>24</v>
      </c>
      <c r="Q701" s="1" t="n">
        <f aca="false">F701+G701</f>
        <v>44</v>
      </c>
      <c r="R701" s="1" t="str">
        <f aca="false">IF(H701=M701,"Home",IF(H701=N701,"Away",IF(H701="PICK","Pick","N/A")))</f>
        <v>Home</v>
      </c>
      <c r="S701" s="1" t="n">
        <f aca="false">IF(R701="Home",P701,IF(R701="Away",-P701,""))</f>
        <v>24</v>
      </c>
      <c r="T701" s="1" t="str">
        <f aca="false">IF(R701="Pick","No Line",IF(S701="","N/A",IF(S701+I701&gt;0,"Favorite Covered",IF(S701+I701&lt;0,"Underdog Covered","Push"))))</f>
        <v>Favorite Covered</v>
      </c>
      <c r="U701" s="1" t="str">
        <f aca="false">IF(Q701&gt;J701,"Over",IF(Q701&lt;J701,"Under","Push"))</f>
        <v>Under</v>
      </c>
    </row>
    <row r="702" customFormat="false" ht="15" hidden="false" customHeight="false" outlineLevel="0" collapsed="false">
      <c r="A702" s="1" t="s">
        <v>327</v>
      </c>
      <c r="B702" s="1" t="n">
        <v>2012</v>
      </c>
      <c r="C702" s="1" t="s">
        <v>211</v>
      </c>
      <c r="D702" s="1" t="s">
        <v>67</v>
      </c>
      <c r="E702" s="1" t="s">
        <v>105</v>
      </c>
      <c r="F702" s="1" t="n">
        <v>20</v>
      </c>
      <c r="G702" s="1" t="n">
        <v>14</v>
      </c>
      <c r="H702" s="1" t="s">
        <v>106</v>
      </c>
      <c r="I702" s="1" t="n">
        <v>-2</v>
      </c>
      <c r="J702" s="1" t="n">
        <v>33.5</v>
      </c>
      <c r="K702" s="1" t="s">
        <v>164</v>
      </c>
      <c r="L702" s="1" t="b">
        <f aca="false">FALSE()</f>
        <v>0</v>
      </c>
      <c r="M702" s="1" t="str">
        <f aca="false">VLOOKUP(D702,'Team Reference'!$A:$B,2,FALSE())</f>
        <v>CLE</v>
      </c>
      <c r="N702" s="1" t="str">
        <f aca="false">VLOOKUP(E702,'Team Reference'!$A:$B,2,FALSE())</f>
        <v>PIT</v>
      </c>
      <c r="O702" s="1" t="str">
        <f aca="false">IF(F702&gt;G702,M702,IF(G702&gt;F702,N702,"Tie"))</f>
        <v>CLE</v>
      </c>
      <c r="P702" s="1" t="n">
        <f aca="false">F702-G702</f>
        <v>6</v>
      </c>
      <c r="Q702" s="1" t="n">
        <f aca="false">F702+G702</f>
        <v>34</v>
      </c>
      <c r="R702" s="1" t="str">
        <f aca="false">IF(H702=M702,"Home",IF(H702=N702,"Away",IF(H702="PICK","Pick","N/A")))</f>
        <v>Away</v>
      </c>
      <c r="S702" s="1" t="n">
        <f aca="false">IF(R702="Home",P702,IF(R702="Away",-P702,""))</f>
        <v>-6</v>
      </c>
      <c r="T702" s="1" t="str">
        <f aca="false">IF(R702="Pick","No Line",IF(S702="","N/A",IF(S702+I702&gt;0,"Favorite Covered",IF(S702+I702&lt;0,"Underdog Covered","Push"))))</f>
        <v>Underdog Covered</v>
      </c>
      <c r="U702" s="1" t="str">
        <f aca="false">IF(Q702&gt;J702,"Over",IF(Q702&lt;J702,"Under","Push"))</f>
        <v>Over</v>
      </c>
    </row>
    <row r="703" customFormat="false" ht="15" hidden="false" customHeight="false" outlineLevel="0" collapsed="false">
      <c r="A703" s="1" t="s">
        <v>327</v>
      </c>
      <c r="B703" s="1" t="n">
        <v>2012</v>
      </c>
      <c r="C703" s="1" t="s">
        <v>211</v>
      </c>
      <c r="D703" s="1" t="s">
        <v>79</v>
      </c>
      <c r="E703" s="1" t="s">
        <v>59</v>
      </c>
      <c r="F703" s="1" t="n">
        <v>20</v>
      </c>
      <c r="G703" s="1" t="n">
        <v>13</v>
      </c>
      <c r="H703" s="1" t="s">
        <v>80</v>
      </c>
      <c r="I703" s="1" t="n">
        <v>-3</v>
      </c>
      <c r="J703" s="1" t="n">
        <v>51.5</v>
      </c>
      <c r="K703" s="1" t="s">
        <v>169</v>
      </c>
      <c r="L703" s="1" t="b">
        <f aca="false">FALSE()</f>
        <v>0</v>
      </c>
      <c r="M703" s="1" t="str">
        <f aca="false">VLOOKUP(D703,'Team Reference'!$A:$B,2,FALSE())</f>
        <v>IND</v>
      </c>
      <c r="N703" s="1" t="str">
        <f aca="false">VLOOKUP(E703,'Team Reference'!$A:$B,2,FALSE())</f>
        <v>BUF</v>
      </c>
      <c r="O703" s="1" t="str">
        <f aca="false">IF(F703&gt;G703,M703,IF(G703&gt;F703,N703,"Tie"))</f>
        <v>IND</v>
      </c>
      <c r="P703" s="1" t="n">
        <f aca="false">F703-G703</f>
        <v>7</v>
      </c>
      <c r="Q703" s="1" t="n">
        <f aca="false">F703+G703</f>
        <v>33</v>
      </c>
      <c r="R703" s="1" t="str">
        <f aca="false">IF(H703=M703,"Home",IF(H703=N703,"Away",IF(H703="PICK","Pick","N/A")))</f>
        <v>Home</v>
      </c>
      <c r="S703" s="1" t="n">
        <f aca="false">IF(R703="Home",P703,IF(R703="Away",-P703,""))</f>
        <v>7</v>
      </c>
      <c r="T703" s="1" t="str">
        <f aca="false">IF(R703="Pick","No Line",IF(S703="","N/A",IF(S703+I703&gt;0,"Favorite Covered",IF(S703+I703&lt;0,"Underdog Covered","Push"))))</f>
        <v>Favorite Covered</v>
      </c>
      <c r="U703" s="1" t="str">
        <f aca="false">IF(Q703&gt;J703,"Over",IF(Q703&lt;J703,"Under","Push"))</f>
        <v>Under</v>
      </c>
    </row>
    <row r="704" customFormat="false" ht="15" hidden="false" customHeight="false" outlineLevel="0" collapsed="false">
      <c r="A704" s="1" t="s">
        <v>327</v>
      </c>
      <c r="B704" s="1" t="n">
        <v>2012</v>
      </c>
      <c r="C704" s="1" t="s">
        <v>211</v>
      </c>
      <c r="D704" s="1" t="s">
        <v>81</v>
      </c>
      <c r="E704" s="1" t="s">
        <v>115</v>
      </c>
      <c r="F704" s="1" t="n">
        <v>24</v>
      </c>
      <c r="G704" s="1" t="n">
        <v>19</v>
      </c>
      <c r="H704" s="1" t="s">
        <v>116</v>
      </c>
      <c r="I704" s="1" t="n">
        <v>-3.5</v>
      </c>
      <c r="J704" s="1" t="n">
        <v>45</v>
      </c>
      <c r="K704" s="1" t="s">
        <v>147</v>
      </c>
      <c r="L704" s="1" t="b">
        <f aca="false">FALSE()</f>
        <v>0</v>
      </c>
      <c r="M704" s="1" t="str">
        <f aca="false">VLOOKUP(D704,'Team Reference'!$A:$B,2,FALSE())</f>
        <v>JAX</v>
      </c>
      <c r="N704" s="1" t="str">
        <f aca="false">VLOOKUP(E704,'Team Reference'!$A:$B,2,FALSE())</f>
        <v>TEN</v>
      </c>
      <c r="O704" s="1" t="str">
        <f aca="false">IF(F704&gt;G704,M704,IF(G704&gt;F704,N704,"Tie"))</f>
        <v>JAX</v>
      </c>
      <c r="P704" s="1" t="n">
        <f aca="false">F704-G704</f>
        <v>5</v>
      </c>
      <c r="Q704" s="1" t="n">
        <f aca="false">F704+G704</f>
        <v>43</v>
      </c>
      <c r="R704" s="1" t="str">
        <f aca="false">IF(H704=M704,"Home",IF(H704=N704,"Away",IF(H704="PICK","Pick","N/A")))</f>
        <v>Away</v>
      </c>
      <c r="S704" s="1" t="n">
        <f aca="false">IF(R704="Home",P704,IF(R704="Away",-P704,""))</f>
        <v>-5</v>
      </c>
      <c r="T704" s="1" t="str">
        <f aca="false">IF(R704="Pick","No Line",IF(S704="","N/A",IF(S704+I704&gt;0,"Favorite Covered",IF(S704+I704&lt;0,"Underdog Covered","Push"))))</f>
        <v>Underdog Covered</v>
      </c>
      <c r="U704" s="1" t="str">
        <f aca="false">IF(Q704&gt;J704,"Over",IF(Q704&lt;J704,"Under","Push"))</f>
        <v>Under</v>
      </c>
    </row>
    <row r="705" customFormat="false" ht="15" hidden="false" customHeight="false" outlineLevel="0" collapsed="false">
      <c r="A705" s="1" t="s">
        <v>327</v>
      </c>
      <c r="B705" s="1" t="n">
        <v>2012</v>
      </c>
      <c r="C705" s="1" t="s">
        <v>211</v>
      </c>
      <c r="D705" s="1" t="s">
        <v>83</v>
      </c>
      <c r="E705" s="1" t="s">
        <v>71</v>
      </c>
      <c r="F705" s="1" t="n">
        <v>9</v>
      </c>
      <c r="G705" s="1" t="n">
        <v>17</v>
      </c>
      <c r="H705" s="1" t="s">
        <v>72</v>
      </c>
      <c r="I705" s="1" t="n">
        <v>-10.5</v>
      </c>
      <c r="J705" s="1" t="n">
        <v>42.5</v>
      </c>
      <c r="K705" s="1" t="s">
        <v>158</v>
      </c>
      <c r="L705" s="1" t="b">
        <f aca="false">FALSE()</f>
        <v>0</v>
      </c>
      <c r="M705" s="1" t="str">
        <f aca="false">VLOOKUP(D705,'Team Reference'!$A:$B,2,FALSE())</f>
        <v>KC</v>
      </c>
      <c r="N705" s="1" t="str">
        <f aca="false">VLOOKUP(E705,'Team Reference'!$A:$B,2,FALSE())</f>
        <v>DEN</v>
      </c>
      <c r="O705" s="1" t="str">
        <f aca="false">IF(F705&gt;G705,M705,IF(G705&gt;F705,N705,"Tie"))</f>
        <v>DEN</v>
      </c>
      <c r="P705" s="1" t="n">
        <f aca="false">F705-G705</f>
        <v>-8</v>
      </c>
      <c r="Q705" s="1" t="n">
        <f aca="false">F705+G705</f>
        <v>26</v>
      </c>
      <c r="R705" s="1" t="str">
        <f aca="false">IF(H705=M705,"Home",IF(H705=N705,"Away",IF(H705="PICK","Pick","N/A")))</f>
        <v>Away</v>
      </c>
      <c r="S705" s="1" t="n">
        <f aca="false">IF(R705="Home",P705,IF(R705="Away",-P705,""))</f>
        <v>8</v>
      </c>
      <c r="T705" s="1" t="str">
        <f aca="false">IF(R705="Pick","No Line",IF(S705="","N/A",IF(S705+I705&gt;0,"Favorite Covered",IF(S705+I705&lt;0,"Underdog Covered","Push"))))</f>
        <v>Underdog Covered</v>
      </c>
      <c r="U705" s="1" t="str">
        <f aca="false">IF(Q705&gt;J705,"Over",IF(Q705&lt;J705,"Under","Push"))</f>
        <v>Under</v>
      </c>
    </row>
    <row r="706" customFormat="false" ht="15" hidden="false" customHeight="false" outlineLevel="0" collapsed="false">
      <c r="A706" s="1" t="s">
        <v>327</v>
      </c>
      <c r="B706" s="1" t="n">
        <v>2012</v>
      </c>
      <c r="C706" s="1" t="s">
        <v>211</v>
      </c>
      <c r="D706" s="1" t="s">
        <v>89</v>
      </c>
      <c r="E706" s="1" t="s">
        <v>110</v>
      </c>
      <c r="F706" s="1" t="n">
        <v>24</v>
      </c>
      <c r="G706" s="1" t="n">
        <v>21</v>
      </c>
      <c r="H706" s="1" t="s">
        <v>111</v>
      </c>
      <c r="I706" s="1" t="n">
        <v>-3</v>
      </c>
      <c r="J706" s="1" t="n">
        <v>38</v>
      </c>
      <c r="K706" s="1" t="s">
        <v>179</v>
      </c>
      <c r="L706" s="1" t="b">
        <f aca="false">FALSE()</f>
        <v>0</v>
      </c>
      <c r="M706" s="1" t="str">
        <f aca="false">VLOOKUP(D706,'Team Reference'!$A:$B,2,FALSE())</f>
        <v>MIA</v>
      </c>
      <c r="N706" s="1" t="str">
        <f aca="false">VLOOKUP(E706,'Team Reference'!$A:$B,2,FALSE())</f>
        <v>SEA</v>
      </c>
      <c r="O706" s="1" t="str">
        <f aca="false">IF(F706&gt;G706,M706,IF(G706&gt;F706,N706,"Tie"))</f>
        <v>MIA</v>
      </c>
      <c r="P706" s="1" t="n">
        <f aca="false">F706-G706</f>
        <v>3</v>
      </c>
      <c r="Q706" s="1" t="n">
        <f aca="false">F706+G706</f>
        <v>45</v>
      </c>
      <c r="R706" s="1" t="str">
        <f aca="false">IF(H706=M706,"Home",IF(H706=N706,"Away",IF(H706="PICK","Pick","N/A")))</f>
        <v>Away</v>
      </c>
      <c r="S706" s="1" t="n">
        <f aca="false">IF(R706="Home",P706,IF(R706="Away",-P706,""))</f>
        <v>-3</v>
      </c>
      <c r="T706" s="1" t="str">
        <f aca="false">IF(R706="Pick","No Line",IF(S706="","N/A",IF(S706+I706&gt;0,"Favorite Covered",IF(S706+I706&lt;0,"Underdog Covered","Push"))))</f>
        <v>Underdog Covered</v>
      </c>
      <c r="U706" s="1" t="str">
        <f aca="false">IF(Q706&gt;J706,"Over",IF(Q706&lt;J706,"Under","Push"))</f>
        <v>Over</v>
      </c>
    </row>
    <row r="707" customFormat="false" ht="15" hidden="false" customHeight="false" outlineLevel="0" collapsed="false">
      <c r="A707" s="1" t="s">
        <v>327</v>
      </c>
      <c r="B707" s="1" t="n">
        <v>2012</v>
      </c>
      <c r="C707" s="1" t="s">
        <v>211</v>
      </c>
      <c r="D707" s="1" t="s">
        <v>95</v>
      </c>
      <c r="E707" s="1" t="s">
        <v>108</v>
      </c>
      <c r="F707" s="1" t="n">
        <v>21</v>
      </c>
      <c r="G707" s="1" t="n">
        <v>31</v>
      </c>
      <c r="H707" s="1" t="s">
        <v>109</v>
      </c>
      <c r="I707" s="1" t="n">
        <v>-1.5</v>
      </c>
      <c r="J707" s="1" t="n">
        <v>50</v>
      </c>
      <c r="K707" s="1" t="s">
        <v>142</v>
      </c>
      <c r="L707" s="1" t="b">
        <f aca="false">FALSE()</f>
        <v>0</v>
      </c>
      <c r="M707" s="1" t="str">
        <f aca="false">VLOOKUP(D707,'Team Reference'!$A:$B,2,FALSE())</f>
        <v>NO</v>
      </c>
      <c r="N707" s="1" t="str">
        <f aca="false">VLOOKUP(E707,'Team Reference'!$A:$B,2,FALSE())</f>
        <v>SF</v>
      </c>
      <c r="O707" s="1" t="str">
        <f aca="false">IF(F707&gt;G707,M707,IF(G707&gt;F707,N707,"Tie"))</f>
        <v>SF</v>
      </c>
      <c r="P707" s="1" t="n">
        <f aca="false">F707-G707</f>
        <v>-10</v>
      </c>
      <c r="Q707" s="1" t="n">
        <f aca="false">F707+G707</f>
        <v>52</v>
      </c>
      <c r="R707" s="1" t="str">
        <f aca="false">IF(H707=M707,"Home",IF(H707=N707,"Away",IF(H707="PICK","Pick","N/A")))</f>
        <v>Away</v>
      </c>
      <c r="S707" s="1" t="n">
        <f aca="false">IF(R707="Home",P707,IF(R707="Away",-P707,""))</f>
        <v>10</v>
      </c>
      <c r="T707" s="1" t="str">
        <f aca="false">IF(R707="Pick","No Line",IF(S707="","N/A",IF(S707+I707&gt;0,"Favorite Covered",IF(S707+I707&lt;0,"Underdog Covered","Push"))))</f>
        <v>Favorite Covered</v>
      </c>
      <c r="U707" s="1" t="str">
        <f aca="false">IF(Q707&gt;J707,"Over",IF(Q707&lt;J707,"Under","Push"))</f>
        <v>Over</v>
      </c>
    </row>
    <row r="708" customFormat="false" ht="15" hidden="false" customHeight="false" outlineLevel="0" collapsed="false">
      <c r="A708" s="1" t="s">
        <v>327</v>
      </c>
      <c r="B708" s="1" t="n">
        <v>2012</v>
      </c>
      <c r="C708" s="1" t="s">
        <v>211</v>
      </c>
      <c r="D708" s="1" t="s">
        <v>97</v>
      </c>
      <c r="E708" s="1" t="s">
        <v>75</v>
      </c>
      <c r="F708" s="1" t="n">
        <v>38</v>
      </c>
      <c r="G708" s="1" t="n">
        <v>10</v>
      </c>
      <c r="H708" s="1" t="s">
        <v>98</v>
      </c>
      <c r="I708" s="1" t="n">
        <v>-2.5</v>
      </c>
      <c r="J708" s="1" t="n">
        <v>51.5</v>
      </c>
      <c r="K708" s="1" t="s">
        <v>149</v>
      </c>
      <c r="L708" s="1" t="b">
        <f aca="false">FALSE()</f>
        <v>0</v>
      </c>
      <c r="M708" s="1" t="str">
        <f aca="false">VLOOKUP(D708,'Team Reference'!$A:$B,2,FALSE())</f>
        <v>NYG</v>
      </c>
      <c r="N708" s="1" t="str">
        <f aca="false">VLOOKUP(E708,'Team Reference'!$A:$B,2,FALSE())</f>
        <v>GB</v>
      </c>
      <c r="O708" s="1" t="str">
        <f aca="false">IF(F708&gt;G708,M708,IF(G708&gt;F708,N708,"Tie"))</f>
        <v>NYG</v>
      </c>
      <c r="P708" s="1" t="n">
        <f aca="false">F708-G708</f>
        <v>28</v>
      </c>
      <c r="Q708" s="1" t="n">
        <f aca="false">F708+G708</f>
        <v>48</v>
      </c>
      <c r="R708" s="1" t="str">
        <f aca="false">IF(H708=M708,"Home",IF(H708=N708,"Away",IF(H708="PICK","Pick","N/A")))</f>
        <v>Home</v>
      </c>
      <c r="S708" s="1" t="n">
        <f aca="false">IF(R708="Home",P708,IF(R708="Away",-P708,""))</f>
        <v>28</v>
      </c>
      <c r="T708" s="1" t="str">
        <f aca="false">IF(R708="Pick","No Line",IF(S708="","N/A",IF(S708+I708&gt;0,"Favorite Covered",IF(S708+I708&lt;0,"Underdog Covered","Push"))))</f>
        <v>Favorite Covered</v>
      </c>
      <c r="U708" s="1" t="str">
        <f aca="false">IF(Q708&gt;J708,"Over",IF(Q708&lt;J708,"Under","Push"))</f>
        <v>Under</v>
      </c>
    </row>
    <row r="709" customFormat="false" ht="15" hidden="false" customHeight="false" outlineLevel="0" collapsed="false">
      <c r="A709" s="1" t="s">
        <v>327</v>
      </c>
      <c r="B709" s="1" t="n">
        <v>2012</v>
      </c>
      <c r="C709" s="1" t="s">
        <v>211</v>
      </c>
      <c r="D709" s="1" t="s">
        <v>107</v>
      </c>
      <c r="E709" s="1" t="s">
        <v>57</v>
      </c>
      <c r="F709" s="1" t="n">
        <v>13</v>
      </c>
      <c r="G709" s="1" t="n">
        <v>16</v>
      </c>
      <c r="H709" s="1" t="s">
        <v>58</v>
      </c>
      <c r="I709" s="1" t="n">
        <v>-1</v>
      </c>
      <c r="J709" s="1" t="n">
        <v>47</v>
      </c>
      <c r="K709" s="1" t="s">
        <v>172</v>
      </c>
      <c r="L709" s="1" t="b">
        <f aca="false">FALSE()</f>
        <v>0</v>
      </c>
      <c r="M709" s="1" t="str">
        <f aca="false">VLOOKUP(D709,'Team Reference'!$A:$B,2,FALSE())</f>
        <v>LAC</v>
      </c>
      <c r="N709" s="1" t="str">
        <f aca="false">VLOOKUP(E709,'Team Reference'!$A:$B,2,FALSE())</f>
        <v>BAL</v>
      </c>
      <c r="O709" s="1" t="str">
        <f aca="false">IF(F709&gt;G709,M709,IF(G709&gt;F709,N709,"Tie"))</f>
        <v>BAL</v>
      </c>
      <c r="P709" s="1" t="n">
        <f aca="false">F709-G709</f>
        <v>-3</v>
      </c>
      <c r="Q709" s="1" t="n">
        <f aca="false">F709+G709</f>
        <v>29</v>
      </c>
      <c r="R709" s="1" t="str">
        <f aca="false">IF(H709=M709,"Home",IF(H709=N709,"Away",IF(H709="PICK","Pick","N/A")))</f>
        <v>Away</v>
      </c>
      <c r="S709" s="1" t="n">
        <f aca="false">IF(R709="Home",P709,IF(R709="Away",-P709,""))</f>
        <v>3</v>
      </c>
      <c r="T709" s="1" t="str">
        <f aca="false">IF(R709="Pick","No Line",IF(S709="","N/A",IF(S709+I709&gt;0,"Favorite Covered",IF(S709+I709&lt;0,"Underdog Covered","Push"))))</f>
        <v>Favorite Covered</v>
      </c>
      <c r="U709" s="1" t="str">
        <f aca="false">IF(Q709&gt;J709,"Over",IF(Q709&lt;J709,"Under","Push"))</f>
        <v>Under</v>
      </c>
    </row>
    <row r="710" customFormat="false" ht="15" hidden="false" customHeight="false" outlineLevel="0" collapsed="false">
      <c r="A710" s="1" t="s">
        <v>327</v>
      </c>
      <c r="B710" s="1" t="n">
        <v>2012</v>
      </c>
      <c r="C710" s="1" t="s">
        <v>211</v>
      </c>
      <c r="D710" s="1" t="s">
        <v>113</v>
      </c>
      <c r="E710" s="1" t="s">
        <v>55</v>
      </c>
      <c r="F710" s="1" t="n">
        <v>23</v>
      </c>
      <c r="G710" s="1" t="n">
        <v>24</v>
      </c>
      <c r="H710" s="1" t="s">
        <v>56</v>
      </c>
      <c r="I710" s="1" t="n">
        <v>-1.5</v>
      </c>
      <c r="J710" s="1" t="n">
        <v>51.5</v>
      </c>
      <c r="K710" s="1" t="s">
        <v>154</v>
      </c>
      <c r="L710" s="1" t="b">
        <f aca="false">FALSE()</f>
        <v>0</v>
      </c>
      <c r="M710" s="1" t="str">
        <f aca="false">VLOOKUP(D710,'Team Reference'!$A:$B,2,FALSE())</f>
        <v>TB</v>
      </c>
      <c r="N710" s="1" t="str">
        <f aca="false">VLOOKUP(E710,'Team Reference'!$A:$B,2,FALSE())</f>
        <v>ATL</v>
      </c>
      <c r="O710" s="1" t="str">
        <f aca="false">IF(F710&gt;G710,M710,IF(G710&gt;F710,N710,"Tie"))</f>
        <v>ATL</v>
      </c>
      <c r="P710" s="1" t="n">
        <f aca="false">F710-G710</f>
        <v>-1</v>
      </c>
      <c r="Q710" s="1" t="n">
        <f aca="false">F710+G710</f>
        <v>47</v>
      </c>
      <c r="R710" s="1" t="str">
        <f aca="false">IF(H710=M710,"Home",IF(H710=N710,"Away",IF(H710="PICK","Pick","N/A")))</f>
        <v>Away</v>
      </c>
      <c r="S710" s="1" t="n">
        <f aca="false">IF(R710="Home",P710,IF(R710="Away",-P710,""))</f>
        <v>1</v>
      </c>
      <c r="T710" s="1" t="str">
        <f aca="false">IF(R710="Pick","No Line",IF(S710="","N/A",IF(S710+I710&gt;0,"Favorite Covered",IF(S710+I710&lt;0,"Underdog Covered","Push"))))</f>
        <v>Underdog Covered</v>
      </c>
      <c r="U710" s="1" t="str">
        <f aca="false">IF(Q710&gt;J710,"Over",IF(Q710&lt;J710,"Under","Push"))</f>
        <v>Under</v>
      </c>
    </row>
    <row r="711" customFormat="false" ht="15" hidden="false" customHeight="false" outlineLevel="0" collapsed="false">
      <c r="A711" s="1" t="s">
        <v>328</v>
      </c>
      <c r="B711" s="1" t="n">
        <v>2012</v>
      </c>
      <c r="C711" s="1" t="s">
        <v>211</v>
      </c>
      <c r="D711" s="1" t="s">
        <v>103</v>
      </c>
      <c r="E711" s="1" t="s">
        <v>61</v>
      </c>
      <c r="F711" s="1" t="n">
        <v>22</v>
      </c>
      <c r="G711" s="1" t="n">
        <v>30</v>
      </c>
      <c r="H711" s="1" t="s">
        <v>62</v>
      </c>
      <c r="I711" s="1" t="n">
        <v>-3</v>
      </c>
      <c r="J711" s="1" t="n">
        <v>42</v>
      </c>
      <c r="K711" s="1" t="s">
        <v>150</v>
      </c>
      <c r="L711" s="1" t="b">
        <f aca="false">FALSE()</f>
        <v>0</v>
      </c>
      <c r="M711" s="1" t="str">
        <f aca="false">VLOOKUP(D711,'Team Reference'!$A:$B,2,FALSE())</f>
        <v>PHI</v>
      </c>
      <c r="N711" s="1" t="str">
        <f aca="false">VLOOKUP(E711,'Team Reference'!$A:$B,2,FALSE())</f>
        <v>CAR</v>
      </c>
      <c r="O711" s="1" t="str">
        <f aca="false">IF(F711&gt;G711,M711,IF(G711&gt;F711,N711,"Tie"))</f>
        <v>CAR</v>
      </c>
      <c r="P711" s="1" t="n">
        <f aca="false">F711-G711</f>
        <v>-8</v>
      </c>
      <c r="Q711" s="1" t="n">
        <f aca="false">F711+G711</f>
        <v>52</v>
      </c>
      <c r="R711" s="1" t="str">
        <f aca="false">IF(H711=M711,"Home",IF(H711=N711,"Away",IF(H711="PICK","Pick","N/A")))</f>
        <v>Away</v>
      </c>
      <c r="S711" s="1" t="n">
        <f aca="false">IF(R711="Home",P711,IF(R711="Away",-P711,""))</f>
        <v>8</v>
      </c>
      <c r="T711" s="1" t="str">
        <f aca="false">IF(R711="Pick","No Line",IF(S711="","N/A",IF(S711+I711&gt;0,"Favorite Covered",IF(S711+I711&lt;0,"Underdog Covered","Push"))))</f>
        <v>Favorite Covered</v>
      </c>
      <c r="U711" s="1" t="str">
        <f aca="false">IF(Q711&gt;J711,"Over",IF(Q711&lt;J711,"Under","Push"))</f>
        <v>Over</v>
      </c>
    </row>
    <row r="712" customFormat="false" ht="15" hidden="false" customHeight="false" outlineLevel="0" collapsed="false">
      <c r="A712" s="1" t="s">
        <v>329</v>
      </c>
      <c r="B712" s="1" t="n">
        <v>2012</v>
      </c>
      <c r="C712" s="1" t="s">
        <v>215</v>
      </c>
      <c r="D712" s="1" t="s">
        <v>55</v>
      </c>
      <c r="E712" s="1" t="s">
        <v>95</v>
      </c>
      <c r="F712" s="1" t="n">
        <v>23</v>
      </c>
      <c r="G712" s="1" t="n">
        <v>13</v>
      </c>
      <c r="H712" s="1" t="s">
        <v>56</v>
      </c>
      <c r="I712" s="1" t="n">
        <v>-3.5</v>
      </c>
      <c r="J712" s="1" t="n">
        <v>55</v>
      </c>
      <c r="K712" s="1" t="s">
        <v>161</v>
      </c>
      <c r="L712" s="1" t="b">
        <f aca="false">FALSE()</f>
        <v>0</v>
      </c>
      <c r="M712" s="1" t="str">
        <f aca="false">VLOOKUP(D712,'Team Reference'!$A:$B,2,FALSE())</f>
        <v>ATL</v>
      </c>
      <c r="N712" s="1" t="str">
        <f aca="false">VLOOKUP(E712,'Team Reference'!$A:$B,2,FALSE())</f>
        <v>NO</v>
      </c>
      <c r="O712" s="1" t="str">
        <f aca="false">IF(F712&gt;G712,M712,IF(G712&gt;F712,N712,"Tie"))</f>
        <v>ATL</v>
      </c>
      <c r="P712" s="1" t="n">
        <f aca="false">F712-G712</f>
        <v>10</v>
      </c>
      <c r="Q712" s="1" t="n">
        <f aca="false">F712+G712</f>
        <v>36</v>
      </c>
      <c r="R712" s="1" t="str">
        <f aca="false">IF(H712=M712,"Home",IF(H712=N712,"Away",IF(H712="PICK","Pick","N/A")))</f>
        <v>Home</v>
      </c>
      <c r="S712" s="1" t="n">
        <f aca="false">IF(R712="Home",P712,IF(R712="Away",-P712,""))</f>
        <v>10</v>
      </c>
      <c r="T712" s="1" t="str">
        <f aca="false">IF(R712="Pick","No Line",IF(S712="","N/A",IF(S712+I712&gt;0,"Favorite Covered",IF(S712+I712&lt;0,"Underdog Covered","Push"))))</f>
        <v>Favorite Covered</v>
      </c>
      <c r="U712" s="1" t="str">
        <f aca="false">IF(Q712&gt;J712,"Over",IF(Q712&lt;J712,"Under","Push"))</f>
        <v>Under</v>
      </c>
    </row>
    <row r="713" customFormat="false" ht="15" hidden="false" customHeight="false" outlineLevel="0" collapsed="false">
      <c r="A713" s="1" t="s">
        <v>330</v>
      </c>
      <c r="B713" s="1" t="n">
        <v>2012</v>
      </c>
      <c r="C713" s="1" t="s">
        <v>215</v>
      </c>
      <c r="D713" s="1" t="s">
        <v>57</v>
      </c>
      <c r="E713" s="1" t="s">
        <v>105</v>
      </c>
      <c r="F713" s="1" t="n">
        <v>20</v>
      </c>
      <c r="G713" s="1" t="n">
        <v>23</v>
      </c>
      <c r="H713" s="1" t="s">
        <v>58</v>
      </c>
      <c r="I713" s="1" t="n">
        <v>-7.5</v>
      </c>
      <c r="J713" s="1" t="n">
        <v>36.5</v>
      </c>
      <c r="K713" s="1" t="s">
        <v>178</v>
      </c>
      <c r="L713" s="1" t="b">
        <f aca="false">FALSE()</f>
        <v>0</v>
      </c>
      <c r="M713" s="1" t="str">
        <f aca="false">VLOOKUP(D713,'Team Reference'!$A:$B,2,FALSE())</f>
        <v>BAL</v>
      </c>
      <c r="N713" s="1" t="str">
        <f aca="false">VLOOKUP(E713,'Team Reference'!$A:$B,2,FALSE())</f>
        <v>PIT</v>
      </c>
      <c r="O713" s="1" t="str">
        <f aca="false">IF(F713&gt;G713,M713,IF(G713&gt;F713,N713,"Tie"))</f>
        <v>PIT</v>
      </c>
      <c r="P713" s="1" t="n">
        <f aca="false">F713-G713</f>
        <v>-3</v>
      </c>
      <c r="Q713" s="1" t="n">
        <f aca="false">F713+G713</f>
        <v>43</v>
      </c>
      <c r="R713" s="1" t="str">
        <f aca="false">IF(H713=M713,"Home",IF(H713=N713,"Away",IF(H713="PICK","Pick","N/A")))</f>
        <v>Home</v>
      </c>
      <c r="S713" s="1" t="n">
        <f aca="false">IF(R713="Home",P713,IF(R713="Away",-P713,""))</f>
        <v>-3</v>
      </c>
      <c r="T713" s="1" t="str">
        <f aca="false">IF(R713="Pick","No Line",IF(S713="","N/A",IF(S713+I713&gt;0,"Favorite Covered",IF(S713+I713&lt;0,"Underdog Covered","Push"))))</f>
        <v>Underdog Covered</v>
      </c>
      <c r="U713" s="1" t="str">
        <f aca="false">IF(Q713&gt;J713,"Over",IF(Q713&lt;J713,"Under","Push"))</f>
        <v>Over</v>
      </c>
    </row>
    <row r="714" customFormat="false" ht="15" hidden="false" customHeight="false" outlineLevel="0" collapsed="false">
      <c r="A714" s="1" t="s">
        <v>330</v>
      </c>
      <c r="B714" s="1" t="n">
        <v>2012</v>
      </c>
      <c r="C714" s="1" t="s">
        <v>215</v>
      </c>
      <c r="D714" s="1" t="s">
        <v>59</v>
      </c>
      <c r="E714" s="1" t="s">
        <v>81</v>
      </c>
      <c r="F714" s="1" t="n">
        <v>34</v>
      </c>
      <c r="G714" s="1" t="n">
        <v>18</v>
      </c>
      <c r="H714" s="1" t="s">
        <v>60</v>
      </c>
      <c r="I714" s="1" t="n">
        <v>-6</v>
      </c>
      <c r="J714" s="1" t="n">
        <v>42</v>
      </c>
      <c r="K714" s="1" t="s">
        <v>144</v>
      </c>
      <c r="L714" s="1" t="b">
        <f aca="false">FALSE()</f>
        <v>0</v>
      </c>
      <c r="M714" s="1" t="str">
        <f aca="false">VLOOKUP(D714,'Team Reference'!$A:$B,2,FALSE())</f>
        <v>BUF</v>
      </c>
      <c r="N714" s="1" t="str">
        <f aca="false">VLOOKUP(E714,'Team Reference'!$A:$B,2,FALSE())</f>
        <v>JAX</v>
      </c>
      <c r="O714" s="1" t="str">
        <f aca="false">IF(F714&gt;G714,M714,IF(G714&gt;F714,N714,"Tie"))</f>
        <v>BUF</v>
      </c>
      <c r="P714" s="1" t="n">
        <f aca="false">F714-G714</f>
        <v>16</v>
      </c>
      <c r="Q714" s="1" t="n">
        <f aca="false">F714+G714</f>
        <v>52</v>
      </c>
      <c r="R714" s="1" t="str">
        <f aca="false">IF(H714=M714,"Home",IF(H714=N714,"Away",IF(H714="PICK","Pick","N/A")))</f>
        <v>Home</v>
      </c>
      <c r="S714" s="1" t="n">
        <f aca="false">IF(R714="Home",P714,IF(R714="Away",-P714,""))</f>
        <v>16</v>
      </c>
      <c r="T714" s="1" t="str">
        <f aca="false">IF(R714="Pick","No Line",IF(S714="","N/A",IF(S714+I714&gt;0,"Favorite Covered",IF(S714+I714&lt;0,"Underdog Covered","Push"))))</f>
        <v>Favorite Covered</v>
      </c>
      <c r="U714" s="1" t="str">
        <f aca="false">IF(Q714&gt;J714,"Over",IF(Q714&lt;J714,"Under","Push"))</f>
        <v>Over</v>
      </c>
    </row>
    <row r="715" customFormat="false" ht="15" hidden="false" customHeight="false" outlineLevel="0" collapsed="false">
      <c r="A715" s="1" t="s">
        <v>330</v>
      </c>
      <c r="B715" s="1" t="n">
        <v>2012</v>
      </c>
      <c r="C715" s="1" t="s">
        <v>215</v>
      </c>
      <c r="D715" s="1" t="s">
        <v>63</v>
      </c>
      <c r="E715" s="1" t="s">
        <v>110</v>
      </c>
      <c r="F715" s="1" t="n">
        <v>17</v>
      </c>
      <c r="G715" s="1" t="n">
        <v>23</v>
      </c>
      <c r="H715" s="1" t="s">
        <v>64</v>
      </c>
      <c r="I715" s="1" t="n">
        <v>-3.5</v>
      </c>
      <c r="J715" s="1" t="n">
        <v>37</v>
      </c>
      <c r="K715" s="1" t="s">
        <v>145</v>
      </c>
      <c r="L715" s="1" t="b">
        <f aca="false">FALSE()</f>
        <v>0</v>
      </c>
      <c r="M715" s="1" t="str">
        <f aca="false">VLOOKUP(D715,'Team Reference'!$A:$B,2,FALSE())</f>
        <v>CHI</v>
      </c>
      <c r="N715" s="1" t="str">
        <f aca="false">VLOOKUP(E715,'Team Reference'!$A:$B,2,FALSE())</f>
        <v>SEA</v>
      </c>
      <c r="O715" s="1" t="str">
        <f aca="false">IF(F715&gt;G715,M715,IF(G715&gt;F715,N715,"Tie"))</f>
        <v>SEA</v>
      </c>
      <c r="P715" s="1" t="n">
        <f aca="false">F715-G715</f>
        <v>-6</v>
      </c>
      <c r="Q715" s="1" t="n">
        <f aca="false">F715+G715</f>
        <v>40</v>
      </c>
      <c r="R715" s="1" t="str">
        <f aca="false">IF(H715=M715,"Home",IF(H715=N715,"Away",IF(H715="PICK","Pick","N/A")))</f>
        <v>Home</v>
      </c>
      <c r="S715" s="1" t="n">
        <f aca="false">IF(R715="Home",P715,IF(R715="Away",-P715,""))</f>
        <v>-6</v>
      </c>
      <c r="T715" s="1" t="str">
        <f aca="false">IF(R715="Pick","No Line",IF(S715="","N/A",IF(S715+I715&gt;0,"Favorite Covered",IF(S715+I715&lt;0,"Underdog Covered","Push"))))</f>
        <v>Underdog Covered</v>
      </c>
      <c r="U715" s="1" t="str">
        <f aca="false">IF(Q715&gt;J715,"Over",IF(Q715&lt;J715,"Under","Push"))</f>
        <v>Over</v>
      </c>
    </row>
    <row r="716" customFormat="false" ht="15" hidden="false" customHeight="false" outlineLevel="0" collapsed="false">
      <c r="A716" s="1" t="s">
        <v>330</v>
      </c>
      <c r="B716" s="1" t="n">
        <v>2012</v>
      </c>
      <c r="C716" s="1" t="s">
        <v>215</v>
      </c>
      <c r="D716" s="1" t="s">
        <v>69</v>
      </c>
      <c r="E716" s="1" t="s">
        <v>103</v>
      </c>
      <c r="F716" s="1" t="n">
        <v>38</v>
      </c>
      <c r="G716" s="1" t="n">
        <v>33</v>
      </c>
      <c r="H716" s="1" t="s">
        <v>70</v>
      </c>
      <c r="I716" s="1" t="n">
        <v>-10.5</v>
      </c>
      <c r="J716" s="1" t="n">
        <v>44</v>
      </c>
      <c r="K716" s="1" t="s">
        <v>165</v>
      </c>
      <c r="L716" s="1" t="b">
        <f aca="false">FALSE()</f>
        <v>0</v>
      </c>
      <c r="M716" s="1" t="str">
        <f aca="false">VLOOKUP(D716,'Team Reference'!$A:$B,2,FALSE())</f>
        <v>DAL</v>
      </c>
      <c r="N716" s="1" t="str">
        <f aca="false">VLOOKUP(E716,'Team Reference'!$A:$B,2,FALSE())</f>
        <v>PHI</v>
      </c>
      <c r="O716" s="1" t="str">
        <f aca="false">IF(F716&gt;G716,M716,IF(G716&gt;F716,N716,"Tie"))</f>
        <v>DAL</v>
      </c>
      <c r="P716" s="1" t="n">
        <f aca="false">F716-G716</f>
        <v>5</v>
      </c>
      <c r="Q716" s="1" t="n">
        <f aca="false">F716+G716</f>
        <v>71</v>
      </c>
      <c r="R716" s="1" t="str">
        <f aca="false">IF(H716=M716,"Home",IF(H716=N716,"Away",IF(H716="PICK","Pick","N/A")))</f>
        <v>Home</v>
      </c>
      <c r="S716" s="1" t="n">
        <f aca="false">IF(R716="Home",P716,IF(R716="Away",-P716,""))</f>
        <v>5</v>
      </c>
      <c r="T716" s="1" t="str">
        <f aca="false">IF(R716="Pick","No Line",IF(S716="","N/A",IF(S716+I716&gt;0,"Favorite Covered",IF(S716+I716&lt;0,"Underdog Covered","Push"))))</f>
        <v>Underdog Covered</v>
      </c>
      <c r="U716" s="1" t="str">
        <f aca="false">IF(Q716&gt;J716,"Over",IF(Q716&lt;J716,"Under","Push"))</f>
        <v>Over</v>
      </c>
    </row>
    <row r="717" customFormat="false" ht="15" hidden="false" customHeight="false" outlineLevel="0" collapsed="false">
      <c r="A717" s="1" t="s">
        <v>330</v>
      </c>
      <c r="B717" s="1" t="n">
        <v>2012</v>
      </c>
      <c r="C717" s="1" t="s">
        <v>215</v>
      </c>
      <c r="D717" s="1" t="s">
        <v>71</v>
      </c>
      <c r="E717" s="1" t="s">
        <v>113</v>
      </c>
      <c r="F717" s="1" t="n">
        <v>31</v>
      </c>
      <c r="G717" s="1" t="n">
        <v>23</v>
      </c>
      <c r="H717" s="1" t="s">
        <v>72</v>
      </c>
      <c r="I717" s="1" t="n">
        <v>-7.5</v>
      </c>
      <c r="J717" s="1" t="n">
        <v>50</v>
      </c>
      <c r="K717" s="1" t="s">
        <v>166</v>
      </c>
      <c r="L717" s="1" t="b">
        <f aca="false">FALSE()</f>
        <v>0</v>
      </c>
      <c r="M717" s="1" t="str">
        <f aca="false">VLOOKUP(D717,'Team Reference'!$A:$B,2,FALSE())</f>
        <v>DEN</v>
      </c>
      <c r="N717" s="1" t="str">
        <f aca="false">VLOOKUP(E717,'Team Reference'!$A:$B,2,FALSE())</f>
        <v>TB</v>
      </c>
      <c r="O717" s="1" t="str">
        <f aca="false">IF(F717&gt;G717,M717,IF(G717&gt;F717,N717,"Tie"))</f>
        <v>DEN</v>
      </c>
      <c r="P717" s="1" t="n">
        <f aca="false">F717-G717</f>
        <v>8</v>
      </c>
      <c r="Q717" s="1" t="n">
        <f aca="false">F717+G717</f>
        <v>54</v>
      </c>
      <c r="R717" s="1" t="str">
        <f aca="false">IF(H717=M717,"Home",IF(H717=N717,"Away",IF(H717="PICK","Pick","N/A")))</f>
        <v>Home</v>
      </c>
      <c r="S717" s="1" t="n">
        <f aca="false">IF(R717="Home",P717,IF(R717="Away",-P717,""))</f>
        <v>8</v>
      </c>
      <c r="T717" s="1" t="str">
        <f aca="false">IF(R717="Pick","No Line",IF(S717="","N/A",IF(S717+I717&gt;0,"Favorite Covered",IF(S717+I717&lt;0,"Underdog Covered","Push"))))</f>
        <v>Favorite Covered</v>
      </c>
      <c r="U717" s="1" t="str">
        <f aca="false">IF(Q717&gt;J717,"Over",IF(Q717&lt;J717,"Under","Push"))</f>
        <v>Over</v>
      </c>
    </row>
    <row r="718" customFormat="false" ht="15" hidden="false" customHeight="false" outlineLevel="0" collapsed="false">
      <c r="A718" s="1" t="s">
        <v>330</v>
      </c>
      <c r="B718" s="1" t="n">
        <v>2012</v>
      </c>
      <c r="C718" s="1" t="s">
        <v>215</v>
      </c>
      <c r="D718" s="1" t="s">
        <v>73</v>
      </c>
      <c r="E718" s="1" t="s">
        <v>79</v>
      </c>
      <c r="F718" s="1" t="n">
        <v>33</v>
      </c>
      <c r="G718" s="1" t="n">
        <v>35</v>
      </c>
      <c r="H718" s="1" t="s">
        <v>74</v>
      </c>
      <c r="I718" s="1" t="n">
        <v>-7</v>
      </c>
      <c r="J718" s="1" t="n">
        <v>51</v>
      </c>
      <c r="K718" s="1" t="s">
        <v>167</v>
      </c>
      <c r="L718" s="1" t="b">
        <f aca="false">FALSE()</f>
        <v>0</v>
      </c>
      <c r="M718" s="1" t="str">
        <f aca="false">VLOOKUP(D718,'Team Reference'!$A:$B,2,FALSE())</f>
        <v>DET</v>
      </c>
      <c r="N718" s="1" t="str">
        <f aca="false">VLOOKUP(E718,'Team Reference'!$A:$B,2,FALSE())</f>
        <v>IND</v>
      </c>
      <c r="O718" s="1" t="str">
        <f aca="false">IF(F718&gt;G718,M718,IF(G718&gt;F718,N718,"Tie"))</f>
        <v>IND</v>
      </c>
      <c r="P718" s="1" t="n">
        <f aca="false">F718-G718</f>
        <v>-2</v>
      </c>
      <c r="Q718" s="1" t="n">
        <f aca="false">F718+G718</f>
        <v>68</v>
      </c>
      <c r="R718" s="1" t="str">
        <f aca="false">IF(H718=M718,"Home",IF(H718=N718,"Away",IF(H718="PICK","Pick","N/A")))</f>
        <v>Home</v>
      </c>
      <c r="S718" s="1" t="n">
        <f aca="false">IF(R718="Home",P718,IF(R718="Away",-P718,""))</f>
        <v>-2</v>
      </c>
      <c r="T718" s="1" t="str">
        <f aca="false">IF(R718="Pick","No Line",IF(S718="","N/A",IF(S718+I718&gt;0,"Favorite Covered",IF(S718+I718&lt;0,"Underdog Covered","Push"))))</f>
        <v>Underdog Covered</v>
      </c>
      <c r="U718" s="1" t="str">
        <f aca="false">IF(Q718&gt;J718,"Over",IF(Q718&lt;J718,"Under","Push"))</f>
        <v>Over</v>
      </c>
    </row>
    <row r="719" customFormat="false" ht="15" hidden="false" customHeight="false" outlineLevel="0" collapsed="false">
      <c r="A719" s="1" t="s">
        <v>330</v>
      </c>
      <c r="B719" s="1" t="n">
        <v>2012</v>
      </c>
      <c r="C719" s="1" t="s">
        <v>215</v>
      </c>
      <c r="D719" s="1" t="s">
        <v>75</v>
      </c>
      <c r="E719" s="1" t="s">
        <v>91</v>
      </c>
      <c r="F719" s="1" t="n">
        <v>23</v>
      </c>
      <c r="G719" s="1" t="n">
        <v>14</v>
      </c>
      <c r="H719" s="1" t="s">
        <v>76</v>
      </c>
      <c r="I719" s="1" t="n">
        <v>-7.5</v>
      </c>
      <c r="J719" s="1" t="n">
        <v>47</v>
      </c>
      <c r="K719" s="1" t="s">
        <v>168</v>
      </c>
      <c r="L719" s="1" t="b">
        <f aca="false">FALSE()</f>
        <v>0</v>
      </c>
      <c r="M719" s="1" t="str">
        <f aca="false">VLOOKUP(D719,'Team Reference'!$A:$B,2,FALSE())</f>
        <v>GB</v>
      </c>
      <c r="N719" s="1" t="str">
        <f aca="false">VLOOKUP(E719,'Team Reference'!$A:$B,2,FALSE())</f>
        <v>MIN</v>
      </c>
      <c r="O719" s="1" t="str">
        <f aca="false">IF(F719&gt;G719,M719,IF(G719&gt;F719,N719,"Tie"))</f>
        <v>GB</v>
      </c>
      <c r="P719" s="1" t="n">
        <f aca="false">F719-G719</f>
        <v>9</v>
      </c>
      <c r="Q719" s="1" t="n">
        <f aca="false">F719+G719</f>
        <v>37</v>
      </c>
      <c r="R719" s="1" t="str">
        <f aca="false">IF(H719=M719,"Home",IF(H719=N719,"Away",IF(H719="PICK","Pick","N/A")))</f>
        <v>Home</v>
      </c>
      <c r="S719" s="1" t="n">
        <f aca="false">IF(R719="Home",P719,IF(R719="Away",-P719,""))</f>
        <v>9</v>
      </c>
      <c r="T719" s="1" t="str">
        <f aca="false">IF(R719="Pick","No Line",IF(S719="","N/A",IF(S719+I719&gt;0,"Favorite Covered",IF(S719+I719&lt;0,"Underdog Covered","Push"))))</f>
        <v>Favorite Covered</v>
      </c>
      <c r="U719" s="1" t="str">
        <f aca="false">IF(Q719&gt;J719,"Over",IF(Q719&lt;J719,"Under","Push"))</f>
        <v>Under</v>
      </c>
    </row>
    <row r="720" customFormat="false" ht="15" hidden="false" customHeight="false" outlineLevel="0" collapsed="false">
      <c r="A720" s="1" t="s">
        <v>330</v>
      </c>
      <c r="B720" s="1" t="n">
        <v>2012</v>
      </c>
      <c r="C720" s="1" t="s">
        <v>215</v>
      </c>
      <c r="D720" s="1" t="s">
        <v>83</v>
      </c>
      <c r="E720" s="1" t="s">
        <v>61</v>
      </c>
      <c r="F720" s="1" t="n">
        <v>27</v>
      </c>
      <c r="G720" s="1" t="n">
        <v>21</v>
      </c>
      <c r="H720" s="1" t="s">
        <v>62</v>
      </c>
      <c r="I720" s="1" t="n">
        <v>-6</v>
      </c>
      <c r="J720" s="1" t="n">
        <v>41</v>
      </c>
      <c r="K720" s="1" t="s">
        <v>158</v>
      </c>
      <c r="L720" s="1" t="b">
        <f aca="false">FALSE()</f>
        <v>0</v>
      </c>
      <c r="M720" s="1" t="str">
        <f aca="false">VLOOKUP(D720,'Team Reference'!$A:$B,2,FALSE())</f>
        <v>KC</v>
      </c>
      <c r="N720" s="1" t="str">
        <f aca="false">VLOOKUP(E720,'Team Reference'!$A:$B,2,FALSE())</f>
        <v>CAR</v>
      </c>
      <c r="O720" s="1" t="str">
        <f aca="false">IF(F720&gt;G720,M720,IF(G720&gt;F720,N720,"Tie"))</f>
        <v>KC</v>
      </c>
      <c r="P720" s="1" t="n">
        <f aca="false">F720-G720</f>
        <v>6</v>
      </c>
      <c r="Q720" s="1" t="n">
        <f aca="false">F720+G720</f>
        <v>48</v>
      </c>
      <c r="R720" s="1" t="str">
        <f aca="false">IF(H720=M720,"Home",IF(H720=N720,"Away",IF(H720="PICK","Pick","N/A")))</f>
        <v>Away</v>
      </c>
      <c r="S720" s="1" t="n">
        <f aca="false">IF(R720="Home",P720,IF(R720="Away",-P720,""))</f>
        <v>-6</v>
      </c>
      <c r="T720" s="1" t="str">
        <f aca="false">IF(R720="Pick","No Line",IF(S720="","N/A",IF(S720+I720&gt;0,"Favorite Covered",IF(S720+I720&lt;0,"Underdog Covered","Push"))))</f>
        <v>Underdog Covered</v>
      </c>
      <c r="U720" s="1" t="str">
        <f aca="false">IF(Q720&gt;J720,"Over",IF(Q720&lt;J720,"Under","Push"))</f>
        <v>Over</v>
      </c>
    </row>
    <row r="721" customFormat="false" ht="15" hidden="false" customHeight="false" outlineLevel="0" collapsed="false">
      <c r="A721" s="1" t="s">
        <v>330</v>
      </c>
      <c r="B721" s="1" t="n">
        <v>2012</v>
      </c>
      <c r="C721" s="1" t="s">
        <v>215</v>
      </c>
      <c r="D721" s="1" t="s">
        <v>89</v>
      </c>
      <c r="E721" s="1" t="s">
        <v>93</v>
      </c>
      <c r="F721" s="1" t="n">
        <v>16</v>
      </c>
      <c r="G721" s="1" t="n">
        <v>23</v>
      </c>
      <c r="H721" s="1" t="s">
        <v>94</v>
      </c>
      <c r="I721" s="1" t="n">
        <v>-9</v>
      </c>
      <c r="J721" s="1" t="n">
        <v>51.5</v>
      </c>
      <c r="K721" s="1" t="s">
        <v>179</v>
      </c>
      <c r="L721" s="1" t="b">
        <f aca="false">FALSE()</f>
        <v>0</v>
      </c>
      <c r="M721" s="1" t="str">
        <f aca="false">VLOOKUP(D721,'Team Reference'!$A:$B,2,FALSE())</f>
        <v>MIA</v>
      </c>
      <c r="N721" s="1" t="str">
        <f aca="false">VLOOKUP(E721,'Team Reference'!$A:$B,2,FALSE())</f>
        <v>NE</v>
      </c>
      <c r="O721" s="1" t="str">
        <f aca="false">IF(F721&gt;G721,M721,IF(G721&gt;F721,N721,"Tie"))</f>
        <v>NE</v>
      </c>
      <c r="P721" s="1" t="n">
        <f aca="false">F721-G721</f>
        <v>-7</v>
      </c>
      <c r="Q721" s="1" t="n">
        <f aca="false">F721+G721</f>
        <v>39</v>
      </c>
      <c r="R721" s="1" t="str">
        <f aca="false">IF(H721=M721,"Home",IF(H721=N721,"Away",IF(H721="PICK","Pick","N/A")))</f>
        <v>Away</v>
      </c>
      <c r="S721" s="1" t="n">
        <f aca="false">IF(R721="Home",P721,IF(R721="Away",-P721,""))</f>
        <v>7</v>
      </c>
      <c r="T721" s="1" t="str">
        <f aca="false">IF(R721="Pick","No Line",IF(S721="","N/A",IF(S721+I721&gt;0,"Favorite Covered",IF(S721+I721&lt;0,"Underdog Covered","Push"))))</f>
        <v>Underdog Covered</v>
      </c>
      <c r="U721" s="1" t="str">
        <f aca="false">IF(Q721&gt;J721,"Over",IF(Q721&lt;J721,"Under","Push"))</f>
        <v>Under</v>
      </c>
    </row>
    <row r="722" customFormat="false" ht="15" hidden="false" customHeight="false" outlineLevel="0" collapsed="false">
      <c r="A722" s="1" t="s">
        <v>330</v>
      </c>
      <c r="B722" s="1" t="n">
        <v>2012</v>
      </c>
      <c r="C722" s="1" t="s">
        <v>215</v>
      </c>
      <c r="D722" s="1" t="s">
        <v>99</v>
      </c>
      <c r="E722" s="1" t="s">
        <v>53</v>
      </c>
      <c r="F722" s="1" t="n">
        <v>7</v>
      </c>
      <c r="G722" s="1" t="n">
        <v>6</v>
      </c>
      <c r="H722" s="1" t="s">
        <v>100</v>
      </c>
      <c r="I722" s="1" t="n">
        <v>-6</v>
      </c>
      <c r="J722" s="1" t="n">
        <v>36.5</v>
      </c>
      <c r="K722" s="1" t="s">
        <v>149</v>
      </c>
      <c r="L722" s="1" t="b">
        <f aca="false">FALSE()</f>
        <v>0</v>
      </c>
      <c r="M722" s="1" t="str">
        <f aca="false">VLOOKUP(D722,'Team Reference'!$A:$B,2,FALSE())</f>
        <v>NYJ</v>
      </c>
      <c r="N722" s="1" t="str">
        <f aca="false">VLOOKUP(E722,'Team Reference'!$A:$B,2,FALSE())</f>
        <v>ARI</v>
      </c>
      <c r="O722" s="1" t="str">
        <f aca="false">IF(F722&gt;G722,M722,IF(G722&gt;F722,N722,"Tie"))</f>
        <v>NYJ</v>
      </c>
      <c r="P722" s="1" t="n">
        <f aca="false">F722-G722</f>
        <v>1</v>
      </c>
      <c r="Q722" s="1" t="n">
        <f aca="false">F722+G722</f>
        <v>13</v>
      </c>
      <c r="R722" s="1" t="str">
        <f aca="false">IF(H722=M722,"Home",IF(H722=N722,"Away",IF(H722="PICK","Pick","N/A")))</f>
        <v>Home</v>
      </c>
      <c r="S722" s="1" t="n">
        <f aca="false">IF(R722="Home",P722,IF(R722="Away",-P722,""))</f>
        <v>1</v>
      </c>
      <c r="T722" s="1" t="str">
        <f aca="false">IF(R722="Pick","No Line",IF(S722="","N/A",IF(S722+I722&gt;0,"Favorite Covered",IF(S722+I722&lt;0,"Underdog Covered","Push"))))</f>
        <v>Underdog Covered</v>
      </c>
      <c r="U722" s="1" t="str">
        <f aca="false">IF(Q722&gt;J722,"Over",IF(Q722&lt;J722,"Under","Push"))</f>
        <v>Under</v>
      </c>
    </row>
    <row r="723" customFormat="false" ht="15" hidden="false" customHeight="false" outlineLevel="0" collapsed="false">
      <c r="A723" s="1" t="s">
        <v>330</v>
      </c>
      <c r="B723" s="1" t="n">
        <v>2012</v>
      </c>
      <c r="C723" s="1" t="s">
        <v>215</v>
      </c>
      <c r="D723" s="1" t="s">
        <v>101</v>
      </c>
      <c r="E723" s="1" t="s">
        <v>67</v>
      </c>
      <c r="F723" s="1" t="n">
        <v>17</v>
      </c>
      <c r="G723" s="1" t="n">
        <v>20</v>
      </c>
      <c r="H723" s="1" t="s">
        <v>68</v>
      </c>
      <c r="I723" s="1" t="n">
        <v>-2.5</v>
      </c>
      <c r="J723" s="1" t="n">
        <v>39.5</v>
      </c>
      <c r="K723" s="1" t="s">
        <v>171</v>
      </c>
      <c r="L723" s="1" t="b">
        <f aca="false">FALSE()</f>
        <v>0</v>
      </c>
      <c r="M723" s="1" t="str">
        <f aca="false">VLOOKUP(D723,'Team Reference'!$A:$B,2,FALSE())</f>
        <v>OAK</v>
      </c>
      <c r="N723" s="1" t="str">
        <f aca="false">VLOOKUP(E723,'Team Reference'!$A:$B,2,FALSE())</f>
        <v>CLE</v>
      </c>
      <c r="O723" s="1" t="str">
        <f aca="false">IF(F723&gt;G723,M723,IF(G723&gt;F723,N723,"Tie"))</f>
        <v>CLE</v>
      </c>
      <c r="P723" s="1" t="n">
        <f aca="false">F723-G723</f>
        <v>-3</v>
      </c>
      <c r="Q723" s="1" t="n">
        <f aca="false">F723+G723</f>
        <v>37</v>
      </c>
      <c r="R723" s="1" t="str">
        <f aca="false">IF(H723=M723,"Home",IF(H723=N723,"Away",IF(H723="PICK","Pick","N/A")))</f>
        <v>Away</v>
      </c>
      <c r="S723" s="1" t="n">
        <f aca="false">IF(R723="Home",P723,IF(R723="Away",-P723,""))</f>
        <v>3</v>
      </c>
      <c r="T723" s="1" t="str">
        <f aca="false">IF(R723="Pick","No Line",IF(S723="","N/A",IF(S723+I723&gt;0,"Favorite Covered",IF(S723+I723&lt;0,"Underdog Covered","Push"))))</f>
        <v>Favorite Covered</v>
      </c>
      <c r="U723" s="1" t="str">
        <f aca="false">IF(Q723&gt;J723,"Over",IF(Q723&lt;J723,"Under","Push"))</f>
        <v>Under</v>
      </c>
    </row>
    <row r="724" customFormat="false" ht="15" hidden="false" customHeight="false" outlineLevel="0" collapsed="false">
      <c r="A724" s="1" t="s">
        <v>330</v>
      </c>
      <c r="B724" s="1" t="n">
        <v>2012</v>
      </c>
      <c r="C724" s="1" t="s">
        <v>215</v>
      </c>
      <c r="D724" s="1" t="s">
        <v>107</v>
      </c>
      <c r="E724" s="1" t="s">
        <v>65</v>
      </c>
      <c r="F724" s="1" t="n">
        <v>13</v>
      </c>
      <c r="G724" s="1" t="n">
        <v>20</v>
      </c>
      <c r="H724" s="1" t="s">
        <v>66</v>
      </c>
      <c r="I724" s="1" t="n">
        <v>-2.5</v>
      </c>
      <c r="J724" s="1" t="n">
        <v>46</v>
      </c>
      <c r="K724" s="1" t="s">
        <v>172</v>
      </c>
      <c r="L724" s="1" t="b">
        <f aca="false">FALSE()</f>
        <v>0</v>
      </c>
      <c r="M724" s="1" t="str">
        <f aca="false">VLOOKUP(D724,'Team Reference'!$A:$B,2,FALSE())</f>
        <v>LAC</v>
      </c>
      <c r="N724" s="1" t="str">
        <f aca="false">VLOOKUP(E724,'Team Reference'!$A:$B,2,FALSE())</f>
        <v>CIN</v>
      </c>
      <c r="O724" s="1" t="str">
        <f aca="false">IF(F724&gt;G724,M724,IF(G724&gt;F724,N724,"Tie"))</f>
        <v>CIN</v>
      </c>
      <c r="P724" s="1" t="n">
        <f aca="false">F724-G724</f>
        <v>-7</v>
      </c>
      <c r="Q724" s="1" t="n">
        <f aca="false">F724+G724</f>
        <v>33</v>
      </c>
      <c r="R724" s="1" t="str">
        <f aca="false">IF(H724=M724,"Home",IF(H724=N724,"Away",IF(H724="PICK","Pick","N/A")))</f>
        <v>Away</v>
      </c>
      <c r="S724" s="1" t="n">
        <f aca="false">IF(R724="Home",P724,IF(R724="Away",-P724,""))</f>
        <v>7</v>
      </c>
      <c r="T724" s="1" t="str">
        <f aca="false">IF(R724="Pick","No Line",IF(S724="","N/A",IF(S724+I724&gt;0,"Favorite Covered",IF(S724+I724&lt;0,"Underdog Covered","Push"))))</f>
        <v>Favorite Covered</v>
      </c>
      <c r="U724" s="1" t="str">
        <f aca="false">IF(Q724&gt;J724,"Over",IF(Q724&lt;J724,"Under","Push"))</f>
        <v>Under</v>
      </c>
    </row>
    <row r="725" customFormat="false" ht="15" hidden="false" customHeight="false" outlineLevel="0" collapsed="false">
      <c r="A725" s="1" t="s">
        <v>330</v>
      </c>
      <c r="B725" s="1" t="n">
        <v>2012</v>
      </c>
      <c r="C725" s="1" t="s">
        <v>215</v>
      </c>
      <c r="D725" s="1" t="s">
        <v>112</v>
      </c>
      <c r="E725" s="1" t="s">
        <v>108</v>
      </c>
      <c r="F725" s="1" t="n">
        <v>16</v>
      </c>
      <c r="G725" s="1" t="n">
        <v>13</v>
      </c>
      <c r="H725" s="1" t="s">
        <v>109</v>
      </c>
      <c r="I725" s="1" t="n">
        <v>-8</v>
      </c>
      <c r="J725" s="1" t="n">
        <v>41</v>
      </c>
      <c r="K725" s="1" t="s">
        <v>153</v>
      </c>
      <c r="L725" s="1" t="b">
        <f aca="false">FALSE()</f>
        <v>0</v>
      </c>
      <c r="M725" s="1" t="str">
        <f aca="false">VLOOKUP(D725,'Team Reference'!$A:$B,2,FALSE())</f>
        <v>LAR</v>
      </c>
      <c r="N725" s="1" t="str">
        <f aca="false">VLOOKUP(E725,'Team Reference'!$A:$B,2,FALSE())</f>
        <v>SF</v>
      </c>
      <c r="O725" s="1" t="str">
        <f aca="false">IF(F725&gt;G725,M725,IF(G725&gt;F725,N725,"Tie"))</f>
        <v>LAR</v>
      </c>
      <c r="P725" s="1" t="n">
        <f aca="false">F725-G725</f>
        <v>3</v>
      </c>
      <c r="Q725" s="1" t="n">
        <f aca="false">F725+G725</f>
        <v>29</v>
      </c>
      <c r="R725" s="1" t="str">
        <f aca="false">IF(H725=M725,"Home",IF(H725=N725,"Away",IF(H725="PICK","Pick","N/A")))</f>
        <v>Away</v>
      </c>
      <c r="S725" s="1" t="n">
        <f aca="false">IF(R725="Home",P725,IF(R725="Away",-P725,""))</f>
        <v>-3</v>
      </c>
      <c r="T725" s="1" t="str">
        <f aca="false">IF(R725="Pick","No Line",IF(S725="","N/A",IF(S725+I725&gt;0,"Favorite Covered",IF(S725+I725&lt;0,"Underdog Covered","Push"))))</f>
        <v>Underdog Covered</v>
      </c>
      <c r="U725" s="1" t="str">
        <f aca="false">IF(Q725&gt;J725,"Over",IF(Q725&lt;J725,"Under","Push"))</f>
        <v>Under</v>
      </c>
    </row>
    <row r="726" customFormat="false" ht="15" hidden="false" customHeight="false" outlineLevel="0" collapsed="false">
      <c r="A726" s="1" t="s">
        <v>330</v>
      </c>
      <c r="B726" s="1" t="n">
        <v>2012</v>
      </c>
      <c r="C726" s="1" t="s">
        <v>215</v>
      </c>
      <c r="D726" s="1" t="s">
        <v>115</v>
      </c>
      <c r="E726" s="1" t="s">
        <v>77</v>
      </c>
      <c r="F726" s="1" t="n">
        <v>10</v>
      </c>
      <c r="G726" s="1" t="n">
        <v>24</v>
      </c>
      <c r="H726" s="1" t="s">
        <v>78</v>
      </c>
      <c r="I726" s="1" t="n">
        <v>-7</v>
      </c>
      <c r="J726" s="1" t="n">
        <v>47</v>
      </c>
      <c r="K726" s="1" t="s">
        <v>155</v>
      </c>
      <c r="L726" s="1" t="b">
        <f aca="false">FALSE()</f>
        <v>0</v>
      </c>
      <c r="M726" s="1" t="str">
        <f aca="false">VLOOKUP(D726,'Team Reference'!$A:$B,2,FALSE())</f>
        <v>TEN</v>
      </c>
      <c r="N726" s="1" t="str">
        <f aca="false">VLOOKUP(E726,'Team Reference'!$A:$B,2,FALSE())</f>
        <v>HOU</v>
      </c>
      <c r="O726" s="1" t="str">
        <f aca="false">IF(F726&gt;G726,M726,IF(G726&gt;F726,N726,"Tie"))</f>
        <v>HOU</v>
      </c>
      <c r="P726" s="1" t="n">
        <f aca="false">F726-G726</f>
        <v>-14</v>
      </c>
      <c r="Q726" s="1" t="n">
        <f aca="false">F726+G726</f>
        <v>34</v>
      </c>
      <c r="R726" s="1" t="str">
        <f aca="false">IF(H726=M726,"Home",IF(H726=N726,"Away",IF(H726="PICK","Pick","N/A")))</f>
        <v>Away</v>
      </c>
      <c r="S726" s="1" t="n">
        <f aca="false">IF(R726="Home",P726,IF(R726="Away",-P726,""))</f>
        <v>14</v>
      </c>
      <c r="T726" s="1" t="str">
        <f aca="false">IF(R726="Pick","No Line",IF(S726="","N/A",IF(S726+I726&gt;0,"Favorite Covered",IF(S726+I726&lt;0,"Underdog Covered","Push"))))</f>
        <v>Favorite Covered</v>
      </c>
      <c r="U726" s="1" t="str">
        <f aca="false">IF(Q726&gt;J726,"Over",IF(Q726&lt;J726,"Under","Push"))</f>
        <v>Under</v>
      </c>
    </row>
    <row r="727" customFormat="false" ht="15" hidden="false" customHeight="false" outlineLevel="0" collapsed="false">
      <c r="A727" s="1" t="s">
        <v>331</v>
      </c>
      <c r="B727" s="1" t="n">
        <v>2012</v>
      </c>
      <c r="C727" s="1" t="s">
        <v>215</v>
      </c>
      <c r="D727" s="1" t="s">
        <v>117</v>
      </c>
      <c r="E727" s="1" t="s">
        <v>97</v>
      </c>
      <c r="F727" s="1" t="n">
        <v>17</v>
      </c>
      <c r="G727" s="1" t="n">
        <v>16</v>
      </c>
      <c r="H727" s="1" t="s">
        <v>98</v>
      </c>
      <c r="I727" s="1" t="n">
        <v>-3</v>
      </c>
      <c r="J727" s="1" t="n">
        <v>50</v>
      </c>
      <c r="K727" s="1" t="s">
        <v>156</v>
      </c>
      <c r="L727" s="1" t="b">
        <f aca="false">FALSE()</f>
        <v>0</v>
      </c>
      <c r="M727" s="1" t="str">
        <f aca="false">VLOOKUP(D727,'Team Reference'!$A:$B,2,FALSE())</f>
        <v>WAS</v>
      </c>
      <c r="N727" s="1" t="str">
        <f aca="false">VLOOKUP(E727,'Team Reference'!$A:$B,2,FALSE())</f>
        <v>NYG</v>
      </c>
      <c r="O727" s="1" t="str">
        <f aca="false">IF(F727&gt;G727,M727,IF(G727&gt;F727,N727,"Tie"))</f>
        <v>WAS</v>
      </c>
      <c r="P727" s="1" t="n">
        <f aca="false">F727-G727</f>
        <v>1</v>
      </c>
      <c r="Q727" s="1" t="n">
        <f aca="false">F727+G727</f>
        <v>33</v>
      </c>
      <c r="R727" s="1" t="str">
        <f aca="false">IF(H727=M727,"Home",IF(H727=N727,"Away",IF(H727="PICK","Pick","N/A")))</f>
        <v>Away</v>
      </c>
      <c r="S727" s="1" t="n">
        <f aca="false">IF(R727="Home",P727,IF(R727="Away",-P727,""))</f>
        <v>-1</v>
      </c>
      <c r="T727" s="1" t="str">
        <f aca="false">IF(R727="Pick","No Line",IF(S727="","N/A",IF(S727+I727&gt;0,"Favorite Covered",IF(S727+I727&lt;0,"Underdog Covered","Push"))))</f>
        <v>Underdog Covered</v>
      </c>
      <c r="U727" s="1" t="str">
        <f aca="false">IF(Q727&gt;J727,"Over",IF(Q727&lt;J727,"Under","Push"))</f>
        <v>Under</v>
      </c>
    </row>
    <row r="728" customFormat="false" ht="15" hidden="false" customHeight="false" outlineLevel="0" collapsed="false">
      <c r="A728" s="1" t="s">
        <v>332</v>
      </c>
      <c r="B728" s="1" t="n">
        <v>2012</v>
      </c>
      <c r="C728" s="1" t="s">
        <v>219</v>
      </c>
      <c r="D728" s="1" t="s">
        <v>101</v>
      </c>
      <c r="E728" s="1" t="s">
        <v>71</v>
      </c>
      <c r="F728" s="1" t="n">
        <v>13</v>
      </c>
      <c r="G728" s="1" t="n">
        <v>26</v>
      </c>
      <c r="H728" s="1" t="s">
        <v>72</v>
      </c>
      <c r="I728" s="1" t="n">
        <v>-10.5</v>
      </c>
      <c r="J728" s="1" t="n">
        <v>47</v>
      </c>
      <c r="K728" s="1" t="s">
        <v>171</v>
      </c>
      <c r="L728" s="1" t="b">
        <f aca="false">FALSE()</f>
        <v>0</v>
      </c>
      <c r="M728" s="1" t="str">
        <f aca="false">VLOOKUP(D728,'Team Reference'!$A:$B,2,FALSE())</f>
        <v>OAK</v>
      </c>
      <c r="N728" s="1" t="str">
        <f aca="false">VLOOKUP(E728,'Team Reference'!$A:$B,2,FALSE())</f>
        <v>DEN</v>
      </c>
      <c r="O728" s="1" t="str">
        <f aca="false">IF(F728&gt;G728,M728,IF(G728&gt;F728,N728,"Tie"))</f>
        <v>DEN</v>
      </c>
      <c r="P728" s="1" t="n">
        <f aca="false">F728-G728</f>
        <v>-13</v>
      </c>
      <c r="Q728" s="1" t="n">
        <f aca="false">F728+G728</f>
        <v>39</v>
      </c>
      <c r="R728" s="1" t="str">
        <f aca="false">IF(H728=M728,"Home",IF(H728=N728,"Away",IF(H728="PICK","Pick","N/A")))</f>
        <v>Away</v>
      </c>
      <c r="S728" s="1" t="n">
        <f aca="false">IF(R728="Home",P728,IF(R728="Away",-P728,""))</f>
        <v>13</v>
      </c>
      <c r="T728" s="1" t="str">
        <f aca="false">IF(R728="Pick","No Line",IF(S728="","N/A",IF(S728+I728&gt;0,"Favorite Covered",IF(S728+I728&lt;0,"Underdog Covered","Push"))))</f>
        <v>Favorite Covered</v>
      </c>
      <c r="U728" s="1" t="str">
        <f aca="false">IF(Q728&gt;J728,"Over",IF(Q728&lt;J728,"Under","Push"))</f>
        <v>Under</v>
      </c>
    </row>
    <row r="729" customFormat="false" ht="15" hidden="false" customHeight="false" outlineLevel="0" collapsed="false">
      <c r="A729" s="1" t="s">
        <v>333</v>
      </c>
      <c r="B729" s="1" t="n">
        <v>2012</v>
      </c>
      <c r="C729" s="1" t="s">
        <v>219</v>
      </c>
      <c r="D729" s="1" t="s">
        <v>59</v>
      </c>
      <c r="E729" s="1" t="s">
        <v>112</v>
      </c>
      <c r="F729" s="1" t="n">
        <v>12</v>
      </c>
      <c r="G729" s="1" t="n">
        <v>15</v>
      </c>
      <c r="H729" s="1" t="s">
        <v>60</v>
      </c>
      <c r="I729" s="1" t="n">
        <v>-3</v>
      </c>
      <c r="J729" s="1" t="n">
        <v>42.5</v>
      </c>
      <c r="K729" s="1" t="s">
        <v>144</v>
      </c>
      <c r="L729" s="1" t="b">
        <f aca="false">FALSE()</f>
        <v>0</v>
      </c>
      <c r="M729" s="1" t="str">
        <f aca="false">VLOOKUP(D729,'Team Reference'!$A:$B,2,FALSE())</f>
        <v>BUF</v>
      </c>
      <c r="N729" s="1" t="str">
        <f aca="false">VLOOKUP(E729,'Team Reference'!$A:$B,2,FALSE())</f>
        <v>LAR</v>
      </c>
      <c r="O729" s="1" t="str">
        <f aca="false">IF(F729&gt;G729,M729,IF(G729&gt;F729,N729,"Tie"))</f>
        <v>LAR</v>
      </c>
      <c r="P729" s="1" t="n">
        <f aca="false">F729-G729</f>
        <v>-3</v>
      </c>
      <c r="Q729" s="1" t="n">
        <f aca="false">F729+G729</f>
        <v>27</v>
      </c>
      <c r="R729" s="1" t="str">
        <f aca="false">IF(H729=M729,"Home",IF(H729=N729,"Away",IF(H729="PICK","Pick","N/A")))</f>
        <v>Home</v>
      </c>
      <c r="S729" s="1" t="n">
        <f aca="false">IF(R729="Home",P729,IF(R729="Away",-P729,""))</f>
        <v>-3</v>
      </c>
      <c r="T729" s="1" t="str">
        <f aca="false">IF(R729="Pick","No Line",IF(S729="","N/A",IF(S729+I729&gt;0,"Favorite Covered",IF(S729+I729&lt;0,"Underdog Covered","Push"))))</f>
        <v>Underdog Covered</v>
      </c>
      <c r="U729" s="1" t="str">
        <f aca="false">IF(Q729&gt;J729,"Over",IF(Q729&lt;J729,"Under","Push"))</f>
        <v>Under</v>
      </c>
    </row>
    <row r="730" customFormat="false" ht="15" hidden="false" customHeight="false" outlineLevel="0" collapsed="false">
      <c r="A730" s="1" t="s">
        <v>333</v>
      </c>
      <c r="B730" s="1" t="n">
        <v>2012</v>
      </c>
      <c r="C730" s="1" t="s">
        <v>219</v>
      </c>
      <c r="D730" s="1" t="s">
        <v>61</v>
      </c>
      <c r="E730" s="1" t="s">
        <v>55</v>
      </c>
      <c r="F730" s="1" t="n">
        <v>30</v>
      </c>
      <c r="G730" s="1" t="n">
        <v>20</v>
      </c>
      <c r="H730" s="1" t="s">
        <v>56</v>
      </c>
      <c r="I730" s="1" t="n">
        <v>-3.5</v>
      </c>
      <c r="J730" s="1" t="n">
        <v>47</v>
      </c>
      <c r="K730" s="1" t="s">
        <v>162</v>
      </c>
      <c r="L730" s="1" t="b">
        <f aca="false">FALSE()</f>
        <v>0</v>
      </c>
      <c r="M730" s="1" t="str">
        <f aca="false">VLOOKUP(D730,'Team Reference'!$A:$B,2,FALSE())</f>
        <v>CAR</v>
      </c>
      <c r="N730" s="1" t="str">
        <f aca="false">VLOOKUP(E730,'Team Reference'!$A:$B,2,FALSE())</f>
        <v>ATL</v>
      </c>
      <c r="O730" s="1" t="str">
        <f aca="false">IF(F730&gt;G730,M730,IF(G730&gt;F730,N730,"Tie"))</f>
        <v>CAR</v>
      </c>
      <c r="P730" s="1" t="n">
        <f aca="false">F730-G730</f>
        <v>10</v>
      </c>
      <c r="Q730" s="1" t="n">
        <f aca="false">F730+G730</f>
        <v>50</v>
      </c>
      <c r="R730" s="1" t="str">
        <f aca="false">IF(H730=M730,"Home",IF(H730=N730,"Away",IF(H730="PICK","Pick","N/A")))</f>
        <v>Away</v>
      </c>
      <c r="S730" s="1" t="n">
        <f aca="false">IF(R730="Home",P730,IF(R730="Away",-P730,""))</f>
        <v>-10</v>
      </c>
      <c r="T730" s="1" t="str">
        <f aca="false">IF(R730="Pick","No Line",IF(S730="","N/A",IF(S730+I730&gt;0,"Favorite Covered",IF(S730+I730&lt;0,"Underdog Covered","Push"))))</f>
        <v>Underdog Covered</v>
      </c>
      <c r="U730" s="1" t="str">
        <f aca="false">IF(Q730&gt;J730,"Over",IF(Q730&lt;J730,"Under","Push"))</f>
        <v>Over</v>
      </c>
    </row>
    <row r="731" customFormat="false" ht="15" hidden="false" customHeight="false" outlineLevel="0" collapsed="false">
      <c r="A731" s="1" t="s">
        <v>333</v>
      </c>
      <c r="B731" s="1" t="n">
        <v>2012</v>
      </c>
      <c r="C731" s="1" t="s">
        <v>219</v>
      </c>
      <c r="D731" s="1" t="s">
        <v>65</v>
      </c>
      <c r="E731" s="1" t="s">
        <v>69</v>
      </c>
      <c r="F731" s="1" t="n">
        <v>19</v>
      </c>
      <c r="G731" s="1" t="n">
        <v>20</v>
      </c>
      <c r="H731" s="1" t="s">
        <v>66</v>
      </c>
      <c r="I731" s="1" t="n">
        <v>-3.5</v>
      </c>
      <c r="J731" s="1" t="n">
        <v>46</v>
      </c>
      <c r="K731" s="1" t="s">
        <v>163</v>
      </c>
      <c r="L731" s="1" t="b">
        <f aca="false">FALSE()</f>
        <v>0</v>
      </c>
      <c r="M731" s="1" t="str">
        <f aca="false">VLOOKUP(D731,'Team Reference'!$A:$B,2,FALSE())</f>
        <v>CIN</v>
      </c>
      <c r="N731" s="1" t="str">
        <f aca="false">VLOOKUP(E731,'Team Reference'!$A:$B,2,FALSE())</f>
        <v>DAL</v>
      </c>
      <c r="O731" s="1" t="str">
        <f aca="false">IF(F731&gt;G731,M731,IF(G731&gt;F731,N731,"Tie"))</f>
        <v>DAL</v>
      </c>
      <c r="P731" s="1" t="n">
        <f aca="false">F731-G731</f>
        <v>-1</v>
      </c>
      <c r="Q731" s="1" t="n">
        <f aca="false">F731+G731</f>
        <v>39</v>
      </c>
      <c r="R731" s="1" t="str">
        <f aca="false">IF(H731=M731,"Home",IF(H731=N731,"Away",IF(H731="PICK","Pick","N/A")))</f>
        <v>Home</v>
      </c>
      <c r="S731" s="1" t="n">
        <f aca="false">IF(R731="Home",P731,IF(R731="Away",-P731,""))</f>
        <v>-1</v>
      </c>
      <c r="T731" s="1" t="str">
        <f aca="false">IF(R731="Pick","No Line",IF(S731="","N/A",IF(S731+I731&gt;0,"Favorite Covered",IF(S731+I731&lt;0,"Underdog Covered","Push"))))</f>
        <v>Underdog Covered</v>
      </c>
      <c r="U731" s="1" t="str">
        <f aca="false">IF(Q731&gt;J731,"Over",IF(Q731&lt;J731,"Under","Push"))</f>
        <v>Under</v>
      </c>
    </row>
    <row r="732" customFormat="false" ht="15" hidden="false" customHeight="false" outlineLevel="0" collapsed="false">
      <c r="A732" s="1" t="s">
        <v>333</v>
      </c>
      <c r="B732" s="1" t="n">
        <v>2012</v>
      </c>
      <c r="C732" s="1" t="s">
        <v>219</v>
      </c>
      <c r="D732" s="1" t="s">
        <v>67</v>
      </c>
      <c r="E732" s="1" t="s">
        <v>83</v>
      </c>
      <c r="F732" s="1" t="n">
        <v>30</v>
      </c>
      <c r="G732" s="1" t="n">
        <v>7</v>
      </c>
      <c r="H732" s="1" t="s">
        <v>68</v>
      </c>
      <c r="I732" s="1" t="n">
        <v>-7</v>
      </c>
      <c r="J732" s="1" t="n">
        <v>38</v>
      </c>
      <c r="K732" s="1" t="s">
        <v>164</v>
      </c>
      <c r="L732" s="1" t="b">
        <f aca="false">FALSE()</f>
        <v>0</v>
      </c>
      <c r="M732" s="1" t="str">
        <f aca="false">VLOOKUP(D732,'Team Reference'!$A:$B,2,FALSE())</f>
        <v>CLE</v>
      </c>
      <c r="N732" s="1" t="str">
        <f aca="false">VLOOKUP(E732,'Team Reference'!$A:$B,2,FALSE())</f>
        <v>KC</v>
      </c>
      <c r="O732" s="1" t="str">
        <f aca="false">IF(F732&gt;G732,M732,IF(G732&gt;F732,N732,"Tie"))</f>
        <v>CLE</v>
      </c>
      <c r="P732" s="1" t="n">
        <f aca="false">F732-G732</f>
        <v>23</v>
      </c>
      <c r="Q732" s="1" t="n">
        <f aca="false">F732+G732</f>
        <v>37</v>
      </c>
      <c r="R732" s="1" t="str">
        <f aca="false">IF(H732=M732,"Home",IF(H732=N732,"Away",IF(H732="PICK","Pick","N/A")))</f>
        <v>Home</v>
      </c>
      <c r="S732" s="1" t="n">
        <f aca="false">IF(R732="Home",P732,IF(R732="Away",-P732,""))</f>
        <v>23</v>
      </c>
      <c r="T732" s="1" t="str">
        <f aca="false">IF(R732="Pick","No Line",IF(S732="","N/A",IF(S732+I732&gt;0,"Favorite Covered",IF(S732+I732&lt;0,"Underdog Covered","Push"))))</f>
        <v>Favorite Covered</v>
      </c>
      <c r="U732" s="1" t="str">
        <f aca="false">IF(Q732&gt;J732,"Over",IF(Q732&lt;J732,"Under","Push"))</f>
        <v>Under</v>
      </c>
    </row>
    <row r="733" customFormat="false" ht="15" hidden="false" customHeight="false" outlineLevel="0" collapsed="false">
      <c r="A733" s="1" t="s">
        <v>333</v>
      </c>
      <c r="B733" s="1" t="n">
        <v>2012</v>
      </c>
      <c r="C733" s="1" t="s">
        <v>219</v>
      </c>
      <c r="D733" s="1" t="s">
        <v>75</v>
      </c>
      <c r="E733" s="1" t="s">
        <v>73</v>
      </c>
      <c r="F733" s="1" t="n">
        <v>27</v>
      </c>
      <c r="G733" s="1" t="n">
        <v>20</v>
      </c>
      <c r="H733" s="1" t="s">
        <v>76</v>
      </c>
      <c r="I733" s="1" t="n">
        <v>-6.5</v>
      </c>
      <c r="J733" s="1" t="n">
        <v>49</v>
      </c>
      <c r="K733" s="1" t="s">
        <v>168</v>
      </c>
      <c r="L733" s="1" t="b">
        <f aca="false">FALSE()</f>
        <v>0</v>
      </c>
      <c r="M733" s="1" t="str">
        <f aca="false">VLOOKUP(D733,'Team Reference'!$A:$B,2,FALSE())</f>
        <v>GB</v>
      </c>
      <c r="N733" s="1" t="str">
        <f aca="false">VLOOKUP(E733,'Team Reference'!$A:$B,2,FALSE())</f>
        <v>DET</v>
      </c>
      <c r="O733" s="1" t="str">
        <f aca="false">IF(F733&gt;G733,M733,IF(G733&gt;F733,N733,"Tie"))</f>
        <v>GB</v>
      </c>
      <c r="P733" s="1" t="n">
        <f aca="false">F733-G733</f>
        <v>7</v>
      </c>
      <c r="Q733" s="1" t="n">
        <f aca="false">F733+G733</f>
        <v>47</v>
      </c>
      <c r="R733" s="1" t="str">
        <f aca="false">IF(H733=M733,"Home",IF(H733=N733,"Away",IF(H733="PICK","Pick","N/A")))</f>
        <v>Home</v>
      </c>
      <c r="S733" s="1" t="n">
        <f aca="false">IF(R733="Home",P733,IF(R733="Away",-P733,""))</f>
        <v>7</v>
      </c>
      <c r="T733" s="1" t="str">
        <f aca="false">IF(R733="Pick","No Line",IF(S733="","N/A",IF(S733+I733&gt;0,"Favorite Covered",IF(S733+I733&lt;0,"Underdog Covered","Push"))))</f>
        <v>Favorite Covered</v>
      </c>
      <c r="U733" s="1" t="str">
        <f aca="false">IF(Q733&gt;J733,"Over",IF(Q733&lt;J733,"Under","Push"))</f>
        <v>Under</v>
      </c>
    </row>
    <row r="734" customFormat="false" ht="15" hidden="false" customHeight="false" outlineLevel="0" collapsed="false">
      <c r="A734" s="1" t="s">
        <v>333</v>
      </c>
      <c r="B734" s="1" t="n">
        <v>2012</v>
      </c>
      <c r="C734" s="1" t="s">
        <v>219</v>
      </c>
      <c r="D734" s="1" t="s">
        <v>79</v>
      </c>
      <c r="E734" s="1" t="s">
        <v>115</v>
      </c>
      <c r="F734" s="1" t="n">
        <v>27</v>
      </c>
      <c r="G734" s="1" t="n">
        <v>23</v>
      </c>
      <c r="H734" s="1" t="s">
        <v>80</v>
      </c>
      <c r="I734" s="1" t="n">
        <v>-4</v>
      </c>
      <c r="J734" s="1" t="n">
        <v>47</v>
      </c>
      <c r="K734" s="1" t="s">
        <v>169</v>
      </c>
      <c r="L734" s="1" t="b">
        <f aca="false">FALSE()</f>
        <v>0</v>
      </c>
      <c r="M734" s="1" t="str">
        <f aca="false">VLOOKUP(D734,'Team Reference'!$A:$B,2,FALSE())</f>
        <v>IND</v>
      </c>
      <c r="N734" s="1" t="str">
        <f aca="false">VLOOKUP(E734,'Team Reference'!$A:$B,2,FALSE())</f>
        <v>TEN</v>
      </c>
      <c r="O734" s="1" t="str">
        <f aca="false">IF(F734&gt;G734,M734,IF(G734&gt;F734,N734,"Tie"))</f>
        <v>IND</v>
      </c>
      <c r="P734" s="1" t="n">
        <f aca="false">F734-G734</f>
        <v>4</v>
      </c>
      <c r="Q734" s="1" t="n">
        <f aca="false">F734+G734</f>
        <v>50</v>
      </c>
      <c r="R734" s="1" t="str">
        <f aca="false">IF(H734=M734,"Home",IF(H734=N734,"Away",IF(H734="PICK","Pick","N/A")))</f>
        <v>Home</v>
      </c>
      <c r="S734" s="1" t="n">
        <f aca="false">IF(R734="Home",P734,IF(R734="Away",-P734,""))</f>
        <v>4</v>
      </c>
      <c r="T734" s="1" t="str">
        <f aca="false">IF(R734="Pick","No Line",IF(S734="","N/A",IF(S734+I734&gt;0,"Favorite Covered",IF(S734+I734&lt;0,"Underdog Covered","Push"))))</f>
        <v>Push</v>
      </c>
      <c r="U734" s="1" t="str">
        <f aca="false">IF(Q734&gt;J734,"Over",IF(Q734&lt;J734,"Under","Push"))</f>
        <v>Over</v>
      </c>
    </row>
    <row r="735" customFormat="false" ht="15" hidden="false" customHeight="false" outlineLevel="0" collapsed="false">
      <c r="A735" s="1" t="s">
        <v>333</v>
      </c>
      <c r="B735" s="1" t="n">
        <v>2012</v>
      </c>
      <c r="C735" s="1" t="s">
        <v>219</v>
      </c>
      <c r="D735" s="1" t="s">
        <v>81</v>
      </c>
      <c r="E735" s="1" t="s">
        <v>99</v>
      </c>
      <c r="F735" s="1" t="n">
        <v>10</v>
      </c>
      <c r="G735" s="1" t="n">
        <v>17</v>
      </c>
      <c r="H735" s="1" t="s">
        <v>100</v>
      </c>
      <c r="I735" s="1" t="n">
        <v>-3</v>
      </c>
      <c r="J735" s="1" t="n">
        <v>39</v>
      </c>
      <c r="K735" s="1" t="s">
        <v>147</v>
      </c>
      <c r="L735" s="1" t="b">
        <f aca="false">FALSE()</f>
        <v>0</v>
      </c>
      <c r="M735" s="1" t="str">
        <f aca="false">VLOOKUP(D735,'Team Reference'!$A:$B,2,FALSE())</f>
        <v>JAX</v>
      </c>
      <c r="N735" s="1" t="str">
        <f aca="false">VLOOKUP(E735,'Team Reference'!$A:$B,2,FALSE())</f>
        <v>NYJ</v>
      </c>
      <c r="O735" s="1" t="str">
        <f aca="false">IF(F735&gt;G735,M735,IF(G735&gt;F735,N735,"Tie"))</f>
        <v>NYJ</v>
      </c>
      <c r="P735" s="1" t="n">
        <f aca="false">F735-G735</f>
        <v>-7</v>
      </c>
      <c r="Q735" s="1" t="n">
        <f aca="false">F735+G735</f>
        <v>27</v>
      </c>
      <c r="R735" s="1" t="str">
        <f aca="false">IF(H735=M735,"Home",IF(H735=N735,"Away",IF(H735="PICK","Pick","N/A")))</f>
        <v>Away</v>
      </c>
      <c r="S735" s="1" t="n">
        <f aca="false">IF(R735="Home",P735,IF(R735="Away",-P735,""))</f>
        <v>7</v>
      </c>
      <c r="T735" s="1" t="str">
        <f aca="false">IF(R735="Pick","No Line",IF(S735="","N/A",IF(S735+I735&gt;0,"Favorite Covered",IF(S735+I735&lt;0,"Underdog Covered","Push"))))</f>
        <v>Favorite Covered</v>
      </c>
      <c r="U735" s="1" t="str">
        <f aca="false">IF(Q735&gt;J735,"Over",IF(Q735&lt;J735,"Under","Push"))</f>
        <v>Under</v>
      </c>
    </row>
    <row r="736" customFormat="false" ht="15" hidden="false" customHeight="false" outlineLevel="0" collapsed="false">
      <c r="A736" s="1" t="s">
        <v>333</v>
      </c>
      <c r="B736" s="1" t="n">
        <v>2012</v>
      </c>
      <c r="C736" s="1" t="s">
        <v>219</v>
      </c>
      <c r="D736" s="1" t="s">
        <v>91</v>
      </c>
      <c r="E736" s="1" t="s">
        <v>63</v>
      </c>
      <c r="F736" s="1" t="n">
        <v>21</v>
      </c>
      <c r="G736" s="1" t="n">
        <v>14</v>
      </c>
      <c r="H736" s="1" t="s">
        <v>64</v>
      </c>
      <c r="I736" s="1" t="n">
        <v>-1.5</v>
      </c>
      <c r="J736" s="1" t="n">
        <v>40.5</v>
      </c>
      <c r="K736" s="1" t="s">
        <v>170</v>
      </c>
      <c r="L736" s="1" t="b">
        <f aca="false">FALSE()</f>
        <v>0</v>
      </c>
      <c r="M736" s="1" t="str">
        <f aca="false">VLOOKUP(D736,'Team Reference'!$A:$B,2,FALSE())</f>
        <v>MIN</v>
      </c>
      <c r="N736" s="1" t="str">
        <f aca="false">VLOOKUP(E736,'Team Reference'!$A:$B,2,FALSE())</f>
        <v>CHI</v>
      </c>
      <c r="O736" s="1" t="str">
        <f aca="false">IF(F736&gt;G736,M736,IF(G736&gt;F736,N736,"Tie"))</f>
        <v>MIN</v>
      </c>
      <c r="P736" s="1" t="n">
        <f aca="false">F736-G736</f>
        <v>7</v>
      </c>
      <c r="Q736" s="1" t="n">
        <f aca="false">F736+G736</f>
        <v>35</v>
      </c>
      <c r="R736" s="1" t="str">
        <f aca="false">IF(H736=M736,"Home",IF(H736=N736,"Away",IF(H736="PICK","Pick","N/A")))</f>
        <v>Away</v>
      </c>
      <c r="S736" s="1" t="n">
        <f aca="false">IF(R736="Home",P736,IF(R736="Away",-P736,""))</f>
        <v>-7</v>
      </c>
      <c r="T736" s="1" t="str">
        <f aca="false">IF(R736="Pick","No Line",IF(S736="","N/A",IF(S736+I736&gt;0,"Favorite Covered",IF(S736+I736&lt;0,"Underdog Covered","Push"))))</f>
        <v>Underdog Covered</v>
      </c>
      <c r="U736" s="1" t="str">
        <f aca="false">IF(Q736&gt;J736,"Over",IF(Q736&lt;J736,"Under","Push"))</f>
        <v>Under</v>
      </c>
    </row>
    <row r="737" customFormat="false" ht="15" hidden="false" customHeight="false" outlineLevel="0" collapsed="false">
      <c r="A737" s="1" t="s">
        <v>333</v>
      </c>
      <c r="B737" s="1" t="n">
        <v>2012</v>
      </c>
      <c r="C737" s="1" t="s">
        <v>219</v>
      </c>
      <c r="D737" s="1" t="s">
        <v>97</v>
      </c>
      <c r="E737" s="1" t="s">
        <v>95</v>
      </c>
      <c r="F737" s="1" t="n">
        <v>52</v>
      </c>
      <c r="G737" s="1" t="n">
        <v>27</v>
      </c>
      <c r="H737" s="1" t="s">
        <v>98</v>
      </c>
      <c r="I737" s="1" t="n">
        <v>-4.5</v>
      </c>
      <c r="J737" s="1" t="n">
        <v>51.5</v>
      </c>
      <c r="K737" s="1" t="s">
        <v>149</v>
      </c>
      <c r="L737" s="1" t="b">
        <f aca="false">FALSE()</f>
        <v>0</v>
      </c>
      <c r="M737" s="1" t="str">
        <f aca="false">VLOOKUP(D737,'Team Reference'!$A:$B,2,FALSE())</f>
        <v>NYG</v>
      </c>
      <c r="N737" s="1" t="str">
        <f aca="false">VLOOKUP(E737,'Team Reference'!$A:$B,2,FALSE())</f>
        <v>NO</v>
      </c>
      <c r="O737" s="1" t="str">
        <f aca="false">IF(F737&gt;G737,M737,IF(G737&gt;F737,N737,"Tie"))</f>
        <v>NYG</v>
      </c>
      <c r="P737" s="1" t="n">
        <f aca="false">F737-G737</f>
        <v>25</v>
      </c>
      <c r="Q737" s="1" t="n">
        <f aca="false">F737+G737</f>
        <v>79</v>
      </c>
      <c r="R737" s="1" t="str">
        <f aca="false">IF(H737=M737,"Home",IF(H737=N737,"Away",IF(H737="PICK","Pick","N/A")))</f>
        <v>Home</v>
      </c>
      <c r="S737" s="1" t="n">
        <f aca="false">IF(R737="Home",P737,IF(R737="Away",-P737,""))</f>
        <v>25</v>
      </c>
      <c r="T737" s="1" t="str">
        <f aca="false">IF(R737="Pick","No Line",IF(S737="","N/A",IF(S737+I737&gt;0,"Favorite Covered",IF(S737+I737&lt;0,"Underdog Covered","Push"))))</f>
        <v>Favorite Covered</v>
      </c>
      <c r="U737" s="1" t="str">
        <f aca="false">IF(Q737&gt;J737,"Over",IF(Q737&lt;J737,"Under","Push"))</f>
        <v>Over</v>
      </c>
    </row>
    <row r="738" customFormat="false" ht="15" hidden="false" customHeight="false" outlineLevel="0" collapsed="false">
      <c r="A738" s="1" t="s">
        <v>333</v>
      </c>
      <c r="B738" s="1" t="n">
        <v>2012</v>
      </c>
      <c r="C738" s="1" t="s">
        <v>219</v>
      </c>
      <c r="D738" s="1" t="s">
        <v>105</v>
      </c>
      <c r="E738" s="1" t="s">
        <v>107</v>
      </c>
      <c r="F738" s="1" t="n">
        <v>24</v>
      </c>
      <c r="G738" s="1" t="n">
        <v>34</v>
      </c>
      <c r="H738" s="1" t="s">
        <v>106</v>
      </c>
      <c r="I738" s="1" t="n">
        <v>-7.5</v>
      </c>
      <c r="J738" s="1" t="n">
        <v>38</v>
      </c>
      <c r="K738" s="1" t="s">
        <v>151</v>
      </c>
      <c r="L738" s="1" t="b">
        <f aca="false">FALSE()</f>
        <v>0</v>
      </c>
      <c r="M738" s="1" t="str">
        <f aca="false">VLOOKUP(D738,'Team Reference'!$A:$B,2,FALSE())</f>
        <v>PIT</v>
      </c>
      <c r="N738" s="1" t="str">
        <f aca="false">VLOOKUP(E738,'Team Reference'!$A:$B,2,FALSE())</f>
        <v>LAC</v>
      </c>
      <c r="O738" s="1" t="str">
        <f aca="false">IF(F738&gt;G738,M738,IF(G738&gt;F738,N738,"Tie"))</f>
        <v>LAC</v>
      </c>
      <c r="P738" s="1" t="n">
        <f aca="false">F738-G738</f>
        <v>-10</v>
      </c>
      <c r="Q738" s="1" t="n">
        <f aca="false">F738+G738</f>
        <v>58</v>
      </c>
      <c r="R738" s="1" t="str">
        <f aca="false">IF(H738=M738,"Home",IF(H738=N738,"Away",IF(H738="PICK","Pick","N/A")))</f>
        <v>Home</v>
      </c>
      <c r="S738" s="1" t="n">
        <f aca="false">IF(R738="Home",P738,IF(R738="Away",-P738,""))</f>
        <v>-10</v>
      </c>
      <c r="T738" s="1" t="str">
        <f aca="false">IF(R738="Pick","No Line",IF(S738="","N/A",IF(S738+I738&gt;0,"Favorite Covered",IF(S738+I738&lt;0,"Underdog Covered","Push"))))</f>
        <v>Underdog Covered</v>
      </c>
      <c r="U738" s="1" t="str">
        <f aca="false">IF(Q738&gt;J738,"Over",IF(Q738&lt;J738,"Under","Push"))</f>
        <v>Over</v>
      </c>
    </row>
    <row r="739" customFormat="false" ht="15" hidden="false" customHeight="false" outlineLevel="0" collapsed="false">
      <c r="A739" s="1" t="s">
        <v>333</v>
      </c>
      <c r="B739" s="1" t="n">
        <v>2012</v>
      </c>
      <c r="C739" s="1" t="s">
        <v>219</v>
      </c>
      <c r="D739" s="1" t="s">
        <v>108</v>
      </c>
      <c r="E739" s="1" t="s">
        <v>89</v>
      </c>
      <c r="F739" s="1" t="n">
        <v>27</v>
      </c>
      <c r="G739" s="1" t="n">
        <v>13</v>
      </c>
      <c r="H739" s="1" t="s">
        <v>109</v>
      </c>
      <c r="I739" s="1" t="n">
        <v>-10.5</v>
      </c>
      <c r="J739" s="1" t="n">
        <v>38.5</v>
      </c>
      <c r="K739" s="1" t="s">
        <v>174</v>
      </c>
      <c r="L739" s="1" t="b">
        <f aca="false">FALSE()</f>
        <v>0</v>
      </c>
      <c r="M739" s="1" t="str">
        <f aca="false">VLOOKUP(D739,'Team Reference'!$A:$B,2,FALSE())</f>
        <v>SF</v>
      </c>
      <c r="N739" s="1" t="str">
        <f aca="false">VLOOKUP(E739,'Team Reference'!$A:$B,2,FALSE())</f>
        <v>MIA</v>
      </c>
      <c r="O739" s="1" t="str">
        <f aca="false">IF(F739&gt;G739,M739,IF(G739&gt;F739,N739,"Tie"))</f>
        <v>SF</v>
      </c>
      <c r="P739" s="1" t="n">
        <f aca="false">F739-G739</f>
        <v>14</v>
      </c>
      <c r="Q739" s="1" t="n">
        <f aca="false">F739+G739</f>
        <v>40</v>
      </c>
      <c r="R739" s="1" t="str">
        <f aca="false">IF(H739=M739,"Home",IF(H739=N739,"Away",IF(H739="PICK","Pick","N/A")))</f>
        <v>Home</v>
      </c>
      <c r="S739" s="1" t="n">
        <f aca="false">IF(R739="Home",P739,IF(R739="Away",-P739,""))</f>
        <v>14</v>
      </c>
      <c r="T739" s="1" t="str">
        <f aca="false">IF(R739="Pick","No Line",IF(S739="","N/A",IF(S739+I739&gt;0,"Favorite Covered",IF(S739+I739&lt;0,"Underdog Covered","Push"))))</f>
        <v>Favorite Covered</v>
      </c>
      <c r="U739" s="1" t="str">
        <f aca="false">IF(Q739&gt;J739,"Over",IF(Q739&lt;J739,"Under","Push"))</f>
        <v>Over</v>
      </c>
    </row>
    <row r="740" customFormat="false" ht="15" hidden="false" customHeight="false" outlineLevel="0" collapsed="false">
      <c r="A740" s="1" t="s">
        <v>333</v>
      </c>
      <c r="B740" s="1" t="n">
        <v>2012</v>
      </c>
      <c r="C740" s="1" t="s">
        <v>219</v>
      </c>
      <c r="D740" s="1" t="s">
        <v>110</v>
      </c>
      <c r="E740" s="1" t="s">
        <v>53</v>
      </c>
      <c r="F740" s="1" t="n">
        <v>58</v>
      </c>
      <c r="G740" s="1" t="n">
        <v>0</v>
      </c>
      <c r="H740" s="1" t="s">
        <v>111</v>
      </c>
      <c r="I740" s="1" t="n">
        <v>-10</v>
      </c>
      <c r="J740" s="1" t="n">
        <v>36</v>
      </c>
      <c r="K740" s="1" t="s">
        <v>152</v>
      </c>
      <c r="L740" s="1" t="b">
        <f aca="false">FALSE()</f>
        <v>0</v>
      </c>
      <c r="M740" s="1" t="str">
        <f aca="false">VLOOKUP(D740,'Team Reference'!$A:$B,2,FALSE())</f>
        <v>SEA</v>
      </c>
      <c r="N740" s="1" t="str">
        <f aca="false">VLOOKUP(E740,'Team Reference'!$A:$B,2,FALSE())</f>
        <v>ARI</v>
      </c>
      <c r="O740" s="1" t="str">
        <f aca="false">IF(F740&gt;G740,M740,IF(G740&gt;F740,N740,"Tie"))</f>
        <v>SEA</v>
      </c>
      <c r="P740" s="1" t="n">
        <f aca="false">F740-G740</f>
        <v>58</v>
      </c>
      <c r="Q740" s="1" t="n">
        <f aca="false">F740+G740</f>
        <v>58</v>
      </c>
      <c r="R740" s="1" t="str">
        <f aca="false">IF(H740=M740,"Home",IF(H740=N740,"Away",IF(H740="PICK","Pick","N/A")))</f>
        <v>Home</v>
      </c>
      <c r="S740" s="1" t="n">
        <f aca="false">IF(R740="Home",P740,IF(R740="Away",-P740,""))</f>
        <v>58</v>
      </c>
      <c r="T740" s="1" t="str">
        <f aca="false">IF(R740="Pick","No Line",IF(S740="","N/A",IF(S740+I740&gt;0,"Favorite Covered",IF(S740+I740&lt;0,"Underdog Covered","Push"))))</f>
        <v>Favorite Covered</v>
      </c>
      <c r="U740" s="1" t="str">
        <f aca="false">IF(Q740&gt;J740,"Over",IF(Q740&lt;J740,"Under","Push"))</f>
        <v>Over</v>
      </c>
    </row>
    <row r="741" customFormat="false" ht="15" hidden="false" customHeight="false" outlineLevel="0" collapsed="false">
      <c r="A741" s="1" t="s">
        <v>333</v>
      </c>
      <c r="B741" s="1" t="n">
        <v>2012</v>
      </c>
      <c r="C741" s="1" t="s">
        <v>219</v>
      </c>
      <c r="D741" s="1" t="s">
        <v>113</v>
      </c>
      <c r="E741" s="1" t="s">
        <v>103</v>
      </c>
      <c r="F741" s="1" t="n">
        <v>21</v>
      </c>
      <c r="G741" s="1" t="n">
        <v>23</v>
      </c>
      <c r="H741" s="1" t="s">
        <v>114</v>
      </c>
      <c r="I741" s="1" t="n">
        <v>-7</v>
      </c>
      <c r="J741" s="1" t="n">
        <v>48</v>
      </c>
      <c r="K741" s="1" t="s">
        <v>154</v>
      </c>
      <c r="L741" s="1" t="b">
        <f aca="false">FALSE()</f>
        <v>0</v>
      </c>
      <c r="M741" s="1" t="str">
        <f aca="false">VLOOKUP(D741,'Team Reference'!$A:$B,2,FALSE())</f>
        <v>TB</v>
      </c>
      <c r="N741" s="1" t="str">
        <f aca="false">VLOOKUP(E741,'Team Reference'!$A:$B,2,FALSE())</f>
        <v>PHI</v>
      </c>
      <c r="O741" s="1" t="str">
        <f aca="false">IF(F741&gt;G741,M741,IF(G741&gt;F741,N741,"Tie"))</f>
        <v>PHI</v>
      </c>
      <c r="P741" s="1" t="n">
        <f aca="false">F741-G741</f>
        <v>-2</v>
      </c>
      <c r="Q741" s="1" t="n">
        <f aca="false">F741+G741</f>
        <v>44</v>
      </c>
      <c r="R741" s="1" t="str">
        <f aca="false">IF(H741=M741,"Home",IF(H741=N741,"Away",IF(H741="PICK","Pick","N/A")))</f>
        <v>Home</v>
      </c>
      <c r="S741" s="1" t="n">
        <f aca="false">IF(R741="Home",P741,IF(R741="Away",-P741,""))</f>
        <v>-2</v>
      </c>
      <c r="T741" s="1" t="str">
        <f aca="false">IF(R741="Pick","No Line",IF(S741="","N/A",IF(S741+I741&gt;0,"Favorite Covered",IF(S741+I741&lt;0,"Underdog Covered","Push"))))</f>
        <v>Underdog Covered</v>
      </c>
      <c r="U741" s="1" t="str">
        <f aca="false">IF(Q741&gt;J741,"Over",IF(Q741&lt;J741,"Under","Push"))</f>
        <v>Under</v>
      </c>
    </row>
    <row r="742" customFormat="false" ht="15" hidden="false" customHeight="false" outlineLevel="0" collapsed="false">
      <c r="A742" s="1" t="s">
        <v>333</v>
      </c>
      <c r="B742" s="1" t="n">
        <v>2012</v>
      </c>
      <c r="C742" s="1" t="s">
        <v>219</v>
      </c>
      <c r="D742" s="1" t="s">
        <v>117</v>
      </c>
      <c r="E742" s="1" t="s">
        <v>57</v>
      </c>
      <c r="F742" s="1" t="n">
        <v>31</v>
      </c>
      <c r="G742" s="1" t="n">
        <v>28</v>
      </c>
      <c r="H742" s="1" t="s">
        <v>118</v>
      </c>
      <c r="I742" s="1" t="n">
        <v>-1.5</v>
      </c>
      <c r="J742" s="1" t="n">
        <v>48</v>
      </c>
      <c r="K742" s="1" t="s">
        <v>156</v>
      </c>
      <c r="L742" s="1" t="b">
        <f aca="false">FALSE()</f>
        <v>0</v>
      </c>
      <c r="M742" s="1" t="str">
        <f aca="false">VLOOKUP(D742,'Team Reference'!$A:$B,2,FALSE())</f>
        <v>WAS</v>
      </c>
      <c r="N742" s="1" t="str">
        <f aca="false">VLOOKUP(E742,'Team Reference'!$A:$B,2,FALSE())</f>
        <v>BAL</v>
      </c>
      <c r="O742" s="1" t="str">
        <f aca="false">IF(F742&gt;G742,M742,IF(G742&gt;F742,N742,"Tie"))</f>
        <v>WAS</v>
      </c>
      <c r="P742" s="1" t="n">
        <f aca="false">F742-G742</f>
        <v>3</v>
      </c>
      <c r="Q742" s="1" t="n">
        <f aca="false">F742+G742</f>
        <v>59</v>
      </c>
      <c r="R742" s="1" t="str">
        <f aca="false">IF(H742=M742,"Home",IF(H742=N742,"Away",IF(H742="PICK","Pick","N/A")))</f>
        <v>Home</v>
      </c>
      <c r="S742" s="1" t="n">
        <f aca="false">IF(R742="Home",P742,IF(R742="Away",-P742,""))</f>
        <v>3</v>
      </c>
      <c r="T742" s="1" t="str">
        <f aca="false">IF(R742="Pick","No Line",IF(S742="","N/A",IF(S742+I742&gt;0,"Favorite Covered",IF(S742+I742&lt;0,"Underdog Covered","Push"))))</f>
        <v>Favorite Covered</v>
      </c>
      <c r="U742" s="1" t="str">
        <f aca="false">IF(Q742&gt;J742,"Over",IF(Q742&lt;J742,"Under","Push"))</f>
        <v>Over</v>
      </c>
    </row>
    <row r="743" customFormat="false" ht="15" hidden="false" customHeight="false" outlineLevel="0" collapsed="false">
      <c r="A743" s="1" t="s">
        <v>334</v>
      </c>
      <c r="B743" s="1" t="n">
        <v>2012</v>
      </c>
      <c r="C743" s="1" t="s">
        <v>219</v>
      </c>
      <c r="D743" s="1" t="s">
        <v>93</v>
      </c>
      <c r="E743" s="1" t="s">
        <v>77</v>
      </c>
      <c r="F743" s="1" t="n">
        <v>42</v>
      </c>
      <c r="G743" s="1" t="n">
        <v>14</v>
      </c>
      <c r="H743" s="1" t="s">
        <v>94</v>
      </c>
      <c r="I743" s="1" t="n">
        <v>-5.5</v>
      </c>
      <c r="J743" s="1" t="n">
        <v>51</v>
      </c>
      <c r="K743" s="1" t="s">
        <v>148</v>
      </c>
      <c r="L743" s="1" t="b">
        <f aca="false">FALSE()</f>
        <v>0</v>
      </c>
      <c r="M743" s="1" t="str">
        <f aca="false">VLOOKUP(D743,'Team Reference'!$A:$B,2,FALSE())</f>
        <v>NE</v>
      </c>
      <c r="N743" s="1" t="str">
        <f aca="false">VLOOKUP(E743,'Team Reference'!$A:$B,2,FALSE())</f>
        <v>HOU</v>
      </c>
      <c r="O743" s="1" t="str">
        <f aca="false">IF(F743&gt;G743,M743,IF(G743&gt;F743,N743,"Tie"))</f>
        <v>NE</v>
      </c>
      <c r="P743" s="1" t="n">
        <f aca="false">F743-G743</f>
        <v>28</v>
      </c>
      <c r="Q743" s="1" t="n">
        <f aca="false">F743+G743</f>
        <v>56</v>
      </c>
      <c r="R743" s="1" t="str">
        <f aca="false">IF(H743=M743,"Home",IF(H743=N743,"Away",IF(H743="PICK","Pick","N/A")))</f>
        <v>Home</v>
      </c>
      <c r="S743" s="1" t="n">
        <f aca="false">IF(R743="Home",P743,IF(R743="Away",-P743,""))</f>
        <v>28</v>
      </c>
      <c r="T743" s="1" t="str">
        <f aca="false">IF(R743="Pick","No Line",IF(S743="","N/A",IF(S743+I743&gt;0,"Favorite Covered",IF(S743+I743&lt;0,"Underdog Covered","Push"))))</f>
        <v>Favorite Covered</v>
      </c>
      <c r="U743" s="1" t="str">
        <f aca="false">IF(Q743&gt;J743,"Over",IF(Q743&lt;J743,"Under","Push"))</f>
        <v>Over</v>
      </c>
    </row>
    <row r="744" customFormat="false" ht="15" hidden="false" customHeight="false" outlineLevel="0" collapsed="false">
      <c r="A744" s="1" t="s">
        <v>335</v>
      </c>
      <c r="B744" s="1" t="n">
        <v>2012</v>
      </c>
      <c r="C744" s="1" t="s">
        <v>223</v>
      </c>
      <c r="D744" s="1" t="s">
        <v>103</v>
      </c>
      <c r="E744" s="1" t="s">
        <v>65</v>
      </c>
      <c r="F744" s="1" t="n">
        <v>13</v>
      </c>
      <c r="G744" s="1" t="n">
        <v>34</v>
      </c>
      <c r="H744" s="1" t="s">
        <v>66</v>
      </c>
      <c r="I744" s="1" t="n">
        <v>-5</v>
      </c>
      <c r="J744" s="1" t="n">
        <v>45</v>
      </c>
      <c r="K744" s="1" t="s">
        <v>150</v>
      </c>
      <c r="L744" s="1" t="b">
        <f aca="false">FALSE()</f>
        <v>0</v>
      </c>
      <c r="M744" s="1" t="str">
        <f aca="false">VLOOKUP(D744,'Team Reference'!$A:$B,2,FALSE())</f>
        <v>PHI</v>
      </c>
      <c r="N744" s="1" t="str">
        <f aca="false">VLOOKUP(E744,'Team Reference'!$A:$B,2,FALSE())</f>
        <v>CIN</v>
      </c>
      <c r="O744" s="1" t="str">
        <f aca="false">IF(F744&gt;G744,M744,IF(G744&gt;F744,N744,"Tie"))</f>
        <v>CIN</v>
      </c>
      <c r="P744" s="1" t="n">
        <f aca="false">F744-G744</f>
        <v>-21</v>
      </c>
      <c r="Q744" s="1" t="n">
        <f aca="false">F744+G744</f>
        <v>47</v>
      </c>
      <c r="R744" s="1" t="str">
        <f aca="false">IF(H744=M744,"Home",IF(H744=N744,"Away",IF(H744="PICK","Pick","N/A")))</f>
        <v>Away</v>
      </c>
      <c r="S744" s="1" t="n">
        <f aca="false">IF(R744="Home",P744,IF(R744="Away",-P744,""))</f>
        <v>21</v>
      </c>
      <c r="T744" s="1" t="str">
        <f aca="false">IF(R744="Pick","No Line",IF(S744="","N/A",IF(S744+I744&gt;0,"Favorite Covered",IF(S744+I744&lt;0,"Underdog Covered","Push"))))</f>
        <v>Favorite Covered</v>
      </c>
      <c r="U744" s="1" t="str">
        <f aca="false">IF(Q744&gt;J744,"Over",IF(Q744&lt;J744,"Under","Push"))</f>
        <v>Over</v>
      </c>
    </row>
    <row r="745" customFormat="false" ht="15" hidden="false" customHeight="false" outlineLevel="0" collapsed="false">
      <c r="A745" s="1" t="s">
        <v>336</v>
      </c>
      <c r="B745" s="1" t="n">
        <v>2012</v>
      </c>
      <c r="C745" s="1" t="s">
        <v>223</v>
      </c>
      <c r="D745" s="1" t="s">
        <v>53</v>
      </c>
      <c r="E745" s="1" t="s">
        <v>73</v>
      </c>
      <c r="F745" s="1" t="n">
        <v>38</v>
      </c>
      <c r="G745" s="1" t="n">
        <v>10</v>
      </c>
      <c r="H745" s="1" t="s">
        <v>74</v>
      </c>
      <c r="I745" s="1" t="n">
        <v>-6.5</v>
      </c>
      <c r="J745" s="1" t="n">
        <v>43.5</v>
      </c>
      <c r="K745" s="1" t="s">
        <v>177</v>
      </c>
      <c r="L745" s="1" t="b">
        <f aca="false">FALSE()</f>
        <v>0</v>
      </c>
      <c r="M745" s="1" t="str">
        <f aca="false">VLOOKUP(D745,'Team Reference'!$A:$B,2,FALSE())</f>
        <v>ARI</v>
      </c>
      <c r="N745" s="1" t="str">
        <f aca="false">VLOOKUP(E745,'Team Reference'!$A:$B,2,FALSE())</f>
        <v>DET</v>
      </c>
      <c r="O745" s="1" t="str">
        <f aca="false">IF(F745&gt;G745,M745,IF(G745&gt;F745,N745,"Tie"))</f>
        <v>ARI</v>
      </c>
      <c r="P745" s="1" t="n">
        <f aca="false">F745-G745</f>
        <v>28</v>
      </c>
      <c r="Q745" s="1" t="n">
        <f aca="false">F745+G745</f>
        <v>48</v>
      </c>
      <c r="R745" s="1" t="str">
        <f aca="false">IF(H745=M745,"Home",IF(H745=N745,"Away",IF(H745="PICK","Pick","N/A")))</f>
        <v>Away</v>
      </c>
      <c r="S745" s="1" t="n">
        <f aca="false">IF(R745="Home",P745,IF(R745="Away",-P745,""))</f>
        <v>-28</v>
      </c>
      <c r="T745" s="1" t="str">
        <f aca="false">IF(R745="Pick","No Line",IF(S745="","N/A",IF(S745+I745&gt;0,"Favorite Covered",IF(S745+I745&lt;0,"Underdog Covered","Push"))))</f>
        <v>Underdog Covered</v>
      </c>
      <c r="U745" s="1" t="str">
        <f aca="false">IF(Q745&gt;J745,"Over",IF(Q745&lt;J745,"Under","Push"))</f>
        <v>Over</v>
      </c>
    </row>
    <row r="746" customFormat="false" ht="15" hidden="false" customHeight="false" outlineLevel="0" collapsed="false">
      <c r="A746" s="1" t="s">
        <v>336</v>
      </c>
      <c r="B746" s="1" t="n">
        <v>2012</v>
      </c>
      <c r="C746" s="1" t="s">
        <v>223</v>
      </c>
      <c r="D746" s="1" t="s">
        <v>55</v>
      </c>
      <c r="E746" s="1" t="s">
        <v>97</v>
      </c>
      <c r="F746" s="1" t="n">
        <v>34</v>
      </c>
      <c r="G746" s="1" t="n">
        <v>0</v>
      </c>
      <c r="H746" s="1" t="s">
        <v>200</v>
      </c>
      <c r="I746" s="1" t="n">
        <v>0</v>
      </c>
      <c r="J746" s="1" t="n">
        <v>50</v>
      </c>
      <c r="K746" s="1" t="s">
        <v>161</v>
      </c>
      <c r="L746" s="1" t="b">
        <f aca="false">FALSE()</f>
        <v>0</v>
      </c>
      <c r="M746" s="1" t="str">
        <f aca="false">VLOOKUP(D746,'Team Reference'!$A:$B,2,FALSE())</f>
        <v>ATL</v>
      </c>
      <c r="N746" s="1" t="str">
        <f aca="false">VLOOKUP(E746,'Team Reference'!$A:$B,2,FALSE())</f>
        <v>NYG</v>
      </c>
      <c r="O746" s="1" t="str">
        <f aca="false">IF(F746&gt;G746,M746,IF(G746&gt;F746,N746,"Tie"))</f>
        <v>ATL</v>
      </c>
      <c r="P746" s="1" t="n">
        <f aca="false">F746-G746</f>
        <v>34</v>
      </c>
      <c r="Q746" s="1" t="n">
        <f aca="false">F746+G746</f>
        <v>34</v>
      </c>
      <c r="R746" s="1" t="str">
        <f aca="false">IF(H746=M746,"Home",IF(H746=N746,"Away",IF(H746="PICK","Pick","N/A")))</f>
        <v>Pick</v>
      </c>
      <c r="S746" s="1" t="str">
        <f aca="false">IF(R746="Home",P746,IF(R746="Away",-P746,""))</f>
        <v/>
      </c>
      <c r="T746" s="1" t="str">
        <f aca="false">IF(R746="Pick","No Line",IF(S746="","N/A",IF(S746+I746&gt;0,"Favorite Covered",IF(S746+I746&lt;0,"Underdog Covered","Push"))))</f>
        <v>No Line</v>
      </c>
      <c r="U746" s="1" t="str">
        <f aca="false">IF(Q746&gt;J746,"Over",IF(Q746&lt;J746,"Under","Push"))</f>
        <v>Under</v>
      </c>
    </row>
    <row r="747" customFormat="false" ht="15" hidden="false" customHeight="false" outlineLevel="0" collapsed="false">
      <c r="A747" s="1" t="s">
        <v>336</v>
      </c>
      <c r="B747" s="1" t="n">
        <v>2012</v>
      </c>
      <c r="C747" s="1" t="s">
        <v>223</v>
      </c>
      <c r="D747" s="1" t="s">
        <v>57</v>
      </c>
      <c r="E747" s="1" t="s">
        <v>71</v>
      </c>
      <c r="F747" s="1" t="n">
        <v>17</v>
      </c>
      <c r="G747" s="1" t="n">
        <v>34</v>
      </c>
      <c r="H747" s="1" t="s">
        <v>72</v>
      </c>
      <c r="I747" s="1" t="n">
        <v>-3</v>
      </c>
      <c r="J747" s="1" t="n">
        <v>48</v>
      </c>
      <c r="K747" s="1" t="s">
        <v>178</v>
      </c>
      <c r="L747" s="1" t="b">
        <f aca="false">FALSE()</f>
        <v>0</v>
      </c>
      <c r="M747" s="1" t="str">
        <f aca="false">VLOOKUP(D747,'Team Reference'!$A:$B,2,FALSE())</f>
        <v>BAL</v>
      </c>
      <c r="N747" s="1" t="str">
        <f aca="false">VLOOKUP(E747,'Team Reference'!$A:$B,2,FALSE())</f>
        <v>DEN</v>
      </c>
      <c r="O747" s="1" t="str">
        <f aca="false">IF(F747&gt;G747,M747,IF(G747&gt;F747,N747,"Tie"))</f>
        <v>DEN</v>
      </c>
      <c r="P747" s="1" t="n">
        <f aca="false">F747-G747</f>
        <v>-17</v>
      </c>
      <c r="Q747" s="1" t="n">
        <f aca="false">F747+G747</f>
        <v>51</v>
      </c>
      <c r="R747" s="1" t="str">
        <f aca="false">IF(H747=M747,"Home",IF(H747=N747,"Away",IF(H747="PICK","Pick","N/A")))</f>
        <v>Away</v>
      </c>
      <c r="S747" s="1" t="n">
        <f aca="false">IF(R747="Home",P747,IF(R747="Away",-P747,""))</f>
        <v>17</v>
      </c>
      <c r="T747" s="1" t="str">
        <f aca="false">IF(R747="Pick","No Line",IF(S747="","N/A",IF(S747+I747&gt;0,"Favorite Covered",IF(S747+I747&lt;0,"Underdog Covered","Push"))))</f>
        <v>Favorite Covered</v>
      </c>
      <c r="U747" s="1" t="str">
        <f aca="false">IF(Q747&gt;J747,"Over",IF(Q747&lt;J747,"Under","Push"))</f>
        <v>Over</v>
      </c>
    </row>
    <row r="748" customFormat="false" ht="15" hidden="false" customHeight="false" outlineLevel="0" collapsed="false">
      <c r="A748" s="1" t="s">
        <v>336</v>
      </c>
      <c r="B748" s="1" t="n">
        <v>2012</v>
      </c>
      <c r="C748" s="1" t="s">
        <v>223</v>
      </c>
      <c r="D748" s="1" t="s">
        <v>59</v>
      </c>
      <c r="E748" s="1" t="s">
        <v>110</v>
      </c>
      <c r="F748" s="1" t="n">
        <v>17</v>
      </c>
      <c r="G748" s="1" t="n">
        <v>50</v>
      </c>
      <c r="H748" s="1" t="s">
        <v>111</v>
      </c>
      <c r="I748" s="1" t="n">
        <v>-5</v>
      </c>
      <c r="J748" s="1" t="n">
        <v>44</v>
      </c>
      <c r="K748" s="1" t="s">
        <v>199</v>
      </c>
      <c r="L748" s="1" t="b">
        <f aca="false">FALSE()</f>
        <v>0</v>
      </c>
      <c r="M748" s="1" t="str">
        <f aca="false">VLOOKUP(D748,'Team Reference'!$A:$B,2,FALSE())</f>
        <v>BUF</v>
      </c>
      <c r="N748" s="1" t="str">
        <f aca="false">VLOOKUP(E748,'Team Reference'!$A:$B,2,FALSE())</f>
        <v>SEA</v>
      </c>
      <c r="O748" s="1" t="str">
        <f aca="false">IF(F748&gt;G748,M748,IF(G748&gt;F748,N748,"Tie"))</f>
        <v>SEA</v>
      </c>
      <c r="P748" s="1" t="n">
        <f aca="false">F748-G748</f>
        <v>-33</v>
      </c>
      <c r="Q748" s="1" t="n">
        <f aca="false">F748+G748</f>
        <v>67</v>
      </c>
      <c r="R748" s="1" t="str">
        <f aca="false">IF(H748=M748,"Home",IF(H748=N748,"Away",IF(H748="PICK","Pick","N/A")))</f>
        <v>Away</v>
      </c>
      <c r="S748" s="1" t="n">
        <f aca="false">IF(R748="Home",P748,IF(R748="Away",-P748,""))</f>
        <v>33</v>
      </c>
      <c r="T748" s="1" t="str">
        <f aca="false">IF(R748="Pick","No Line",IF(S748="","N/A",IF(S748+I748&gt;0,"Favorite Covered",IF(S748+I748&lt;0,"Underdog Covered","Push"))))</f>
        <v>Favorite Covered</v>
      </c>
      <c r="U748" s="1" t="str">
        <f aca="false">IF(Q748&gt;J748,"Over",IF(Q748&lt;J748,"Under","Push"))</f>
        <v>Over</v>
      </c>
    </row>
    <row r="749" customFormat="false" ht="15" hidden="false" customHeight="false" outlineLevel="0" collapsed="false">
      <c r="A749" s="1" t="s">
        <v>336</v>
      </c>
      <c r="B749" s="1" t="n">
        <v>2012</v>
      </c>
      <c r="C749" s="1" t="s">
        <v>223</v>
      </c>
      <c r="D749" s="1" t="s">
        <v>63</v>
      </c>
      <c r="E749" s="1" t="s">
        <v>75</v>
      </c>
      <c r="F749" s="1" t="n">
        <v>13</v>
      </c>
      <c r="G749" s="1" t="n">
        <v>21</v>
      </c>
      <c r="H749" s="1" t="s">
        <v>76</v>
      </c>
      <c r="I749" s="1" t="n">
        <v>-3</v>
      </c>
      <c r="J749" s="1" t="n">
        <v>43.5</v>
      </c>
      <c r="K749" s="1" t="s">
        <v>145</v>
      </c>
      <c r="L749" s="1" t="b">
        <f aca="false">FALSE()</f>
        <v>0</v>
      </c>
      <c r="M749" s="1" t="str">
        <f aca="false">VLOOKUP(D749,'Team Reference'!$A:$B,2,FALSE())</f>
        <v>CHI</v>
      </c>
      <c r="N749" s="1" t="str">
        <f aca="false">VLOOKUP(E749,'Team Reference'!$A:$B,2,FALSE())</f>
        <v>GB</v>
      </c>
      <c r="O749" s="1" t="str">
        <f aca="false">IF(F749&gt;G749,M749,IF(G749&gt;F749,N749,"Tie"))</f>
        <v>GB</v>
      </c>
      <c r="P749" s="1" t="n">
        <f aca="false">F749-G749</f>
        <v>-8</v>
      </c>
      <c r="Q749" s="1" t="n">
        <f aca="false">F749+G749</f>
        <v>34</v>
      </c>
      <c r="R749" s="1" t="str">
        <f aca="false">IF(H749=M749,"Home",IF(H749=N749,"Away",IF(H749="PICK","Pick","N/A")))</f>
        <v>Away</v>
      </c>
      <c r="S749" s="1" t="n">
        <f aca="false">IF(R749="Home",P749,IF(R749="Away",-P749,""))</f>
        <v>8</v>
      </c>
      <c r="T749" s="1" t="str">
        <f aca="false">IF(R749="Pick","No Line",IF(S749="","N/A",IF(S749+I749&gt;0,"Favorite Covered",IF(S749+I749&lt;0,"Underdog Covered","Push"))))</f>
        <v>Favorite Covered</v>
      </c>
      <c r="U749" s="1" t="str">
        <f aca="false">IF(Q749&gt;J749,"Over",IF(Q749&lt;J749,"Under","Push"))</f>
        <v>Under</v>
      </c>
    </row>
    <row r="750" customFormat="false" ht="15" hidden="false" customHeight="false" outlineLevel="0" collapsed="false">
      <c r="A750" s="1" t="s">
        <v>336</v>
      </c>
      <c r="B750" s="1" t="n">
        <v>2012</v>
      </c>
      <c r="C750" s="1" t="s">
        <v>223</v>
      </c>
      <c r="D750" s="1" t="s">
        <v>67</v>
      </c>
      <c r="E750" s="1" t="s">
        <v>117</v>
      </c>
      <c r="F750" s="1" t="n">
        <v>21</v>
      </c>
      <c r="G750" s="1" t="n">
        <v>38</v>
      </c>
      <c r="H750" s="1" t="s">
        <v>68</v>
      </c>
      <c r="I750" s="1" t="n">
        <v>-4</v>
      </c>
      <c r="J750" s="1" t="n">
        <v>40.5</v>
      </c>
      <c r="K750" s="1" t="s">
        <v>164</v>
      </c>
      <c r="L750" s="1" t="b">
        <f aca="false">FALSE()</f>
        <v>0</v>
      </c>
      <c r="M750" s="1" t="str">
        <f aca="false">VLOOKUP(D750,'Team Reference'!$A:$B,2,FALSE())</f>
        <v>CLE</v>
      </c>
      <c r="N750" s="1" t="str">
        <f aca="false">VLOOKUP(E750,'Team Reference'!$A:$B,2,FALSE())</f>
        <v>WAS</v>
      </c>
      <c r="O750" s="1" t="str">
        <f aca="false">IF(F750&gt;G750,M750,IF(G750&gt;F750,N750,"Tie"))</f>
        <v>WAS</v>
      </c>
      <c r="P750" s="1" t="n">
        <f aca="false">F750-G750</f>
        <v>-17</v>
      </c>
      <c r="Q750" s="1" t="n">
        <f aca="false">F750+G750</f>
        <v>59</v>
      </c>
      <c r="R750" s="1" t="str">
        <f aca="false">IF(H750=M750,"Home",IF(H750=N750,"Away",IF(H750="PICK","Pick","N/A")))</f>
        <v>Home</v>
      </c>
      <c r="S750" s="1" t="n">
        <f aca="false">IF(R750="Home",P750,IF(R750="Away",-P750,""))</f>
        <v>-17</v>
      </c>
      <c r="T750" s="1" t="str">
        <f aca="false">IF(R750="Pick","No Line",IF(S750="","N/A",IF(S750+I750&gt;0,"Favorite Covered",IF(S750+I750&lt;0,"Underdog Covered","Push"))))</f>
        <v>Underdog Covered</v>
      </c>
      <c r="U750" s="1" t="str">
        <f aca="false">IF(Q750&gt;J750,"Over",IF(Q750&lt;J750,"Under","Push"))</f>
        <v>Over</v>
      </c>
    </row>
    <row r="751" customFormat="false" ht="15" hidden="false" customHeight="false" outlineLevel="0" collapsed="false">
      <c r="A751" s="1" t="s">
        <v>336</v>
      </c>
      <c r="B751" s="1" t="n">
        <v>2012</v>
      </c>
      <c r="C751" s="1" t="s">
        <v>223</v>
      </c>
      <c r="D751" s="1" t="s">
        <v>69</v>
      </c>
      <c r="E751" s="1" t="s">
        <v>105</v>
      </c>
      <c r="F751" s="1" t="n">
        <v>27</v>
      </c>
      <c r="G751" s="1" t="n">
        <v>24</v>
      </c>
      <c r="H751" s="1" t="s">
        <v>106</v>
      </c>
      <c r="I751" s="1" t="n">
        <v>-2.5</v>
      </c>
      <c r="J751" s="1" t="n">
        <v>46</v>
      </c>
      <c r="K751" s="1" t="s">
        <v>165</v>
      </c>
      <c r="L751" s="1" t="b">
        <f aca="false">FALSE()</f>
        <v>0</v>
      </c>
      <c r="M751" s="1" t="str">
        <f aca="false">VLOOKUP(D751,'Team Reference'!$A:$B,2,FALSE())</f>
        <v>DAL</v>
      </c>
      <c r="N751" s="1" t="str">
        <f aca="false">VLOOKUP(E751,'Team Reference'!$A:$B,2,FALSE())</f>
        <v>PIT</v>
      </c>
      <c r="O751" s="1" t="str">
        <f aca="false">IF(F751&gt;G751,M751,IF(G751&gt;F751,N751,"Tie"))</f>
        <v>DAL</v>
      </c>
      <c r="P751" s="1" t="n">
        <f aca="false">F751-G751</f>
        <v>3</v>
      </c>
      <c r="Q751" s="1" t="n">
        <f aca="false">F751+G751</f>
        <v>51</v>
      </c>
      <c r="R751" s="1" t="str">
        <f aca="false">IF(H751=M751,"Home",IF(H751=N751,"Away",IF(H751="PICK","Pick","N/A")))</f>
        <v>Away</v>
      </c>
      <c r="S751" s="1" t="n">
        <f aca="false">IF(R751="Home",P751,IF(R751="Away",-P751,""))</f>
        <v>-3</v>
      </c>
      <c r="T751" s="1" t="str">
        <f aca="false">IF(R751="Pick","No Line",IF(S751="","N/A",IF(S751+I751&gt;0,"Favorite Covered",IF(S751+I751&lt;0,"Underdog Covered","Push"))))</f>
        <v>Underdog Covered</v>
      </c>
      <c r="U751" s="1" t="str">
        <f aca="false">IF(Q751&gt;J751,"Over",IF(Q751&lt;J751,"Under","Push"))</f>
        <v>Over</v>
      </c>
    </row>
    <row r="752" customFormat="false" ht="15" hidden="false" customHeight="false" outlineLevel="0" collapsed="false">
      <c r="A752" s="1" t="s">
        <v>336</v>
      </c>
      <c r="B752" s="1" t="n">
        <v>2012</v>
      </c>
      <c r="C752" s="1" t="s">
        <v>223</v>
      </c>
      <c r="D752" s="1" t="s">
        <v>77</v>
      </c>
      <c r="E752" s="1" t="s">
        <v>79</v>
      </c>
      <c r="F752" s="1" t="n">
        <v>29</v>
      </c>
      <c r="G752" s="1" t="n">
        <v>17</v>
      </c>
      <c r="H752" s="1" t="s">
        <v>78</v>
      </c>
      <c r="I752" s="1" t="n">
        <v>-10.5</v>
      </c>
      <c r="J752" s="1" t="n">
        <v>48</v>
      </c>
      <c r="K752" s="1" t="s">
        <v>146</v>
      </c>
      <c r="L752" s="1" t="b">
        <f aca="false">FALSE()</f>
        <v>0</v>
      </c>
      <c r="M752" s="1" t="str">
        <f aca="false">VLOOKUP(D752,'Team Reference'!$A:$B,2,FALSE())</f>
        <v>HOU</v>
      </c>
      <c r="N752" s="1" t="str">
        <f aca="false">VLOOKUP(E752,'Team Reference'!$A:$B,2,FALSE())</f>
        <v>IND</v>
      </c>
      <c r="O752" s="1" t="str">
        <f aca="false">IF(F752&gt;G752,M752,IF(G752&gt;F752,N752,"Tie"))</f>
        <v>HOU</v>
      </c>
      <c r="P752" s="1" t="n">
        <f aca="false">F752-G752</f>
        <v>12</v>
      </c>
      <c r="Q752" s="1" t="n">
        <f aca="false">F752+G752</f>
        <v>46</v>
      </c>
      <c r="R752" s="1" t="str">
        <f aca="false">IF(H752=M752,"Home",IF(H752=N752,"Away",IF(H752="PICK","Pick","N/A")))</f>
        <v>Home</v>
      </c>
      <c r="S752" s="1" t="n">
        <f aca="false">IF(R752="Home",P752,IF(R752="Away",-P752,""))</f>
        <v>12</v>
      </c>
      <c r="T752" s="1" t="str">
        <f aca="false">IF(R752="Pick","No Line",IF(S752="","N/A",IF(S752+I752&gt;0,"Favorite Covered",IF(S752+I752&lt;0,"Underdog Covered","Push"))))</f>
        <v>Favorite Covered</v>
      </c>
      <c r="U752" s="1" t="str">
        <f aca="false">IF(Q752&gt;J752,"Over",IF(Q752&lt;J752,"Under","Push"))</f>
        <v>Under</v>
      </c>
    </row>
    <row r="753" customFormat="false" ht="15" hidden="false" customHeight="false" outlineLevel="0" collapsed="false">
      <c r="A753" s="1" t="s">
        <v>336</v>
      </c>
      <c r="B753" s="1" t="n">
        <v>2012</v>
      </c>
      <c r="C753" s="1" t="s">
        <v>223</v>
      </c>
      <c r="D753" s="1" t="s">
        <v>89</v>
      </c>
      <c r="E753" s="1" t="s">
        <v>81</v>
      </c>
      <c r="F753" s="1" t="n">
        <v>24</v>
      </c>
      <c r="G753" s="1" t="n">
        <v>3</v>
      </c>
      <c r="H753" s="1" t="s">
        <v>90</v>
      </c>
      <c r="I753" s="1" t="n">
        <v>-7.5</v>
      </c>
      <c r="J753" s="1" t="n">
        <v>38</v>
      </c>
      <c r="K753" s="1" t="s">
        <v>179</v>
      </c>
      <c r="L753" s="1" t="b">
        <f aca="false">FALSE()</f>
        <v>0</v>
      </c>
      <c r="M753" s="1" t="str">
        <f aca="false">VLOOKUP(D753,'Team Reference'!$A:$B,2,FALSE())</f>
        <v>MIA</v>
      </c>
      <c r="N753" s="1" t="str">
        <f aca="false">VLOOKUP(E753,'Team Reference'!$A:$B,2,FALSE())</f>
        <v>JAX</v>
      </c>
      <c r="O753" s="1" t="str">
        <f aca="false">IF(F753&gt;G753,M753,IF(G753&gt;F753,N753,"Tie"))</f>
        <v>MIA</v>
      </c>
      <c r="P753" s="1" t="n">
        <f aca="false">F753-G753</f>
        <v>21</v>
      </c>
      <c r="Q753" s="1" t="n">
        <f aca="false">F753+G753</f>
        <v>27</v>
      </c>
      <c r="R753" s="1" t="str">
        <f aca="false">IF(H753=M753,"Home",IF(H753=N753,"Away",IF(H753="PICK","Pick","N/A")))</f>
        <v>Home</v>
      </c>
      <c r="S753" s="1" t="n">
        <f aca="false">IF(R753="Home",P753,IF(R753="Away",-P753,""))</f>
        <v>21</v>
      </c>
      <c r="T753" s="1" t="str">
        <f aca="false">IF(R753="Pick","No Line",IF(S753="","N/A",IF(S753+I753&gt;0,"Favorite Covered",IF(S753+I753&lt;0,"Underdog Covered","Push"))))</f>
        <v>Favorite Covered</v>
      </c>
      <c r="U753" s="1" t="str">
        <f aca="false">IF(Q753&gt;J753,"Over",IF(Q753&lt;J753,"Under","Push"))</f>
        <v>Under</v>
      </c>
    </row>
    <row r="754" customFormat="false" ht="15" hidden="false" customHeight="false" outlineLevel="0" collapsed="false">
      <c r="A754" s="1" t="s">
        <v>336</v>
      </c>
      <c r="B754" s="1" t="n">
        <v>2012</v>
      </c>
      <c r="C754" s="1" t="s">
        <v>223</v>
      </c>
      <c r="D754" s="1" t="s">
        <v>93</v>
      </c>
      <c r="E754" s="1" t="s">
        <v>108</v>
      </c>
      <c r="F754" s="1" t="n">
        <v>34</v>
      </c>
      <c r="G754" s="1" t="n">
        <v>41</v>
      </c>
      <c r="H754" s="1" t="s">
        <v>94</v>
      </c>
      <c r="I754" s="1" t="n">
        <v>-5</v>
      </c>
      <c r="J754" s="1" t="n">
        <v>47.5</v>
      </c>
      <c r="K754" s="1" t="s">
        <v>148</v>
      </c>
      <c r="L754" s="1" t="b">
        <f aca="false">FALSE()</f>
        <v>0</v>
      </c>
      <c r="M754" s="1" t="str">
        <f aca="false">VLOOKUP(D754,'Team Reference'!$A:$B,2,FALSE())</f>
        <v>NE</v>
      </c>
      <c r="N754" s="1" t="str">
        <f aca="false">VLOOKUP(E754,'Team Reference'!$A:$B,2,FALSE())</f>
        <v>SF</v>
      </c>
      <c r="O754" s="1" t="str">
        <f aca="false">IF(F754&gt;G754,M754,IF(G754&gt;F754,N754,"Tie"))</f>
        <v>SF</v>
      </c>
      <c r="P754" s="1" t="n">
        <f aca="false">F754-G754</f>
        <v>-7</v>
      </c>
      <c r="Q754" s="1" t="n">
        <f aca="false">F754+G754</f>
        <v>75</v>
      </c>
      <c r="R754" s="1" t="str">
        <f aca="false">IF(H754=M754,"Home",IF(H754=N754,"Away",IF(H754="PICK","Pick","N/A")))</f>
        <v>Home</v>
      </c>
      <c r="S754" s="1" t="n">
        <f aca="false">IF(R754="Home",P754,IF(R754="Away",-P754,""))</f>
        <v>-7</v>
      </c>
      <c r="T754" s="1" t="str">
        <f aca="false">IF(R754="Pick","No Line",IF(S754="","N/A",IF(S754+I754&gt;0,"Favorite Covered",IF(S754+I754&lt;0,"Underdog Covered","Push"))))</f>
        <v>Underdog Covered</v>
      </c>
      <c r="U754" s="1" t="str">
        <f aca="false">IF(Q754&gt;J754,"Over",IF(Q754&lt;J754,"Under","Push"))</f>
        <v>Over</v>
      </c>
    </row>
    <row r="755" customFormat="false" ht="15" hidden="false" customHeight="false" outlineLevel="0" collapsed="false">
      <c r="A755" s="1" t="s">
        <v>336</v>
      </c>
      <c r="B755" s="1" t="n">
        <v>2012</v>
      </c>
      <c r="C755" s="1" t="s">
        <v>223</v>
      </c>
      <c r="D755" s="1" t="s">
        <v>95</v>
      </c>
      <c r="E755" s="1" t="s">
        <v>113</v>
      </c>
      <c r="F755" s="1" t="n">
        <v>41</v>
      </c>
      <c r="G755" s="1" t="n">
        <v>0</v>
      </c>
      <c r="H755" s="1" t="s">
        <v>96</v>
      </c>
      <c r="I755" s="1" t="n">
        <v>-3.5</v>
      </c>
      <c r="J755" s="1" t="n">
        <v>55</v>
      </c>
      <c r="K755" s="1" t="s">
        <v>142</v>
      </c>
      <c r="L755" s="1" t="b">
        <f aca="false">FALSE()</f>
        <v>0</v>
      </c>
      <c r="M755" s="1" t="str">
        <f aca="false">VLOOKUP(D755,'Team Reference'!$A:$B,2,FALSE())</f>
        <v>NO</v>
      </c>
      <c r="N755" s="1" t="str">
        <f aca="false">VLOOKUP(E755,'Team Reference'!$A:$B,2,FALSE())</f>
        <v>TB</v>
      </c>
      <c r="O755" s="1" t="str">
        <f aca="false">IF(F755&gt;G755,M755,IF(G755&gt;F755,N755,"Tie"))</f>
        <v>NO</v>
      </c>
      <c r="P755" s="1" t="n">
        <f aca="false">F755-G755</f>
        <v>41</v>
      </c>
      <c r="Q755" s="1" t="n">
        <f aca="false">F755+G755</f>
        <v>41</v>
      </c>
      <c r="R755" s="1" t="str">
        <f aca="false">IF(H755=M755,"Home",IF(H755=N755,"Away",IF(H755="PICK","Pick","N/A")))</f>
        <v>Home</v>
      </c>
      <c r="S755" s="1" t="n">
        <f aca="false">IF(R755="Home",P755,IF(R755="Away",-P755,""))</f>
        <v>41</v>
      </c>
      <c r="T755" s="1" t="str">
        <f aca="false">IF(R755="Pick","No Line",IF(S755="","N/A",IF(S755+I755&gt;0,"Favorite Covered",IF(S755+I755&lt;0,"Underdog Covered","Push"))))</f>
        <v>Favorite Covered</v>
      </c>
      <c r="U755" s="1" t="str">
        <f aca="false">IF(Q755&gt;J755,"Over",IF(Q755&lt;J755,"Under","Push"))</f>
        <v>Under</v>
      </c>
    </row>
    <row r="756" customFormat="false" ht="15" hidden="false" customHeight="false" outlineLevel="0" collapsed="false">
      <c r="A756" s="1" t="s">
        <v>336</v>
      </c>
      <c r="B756" s="1" t="n">
        <v>2012</v>
      </c>
      <c r="C756" s="1" t="s">
        <v>223</v>
      </c>
      <c r="D756" s="1" t="s">
        <v>101</v>
      </c>
      <c r="E756" s="1" t="s">
        <v>83</v>
      </c>
      <c r="F756" s="1" t="n">
        <v>15</v>
      </c>
      <c r="G756" s="1" t="n">
        <v>0</v>
      </c>
      <c r="H756" s="1" t="s">
        <v>102</v>
      </c>
      <c r="I756" s="1" t="n">
        <v>-4.5</v>
      </c>
      <c r="J756" s="1" t="n">
        <v>44</v>
      </c>
      <c r="K756" s="1" t="s">
        <v>171</v>
      </c>
      <c r="L756" s="1" t="b">
        <f aca="false">FALSE()</f>
        <v>0</v>
      </c>
      <c r="M756" s="1" t="str">
        <f aca="false">VLOOKUP(D756,'Team Reference'!$A:$B,2,FALSE())</f>
        <v>OAK</v>
      </c>
      <c r="N756" s="1" t="str">
        <f aca="false">VLOOKUP(E756,'Team Reference'!$A:$B,2,FALSE())</f>
        <v>KC</v>
      </c>
      <c r="O756" s="1" t="str">
        <f aca="false">IF(F756&gt;G756,M756,IF(G756&gt;F756,N756,"Tie"))</f>
        <v>OAK</v>
      </c>
      <c r="P756" s="1" t="n">
        <f aca="false">F756-G756</f>
        <v>15</v>
      </c>
      <c r="Q756" s="1" t="n">
        <f aca="false">F756+G756</f>
        <v>15</v>
      </c>
      <c r="R756" s="1" t="str">
        <f aca="false">IF(H756=M756,"Home",IF(H756=N756,"Away",IF(H756="PICK","Pick","N/A")))</f>
        <v>Home</v>
      </c>
      <c r="S756" s="1" t="n">
        <f aca="false">IF(R756="Home",P756,IF(R756="Away",-P756,""))</f>
        <v>15</v>
      </c>
      <c r="T756" s="1" t="str">
        <f aca="false">IF(R756="Pick","No Line",IF(S756="","N/A",IF(S756+I756&gt;0,"Favorite Covered",IF(S756+I756&lt;0,"Underdog Covered","Push"))))</f>
        <v>Favorite Covered</v>
      </c>
      <c r="U756" s="1" t="str">
        <f aca="false">IF(Q756&gt;J756,"Over",IF(Q756&lt;J756,"Under","Push"))</f>
        <v>Under</v>
      </c>
    </row>
    <row r="757" customFormat="false" ht="15" hidden="false" customHeight="false" outlineLevel="0" collapsed="false">
      <c r="A757" s="1" t="s">
        <v>336</v>
      </c>
      <c r="B757" s="1" t="n">
        <v>2012</v>
      </c>
      <c r="C757" s="1" t="s">
        <v>223</v>
      </c>
      <c r="D757" s="1" t="s">
        <v>107</v>
      </c>
      <c r="E757" s="1" t="s">
        <v>61</v>
      </c>
      <c r="F757" s="1" t="n">
        <v>7</v>
      </c>
      <c r="G757" s="1" t="n">
        <v>31</v>
      </c>
      <c r="H757" s="1" t="s">
        <v>86</v>
      </c>
      <c r="I757" s="1" t="n">
        <v>-3</v>
      </c>
      <c r="J757" s="1" t="n">
        <v>45.5</v>
      </c>
      <c r="K757" s="1" t="s">
        <v>172</v>
      </c>
      <c r="L757" s="1" t="b">
        <f aca="false">FALSE()</f>
        <v>0</v>
      </c>
      <c r="M757" s="1" t="str">
        <f aca="false">VLOOKUP(D757,'Team Reference'!$A:$B,2,FALSE())</f>
        <v>LAC</v>
      </c>
      <c r="N757" s="1" t="str">
        <f aca="false">VLOOKUP(E757,'Team Reference'!$A:$B,2,FALSE())</f>
        <v>CAR</v>
      </c>
      <c r="O757" s="1" t="str">
        <f aca="false">IF(F757&gt;G757,M757,IF(G757&gt;F757,N757,"Tie"))</f>
        <v>CAR</v>
      </c>
      <c r="P757" s="1" t="n">
        <f aca="false">F757-G757</f>
        <v>-24</v>
      </c>
      <c r="Q757" s="1" t="n">
        <f aca="false">F757+G757</f>
        <v>38</v>
      </c>
      <c r="R757" s="1" t="str">
        <f aca="false">IF(H757=M757,"Home",IF(H757=N757,"Away",IF(H757="PICK","Pick","N/A")))</f>
        <v>Home</v>
      </c>
      <c r="S757" s="1" t="n">
        <f aca="false">IF(R757="Home",P757,IF(R757="Away",-P757,""))</f>
        <v>-24</v>
      </c>
      <c r="T757" s="1" t="str">
        <f aca="false">IF(R757="Pick","No Line",IF(S757="","N/A",IF(S757+I757&gt;0,"Favorite Covered",IF(S757+I757&lt;0,"Underdog Covered","Push"))))</f>
        <v>Underdog Covered</v>
      </c>
      <c r="U757" s="1" t="str">
        <f aca="false">IF(Q757&gt;J757,"Over",IF(Q757&lt;J757,"Under","Push"))</f>
        <v>Under</v>
      </c>
    </row>
    <row r="758" customFormat="false" ht="15" hidden="false" customHeight="false" outlineLevel="0" collapsed="false">
      <c r="A758" s="1" t="s">
        <v>336</v>
      </c>
      <c r="B758" s="1" t="n">
        <v>2012</v>
      </c>
      <c r="C758" s="1" t="s">
        <v>223</v>
      </c>
      <c r="D758" s="1" t="s">
        <v>112</v>
      </c>
      <c r="E758" s="1" t="s">
        <v>91</v>
      </c>
      <c r="F758" s="1" t="n">
        <v>22</v>
      </c>
      <c r="G758" s="1" t="n">
        <v>36</v>
      </c>
      <c r="H758" s="1" t="s">
        <v>88</v>
      </c>
      <c r="I758" s="1" t="n">
        <v>-2.5</v>
      </c>
      <c r="J758" s="1" t="n">
        <v>39.5</v>
      </c>
      <c r="K758" s="1" t="s">
        <v>153</v>
      </c>
      <c r="L758" s="1" t="b">
        <f aca="false">FALSE()</f>
        <v>0</v>
      </c>
      <c r="M758" s="1" t="str">
        <f aca="false">VLOOKUP(D758,'Team Reference'!$A:$B,2,FALSE())</f>
        <v>LAR</v>
      </c>
      <c r="N758" s="1" t="str">
        <f aca="false">VLOOKUP(E758,'Team Reference'!$A:$B,2,FALSE())</f>
        <v>MIN</v>
      </c>
      <c r="O758" s="1" t="str">
        <f aca="false">IF(F758&gt;G758,M758,IF(G758&gt;F758,N758,"Tie"))</f>
        <v>MIN</v>
      </c>
      <c r="P758" s="1" t="n">
        <f aca="false">F758-G758</f>
        <v>-14</v>
      </c>
      <c r="Q758" s="1" t="n">
        <f aca="false">F758+G758</f>
        <v>58</v>
      </c>
      <c r="R758" s="1" t="str">
        <f aca="false">IF(H758=M758,"Home",IF(H758=N758,"Away",IF(H758="PICK","Pick","N/A")))</f>
        <v>Home</v>
      </c>
      <c r="S758" s="1" t="n">
        <f aca="false">IF(R758="Home",P758,IF(R758="Away",-P758,""))</f>
        <v>-14</v>
      </c>
      <c r="T758" s="1" t="str">
        <f aca="false">IF(R758="Pick","No Line",IF(S758="","N/A",IF(S758+I758&gt;0,"Favorite Covered",IF(S758+I758&lt;0,"Underdog Covered","Push"))))</f>
        <v>Underdog Covered</v>
      </c>
      <c r="U758" s="1" t="str">
        <f aca="false">IF(Q758&gt;J758,"Over",IF(Q758&lt;J758,"Under","Push"))</f>
        <v>Over</v>
      </c>
    </row>
    <row r="759" customFormat="false" ht="15" hidden="false" customHeight="false" outlineLevel="0" collapsed="false">
      <c r="A759" s="1" t="s">
        <v>337</v>
      </c>
      <c r="B759" s="1" t="n">
        <v>2012</v>
      </c>
      <c r="C759" s="1" t="s">
        <v>223</v>
      </c>
      <c r="D759" s="1" t="s">
        <v>115</v>
      </c>
      <c r="E759" s="1" t="s">
        <v>99</v>
      </c>
      <c r="F759" s="1" t="n">
        <v>14</v>
      </c>
      <c r="G759" s="1" t="n">
        <v>10</v>
      </c>
      <c r="H759" s="1" t="s">
        <v>116</v>
      </c>
      <c r="I759" s="1" t="n">
        <v>-1</v>
      </c>
      <c r="J759" s="1" t="n">
        <v>42</v>
      </c>
      <c r="K759" s="1" t="s">
        <v>155</v>
      </c>
      <c r="L759" s="1" t="b">
        <f aca="false">FALSE()</f>
        <v>0</v>
      </c>
      <c r="M759" s="1" t="str">
        <f aca="false">VLOOKUP(D759,'Team Reference'!$A:$B,2,FALSE())</f>
        <v>TEN</v>
      </c>
      <c r="N759" s="1" t="str">
        <f aca="false">VLOOKUP(E759,'Team Reference'!$A:$B,2,FALSE())</f>
        <v>NYJ</v>
      </c>
      <c r="O759" s="1" t="str">
        <f aca="false">IF(F759&gt;G759,M759,IF(G759&gt;F759,N759,"Tie"))</f>
        <v>TEN</v>
      </c>
      <c r="P759" s="1" t="n">
        <f aca="false">F759-G759</f>
        <v>4</v>
      </c>
      <c r="Q759" s="1" t="n">
        <f aca="false">F759+G759</f>
        <v>24</v>
      </c>
      <c r="R759" s="1" t="str">
        <f aca="false">IF(H759=M759,"Home",IF(H759=N759,"Away",IF(H759="PICK","Pick","N/A")))</f>
        <v>Home</v>
      </c>
      <c r="S759" s="1" t="n">
        <f aca="false">IF(R759="Home",P759,IF(R759="Away",-P759,""))</f>
        <v>4</v>
      </c>
      <c r="T759" s="1" t="str">
        <f aca="false">IF(R759="Pick","No Line",IF(S759="","N/A",IF(S759+I759&gt;0,"Favorite Covered",IF(S759+I759&lt;0,"Underdog Covered","Push"))))</f>
        <v>Favorite Covered</v>
      </c>
      <c r="U759" s="1" t="str">
        <f aca="false">IF(Q759&gt;J759,"Over",IF(Q759&lt;J759,"Under","Push"))</f>
        <v>Under</v>
      </c>
    </row>
    <row r="760" customFormat="false" ht="15" hidden="false" customHeight="false" outlineLevel="0" collapsed="false">
      <c r="A760" s="1" t="s">
        <v>338</v>
      </c>
      <c r="B760" s="1" t="n">
        <v>2012</v>
      </c>
      <c r="C760" s="1" t="s">
        <v>227</v>
      </c>
      <c r="D760" s="1" t="s">
        <v>73</v>
      </c>
      <c r="E760" s="1" t="s">
        <v>55</v>
      </c>
      <c r="F760" s="1" t="n">
        <v>18</v>
      </c>
      <c r="G760" s="1" t="n">
        <v>31</v>
      </c>
      <c r="H760" s="1" t="s">
        <v>56</v>
      </c>
      <c r="I760" s="1" t="n">
        <v>-4</v>
      </c>
      <c r="J760" s="1" t="n">
        <v>50.5</v>
      </c>
      <c r="K760" s="1" t="s">
        <v>167</v>
      </c>
      <c r="L760" s="1" t="b">
        <f aca="false">FALSE()</f>
        <v>0</v>
      </c>
      <c r="M760" s="1" t="str">
        <f aca="false">VLOOKUP(D760,'Team Reference'!$A:$B,2,FALSE())</f>
        <v>DET</v>
      </c>
      <c r="N760" s="1" t="str">
        <f aca="false">VLOOKUP(E760,'Team Reference'!$A:$B,2,FALSE())</f>
        <v>ATL</v>
      </c>
      <c r="O760" s="1" t="str">
        <f aca="false">IF(F760&gt;G760,M760,IF(G760&gt;F760,N760,"Tie"))</f>
        <v>ATL</v>
      </c>
      <c r="P760" s="1" t="n">
        <f aca="false">F760-G760</f>
        <v>-13</v>
      </c>
      <c r="Q760" s="1" t="n">
        <f aca="false">F760+G760</f>
        <v>49</v>
      </c>
      <c r="R760" s="1" t="str">
        <f aca="false">IF(H760=M760,"Home",IF(H760=N760,"Away",IF(H760="PICK","Pick","N/A")))</f>
        <v>Away</v>
      </c>
      <c r="S760" s="1" t="n">
        <f aca="false">IF(R760="Home",P760,IF(R760="Away",-P760,""))</f>
        <v>13</v>
      </c>
      <c r="T760" s="1" t="str">
        <f aca="false">IF(R760="Pick","No Line",IF(S760="","N/A",IF(S760+I760&gt;0,"Favorite Covered",IF(S760+I760&lt;0,"Underdog Covered","Push"))))</f>
        <v>Favorite Covered</v>
      </c>
      <c r="U760" s="1" t="str">
        <f aca="false">IF(Q760&gt;J760,"Over",IF(Q760&lt;J760,"Under","Push"))</f>
        <v>Under</v>
      </c>
    </row>
    <row r="761" customFormat="false" ht="15" hidden="false" customHeight="false" outlineLevel="0" collapsed="false">
      <c r="A761" s="1" t="s">
        <v>339</v>
      </c>
      <c r="B761" s="1" t="n">
        <v>2012</v>
      </c>
      <c r="C761" s="1" t="s">
        <v>227</v>
      </c>
      <c r="D761" s="1" t="s">
        <v>53</v>
      </c>
      <c r="E761" s="1" t="s">
        <v>63</v>
      </c>
      <c r="F761" s="1" t="n">
        <v>13</v>
      </c>
      <c r="G761" s="1" t="n">
        <v>28</v>
      </c>
      <c r="H761" s="1" t="s">
        <v>64</v>
      </c>
      <c r="I761" s="1" t="n">
        <v>-7</v>
      </c>
      <c r="J761" s="1" t="n">
        <v>36.5</v>
      </c>
      <c r="K761" s="1" t="s">
        <v>177</v>
      </c>
      <c r="L761" s="1" t="b">
        <f aca="false">FALSE()</f>
        <v>0</v>
      </c>
      <c r="M761" s="1" t="str">
        <f aca="false">VLOOKUP(D761,'Team Reference'!$A:$B,2,FALSE())</f>
        <v>ARI</v>
      </c>
      <c r="N761" s="1" t="str">
        <f aca="false">VLOOKUP(E761,'Team Reference'!$A:$B,2,FALSE())</f>
        <v>CHI</v>
      </c>
      <c r="O761" s="1" t="str">
        <f aca="false">IF(F761&gt;G761,M761,IF(G761&gt;F761,N761,"Tie"))</f>
        <v>CHI</v>
      </c>
      <c r="P761" s="1" t="n">
        <f aca="false">F761-G761</f>
        <v>-15</v>
      </c>
      <c r="Q761" s="1" t="n">
        <f aca="false">F761+G761</f>
        <v>41</v>
      </c>
      <c r="R761" s="1" t="str">
        <f aca="false">IF(H761=M761,"Home",IF(H761=N761,"Away",IF(H761="PICK","Pick","N/A")))</f>
        <v>Away</v>
      </c>
      <c r="S761" s="1" t="n">
        <f aca="false">IF(R761="Home",P761,IF(R761="Away",-P761,""))</f>
        <v>15</v>
      </c>
      <c r="T761" s="1" t="str">
        <f aca="false">IF(R761="Pick","No Line",IF(S761="","N/A",IF(S761+I761&gt;0,"Favorite Covered",IF(S761+I761&lt;0,"Underdog Covered","Push"))))</f>
        <v>Favorite Covered</v>
      </c>
      <c r="U761" s="1" t="str">
        <f aca="false">IF(Q761&gt;J761,"Over",IF(Q761&lt;J761,"Under","Push"))</f>
        <v>Over</v>
      </c>
    </row>
    <row r="762" customFormat="false" ht="15" hidden="false" customHeight="false" outlineLevel="0" collapsed="false">
      <c r="A762" s="1" t="s">
        <v>339</v>
      </c>
      <c r="B762" s="1" t="n">
        <v>2012</v>
      </c>
      <c r="C762" s="1" t="s">
        <v>227</v>
      </c>
      <c r="D762" s="1" t="s">
        <v>57</v>
      </c>
      <c r="E762" s="1" t="s">
        <v>97</v>
      </c>
      <c r="F762" s="1" t="n">
        <v>33</v>
      </c>
      <c r="G762" s="1" t="n">
        <v>14</v>
      </c>
      <c r="H762" s="1" t="s">
        <v>98</v>
      </c>
      <c r="I762" s="1" t="n">
        <v>-2.5</v>
      </c>
      <c r="J762" s="1" t="n">
        <v>47</v>
      </c>
      <c r="K762" s="1" t="s">
        <v>178</v>
      </c>
      <c r="L762" s="1" t="b">
        <f aca="false">FALSE()</f>
        <v>0</v>
      </c>
      <c r="M762" s="1" t="str">
        <f aca="false">VLOOKUP(D762,'Team Reference'!$A:$B,2,FALSE())</f>
        <v>BAL</v>
      </c>
      <c r="N762" s="1" t="str">
        <f aca="false">VLOOKUP(E762,'Team Reference'!$A:$B,2,FALSE())</f>
        <v>NYG</v>
      </c>
      <c r="O762" s="1" t="str">
        <f aca="false">IF(F762&gt;G762,M762,IF(G762&gt;F762,N762,"Tie"))</f>
        <v>BAL</v>
      </c>
      <c r="P762" s="1" t="n">
        <f aca="false">F762-G762</f>
        <v>19</v>
      </c>
      <c r="Q762" s="1" t="n">
        <f aca="false">F762+G762</f>
        <v>47</v>
      </c>
      <c r="R762" s="1" t="str">
        <f aca="false">IF(H762=M762,"Home",IF(H762=N762,"Away",IF(H762="PICK","Pick","N/A")))</f>
        <v>Away</v>
      </c>
      <c r="S762" s="1" t="n">
        <f aca="false">IF(R762="Home",P762,IF(R762="Away",-P762,""))</f>
        <v>-19</v>
      </c>
      <c r="T762" s="1" t="str">
        <f aca="false">IF(R762="Pick","No Line",IF(S762="","N/A",IF(S762+I762&gt;0,"Favorite Covered",IF(S762+I762&lt;0,"Underdog Covered","Push"))))</f>
        <v>Underdog Covered</v>
      </c>
      <c r="U762" s="1" t="str">
        <f aca="false">IF(Q762&gt;J762,"Over",IF(Q762&lt;J762,"Under","Push"))</f>
        <v>Push</v>
      </c>
    </row>
    <row r="763" customFormat="false" ht="15" hidden="false" customHeight="false" outlineLevel="0" collapsed="false">
      <c r="A763" s="1" t="s">
        <v>339</v>
      </c>
      <c r="B763" s="1" t="n">
        <v>2012</v>
      </c>
      <c r="C763" s="1" t="s">
        <v>227</v>
      </c>
      <c r="D763" s="1" t="s">
        <v>61</v>
      </c>
      <c r="E763" s="1" t="s">
        <v>101</v>
      </c>
      <c r="F763" s="1" t="n">
        <v>17</v>
      </c>
      <c r="G763" s="1" t="n">
        <v>6</v>
      </c>
      <c r="H763" s="1" t="s">
        <v>62</v>
      </c>
      <c r="I763" s="1" t="n">
        <v>-9.5</v>
      </c>
      <c r="J763" s="1" t="n">
        <v>47</v>
      </c>
      <c r="K763" s="1" t="s">
        <v>162</v>
      </c>
      <c r="L763" s="1" t="b">
        <f aca="false">FALSE()</f>
        <v>0</v>
      </c>
      <c r="M763" s="1" t="str">
        <f aca="false">VLOOKUP(D763,'Team Reference'!$A:$B,2,FALSE())</f>
        <v>CAR</v>
      </c>
      <c r="N763" s="1" t="str">
        <f aca="false">VLOOKUP(E763,'Team Reference'!$A:$B,2,FALSE())</f>
        <v>OAK</v>
      </c>
      <c r="O763" s="1" t="str">
        <f aca="false">IF(F763&gt;G763,M763,IF(G763&gt;F763,N763,"Tie"))</f>
        <v>CAR</v>
      </c>
      <c r="P763" s="1" t="n">
        <f aca="false">F763-G763</f>
        <v>11</v>
      </c>
      <c r="Q763" s="1" t="n">
        <f aca="false">F763+G763</f>
        <v>23</v>
      </c>
      <c r="R763" s="1" t="str">
        <f aca="false">IF(H763=M763,"Home",IF(H763=N763,"Away",IF(H763="PICK","Pick","N/A")))</f>
        <v>Home</v>
      </c>
      <c r="S763" s="1" t="n">
        <f aca="false">IF(R763="Home",P763,IF(R763="Away",-P763,""))</f>
        <v>11</v>
      </c>
      <c r="T763" s="1" t="str">
        <f aca="false">IF(R763="Pick","No Line",IF(S763="","N/A",IF(S763+I763&gt;0,"Favorite Covered",IF(S763+I763&lt;0,"Underdog Covered","Push"))))</f>
        <v>Favorite Covered</v>
      </c>
      <c r="U763" s="1" t="str">
        <f aca="false">IF(Q763&gt;J763,"Over",IF(Q763&lt;J763,"Under","Push"))</f>
        <v>Under</v>
      </c>
    </row>
    <row r="764" customFormat="false" ht="15" hidden="false" customHeight="false" outlineLevel="0" collapsed="false">
      <c r="A764" s="1" t="s">
        <v>339</v>
      </c>
      <c r="B764" s="1" t="n">
        <v>2012</v>
      </c>
      <c r="C764" s="1" t="s">
        <v>227</v>
      </c>
      <c r="D764" s="1" t="s">
        <v>69</v>
      </c>
      <c r="E764" s="1" t="s">
        <v>95</v>
      </c>
      <c r="F764" s="1" t="n">
        <v>31</v>
      </c>
      <c r="G764" s="1" t="n">
        <v>34</v>
      </c>
      <c r="H764" s="1" t="s">
        <v>70</v>
      </c>
      <c r="I764" s="1" t="n">
        <v>-3</v>
      </c>
      <c r="J764" s="1" t="n">
        <v>54.5</v>
      </c>
      <c r="K764" s="1" t="s">
        <v>165</v>
      </c>
      <c r="L764" s="1" t="b">
        <f aca="false">FALSE()</f>
        <v>0</v>
      </c>
      <c r="M764" s="1" t="str">
        <f aca="false">VLOOKUP(D764,'Team Reference'!$A:$B,2,FALSE())</f>
        <v>DAL</v>
      </c>
      <c r="N764" s="1" t="str">
        <f aca="false">VLOOKUP(E764,'Team Reference'!$A:$B,2,FALSE())</f>
        <v>NO</v>
      </c>
      <c r="O764" s="1" t="str">
        <f aca="false">IF(F764&gt;G764,M764,IF(G764&gt;F764,N764,"Tie"))</f>
        <v>NO</v>
      </c>
      <c r="P764" s="1" t="n">
        <f aca="false">F764-G764</f>
        <v>-3</v>
      </c>
      <c r="Q764" s="1" t="n">
        <f aca="false">F764+G764</f>
        <v>65</v>
      </c>
      <c r="R764" s="1" t="str">
        <f aca="false">IF(H764=M764,"Home",IF(H764=N764,"Away",IF(H764="PICK","Pick","N/A")))</f>
        <v>Home</v>
      </c>
      <c r="S764" s="1" t="n">
        <f aca="false">IF(R764="Home",P764,IF(R764="Away",-P764,""))</f>
        <v>-3</v>
      </c>
      <c r="T764" s="1" t="str">
        <f aca="false">IF(R764="Pick","No Line",IF(S764="","N/A",IF(S764+I764&gt;0,"Favorite Covered",IF(S764+I764&lt;0,"Underdog Covered","Push"))))</f>
        <v>Underdog Covered</v>
      </c>
      <c r="U764" s="1" t="str">
        <f aca="false">IF(Q764&gt;J764,"Over",IF(Q764&lt;J764,"Under","Push"))</f>
        <v>Over</v>
      </c>
    </row>
    <row r="765" customFormat="false" ht="15" hidden="false" customHeight="false" outlineLevel="0" collapsed="false">
      <c r="A765" s="1" t="s">
        <v>339</v>
      </c>
      <c r="B765" s="1" t="n">
        <v>2012</v>
      </c>
      <c r="C765" s="1" t="s">
        <v>227</v>
      </c>
      <c r="D765" s="1" t="s">
        <v>71</v>
      </c>
      <c r="E765" s="1" t="s">
        <v>67</v>
      </c>
      <c r="F765" s="1" t="n">
        <v>34</v>
      </c>
      <c r="G765" s="1" t="n">
        <v>12</v>
      </c>
      <c r="H765" s="1" t="s">
        <v>72</v>
      </c>
      <c r="I765" s="1" t="n">
        <v>-11</v>
      </c>
      <c r="J765" s="1" t="n">
        <v>44</v>
      </c>
      <c r="K765" s="1" t="s">
        <v>166</v>
      </c>
      <c r="L765" s="1" t="b">
        <f aca="false">FALSE()</f>
        <v>0</v>
      </c>
      <c r="M765" s="1" t="str">
        <f aca="false">VLOOKUP(D765,'Team Reference'!$A:$B,2,FALSE())</f>
        <v>DEN</v>
      </c>
      <c r="N765" s="1" t="str">
        <f aca="false">VLOOKUP(E765,'Team Reference'!$A:$B,2,FALSE())</f>
        <v>CLE</v>
      </c>
      <c r="O765" s="1" t="str">
        <f aca="false">IF(F765&gt;G765,M765,IF(G765&gt;F765,N765,"Tie"))</f>
        <v>DEN</v>
      </c>
      <c r="P765" s="1" t="n">
        <f aca="false">F765-G765</f>
        <v>22</v>
      </c>
      <c r="Q765" s="1" t="n">
        <f aca="false">F765+G765</f>
        <v>46</v>
      </c>
      <c r="R765" s="1" t="str">
        <f aca="false">IF(H765=M765,"Home",IF(H765=N765,"Away",IF(H765="PICK","Pick","N/A")))</f>
        <v>Home</v>
      </c>
      <c r="S765" s="1" t="n">
        <f aca="false">IF(R765="Home",P765,IF(R765="Away",-P765,""))</f>
        <v>22</v>
      </c>
      <c r="T765" s="1" t="str">
        <f aca="false">IF(R765="Pick","No Line",IF(S765="","N/A",IF(S765+I765&gt;0,"Favorite Covered",IF(S765+I765&lt;0,"Underdog Covered","Push"))))</f>
        <v>Favorite Covered</v>
      </c>
      <c r="U765" s="1" t="str">
        <f aca="false">IF(Q765&gt;J765,"Over",IF(Q765&lt;J765,"Under","Push"))</f>
        <v>Over</v>
      </c>
    </row>
    <row r="766" customFormat="false" ht="15" hidden="false" customHeight="false" outlineLevel="0" collapsed="false">
      <c r="A766" s="1" t="s">
        <v>339</v>
      </c>
      <c r="B766" s="1" t="n">
        <v>2012</v>
      </c>
      <c r="C766" s="1" t="s">
        <v>227</v>
      </c>
      <c r="D766" s="1" t="s">
        <v>75</v>
      </c>
      <c r="E766" s="1" t="s">
        <v>115</v>
      </c>
      <c r="F766" s="1" t="n">
        <v>55</v>
      </c>
      <c r="G766" s="1" t="n">
        <v>7</v>
      </c>
      <c r="H766" s="1" t="s">
        <v>76</v>
      </c>
      <c r="I766" s="1" t="n">
        <v>-11</v>
      </c>
      <c r="J766" s="1" t="n">
        <v>44.5</v>
      </c>
      <c r="K766" s="1" t="s">
        <v>168</v>
      </c>
      <c r="L766" s="1" t="b">
        <f aca="false">FALSE()</f>
        <v>0</v>
      </c>
      <c r="M766" s="1" t="str">
        <f aca="false">VLOOKUP(D766,'Team Reference'!$A:$B,2,FALSE())</f>
        <v>GB</v>
      </c>
      <c r="N766" s="1" t="str">
        <f aca="false">VLOOKUP(E766,'Team Reference'!$A:$B,2,FALSE())</f>
        <v>TEN</v>
      </c>
      <c r="O766" s="1" t="str">
        <f aca="false">IF(F766&gt;G766,M766,IF(G766&gt;F766,N766,"Tie"))</f>
        <v>GB</v>
      </c>
      <c r="P766" s="1" t="n">
        <f aca="false">F766-G766</f>
        <v>48</v>
      </c>
      <c r="Q766" s="1" t="n">
        <f aca="false">F766+G766</f>
        <v>62</v>
      </c>
      <c r="R766" s="1" t="str">
        <f aca="false">IF(H766=M766,"Home",IF(H766=N766,"Away",IF(H766="PICK","Pick","N/A")))</f>
        <v>Home</v>
      </c>
      <c r="S766" s="1" t="n">
        <f aca="false">IF(R766="Home",P766,IF(R766="Away",-P766,""))</f>
        <v>48</v>
      </c>
      <c r="T766" s="1" t="str">
        <f aca="false">IF(R766="Pick","No Line",IF(S766="","N/A",IF(S766+I766&gt;0,"Favorite Covered",IF(S766+I766&lt;0,"Underdog Covered","Push"))))</f>
        <v>Favorite Covered</v>
      </c>
      <c r="U766" s="1" t="str">
        <f aca="false">IF(Q766&gt;J766,"Over",IF(Q766&lt;J766,"Under","Push"))</f>
        <v>Over</v>
      </c>
    </row>
    <row r="767" customFormat="false" ht="15" hidden="false" customHeight="false" outlineLevel="0" collapsed="false">
      <c r="A767" s="1" t="s">
        <v>339</v>
      </c>
      <c r="B767" s="1" t="n">
        <v>2012</v>
      </c>
      <c r="C767" s="1" t="s">
        <v>227</v>
      </c>
      <c r="D767" s="1" t="s">
        <v>77</v>
      </c>
      <c r="E767" s="1" t="s">
        <v>91</v>
      </c>
      <c r="F767" s="1" t="n">
        <v>6</v>
      </c>
      <c r="G767" s="1" t="n">
        <v>23</v>
      </c>
      <c r="H767" s="1" t="s">
        <v>78</v>
      </c>
      <c r="I767" s="1" t="n">
        <v>-7.5</v>
      </c>
      <c r="J767" s="1" t="n">
        <v>43.5</v>
      </c>
      <c r="K767" s="1" t="s">
        <v>146</v>
      </c>
      <c r="L767" s="1" t="b">
        <f aca="false">FALSE()</f>
        <v>0</v>
      </c>
      <c r="M767" s="1" t="str">
        <f aca="false">VLOOKUP(D767,'Team Reference'!$A:$B,2,FALSE())</f>
        <v>HOU</v>
      </c>
      <c r="N767" s="1" t="str">
        <f aca="false">VLOOKUP(E767,'Team Reference'!$A:$B,2,FALSE())</f>
        <v>MIN</v>
      </c>
      <c r="O767" s="1" t="str">
        <f aca="false">IF(F767&gt;G767,M767,IF(G767&gt;F767,N767,"Tie"))</f>
        <v>MIN</v>
      </c>
      <c r="P767" s="1" t="n">
        <f aca="false">F767-G767</f>
        <v>-17</v>
      </c>
      <c r="Q767" s="1" t="n">
        <f aca="false">F767+G767</f>
        <v>29</v>
      </c>
      <c r="R767" s="1" t="str">
        <f aca="false">IF(H767=M767,"Home",IF(H767=N767,"Away",IF(H767="PICK","Pick","N/A")))</f>
        <v>Home</v>
      </c>
      <c r="S767" s="1" t="n">
        <f aca="false">IF(R767="Home",P767,IF(R767="Away",-P767,""))</f>
        <v>-17</v>
      </c>
      <c r="T767" s="1" t="str">
        <f aca="false">IF(R767="Pick","No Line",IF(S767="","N/A",IF(S767+I767&gt;0,"Favorite Covered",IF(S767+I767&lt;0,"Underdog Covered","Push"))))</f>
        <v>Underdog Covered</v>
      </c>
      <c r="U767" s="1" t="str">
        <f aca="false">IF(Q767&gt;J767,"Over",IF(Q767&lt;J767,"Under","Push"))</f>
        <v>Under</v>
      </c>
    </row>
    <row r="768" customFormat="false" ht="15" hidden="false" customHeight="false" outlineLevel="0" collapsed="false">
      <c r="A768" s="1" t="s">
        <v>339</v>
      </c>
      <c r="B768" s="1" t="n">
        <v>2012</v>
      </c>
      <c r="C768" s="1" t="s">
        <v>227</v>
      </c>
      <c r="D768" s="1" t="s">
        <v>81</v>
      </c>
      <c r="E768" s="1" t="s">
        <v>93</v>
      </c>
      <c r="F768" s="1" t="n">
        <v>16</v>
      </c>
      <c r="G768" s="1" t="n">
        <v>23</v>
      </c>
      <c r="H768" s="1" t="s">
        <v>94</v>
      </c>
      <c r="I768" s="1" t="n">
        <v>-14.5</v>
      </c>
      <c r="J768" s="1" t="n">
        <v>51</v>
      </c>
      <c r="K768" s="1" t="s">
        <v>147</v>
      </c>
      <c r="L768" s="1" t="b">
        <f aca="false">FALSE()</f>
        <v>0</v>
      </c>
      <c r="M768" s="1" t="str">
        <f aca="false">VLOOKUP(D768,'Team Reference'!$A:$B,2,FALSE())</f>
        <v>JAX</v>
      </c>
      <c r="N768" s="1" t="str">
        <f aca="false">VLOOKUP(E768,'Team Reference'!$A:$B,2,FALSE())</f>
        <v>NE</v>
      </c>
      <c r="O768" s="1" t="str">
        <f aca="false">IF(F768&gt;G768,M768,IF(G768&gt;F768,N768,"Tie"))</f>
        <v>NE</v>
      </c>
      <c r="P768" s="1" t="n">
        <f aca="false">F768-G768</f>
        <v>-7</v>
      </c>
      <c r="Q768" s="1" t="n">
        <f aca="false">F768+G768</f>
        <v>39</v>
      </c>
      <c r="R768" s="1" t="str">
        <f aca="false">IF(H768=M768,"Home",IF(H768=N768,"Away",IF(H768="PICK","Pick","N/A")))</f>
        <v>Away</v>
      </c>
      <c r="S768" s="1" t="n">
        <f aca="false">IF(R768="Home",P768,IF(R768="Away",-P768,""))</f>
        <v>7</v>
      </c>
      <c r="T768" s="1" t="str">
        <f aca="false">IF(R768="Pick","No Line",IF(S768="","N/A",IF(S768+I768&gt;0,"Favorite Covered",IF(S768+I768&lt;0,"Underdog Covered","Push"))))</f>
        <v>Underdog Covered</v>
      </c>
      <c r="U768" s="1" t="str">
        <f aca="false">IF(Q768&gt;J768,"Over",IF(Q768&lt;J768,"Under","Push"))</f>
        <v>Under</v>
      </c>
    </row>
    <row r="769" customFormat="false" ht="15" hidden="false" customHeight="false" outlineLevel="0" collapsed="false">
      <c r="A769" s="1" t="s">
        <v>339</v>
      </c>
      <c r="B769" s="1" t="n">
        <v>2012</v>
      </c>
      <c r="C769" s="1" t="s">
        <v>227</v>
      </c>
      <c r="D769" s="1" t="s">
        <v>83</v>
      </c>
      <c r="E769" s="1" t="s">
        <v>79</v>
      </c>
      <c r="F769" s="1" t="n">
        <v>13</v>
      </c>
      <c r="G769" s="1" t="n">
        <v>20</v>
      </c>
      <c r="H769" s="1" t="s">
        <v>80</v>
      </c>
      <c r="I769" s="1" t="n">
        <v>-6</v>
      </c>
      <c r="J769" s="1" t="n">
        <v>41.5</v>
      </c>
      <c r="K769" s="1" t="s">
        <v>158</v>
      </c>
      <c r="L769" s="1" t="b">
        <f aca="false">FALSE()</f>
        <v>0</v>
      </c>
      <c r="M769" s="1" t="str">
        <f aca="false">VLOOKUP(D769,'Team Reference'!$A:$B,2,FALSE())</f>
        <v>KC</v>
      </c>
      <c r="N769" s="1" t="str">
        <f aca="false">VLOOKUP(E769,'Team Reference'!$A:$B,2,FALSE())</f>
        <v>IND</v>
      </c>
      <c r="O769" s="1" t="str">
        <f aca="false">IF(F769&gt;G769,M769,IF(G769&gt;F769,N769,"Tie"))</f>
        <v>IND</v>
      </c>
      <c r="P769" s="1" t="n">
        <f aca="false">F769-G769</f>
        <v>-7</v>
      </c>
      <c r="Q769" s="1" t="n">
        <f aca="false">F769+G769</f>
        <v>33</v>
      </c>
      <c r="R769" s="1" t="str">
        <f aca="false">IF(H769=M769,"Home",IF(H769=N769,"Away",IF(H769="PICK","Pick","N/A")))</f>
        <v>Away</v>
      </c>
      <c r="S769" s="1" t="n">
        <f aca="false">IF(R769="Home",P769,IF(R769="Away",-P769,""))</f>
        <v>7</v>
      </c>
      <c r="T769" s="1" t="str">
        <f aca="false">IF(R769="Pick","No Line",IF(S769="","N/A",IF(S769+I769&gt;0,"Favorite Covered",IF(S769+I769&lt;0,"Underdog Covered","Push"))))</f>
        <v>Favorite Covered</v>
      </c>
      <c r="U769" s="1" t="str">
        <f aca="false">IF(Q769&gt;J769,"Over",IF(Q769&lt;J769,"Under","Push"))</f>
        <v>Under</v>
      </c>
    </row>
    <row r="770" customFormat="false" ht="15" hidden="false" customHeight="false" outlineLevel="0" collapsed="false">
      <c r="A770" s="1" t="s">
        <v>339</v>
      </c>
      <c r="B770" s="1" t="n">
        <v>2012</v>
      </c>
      <c r="C770" s="1" t="s">
        <v>227</v>
      </c>
      <c r="D770" s="1" t="s">
        <v>89</v>
      </c>
      <c r="E770" s="1" t="s">
        <v>59</v>
      </c>
      <c r="F770" s="1" t="n">
        <v>24</v>
      </c>
      <c r="G770" s="1" t="n">
        <v>10</v>
      </c>
      <c r="H770" s="1" t="s">
        <v>90</v>
      </c>
      <c r="I770" s="1" t="n">
        <v>-5</v>
      </c>
      <c r="J770" s="1" t="n">
        <v>43</v>
      </c>
      <c r="K770" s="1" t="s">
        <v>179</v>
      </c>
      <c r="L770" s="1" t="b">
        <f aca="false">FALSE()</f>
        <v>0</v>
      </c>
      <c r="M770" s="1" t="str">
        <f aca="false">VLOOKUP(D770,'Team Reference'!$A:$B,2,FALSE())</f>
        <v>MIA</v>
      </c>
      <c r="N770" s="1" t="str">
        <f aca="false">VLOOKUP(E770,'Team Reference'!$A:$B,2,FALSE())</f>
        <v>BUF</v>
      </c>
      <c r="O770" s="1" t="str">
        <f aca="false">IF(F770&gt;G770,M770,IF(G770&gt;F770,N770,"Tie"))</f>
        <v>MIA</v>
      </c>
      <c r="P770" s="1" t="n">
        <f aca="false">F770-G770</f>
        <v>14</v>
      </c>
      <c r="Q770" s="1" t="n">
        <f aca="false">F770+G770</f>
        <v>34</v>
      </c>
      <c r="R770" s="1" t="str">
        <f aca="false">IF(H770=M770,"Home",IF(H770=N770,"Away",IF(H770="PICK","Pick","N/A")))</f>
        <v>Home</v>
      </c>
      <c r="S770" s="1" t="n">
        <f aca="false">IF(R770="Home",P770,IF(R770="Away",-P770,""))</f>
        <v>14</v>
      </c>
      <c r="T770" s="1" t="str">
        <f aca="false">IF(R770="Pick","No Line",IF(S770="","N/A",IF(S770+I770&gt;0,"Favorite Covered",IF(S770+I770&lt;0,"Underdog Covered","Push"))))</f>
        <v>Favorite Covered</v>
      </c>
      <c r="U770" s="1" t="str">
        <f aca="false">IF(Q770&gt;J770,"Over",IF(Q770&lt;J770,"Under","Push"))</f>
        <v>Under</v>
      </c>
    </row>
    <row r="771" customFormat="false" ht="15" hidden="false" customHeight="false" outlineLevel="0" collapsed="false">
      <c r="A771" s="1" t="s">
        <v>339</v>
      </c>
      <c r="B771" s="1" t="n">
        <v>2012</v>
      </c>
      <c r="C771" s="1" t="s">
        <v>227</v>
      </c>
      <c r="D771" s="1" t="s">
        <v>99</v>
      </c>
      <c r="E771" s="1" t="s">
        <v>107</v>
      </c>
      <c r="F771" s="1" t="n">
        <v>17</v>
      </c>
      <c r="G771" s="1" t="n">
        <v>27</v>
      </c>
      <c r="H771" s="1" t="s">
        <v>100</v>
      </c>
      <c r="I771" s="1" t="n">
        <v>-3</v>
      </c>
      <c r="J771" s="1" t="n">
        <v>38</v>
      </c>
      <c r="K771" s="1" t="s">
        <v>149</v>
      </c>
      <c r="L771" s="1" t="b">
        <f aca="false">FALSE()</f>
        <v>0</v>
      </c>
      <c r="M771" s="1" t="str">
        <f aca="false">VLOOKUP(D771,'Team Reference'!$A:$B,2,FALSE())</f>
        <v>NYJ</v>
      </c>
      <c r="N771" s="1" t="str">
        <f aca="false">VLOOKUP(E771,'Team Reference'!$A:$B,2,FALSE())</f>
        <v>LAC</v>
      </c>
      <c r="O771" s="1" t="str">
        <f aca="false">IF(F771&gt;G771,M771,IF(G771&gt;F771,N771,"Tie"))</f>
        <v>LAC</v>
      </c>
      <c r="P771" s="1" t="n">
        <f aca="false">F771-G771</f>
        <v>-10</v>
      </c>
      <c r="Q771" s="1" t="n">
        <f aca="false">F771+G771</f>
        <v>44</v>
      </c>
      <c r="R771" s="1" t="str">
        <f aca="false">IF(H771=M771,"Home",IF(H771=N771,"Away",IF(H771="PICK","Pick","N/A")))</f>
        <v>Home</v>
      </c>
      <c r="S771" s="1" t="n">
        <f aca="false">IF(R771="Home",P771,IF(R771="Away",-P771,""))</f>
        <v>-10</v>
      </c>
      <c r="T771" s="1" t="str">
        <f aca="false">IF(R771="Pick","No Line",IF(S771="","N/A",IF(S771+I771&gt;0,"Favorite Covered",IF(S771+I771&lt;0,"Underdog Covered","Push"))))</f>
        <v>Underdog Covered</v>
      </c>
      <c r="U771" s="1" t="str">
        <f aca="false">IF(Q771&gt;J771,"Over",IF(Q771&lt;J771,"Under","Push"))</f>
        <v>Over</v>
      </c>
    </row>
    <row r="772" customFormat="false" ht="15" hidden="false" customHeight="false" outlineLevel="0" collapsed="false">
      <c r="A772" s="1" t="s">
        <v>339</v>
      </c>
      <c r="B772" s="1" t="n">
        <v>2012</v>
      </c>
      <c r="C772" s="1" t="s">
        <v>227</v>
      </c>
      <c r="D772" s="1" t="s">
        <v>103</v>
      </c>
      <c r="E772" s="1" t="s">
        <v>117</v>
      </c>
      <c r="F772" s="1" t="n">
        <v>20</v>
      </c>
      <c r="G772" s="1" t="n">
        <v>27</v>
      </c>
      <c r="H772" s="1" t="s">
        <v>118</v>
      </c>
      <c r="I772" s="1" t="n">
        <v>-6</v>
      </c>
      <c r="J772" s="1" t="n">
        <v>46</v>
      </c>
      <c r="K772" s="1" t="s">
        <v>150</v>
      </c>
      <c r="L772" s="1" t="b">
        <f aca="false">FALSE()</f>
        <v>0</v>
      </c>
      <c r="M772" s="1" t="str">
        <f aca="false">VLOOKUP(D772,'Team Reference'!$A:$B,2,FALSE())</f>
        <v>PHI</v>
      </c>
      <c r="N772" s="1" t="str">
        <f aca="false">VLOOKUP(E772,'Team Reference'!$A:$B,2,FALSE())</f>
        <v>WAS</v>
      </c>
      <c r="O772" s="1" t="str">
        <f aca="false">IF(F772&gt;G772,M772,IF(G772&gt;F772,N772,"Tie"))</f>
        <v>WAS</v>
      </c>
      <c r="P772" s="1" t="n">
        <f aca="false">F772-G772</f>
        <v>-7</v>
      </c>
      <c r="Q772" s="1" t="n">
        <f aca="false">F772+G772</f>
        <v>47</v>
      </c>
      <c r="R772" s="1" t="str">
        <f aca="false">IF(H772=M772,"Home",IF(H772=N772,"Away",IF(H772="PICK","Pick","N/A")))</f>
        <v>Away</v>
      </c>
      <c r="S772" s="1" t="n">
        <f aca="false">IF(R772="Home",P772,IF(R772="Away",-P772,""))</f>
        <v>7</v>
      </c>
      <c r="T772" s="1" t="str">
        <f aca="false">IF(R772="Pick","No Line",IF(S772="","N/A",IF(S772+I772&gt;0,"Favorite Covered",IF(S772+I772&lt;0,"Underdog Covered","Push"))))</f>
        <v>Favorite Covered</v>
      </c>
      <c r="U772" s="1" t="str">
        <f aca="false">IF(Q772&gt;J772,"Over",IF(Q772&lt;J772,"Under","Push"))</f>
        <v>Over</v>
      </c>
    </row>
    <row r="773" customFormat="false" ht="15" hidden="false" customHeight="false" outlineLevel="0" collapsed="false">
      <c r="A773" s="1" t="s">
        <v>339</v>
      </c>
      <c r="B773" s="1" t="n">
        <v>2012</v>
      </c>
      <c r="C773" s="1" t="s">
        <v>227</v>
      </c>
      <c r="D773" s="1" t="s">
        <v>105</v>
      </c>
      <c r="E773" s="1" t="s">
        <v>65</v>
      </c>
      <c r="F773" s="1" t="n">
        <v>10</v>
      </c>
      <c r="G773" s="1" t="n">
        <v>13</v>
      </c>
      <c r="H773" s="1" t="s">
        <v>106</v>
      </c>
      <c r="I773" s="1" t="n">
        <v>-3.5</v>
      </c>
      <c r="J773" s="1" t="n">
        <v>40</v>
      </c>
      <c r="K773" s="1" t="s">
        <v>151</v>
      </c>
      <c r="L773" s="1" t="b">
        <f aca="false">FALSE()</f>
        <v>0</v>
      </c>
      <c r="M773" s="1" t="str">
        <f aca="false">VLOOKUP(D773,'Team Reference'!$A:$B,2,FALSE())</f>
        <v>PIT</v>
      </c>
      <c r="N773" s="1" t="str">
        <f aca="false">VLOOKUP(E773,'Team Reference'!$A:$B,2,FALSE())</f>
        <v>CIN</v>
      </c>
      <c r="O773" s="1" t="str">
        <f aca="false">IF(F773&gt;G773,M773,IF(G773&gt;F773,N773,"Tie"))</f>
        <v>CIN</v>
      </c>
      <c r="P773" s="1" t="n">
        <f aca="false">F773-G773</f>
        <v>-3</v>
      </c>
      <c r="Q773" s="1" t="n">
        <f aca="false">F773+G773</f>
        <v>23</v>
      </c>
      <c r="R773" s="1" t="str">
        <f aca="false">IF(H773=M773,"Home",IF(H773=N773,"Away",IF(H773="PICK","Pick","N/A")))</f>
        <v>Home</v>
      </c>
      <c r="S773" s="1" t="n">
        <f aca="false">IF(R773="Home",P773,IF(R773="Away",-P773,""))</f>
        <v>-3</v>
      </c>
      <c r="T773" s="1" t="str">
        <f aca="false">IF(R773="Pick","No Line",IF(S773="","N/A",IF(S773+I773&gt;0,"Favorite Covered",IF(S773+I773&lt;0,"Underdog Covered","Push"))))</f>
        <v>Underdog Covered</v>
      </c>
      <c r="U773" s="1" t="str">
        <f aca="false">IF(Q773&gt;J773,"Over",IF(Q773&lt;J773,"Under","Push"))</f>
        <v>Under</v>
      </c>
    </row>
    <row r="774" customFormat="false" ht="15" hidden="false" customHeight="false" outlineLevel="0" collapsed="false">
      <c r="A774" s="1" t="s">
        <v>339</v>
      </c>
      <c r="B774" s="1" t="n">
        <v>2012</v>
      </c>
      <c r="C774" s="1" t="s">
        <v>227</v>
      </c>
      <c r="D774" s="1" t="s">
        <v>110</v>
      </c>
      <c r="E774" s="1" t="s">
        <v>108</v>
      </c>
      <c r="F774" s="1" t="n">
        <v>42</v>
      </c>
      <c r="G774" s="1" t="n">
        <v>13</v>
      </c>
      <c r="H774" s="1" t="s">
        <v>111</v>
      </c>
      <c r="I774" s="1" t="n">
        <v>-2</v>
      </c>
      <c r="J774" s="1" t="n">
        <v>40.5</v>
      </c>
      <c r="K774" s="1" t="s">
        <v>152</v>
      </c>
      <c r="L774" s="1" t="b">
        <f aca="false">FALSE()</f>
        <v>0</v>
      </c>
      <c r="M774" s="1" t="str">
        <f aca="false">VLOOKUP(D774,'Team Reference'!$A:$B,2,FALSE())</f>
        <v>SEA</v>
      </c>
      <c r="N774" s="1" t="str">
        <f aca="false">VLOOKUP(E774,'Team Reference'!$A:$B,2,FALSE())</f>
        <v>SF</v>
      </c>
      <c r="O774" s="1" t="str">
        <f aca="false">IF(F774&gt;G774,M774,IF(G774&gt;F774,N774,"Tie"))</f>
        <v>SEA</v>
      </c>
      <c r="P774" s="1" t="n">
        <f aca="false">F774-G774</f>
        <v>29</v>
      </c>
      <c r="Q774" s="1" t="n">
        <f aca="false">F774+G774</f>
        <v>55</v>
      </c>
      <c r="R774" s="1" t="str">
        <f aca="false">IF(H774=M774,"Home",IF(H774=N774,"Away",IF(H774="PICK","Pick","N/A")))</f>
        <v>Home</v>
      </c>
      <c r="S774" s="1" t="n">
        <f aca="false">IF(R774="Home",P774,IF(R774="Away",-P774,""))</f>
        <v>29</v>
      </c>
      <c r="T774" s="1" t="str">
        <f aca="false">IF(R774="Pick","No Line",IF(S774="","N/A",IF(S774+I774&gt;0,"Favorite Covered",IF(S774+I774&lt;0,"Underdog Covered","Push"))))</f>
        <v>Favorite Covered</v>
      </c>
      <c r="U774" s="1" t="str">
        <f aca="false">IF(Q774&gt;J774,"Over",IF(Q774&lt;J774,"Under","Push"))</f>
        <v>Over</v>
      </c>
    </row>
    <row r="775" customFormat="false" ht="15" hidden="false" customHeight="false" outlineLevel="0" collapsed="false">
      <c r="A775" s="1" t="s">
        <v>339</v>
      </c>
      <c r="B775" s="1" t="n">
        <v>2012</v>
      </c>
      <c r="C775" s="1" t="s">
        <v>227</v>
      </c>
      <c r="D775" s="1" t="s">
        <v>113</v>
      </c>
      <c r="E775" s="1" t="s">
        <v>112</v>
      </c>
      <c r="F775" s="1" t="n">
        <v>13</v>
      </c>
      <c r="G775" s="1" t="n">
        <v>28</v>
      </c>
      <c r="H775" s="1" t="s">
        <v>114</v>
      </c>
      <c r="I775" s="1" t="n">
        <v>-3</v>
      </c>
      <c r="J775" s="1" t="n">
        <v>44</v>
      </c>
      <c r="K775" s="1" t="s">
        <v>154</v>
      </c>
      <c r="L775" s="1" t="b">
        <f aca="false">FALSE()</f>
        <v>0</v>
      </c>
      <c r="M775" s="1" t="str">
        <f aca="false">VLOOKUP(D775,'Team Reference'!$A:$B,2,FALSE())</f>
        <v>TB</v>
      </c>
      <c r="N775" s="1" t="str">
        <f aca="false">VLOOKUP(E775,'Team Reference'!$A:$B,2,FALSE())</f>
        <v>LAR</v>
      </c>
      <c r="O775" s="1" t="str">
        <f aca="false">IF(F775&gt;G775,M775,IF(G775&gt;F775,N775,"Tie"))</f>
        <v>LAR</v>
      </c>
      <c r="P775" s="1" t="n">
        <f aca="false">F775-G775</f>
        <v>-15</v>
      </c>
      <c r="Q775" s="1" t="n">
        <f aca="false">F775+G775</f>
        <v>41</v>
      </c>
      <c r="R775" s="1" t="str">
        <f aca="false">IF(H775=M775,"Home",IF(H775=N775,"Away",IF(H775="PICK","Pick","N/A")))</f>
        <v>Home</v>
      </c>
      <c r="S775" s="1" t="n">
        <f aca="false">IF(R775="Home",P775,IF(R775="Away",-P775,""))</f>
        <v>-15</v>
      </c>
      <c r="T775" s="1" t="str">
        <f aca="false">IF(R775="Pick","No Line",IF(S775="","N/A",IF(S775+I775&gt;0,"Favorite Covered",IF(S775+I775&lt;0,"Underdog Covered","Push"))))</f>
        <v>Underdog Covered</v>
      </c>
      <c r="U775" s="1" t="str">
        <f aca="false">IF(Q775&gt;J775,"Over",IF(Q775&lt;J775,"Under","Push"))</f>
        <v>Under</v>
      </c>
    </row>
    <row r="776" customFormat="false" ht="15" hidden="false" customHeight="false" outlineLevel="0" collapsed="false">
      <c r="A776" s="1" t="s">
        <v>340</v>
      </c>
      <c r="B776" s="1" t="n">
        <v>2012</v>
      </c>
      <c r="C776" s="1" t="s">
        <v>233</v>
      </c>
      <c r="D776" s="1" t="s">
        <v>55</v>
      </c>
      <c r="E776" s="1" t="s">
        <v>113</v>
      </c>
      <c r="F776" s="1" t="n">
        <v>17</v>
      </c>
      <c r="G776" s="1" t="n">
        <v>22</v>
      </c>
      <c r="H776" s="1" t="s">
        <v>56</v>
      </c>
      <c r="I776" s="1" t="n">
        <v>-3</v>
      </c>
      <c r="J776" s="1" t="n">
        <v>46</v>
      </c>
      <c r="K776" s="1" t="s">
        <v>161</v>
      </c>
      <c r="L776" s="1" t="b">
        <f aca="false">FALSE()</f>
        <v>0</v>
      </c>
      <c r="M776" s="1" t="str">
        <f aca="false">VLOOKUP(D776,'Team Reference'!$A:$B,2,FALSE())</f>
        <v>ATL</v>
      </c>
      <c r="N776" s="1" t="str">
        <f aca="false">VLOOKUP(E776,'Team Reference'!$A:$B,2,FALSE())</f>
        <v>TB</v>
      </c>
      <c r="O776" s="1" t="str">
        <f aca="false">IF(F776&gt;G776,M776,IF(G776&gt;F776,N776,"Tie"))</f>
        <v>TB</v>
      </c>
      <c r="P776" s="1" t="n">
        <f aca="false">F776-G776</f>
        <v>-5</v>
      </c>
      <c r="Q776" s="1" t="n">
        <f aca="false">F776+G776</f>
        <v>39</v>
      </c>
      <c r="R776" s="1" t="str">
        <f aca="false">IF(H776=M776,"Home",IF(H776=N776,"Away",IF(H776="PICK","Pick","N/A")))</f>
        <v>Home</v>
      </c>
      <c r="S776" s="1" t="n">
        <f aca="false">IF(R776="Home",P776,IF(R776="Away",-P776,""))</f>
        <v>-5</v>
      </c>
      <c r="T776" s="1" t="str">
        <f aca="false">IF(R776="Pick","No Line",IF(S776="","N/A",IF(S776+I776&gt;0,"Favorite Covered",IF(S776+I776&lt;0,"Underdog Covered","Push"))))</f>
        <v>Underdog Covered</v>
      </c>
      <c r="U776" s="1" t="str">
        <f aca="false">IF(Q776&gt;J776,"Over",IF(Q776&lt;J776,"Under","Push"))</f>
        <v>Under</v>
      </c>
    </row>
    <row r="777" customFormat="false" ht="15" hidden="false" customHeight="false" outlineLevel="0" collapsed="false">
      <c r="A777" s="1" t="s">
        <v>340</v>
      </c>
      <c r="B777" s="1" t="n">
        <v>2012</v>
      </c>
      <c r="C777" s="1" t="s">
        <v>233</v>
      </c>
      <c r="D777" s="1" t="s">
        <v>59</v>
      </c>
      <c r="E777" s="1" t="s">
        <v>99</v>
      </c>
      <c r="F777" s="1" t="n">
        <v>28</v>
      </c>
      <c r="G777" s="1" t="n">
        <v>9</v>
      </c>
      <c r="H777" s="1" t="s">
        <v>60</v>
      </c>
      <c r="I777" s="1" t="n">
        <v>-3.5</v>
      </c>
      <c r="J777" s="1" t="n">
        <v>41</v>
      </c>
      <c r="K777" s="1" t="s">
        <v>144</v>
      </c>
      <c r="L777" s="1" t="b">
        <f aca="false">FALSE()</f>
        <v>0</v>
      </c>
      <c r="M777" s="1" t="str">
        <f aca="false">VLOOKUP(D777,'Team Reference'!$A:$B,2,FALSE())</f>
        <v>BUF</v>
      </c>
      <c r="N777" s="1" t="str">
        <f aca="false">VLOOKUP(E777,'Team Reference'!$A:$B,2,FALSE())</f>
        <v>NYJ</v>
      </c>
      <c r="O777" s="1" t="str">
        <f aca="false">IF(F777&gt;G777,M777,IF(G777&gt;F777,N777,"Tie"))</f>
        <v>BUF</v>
      </c>
      <c r="P777" s="1" t="n">
        <f aca="false">F777-G777</f>
        <v>19</v>
      </c>
      <c r="Q777" s="1" t="n">
        <f aca="false">F777+G777</f>
        <v>37</v>
      </c>
      <c r="R777" s="1" t="str">
        <f aca="false">IF(H777=M777,"Home",IF(H777=N777,"Away",IF(H777="PICK","Pick","N/A")))</f>
        <v>Home</v>
      </c>
      <c r="S777" s="1" t="n">
        <f aca="false">IF(R777="Home",P777,IF(R777="Away",-P777,""))</f>
        <v>19</v>
      </c>
      <c r="T777" s="1" t="str">
        <f aca="false">IF(R777="Pick","No Line",IF(S777="","N/A",IF(S777+I777&gt;0,"Favorite Covered",IF(S777+I777&lt;0,"Underdog Covered","Push"))))</f>
        <v>Favorite Covered</v>
      </c>
      <c r="U777" s="1" t="str">
        <f aca="false">IF(Q777&gt;J777,"Over",IF(Q777&lt;J777,"Under","Push"))</f>
        <v>Under</v>
      </c>
    </row>
    <row r="778" customFormat="false" ht="15" hidden="false" customHeight="false" outlineLevel="0" collapsed="false">
      <c r="A778" s="1" t="s">
        <v>340</v>
      </c>
      <c r="B778" s="1" t="n">
        <v>2012</v>
      </c>
      <c r="C778" s="1" t="s">
        <v>233</v>
      </c>
      <c r="D778" s="1" t="s">
        <v>65</v>
      </c>
      <c r="E778" s="1" t="s">
        <v>57</v>
      </c>
      <c r="F778" s="1" t="n">
        <v>23</v>
      </c>
      <c r="G778" s="1" t="n">
        <v>17</v>
      </c>
      <c r="H778" s="1" t="s">
        <v>66</v>
      </c>
      <c r="I778" s="1" t="n">
        <v>-3</v>
      </c>
      <c r="J778" s="1" t="n">
        <v>42.5</v>
      </c>
      <c r="K778" s="1" t="s">
        <v>163</v>
      </c>
      <c r="L778" s="1" t="b">
        <f aca="false">FALSE()</f>
        <v>0</v>
      </c>
      <c r="M778" s="1" t="str">
        <f aca="false">VLOOKUP(D778,'Team Reference'!$A:$B,2,FALSE())</f>
        <v>CIN</v>
      </c>
      <c r="N778" s="1" t="str">
        <f aca="false">VLOOKUP(E778,'Team Reference'!$A:$B,2,FALSE())</f>
        <v>BAL</v>
      </c>
      <c r="O778" s="1" t="str">
        <f aca="false">IF(F778&gt;G778,M778,IF(G778&gt;F778,N778,"Tie"))</f>
        <v>CIN</v>
      </c>
      <c r="P778" s="1" t="n">
        <f aca="false">F778-G778</f>
        <v>6</v>
      </c>
      <c r="Q778" s="1" t="n">
        <f aca="false">F778+G778</f>
        <v>40</v>
      </c>
      <c r="R778" s="1" t="str">
        <f aca="false">IF(H778=M778,"Home",IF(H778=N778,"Away",IF(H778="PICK","Pick","N/A")))</f>
        <v>Home</v>
      </c>
      <c r="S778" s="1" t="n">
        <f aca="false">IF(R778="Home",P778,IF(R778="Away",-P778,""))</f>
        <v>6</v>
      </c>
      <c r="T778" s="1" t="str">
        <f aca="false">IF(R778="Pick","No Line",IF(S778="","N/A",IF(S778+I778&gt;0,"Favorite Covered",IF(S778+I778&lt;0,"Underdog Covered","Push"))))</f>
        <v>Favorite Covered</v>
      </c>
      <c r="U778" s="1" t="str">
        <f aca="false">IF(Q778&gt;J778,"Over",IF(Q778&lt;J778,"Under","Push"))</f>
        <v>Under</v>
      </c>
    </row>
    <row r="779" customFormat="false" ht="15" hidden="false" customHeight="false" outlineLevel="0" collapsed="false">
      <c r="A779" s="1" t="s">
        <v>340</v>
      </c>
      <c r="B779" s="1" t="n">
        <v>2012</v>
      </c>
      <c r="C779" s="1" t="s">
        <v>233</v>
      </c>
      <c r="D779" s="1" t="s">
        <v>71</v>
      </c>
      <c r="E779" s="1" t="s">
        <v>83</v>
      </c>
      <c r="F779" s="1" t="n">
        <v>38</v>
      </c>
      <c r="G779" s="1" t="n">
        <v>3</v>
      </c>
      <c r="H779" s="1" t="s">
        <v>72</v>
      </c>
      <c r="I779" s="1" t="n">
        <v>-17</v>
      </c>
      <c r="J779" s="1" t="n">
        <v>41.5</v>
      </c>
      <c r="K779" s="1" t="s">
        <v>166</v>
      </c>
      <c r="L779" s="1" t="b">
        <f aca="false">FALSE()</f>
        <v>0</v>
      </c>
      <c r="M779" s="1" t="str">
        <f aca="false">VLOOKUP(D779,'Team Reference'!$A:$B,2,FALSE())</f>
        <v>DEN</v>
      </c>
      <c r="N779" s="1" t="str">
        <f aca="false">VLOOKUP(E779,'Team Reference'!$A:$B,2,FALSE())</f>
        <v>KC</v>
      </c>
      <c r="O779" s="1" t="str">
        <f aca="false">IF(F779&gt;G779,M779,IF(G779&gt;F779,N779,"Tie"))</f>
        <v>DEN</v>
      </c>
      <c r="P779" s="1" t="n">
        <f aca="false">F779-G779</f>
        <v>35</v>
      </c>
      <c r="Q779" s="1" t="n">
        <f aca="false">F779+G779</f>
        <v>41</v>
      </c>
      <c r="R779" s="1" t="str">
        <f aca="false">IF(H779=M779,"Home",IF(H779=N779,"Away",IF(H779="PICK","Pick","N/A")))</f>
        <v>Home</v>
      </c>
      <c r="S779" s="1" t="n">
        <f aca="false">IF(R779="Home",P779,IF(R779="Away",-P779,""))</f>
        <v>35</v>
      </c>
      <c r="T779" s="1" t="str">
        <f aca="false">IF(R779="Pick","No Line",IF(S779="","N/A",IF(S779+I779&gt;0,"Favorite Covered",IF(S779+I779&lt;0,"Underdog Covered","Push"))))</f>
        <v>Favorite Covered</v>
      </c>
      <c r="U779" s="1" t="str">
        <f aca="false">IF(Q779&gt;J779,"Over",IF(Q779&lt;J779,"Under","Push"))</f>
        <v>Under</v>
      </c>
    </row>
    <row r="780" customFormat="false" ht="15" hidden="false" customHeight="false" outlineLevel="0" collapsed="false">
      <c r="A780" s="1" t="s">
        <v>340</v>
      </c>
      <c r="B780" s="1" t="n">
        <v>2012</v>
      </c>
      <c r="C780" s="1" t="s">
        <v>233</v>
      </c>
      <c r="D780" s="1" t="s">
        <v>73</v>
      </c>
      <c r="E780" s="1" t="s">
        <v>63</v>
      </c>
      <c r="F780" s="1" t="n">
        <v>24</v>
      </c>
      <c r="G780" s="1" t="n">
        <v>26</v>
      </c>
      <c r="H780" s="1" t="s">
        <v>64</v>
      </c>
      <c r="I780" s="1" t="n">
        <v>-3</v>
      </c>
      <c r="J780" s="1" t="n">
        <v>46</v>
      </c>
      <c r="K780" s="1" t="s">
        <v>167</v>
      </c>
      <c r="L780" s="1" t="b">
        <f aca="false">FALSE()</f>
        <v>0</v>
      </c>
      <c r="M780" s="1" t="str">
        <f aca="false">VLOOKUP(D780,'Team Reference'!$A:$B,2,FALSE())</f>
        <v>DET</v>
      </c>
      <c r="N780" s="1" t="str">
        <f aca="false">VLOOKUP(E780,'Team Reference'!$A:$B,2,FALSE())</f>
        <v>CHI</v>
      </c>
      <c r="O780" s="1" t="str">
        <f aca="false">IF(F780&gt;G780,M780,IF(G780&gt;F780,N780,"Tie"))</f>
        <v>CHI</v>
      </c>
      <c r="P780" s="1" t="n">
        <f aca="false">F780-G780</f>
        <v>-2</v>
      </c>
      <c r="Q780" s="1" t="n">
        <f aca="false">F780+G780</f>
        <v>50</v>
      </c>
      <c r="R780" s="1" t="str">
        <f aca="false">IF(H780=M780,"Home",IF(H780=N780,"Away",IF(H780="PICK","Pick","N/A")))</f>
        <v>Away</v>
      </c>
      <c r="S780" s="1" t="n">
        <f aca="false">IF(R780="Home",P780,IF(R780="Away",-P780,""))</f>
        <v>2</v>
      </c>
      <c r="T780" s="1" t="str">
        <f aca="false">IF(R780="Pick","No Line",IF(S780="","N/A",IF(S780+I780&gt;0,"Favorite Covered",IF(S780+I780&lt;0,"Underdog Covered","Push"))))</f>
        <v>Underdog Covered</v>
      </c>
      <c r="U780" s="1" t="str">
        <f aca="false">IF(Q780&gt;J780,"Over",IF(Q780&lt;J780,"Under","Push"))</f>
        <v>Over</v>
      </c>
    </row>
    <row r="781" customFormat="false" ht="15" hidden="false" customHeight="false" outlineLevel="0" collapsed="false">
      <c r="A781" s="1" t="s">
        <v>340</v>
      </c>
      <c r="B781" s="1" t="n">
        <v>2012</v>
      </c>
      <c r="C781" s="1" t="s">
        <v>233</v>
      </c>
      <c r="D781" s="1" t="s">
        <v>79</v>
      </c>
      <c r="E781" s="1" t="s">
        <v>77</v>
      </c>
      <c r="F781" s="1" t="n">
        <v>28</v>
      </c>
      <c r="G781" s="1" t="n">
        <v>16</v>
      </c>
      <c r="H781" s="1" t="s">
        <v>78</v>
      </c>
      <c r="I781" s="1" t="n">
        <v>-6</v>
      </c>
      <c r="J781" s="1" t="n">
        <v>47</v>
      </c>
      <c r="K781" s="1" t="s">
        <v>169</v>
      </c>
      <c r="L781" s="1" t="b">
        <f aca="false">FALSE()</f>
        <v>0</v>
      </c>
      <c r="M781" s="1" t="str">
        <f aca="false">VLOOKUP(D781,'Team Reference'!$A:$B,2,FALSE())</f>
        <v>IND</v>
      </c>
      <c r="N781" s="1" t="str">
        <f aca="false">VLOOKUP(E781,'Team Reference'!$A:$B,2,FALSE())</f>
        <v>HOU</v>
      </c>
      <c r="O781" s="1" t="str">
        <f aca="false">IF(F781&gt;G781,M781,IF(G781&gt;F781,N781,"Tie"))</f>
        <v>IND</v>
      </c>
      <c r="P781" s="1" t="n">
        <f aca="false">F781-G781</f>
        <v>12</v>
      </c>
      <c r="Q781" s="1" t="n">
        <f aca="false">F781+G781</f>
        <v>44</v>
      </c>
      <c r="R781" s="1" t="str">
        <f aca="false">IF(H781=M781,"Home",IF(H781=N781,"Away",IF(H781="PICK","Pick","N/A")))</f>
        <v>Away</v>
      </c>
      <c r="S781" s="1" t="n">
        <f aca="false">IF(R781="Home",P781,IF(R781="Away",-P781,""))</f>
        <v>-12</v>
      </c>
      <c r="T781" s="1" t="str">
        <f aca="false">IF(R781="Pick","No Line",IF(S781="","N/A",IF(S781+I781&gt;0,"Favorite Covered",IF(S781+I781&lt;0,"Underdog Covered","Push"))))</f>
        <v>Underdog Covered</v>
      </c>
      <c r="U781" s="1" t="str">
        <f aca="false">IF(Q781&gt;J781,"Over",IF(Q781&lt;J781,"Under","Push"))</f>
        <v>Under</v>
      </c>
    </row>
    <row r="782" customFormat="false" ht="15" hidden="false" customHeight="false" outlineLevel="0" collapsed="false">
      <c r="A782" s="1" t="s">
        <v>340</v>
      </c>
      <c r="B782" s="1" t="n">
        <v>2012</v>
      </c>
      <c r="C782" s="1" t="s">
        <v>233</v>
      </c>
      <c r="D782" s="1" t="s">
        <v>91</v>
      </c>
      <c r="E782" s="1" t="s">
        <v>75</v>
      </c>
      <c r="F782" s="1" t="n">
        <v>37</v>
      </c>
      <c r="G782" s="1" t="n">
        <v>34</v>
      </c>
      <c r="H782" s="1" t="s">
        <v>76</v>
      </c>
      <c r="I782" s="1" t="n">
        <v>-3</v>
      </c>
      <c r="J782" s="1" t="n">
        <v>46</v>
      </c>
      <c r="K782" s="1" t="s">
        <v>170</v>
      </c>
      <c r="L782" s="1" t="b">
        <f aca="false">FALSE()</f>
        <v>0</v>
      </c>
      <c r="M782" s="1" t="str">
        <f aca="false">VLOOKUP(D782,'Team Reference'!$A:$B,2,FALSE())</f>
        <v>MIN</v>
      </c>
      <c r="N782" s="1" t="str">
        <f aca="false">VLOOKUP(E782,'Team Reference'!$A:$B,2,FALSE())</f>
        <v>GB</v>
      </c>
      <c r="O782" s="1" t="str">
        <f aca="false">IF(F782&gt;G782,M782,IF(G782&gt;F782,N782,"Tie"))</f>
        <v>MIN</v>
      </c>
      <c r="P782" s="1" t="n">
        <f aca="false">F782-G782</f>
        <v>3</v>
      </c>
      <c r="Q782" s="1" t="n">
        <f aca="false">F782+G782</f>
        <v>71</v>
      </c>
      <c r="R782" s="1" t="str">
        <f aca="false">IF(H782=M782,"Home",IF(H782=N782,"Away",IF(H782="PICK","Pick","N/A")))</f>
        <v>Away</v>
      </c>
      <c r="S782" s="1" t="n">
        <f aca="false">IF(R782="Home",P782,IF(R782="Away",-P782,""))</f>
        <v>-3</v>
      </c>
      <c r="T782" s="1" t="str">
        <f aca="false">IF(R782="Pick","No Line",IF(S782="","N/A",IF(S782+I782&gt;0,"Favorite Covered",IF(S782+I782&lt;0,"Underdog Covered","Push"))))</f>
        <v>Underdog Covered</v>
      </c>
      <c r="U782" s="1" t="str">
        <f aca="false">IF(Q782&gt;J782,"Over",IF(Q782&lt;J782,"Under","Push"))</f>
        <v>Over</v>
      </c>
    </row>
    <row r="783" customFormat="false" ht="15" hidden="false" customHeight="false" outlineLevel="0" collapsed="false">
      <c r="A783" s="1" t="s">
        <v>340</v>
      </c>
      <c r="B783" s="1" t="n">
        <v>2012</v>
      </c>
      <c r="C783" s="1" t="s">
        <v>233</v>
      </c>
      <c r="D783" s="1" t="s">
        <v>93</v>
      </c>
      <c r="E783" s="1" t="s">
        <v>89</v>
      </c>
      <c r="F783" s="1" t="n">
        <v>28</v>
      </c>
      <c r="G783" s="1" t="n">
        <v>0</v>
      </c>
      <c r="H783" s="1" t="s">
        <v>94</v>
      </c>
      <c r="I783" s="1" t="n">
        <v>-10</v>
      </c>
      <c r="J783" s="1" t="n">
        <v>46.5</v>
      </c>
      <c r="K783" s="1" t="s">
        <v>148</v>
      </c>
      <c r="L783" s="1" t="b">
        <f aca="false">FALSE()</f>
        <v>0</v>
      </c>
      <c r="M783" s="1" t="str">
        <f aca="false">VLOOKUP(D783,'Team Reference'!$A:$B,2,FALSE())</f>
        <v>NE</v>
      </c>
      <c r="N783" s="1" t="str">
        <f aca="false">VLOOKUP(E783,'Team Reference'!$A:$B,2,FALSE())</f>
        <v>MIA</v>
      </c>
      <c r="O783" s="1" t="str">
        <f aca="false">IF(F783&gt;G783,M783,IF(G783&gt;F783,N783,"Tie"))</f>
        <v>NE</v>
      </c>
      <c r="P783" s="1" t="n">
        <f aca="false">F783-G783</f>
        <v>28</v>
      </c>
      <c r="Q783" s="1" t="n">
        <f aca="false">F783+G783</f>
        <v>28</v>
      </c>
      <c r="R783" s="1" t="str">
        <f aca="false">IF(H783=M783,"Home",IF(H783=N783,"Away",IF(H783="PICK","Pick","N/A")))</f>
        <v>Home</v>
      </c>
      <c r="S783" s="1" t="n">
        <f aca="false">IF(R783="Home",P783,IF(R783="Away",-P783,""))</f>
        <v>28</v>
      </c>
      <c r="T783" s="1" t="str">
        <f aca="false">IF(R783="Pick","No Line",IF(S783="","N/A",IF(S783+I783&gt;0,"Favorite Covered",IF(S783+I783&lt;0,"Underdog Covered","Push"))))</f>
        <v>Favorite Covered</v>
      </c>
      <c r="U783" s="1" t="str">
        <f aca="false">IF(Q783&gt;J783,"Over",IF(Q783&lt;J783,"Under","Push"))</f>
        <v>Under</v>
      </c>
    </row>
    <row r="784" customFormat="false" ht="15" hidden="false" customHeight="false" outlineLevel="0" collapsed="false">
      <c r="A784" s="1" t="s">
        <v>340</v>
      </c>
      <c r="B784" s="1" t="n">
        <v>2012</v>
      </c>
      <c r="C784" s="1" t="s">
        <v>233</v>
      </c>
      <c r="D784" s="1" t="s">
        <v>95</v>
      </c>
      <c r="E784" s="1" t="s">
        <v>61</v>
      </c>
      <c r="F784" s="1" t="n">
        <v>38</v>
      </c>
      <c r="G784" s="1" t="n">
        <v>44</v>
      </c>
      <c r="H784" s="1" t="s">
        <v>96</v>
      </c>
      <c r="I784" s="1" t="n">
        <v>-4</v>
      </c>
      <c r="J784" s="1" t="n">
        <v>54</v>
      </c>
      <c r="K784" s="1" t="s">
        <v>142</v>
      </c>
      <c r="L784" s="1" t="b">
        <f aca="false">FALSE()</f>
        <v>0</v>
      </c>
      <c r="M784" s="1" t="str">
        <f aca="false">VLOOKUP(D784,'Team Reference'!$A:$B,2,FALSE())</f>
        <v>NO</v>
      </c>
      <c r="N784" s="1" t="str">
        <f aca="false">VLOOKUP(E784,'Team Reference'!$A:$B,2,FALSE())</f>
        <v>CAR</v>
      </c>
      <c r="O784" s="1" t="str">
        <f aca="false">IF(F784&gt;G784,M784,IF(G784&gt;F784,N784,"Tie"))</f>
        <v>CAR</v>
      </c>
      <c r="P784" s="1" t="n">
        <f aca="false">F784-G784</f>
        <v>-6</v>
      </c>
      <c r="Q784" s="1" t="n">
        <f aca="false">F784+G784</f>
        <v>82</v>
      </c>
      <c r="R784" s="1" t="str">
        <f aca="false">IF(H784=M784,"Home",IF(H784=N784,"Away",IF(H784="PICK","Pick","N/A")))</f>
        <v>Home</v>
      </c>
      <c r="S784" s="1" t="n">
        <f aca="false">IF(R784="Home",P784,IF(R784="Away",-P784,""))</f>
        <v>-6</v>
      </c>
      <c r="T784" s="1" t="str">
        <f aca="false">IF(R784="Pick","No Line",IF(S784="","N/A",IF(S784+I784&gt;0,"Favorite Covered",IF(S784+I784&lt;0,"Underdog Covered","Push"))))</f>
        <v>Underdog Covered</v>
      </c>
      <c r="U784" s="1" t="str">
        <f aca="false">IF(Q784&gt;J784,"Over",IF(Q784&lt;J784,"Under","Push"))</f>
        <v>Over</v>
      </c>
    </row>
    <row r="785" customFormat="false" ht="15" hidden="false" customHeight="false" outlineLevel="0" collapsed="false">
      <c r="A785" s="1" t="s">
        <v>340</v>
      </c>
      <c r="B785" s="1" t="n">
        <v>2012</v>
      </c>
      <c r="C785" s="1" t="s">
        <v>233</v>
      </c>
      <c r="D785" s="1" t="s">
        <v>97</v>
      </c>
      <c r="E785" s="1" t="s">
        <v>103</v>
      </c>
      <c r="F785" s="1" t="n">
        <v>42</v>
      </c>
      <c r="G785" s="1" t="n">
        <v>7</v>
      </c>
      <c r="H785" s="1" t="s">
        <v>98</v>
      </c>
      <c r="I785" s="1" t="n">
        <v>-6.5</v>
      </c>
      <c r="J785" s="1" t="n">
        <v>44.5</v>
      </c>
      <c r="K785" s="1" t="s">
        <v>149</v>
      </c>
      <c r="L785" s="1" t="b">
        <f aca="false">FALSE()</f>
        <v>0</v>
      </c>
      <c r="M785" s="1" t="str">
        <f aca="false">VLOOKUP(D785,'Team Reference'!$A:$B,2,FALSE())</f>
        <v>NYG</v>
      </c>
      <c r="N785" s="1" t="str">
        <f aca="false">VLOOKUP(E785,'Team Reference'!$A:$B,2,FALSE())</f>
        <v>PHI</v>
      </c>
      <c r="O785" s="1" t="str">
        <f aca="false">IF(F785&gt;G785,M785,IF(G785&gt;F785,N785,"Tie"))</f>
        <v>NYG</v>
      </c>
      <c r="P785" s="1" t="n">
        <f aca="false">F785-G785</f>
        <v>35</v>
      </c>
      <c r="Q785" s="1" t="n">
        <f aca="false">F785+G785</f>
        <v>49</v>
      </c>
      <c r="R785" s="1" t="str">
        <f aca="false">IF(H785=M785,"Home",IF(H785=N785,"Away",IF(H785="PICK","Pick","N/A")))</f>
        <v>Home</v>
      </c>
      <c r="S785" s="1" t="n">
        <f aca="false">IF(R785="Home",P785,IF(R785="Away",-P785,""))</f>
        <v>35</v>
      </c>
      <c r="T785" s="1" t="str">
        <f aca="false">IF(R785="Pick","No Line",IF(S785="","N/A",IF(S785+I785&gt;0,"Favorite Covered",IF(S785+I785&lt;0,"Underdog Covered","Push"))))</f>
        <v>Favorite Covered</v>
      </c>
      <c r="U785" s="1" t="str">
        <f aca="false">IF(Q785&gt;J785,"Over",IF(Q785&lt;J785,"Under","Push"))</f>
        <v>Over</v>
      </c>
    </row>
    <row r="786" customFormat="false" ht="15" hidden="false" customHeight="false" outlineLevel="0" collapsed="false">
      <c r="A786" s="1" t="s">
        <v>340</v>
      </c>
      <c r="B786" s="1" t="n">
        <v>2012</v>
      </c>
      <c r="C786" s="1" t="s">
        <v>233</v>
      </c>
      <c r="D786" s="1" t="s">
        <v>105</v>
      </c>
      <c r="E786" s="1" t="s">
        <v>67</v>
      </c>
      <c r="F786" s="1" t="n">
        <v>24</v>
      </c>
      <c r="G786" s="1" t="n">
        <v>10</v>
      </c>
      <c r="H786" s="1" t="s">
        <v>106</v>
      </c>
      <c r="I786" s="1" t="n">
        <v>-9.5</v>
      </c>
      <c r="J786" s="1" t="n">
        <v>36</v>
      </c>
      <c r="K786" s="1" t="s">
        <v>151</v>
      </c>
      <c r="L786" s="1" t="b">
        <f aca="false">FALSE()</f>
        <v>0</v>
      </c>
      <c r="M786" s="1" t="str">
        <f aca="false">VLOOKUP(D786,'Team Reference'!$A:$B,2,FALSE())</f>
        <v>PIT</v>
      </c>
      <c r="N786" s="1" t="str">
        <f aca="false">VLOOKUP(E786,'Team Reference'!$A:$B,2,FALSE())</f>
        <v>CLE</v>
      </c>
      <c r="O786" s="1" t="str">
        <f aca="false">IF(F786&gt;G786,M786,IF(G786&gt;F786,N786,"Tie"))</f>
        <v>PIT</v>
      </c>
      <c r="P786" s="1" t="n">
        <f aca="false">F786-G786</f>
        <v>14</v>
      </c>
      <c r="Q786" s="1" t="n">
        <f aca="false">F786+G786</f>
        <v>34</v>
      </c>
      <c r="R786" s="1" t="str">
        <f aca="false">IF(H786=M786,"Home",IF(H786=N786,"Away",IF(H786="PICK","Pick","N/A")))</f>
        <v>Home</v>
      </c>
      <c r="S786" s="1" t="n">
        <f aca="false">IF(R786="Home",P786,IF(R786="Away",-P786,""))</f>
        <v>14</v>
      </c>
      <c r="T786" s="1" t="str">
        <f aca="false">IF(R786="Pick","No Line",IF(S786="","N/A",IF(S786+I786&gt;0,"Favorite Covered",IF(S786+I786&lt;0,"Underdog Covered","Push"))))</f>
        <v>Favorite Covered</v>
      </c>
      <c r="U786" s="1" t="str">
        <f aca="false">IF(Q786&gt;J786,"Over",IF(Q786&lt;J786,"Under","Push"))</f>
        <v>Under</v>
      </c>
    </row>
    <row r="787" customFormat="false" ht="15" hidden="false" customHeight="false" outlineLevel="0" collapsed="false">
      <c r="A787" s="1" t="s">
        <v>340</v>
      </c>
      <c r="B787" s="1" t="n">
        <v>2012</v>
      </c>
      <c r="C787" s="1" t="s">
        <v>233</v>
      </c>
      <c r="D787" s="1" t="s">
        <v>107</v>
      </c>
      <c r="E787" s="1" t="s">
        <v>101</v>
      </c>
      <c r="F787" s="1" t="n">
        <v>24</v>
      </c>
      <c r="G787" s="1" t="n">
        <v>21</v>
      </c>
      <c r="H787" s="1" t="s">
        <v>86</v>
      </c>
      <c r="I787" s="1" t="n">
        <v>-8</v>
      </c>
      <c r="J787" s="1" t="n">
        <v>41.5</v>
      </c>
      <c r="K787" s="1" t="s">
        <v>172</v>
      </c>
      <c r="L787" s="1" t="b">
        <f aca="false">FALSE()</f>
        <v>0</v>
      </c>
      <c r="M787" s="1" t="str">
        <f aca="false">VLOOKUP(D787,'Team Reference'!$A:$B,2,FALSE())</f>
        <v>LAC</v>
      </c>
      <c r="N787" s="1" t="str">
        <f aca="false">VLOOKUP(E787,'Team Reference'!$A:$B,2,FALSE())</f>
        <v>OAK</v>
      </c>
      <c r="O787" s="1" t="str">
        <f aca="false">IF(F787&gt;G787,M787,IF(G787&gt;F787,N787,"Tie"))</f>
        <v>LAC</v>
      </c>
      <c r="P787" s="1" t="n">
        <f aca="false">F787-G787</f>
        <v>3</v>
      </c>
      <c r="Q787" s="1" t="n">
        <f aca="false">F787+G787</f>
        <v>45</v>
      </c>
      <c r="R787" s="1" t="str">
        <f aca="false">IF(H787=M787,"Home",IF(H787=N787,"Away",IF(H787="PICK","Pick","N/A")))</f>
        <v>Home</v>
      </c>
      <c r="S787" s="1" t="n">
        <f aca="false">IF(R787="Home",P787,IF(R787="Away",-P787,""))</f>
        <v>3</v>
      </c>
      <c r="T787" s="1" t="str">
        <f aca="false">IF(R787="Pick","No Line",IF(S787="","N/A",IF(S787+I787&gt;0,"Favorite Covered",IF(S787+I787&lt;0,"Underdog Covered","Push"))))</f>
        <v>Underdog Covered</v>
      </c>
      <c r="U787" s="1" t="str">
        <f aca="false">IF(Q787&gt;J787,"Over",IF(Q787&lt;J787,"Under","Push"))</f>
        <v>Over</v>
      </c>
    </row>
    <row r="788" customFormat="false" ht="15" hidden="false" customHeight="false" outlineLevel="0" collapsed="false">
      <c r="A788" s="1" t="s">
        <v>340</v>
      </c>
      <c r="B788" s="1" t="n">
        <v>2012</v>
      </c>
      <c r="C788" s="1" t="s">
        <v>233</v>
      </c>
      <c r="D788" s="1" t="s">
        <v>108</v>
      </c>
      <c r="E788" s="1" t="s">
        <v>53</v>
      </c>
      <c r="F788" s="1" t="n">
        <v>27</v>
      </c>
      <c r="G788" s="1" t="n">
        <v>13</v>
      </c>
      <c r="H788" s="1" t="s">
        <v>109</v>
      </c>
      <c r="I788" s="1" t="n">
        <v>-16.5</v>
      </c>
      <c r="J788" s="1" t="n">
        <v>39.5</v>
      </c>
      <c r="K788" s="1" t="s">
        <v>174</v>
      </c>
      <c r="L788" s="1" t="b">
        <f aca="false">FALSE()</f>
        <v>0</v>
      </c>
      <c r="M788" s="1" t="str">
        <f aca="false">VLOOKUP(D788,'Team Reference'!$A:$B,2,FALSE())</f>
        <v>SF</v>
      </c>
      <c r="N788" s="1" t="str">
        <f aca="false">VLOOKUP(E788,'Team Reference'!$A:$B,2,FALSE())</f>
        <v>ARI</v>
      </c>
      <c r="O788" s="1" t="str">
        <f aca="false">IF(F788&gt;G788,M788,IF(G788&gt;F788,N788,"Tie"))</f>
        <v>SF</v>
      </c>
      <c r="P788" s="1" t="n">
        <f aca="false">F788-G788</f>
        <v>14</v>
      </c>
      <c r="Q788" s="1" t="n">
        <f aca="false">F788+G788</f>
        <v>40</v>
      </c>
      <c r="R788" s="1" t="str">
        <f aca="false">IF(H788=M788,"Home",IF(H788=N788,"Away",IF(H788="PICK","Pick","N/A")))</f>
        <v>Home</v>
      </c>
      <c r="S788" s="1" t="n">
        <f aca="false">IF(R788="Home",P788,IF(R788="Away",-P788,""))</f>
        <v>14</v>
      </c>
      <c r="T788" s="1" t="str">
        <f aca="false">IF(R788="Pick","No Line",IF(S788="","N/A",IF(S788+I788&gt;0,"Favorite Covered",IF(S788+I788&lt;0,"Underdog Covered","Push"))))</f>
        <v>Underdog Covered</v>
      </c>
      <c r="U788" s="1" t="str">
        <f aca="false">IF(Q788&gt;J788,"Over",IF(Q788&lt;J788,"Under","Push"))</f>
        <v>Over</v>
      </c>
    </row>
    <row r="789" customFormat="false" ht="15" hidden="false" customHeight="false" outlineLevel="0" collapsed="false">
      <c r="A789" s="1" t="s">
        <v>340</v>
      </c>
      <c r="B789" s="1" t="n">
        <v>2012</v>
      </c>
      <c r="C789" s="1" t="s">
        <v>233</v>
      </c>
      <c r="D789" s="1" t="s">
        <v>110</v>
      </c>
      <c r="E789" s="1" t="s">
        <v>112</v>
      </c>
      <c r="F789" s="1" t="n">
        <v>20</v>
      </c>
      <c r="G789" s="1" t="n">
        <v>13</v>
      </c>
      <c r="H789" s="1" t="s">
        <v>111</v>
      </c>
      <c r="I789" s="1" t="n">
        <v>-12</v>
      </c>
      <c r="J789" s="1" t="n">
        <v>42.5</v>
      </c>
      <c r="K789" s="1" t="s">
        <v>152</v>
      </c>
      <c r="L789" s="1" t="b">
        <f aca="false">FALSE()</f>
        <v>0</v>
      </c>
      <c r="M789" s="1" t="str">
        <f aca="false">VLOOKUP(D789,'Team Reference'!$A:$B,2,FALSE())</f>
        <v>SEA</v>
      </c>
      <c r="N789" s="1" t="str">
        <f aca="false">VLOOKUP(E789,'Team Reference'!$A:$B,2,FALSE())</f>
        <v>LAR</v>
      </c>
      <c r="O789" s="1" t="str">
        <f aca="false">IF(F789&gt;G789,M789,IF(G789&gt;F789,N789,"Tie"))</f>
        <v>SEA</v>
      </c>
      <c r="P789" s="1" t="n">
        <f aca="false">F789-G789</f>
        <v>7</v>
      </c>
      <c r="Q789" s="1" t="n">
        <f aca="false">F789+G789</f>
        <v>33</v>
      </c>
      <c r="R789" s="1" t="str">
        <f aca="false">IF(H789=M789,"Home",IF(H789=N789,"Away",IF(H789="PICK","Pick","N/A")))</f>
        <v>Home</v>
      </c>
      <c r="S789" s="1" t="n">
        <f aca="false">IF(R789="Home",P789,IF(R789="Away",-P789,""))</f>
        <v>7</v>
      </c>
      <c r="T789" s="1" t="str">
        <f aca="false">IF(R789="Pick","No Line",IF(S789="","N/A",IF(S789+I789&gt;0,"Favorite Covered",IF(S789+I789&lt;0,"Underdog Covered","Push"))))</f>
        <v>Underdog Covered</v>
      </c>
      <c r="U789" s="1" t="str">
        <f aca="false">IF(Q789&gt;J789,"Over",IF(Q789&lt;J789,"Under","Push"))</f>
        <v>Under</v>
      </c>
    </row>
    <row r="790" customFormat="false" ht="15" hidden="false" customHeight="false" outlineLevel="0" collapsed="false">
      <c r="A790" s="1" t="s">
        <v>340</v>
      </c>
      <c r="B790" s="1" t="n">
        <v>2012</v>
      </c>
      <c r="C790" s="1" t="s">
        <v>233</v>
      </c>
      <c r="D790" s="1" t="s">
        <v>115</v>
      </c>
      <c r="E790" s="1" t="s">
        <v>81</v>
      </c>
      <c r="F790" s="1" t="n">
        <v>38</v>
      </c>
      <c r="G790" s="1" t="n">
        <v>20</v>
      </c>
      <c r="H790" s="1" t="s">
        <v>116</v>
      </c>
      <c r="I790" s="1" t="n">
        <v>-5.5</v>
      </c>
      <c r="J790" s="1" t="n">
        <v>42</v>
      </c>
      <c r="K790" s="1" t="s">
        <v>155</v>
      </c>
      <c r="L790" s="1" t="b">
        <f aca="false">FALSE()</f>
        <v>0</v>
      </c>
      <c r="M790" s="1" t="str">
        <f aca="false">VLOOKUP(D790,'Team Reference'!$A:$B,2,FALSE())</f>
        <v>TEN</v>
      </c>
      <c r="N790" s="1" t="str">
        <f aca="false">VLOOKUP(E790,'Team Reference'!$A:$B,2,FALSE())</f>
        <v>JAX</v>
      </c>
      <c r="O790" s="1" t="str">
        <f aca="false">IF(F790&gt;G790,M790,IF(G790&gt;F790,N790,"Tie"))</f>
        <v>TEN</v>
      </c>
      <c r="P790" s="1" t="n">
        <f aca="false">F790-G790</f>
        <v>18</v>
      </c>
      <c r="Q790" s="1" t="n">
        <f aca="false">F790+G790</f>
        <v>58</v>
      </c>
      <c r="R790" s="1" t="str">
        <f aca="false">IF(H790=M790,"Home",IF(H790=N790,"Away",IF(H790="PICK","Pick","N/A")))</f>
        <v>Home</v>
      </c>
      <c r="S790" s="1" t="n">
        <f aca="false">IF(R790="Home",P790,IF(R790="Away",-P790,""))</f>
        <v>18</v>
      </c>
      <c r="T790" s="1" t="str">
        <f aca="false">IF(R790="Pick","No Line",IF(S790="","N/A",IF(S790+I790&gt;0,"Favorite Covered",IF(S790+I790&lt;0,"Underdog Covered","Push"))))</f>
        <v>Favorite Covered</v>
      </c>
      <c r="U790" s="1" t="str">
        <f aca="false">IF(Q790&gt;J790,"Over",IF(Q790&lt;J790,"Under","Push"))</f>
        <v>Over</v>
      </c>
    </row>
    <row r="791" customFormat="false" ht="15" hidden="false" customHeight="false" outlineLevel="0" collapsed="false">
      <c r="A791" s="1" t="s">
        <v>340</v>
      </c>
      <c r="B791" s="1" t="n">
        <v>2012</v>
      </c>
      <c r="C791" s="1" t="s">
        <v>233</v>
      </c>
      <c r="D791" s="1" t="s">
        <v>117</v>
      </c>
      <c r="E791" s="1" t="s">
        <v>69</v>
      </c>
      <c r="F791" s="1" t="n">
        <v>28</v>
      </c>
      <c r="G791" s="1" t="n">
        <v>18</v>
      </c>
      <c r="H791" s="1" t="s">
        <v>118</v>
      </c>
      <c r="I791" s="1" t="n">
        <v>-3</v>
      </c>
      <c r="J791" s="1" t="n">
        <v>49</v>
      </c>
      <c r="K791" s="1" t="s">
        <v>156</v>
      </c>
      <c r="L791" s="1" t="b">
        <f aca="false">FALSE()</f>
        <v>0</v>
      </c>
      <c r="M791" s="1" t="str">
        <f aca="false">VLOOKUP(D791,'Team Reference'!$A:$B,2,FALSE())</f>
        <v>WAS</v>
      </c>
      <c r="N791" s="1" t="str">
        <f aca="false">VLOOKUP(E791,'Team Reference'!$A:$B,2,FALSE())</f>
        <v>DAL</v>
      </c>
      <c r="O791" s="1" t="str">
        <f aca="false">IF(F791&gt;G791,M791,IF(G791&gt;F791,N791,"Tie"))</f>
        <v>WAS</v>
      </c>
      <c r="P791" s="1" t="n">
        <f aca="false">F791-G791</f>
        <v>10</v>
      </c>
      <c r="Q791" s="1" t="n">
        <f aca="false">F791+G791</f>
        <v>46</v>
      </c>
      <c r="R791" s="1" t="str">
        <f aca="false">IF(H791=M791,"Home",IF(H791=N791,"Away",IF(H791="PICK","Pick","N/A")))</f>
        <v>Home</v>
      </c>
      <c r="S791" s="1" t="n">
        <f aca="false">IF(R791="Home",P791,IF(R791="Away",-P791,""))</f>
        <v>10</v>
      </c>
      <c r="T791" s="1" t="str">
        <f aca="false">IF(R791="Pick","No Line",IF(S791="","N/A",IF(S791+I791&gt;0,"Favorite Covered",IF(S791+I791&lt;0,"Underdog Covered","Push"))))</f>
        <v>Favorite Covered</v>
      </c>
      <c r="U791" s="1" t="str">
        <f aca="false">IF(Q791&gt;J791,"Over",IF(Q791&lt;J791,"Under","Push"))</f>
        <v>Under</v>
      </c>
    </row>
    <row r="792" customFormat="false" ht="15" hidden="false" customHeight="false" outlineLevel="0" collapsed="false">
      <c r="A792" s="1" t="s">
        <v>341</v>
      </c>
      <c r="B792" s="1" t="n">
        <v>2012</v>
      </c>
      <c r="C792" s="1" t="s">
        <v>235</v>
      </c>
      <c r="D792" s="1" t="s">
        <v>75</v>
      </c>
      <c r="E792" s="1" t="s">
        <v>91</v>
      </c>
      <c r="F792" s="1" t="n">
        <v>24</v>
      </c>
      <c r="G792" s="1" t="n">
        <v>10</v>
      </c>
      <c r="H792" s="1" t="s">
        <v>76</v>
      </c>
      <c r="I792" s="1" t="n">
        <v>-11</v>
      </c>
      <c r="J792" s="1" t="n">
        <v>44.5</v>
      </c>
      <c r="L792" s="1" t="b">
        <f aca="false">TRUE()</f>
        <v>1</v>
      </c>
      <c r="M792" s="1" t="str">
        <f aca="false">VLOOKUP(D792,'Team Reference'!$A:$B,2,FALSE())</f>
        <v>GB</v>
      </c>
      <c r="N792" s="1" t="str">
        <f aca="false">VLOOKUP(E792,'Team Reference'!$A:$B,2,FALSE())</f>
        <v>MIN</v>
      </c>
      <c r="O792" s="1" t="str">
        <f aca="false">IF(F792&gt;G792,M792,IF(G792&gt;F792,N792,"Tie"))</f>
        <v>GB</v>
      </c>
      <c r="P792" s="1" t="n">
        <f aca="false">F792-G792</f>
        <v>14</v>
      </c>
      <c r="Q792" s="1" t="n">
        <f aca="false">F792+G792</f>
        <v>34</v>
      </c>
      <c r="R792" s="1" t="str">
        <f aca="false">IF(H792=M792,"Home",IF(H792=N792,"Away",IF(H792="PICK","Pick","N/A")))</f>
        <v>Home</v>
      </c>
      <c r="S792" s="1" t="n">
        <f aca="false">IF(R792="Home",P792,IF(R792="Away",-P792,""))</f>
        <v>14</v>
      </c>
      <c r="T792" s="1" t="str">
        <f aca="false">IF(R792="Pick","No Line",IF(S792="","N/A",IF(S792+I792&gt;0,"Favorite Covered",IF(S792+I792&lt;0,"Underdog Covered","Push"))))</f>
        <v>Favorite Covered</v>
      </c>
      <c r="U792" s="1" t="str">
        <f aca="false">IF(Q792&gt;J792,"Over",IF(Q792&lt;J792,"Under","Push"))</f>
        <v>Under</v>
      </c>
    </row>
    <row r="793" customFormat="false" ht="15" hidden="false" customHeight="false" outlineLevel="0" collapsed="false">
      <c r="A793" s="1" t="s">
        <v>341</v>
      </c>
      <c r="B793" s="1" t="n">
        <v>2012</v>
      </c>
      <c r="C793" s="1" t="s">
        <v>235</v>
      </c>
      <c r="D793" s="1" t="s">
        <v>77</v>
      </c>
      <c r="E793" s="1" t="s">
        <v>65</v>
      </c>
      <c r="F793" s="1" t="n">
        <v>19</v>
      </c>
      <c r="G793" s="1" t="n">
        <v>13</v>
      </c>
      <c r="H793" s="1" t="s">
        <v>78</v>
      </c>
      <c r="I793" s="1" t="n">
        <v>-4</v>
      </c>
      <c r="J793" s="1" t="n">
        <v>42.5</v>
      </c>
      <c r="L793" s="1" t="b">
        <f aca="false">TRUE()</f>
        <v>1</v>
      </c>
      <c r="M793" s="1" t="str">
        <f aca="false">VLOOKUP(D793,'Team Reference'!$A:$B,2,FALSE())</f>
        <v>HOU</v>
      </c>
      <c r="N793" s="1" t="str">
        <f aca="false">VLOOKUP(E793,'Team Reference'!$A:$B,2,FALSE())</f>
        <v>CIN</v>
      </c>
      <c r="O793" s="1" t="str">
        <f aca="false">IF(F793&gt;G793,M793,IF(G793&gt;F793,N793,"Tie"))</f>
        <v>HOU</v>
      </c>
      <c r="P793" s="1" t="n">
        <f aca="false">F793-G793</f>
        <v>6</v>
      </c>
      <c r="Q793" s="1" t="n">
        <f aca="false">F793+G793</f>
        <v>32</v>
      </c>
      <c r="R793" s="1" t="str">
        <f aca="false">IF(H793=M793,"Home",IF(H793=N793,"Away",IF(H793="PICK","Pick","N/A")))</f>
        <v>Home</v>
      </c>
      <c r="S793" s="1" t="n">
        <f aca="false">IF(R793="Home",P793,IF(R793="Away",-P793,""))</f>
        <v>6</v>
      </c>
      <c r="T793" s="1" t="str">
        <f aca="false">IF(R793="Pick","No Line",IF(S793="","N/A",IF(S793+I793&gt;0,"Favorite Covered",IF(S793+I793&lt;0,"Underdog Covered","Push"))))</f>
        <v>Favorite Covered</v>
      </c>
      <c r="U793" s="1" t="str">
        <f aca="false">IF(Q793&gt;J793,"Over",IF(Q793&lt;J793,"Under","Push"))</f>
        <v>Under</v>
      </c>
    </row>
    <row r="794" customFormat="false" ht="15" hidden="false" customHeight="false" outlineLevel="0" collapsed="false">
      <c r="A794" s="1" t="s">
        <v>342</v>
      </c>
      <c r="B794" s="1" t="n">
        <v>2012</v>
      </c>
      <c r="C794" s="1" t="s">
        <v>235</v>
      </c>
      <c r="D794" s="1" t="s">
        <v>57</v>
      </c>
      <c r="E794" s="1" t="s">
        <v>79</v>
      </c>
      <c r="F794" s="1" t="n">
        <v>24</v>
      </c>
      <c r="G794" s="1" t="n">
        <v>9</v>
      </c>
      <c r="H794" s="1" t="s">
        <v>58</v>
      </c>
      <c r="I794" s="1" t="n">
        <v>-7</v>
      </c>
      <c r="J794" s="1" t="n">
        <v>47</v>
      </c>
      <c r="K794" s="1" t="s">
        <v>178</v>
      </c>
      <c r="L794" s="1" t="b">
        <f aca="false">TRUE()</f>
        <v>1</v>
      </c>
      <c r="M794" s="1" t="str">
        <f aca="false">VLOOKUP(D794,'Team Reference'!$A:$B,2,FALSE())</f>
        <v>BAL</v>
      </c>
      <c r="N794" s="1" t="str">
        <f aca="false">VLOOKUP(E794,'Team Reference'!$A:$B,2,FALSE())</f>
        <v>IND</v>
      </c>
      <c r="O794" s="1" t="str">
        <f aca="false">IF(F794&gt;G794,M794,IF(G794&gt;F794,N794,"Tie"))</f>
        <v>BAL</v>
      </c>
      <c r="P794" s="1" t="n">
        <f aca="false">F794-G794</f>
        <v>15</v>
      </c>
      <c r="Q794" s="1" t="n">
        <f aca="false">F794+G794</f>
        <v>33</v>
      </c>
      <c r="R794" s="1" t="str">
        <f aca="false">IF(H794=M794,"Home",IF(H794=N794,"Away",IF(H794="PICK","Pick","N/A")))</f>
        <v>Home</v>
      </c>
      <c r="S794" s="1" t="n">
        <f aca="false">IF(R794="Home",P794,IF(R794="Away",-P794,""))</f>
        <v>15</v>
      </c>
      <c r="T794" s="1" t="str">
        <f aca="false">IF(R794="Pick","No Line",IF(S794="","N/A",IF(S794+I794&gt;0,"Favorite Covered",IF(S794+I794&lt;0,"Underdog Covered","Push"))))</f>
        <v>Favorite Covered</v>
      </c>
      <c r="U794" s="1" t="str">
        <f aca="false">IF(Q794&gt;J794,"Over",IF(Q794&lt;J794,"Under","Push"))</f>
        <v>Under</v>
      </c>
    </row>
    <row r="795" customFormat="false" ht="15" hidden="false" customHeight="false" outlineLevel="0" collapsed="false">
      <c r="A795" s="1" t="s">
        <v>342</v>
      </c>
      <c r="B795" s="1" t="n">
        <v>2012</v>
      </c>
      <c r="C795" s="1" t="s">
        <v>235</v>
      </c>
      <c r="D795" s="1" t="s">
        <v>117</v>
      </c>
      <c r="E795" s="1" t="s">
        <v>110</v>
      </c>
      <c r="F795" s="1" t="n">
        <v>14</v>
      </c>
      <c r="G795" s="1" t="n">
        <v>24</v>
      </c>
      <c r="H795" s="1" t="s">
        <v>111</v>
      </c>
      <c r="I795" s="1" t="n">
        <v>-3</v>
      </c>
      <c r="J795" s="1" t="n">
        <v>45</v>
      </c>
      <c r="L795" s="1" t="b">
        <f aca="false">TRUE()</f>
        <v>1</v>
      </c>
      <c r="M795" s="1" t="str">
        <f aca="false">VLOOKUP(D795,'Team Reference'!$A:$B,2,FALSE())</f>
        <v>WAS</v>
      </c>
      <c r="N795" s="1" t="str">
        <f aca="false">VLOOKUP(E795,'Team Reference'!$A:$B,2,FALSE())</f>
        <v>SEA</v>
      </c>
      <c r="O795" s="1" t="str">
        <f aca="false">IF(F795&gt;G795,M795,IF(G795&gt;F795,N795,"Tie"))</f>
        <v>SEA</v>
      </c>
      <c r="P795" s="1" t="n">
        <f aca="false">F795-G795</f>
        <v>-10</v>
      </c>
      <c r="Q795" s="1" t="n">
        <f aca="false">F795+G795</f>
        <v>38</v>
      </c>
      <c r="R795" s="1" t="str">
        <f aca="false">IF(H795=M795,"Home",IF(H795=N795,"Away",IF(H795="PICK","Pick","N/A")))</f>
        <v>Away</v>
      </c>
      <c r="S795" s="1" t="n">
        <f aca="false">IF(R795="Home",P795,IF(R795="Away",-P795,""))</f>
        <v>10</v>
      </c>
      <c r="T795" s="1" t="str">
        <f aca="false">IF(R795="Pick","No Line",IF(S795="","N/A",IF(S795+I795&gt;0,"Favorite Covered",IF(S795+I795&lt;0,"Underdog Covered","Push"))))</f>
        <v>Favorite Covered</v>
      </c>
      <c r="U795" s="1" t="str">
        <f aca="false">IF(Q795&gt;J795,"Over",IF(Q795&lt;J795,"Under","Push"))</f>
        <v>Under</v>
      </c>
    </row>
    <row r="796" customFormat="false" ht="15" hidden="false" customHeight="false" outlineLevel="0" collapsed="false">
      <c r="A796" s="1" t="s">
        <v>343</v>
      </c>
      <c r="B796" s="1" t="n">
        <v>2012</v>
      </c>
      <c r="C796" s="1" t="s">
        <v>238</v>
      </c>
      <c r="D796" s="1" t="s">
        <v>71</v>
      </c>
      <c r="E796" s="1" t="s">
        <v>57</v>
      </c>
      <c r="F796" s="1" t="n">
        <v>35</v>
      </c>
      <c r="G796" s="1" t="n">
        <v>38</v>
      </c>
      <c r="H796" s="1" t="s">
        <v>72</v>
      </c>
      <c r="I796" s="1" t="n">
        <v>-9</v>
      </c>
      <c r="J796" s="1" t="n">
        <v>44.5</v>
      </c>
      <c r="L796" s="1" t="b">
        <f aca="false">TRUE()</f>
        <v>1</v>
      </c>
      <c r="M796" s="1" t="str">
        <f aca="false">VLOOKUP(D796,'Team Reference'!$A:$B,2,FALSE())</f>
        <v>DEN</v>
      </c>
      <c r="N796" s="1" t="str">
        <f aca="false">VLOOKUP(E796,'Team Reference'!$A:$B,2,FALSE())</f>
        <v>BAL</v>
      </c>
      <c r="O796" s="1" t="str">
        <f aca="false">IF(F796&gt;G796,M796,IF(G796&gt;F796,N796,"Tie"))</f>
        <v>BAL</v>
      </c>
      <c r="P796" s="1" t="n">
        <f aca="false">F796-G796</f>
        <v>-3</v>
      </c>
      <c r="Q796" s="1" t="n">
        <f aca="false">F796+G796</f>
        <v>73</v>
      </c>
      <c r="R796" s="1" t="str">
        <f aca="false">IF(H796=M796,"Home",IF(H796=N796,"Away",IF(H796="PICK","Pick","N/A")))</f>
        <v>Home</v>
      </c>
      <c r="S796" s="1" t="n">
        <f aca="false">IF(R796="Home",P796,IF(R796="Away",-P796,""))</f>
        <v>-3</v>
      </c>
      <c r="T796" s="1" t="str">
        <f aca="false">IF(R796="Pick","No Line",IF(S796="","N/A",IF(S796+I796&gt;0,"Favorite Covered",IF(S796+I796&lt;0,"Underdog Covered","Push"))))</f>
        <v>Underdog Covered</v>
      </c>
      <c r="U796" s="1" t="str">
        <f aca="false">IF(Q796&gt;J796,"Over",IF(Q796&lt;J796,"Under","Push"))</f>
        <v>Over</v>
      </c>
    </row>
    <row r="797" customFormat="false" ht="15" hidden="false" customHeight="false" outlineLevel="0" collapsed="false">
      <c r="A797" s="1" t="s">
        <v>343</v>
      </c>
      <c r="B797" s="1" t="n">
        <v>2012</v>
      </c>
      <c r="C797" s="1" t="s">
        <v>238</v>
      </c>
      <c r="D797" s="1" t="s">
        <v>108</v>
      </c>
      <c r="E797" s="1" t="s">
        <v>75</v>
      </c>
      <c r="F797" s="1" t="n">
        <v>45</v>
      </c>
      <c r="G797" s="1" t="n">
        <v>31</v>
      </c>
      <c r="H797" s="1" t="s">
        <v>109</v>
      </c>
      <c r="I797" s="1" t="n">
        <v>-3</v>
      </c>
      <c r="J797" s="1" t="n">
        <v>45.5</v>
      </c>
      <c r="L797" s="1" t="b">
        <f aca="false">TRUE()</f>
        <v>1</v>
      </c>
      <c r="M797" s="1" t="str">
        <f aca="false">VLOOKUP(D797,'Team Reference'!$A:$B,2,FALSE())</f>
        <v>SF</v>
      </c>
      <c r="N797" s="1" t="str">
        <f aca="false">VLOOKUP(E797,'Team Reference'!$A:$B,2,FALSE())</f>
        <v>GB</v>
      </c>
      <c r="O797" s="1" t="str">
        <f aca="false">IF(F797&gt;G797,M797,IF(G797&gt;F797,N797,"Tie"))</f>
        <v>SF</v>
      </c>
      <c r="P797" s="1" t="n">
        <f aca="false">F797-G797</f>
        <v>14</v>
      </c>
      <c r="Q797" s="1" t="n">
        <f aca="false">F797+G797</f>
        <v>76</v>
      </c>
      <c r="R797" s="1" t="str">
        <f aca="false">IF(H797=M797,"Home",IF(H797=N797,"Away",IF(H797="PICK","Pick","N/A")))</f>
        <v>Home</v>
      </c>
      <c r="S797" s="1" t="n">
        <f aca="false">IF(R797="Home",P797,IF(R797="Away",-P797,""))</f>
        <v>14</v>
      </c>
      <c r="T797" s="1" t="str">
        <f aca="false">IF(R797="Pick","No Line",IF(S797="","N/A",IF(S797+I797&gt;0,"Favorite Covered",IF(S797+I797&lt;0,"Underdog Covered","Push"))))</f>
        <v>Favorite Covered</v>
      </c>
      <c r="U797" s="1" t="str">
        <f aca="false">IF(Q797&gt;J797,"Over",IF(Q797&lt;J797,"Under","Push"))</f>
        <v>Over</v>
      </c>
    </row>
    <row r="798" customFormat="false" ht="15" hidden="false" customHeight="false" outlineLevel="0" collapsed="false">
      <c r="A798" s="1" t="s">
        <v>344</v>
      </c>
      <c r="B798" s="1" t="n">
        <v>2012</v>
      </c>
      <c r="C798" s="1" t="s">
        <v>238</v>
      </c>
      <c r="D798" s="1" t="s">
        <v>55</v>
      </c>
      <c r="E798" s="1" t="s">
        <v>110</v>
      </c>
      <c r="F798" s="1" t="n">
        <v>30</v>
      </c>
      <c r="G798" s="1" t="n">
        <v>28</v>
      </c>
      <c r="H798" s="1" t="s">
        <v>56</v>
      </c>
      <c r="I798" s="1" t="n">
        <v>-3</v>
      </c>
      <c r="J798" s="1" t="n">
        <v>47</v>
      </c>
      <c r="K798" s="1" t="s">
        <v>161</v>
      </c>
      <c r="L798" s="1" t="b">
        <f aca="false">TRUE()</f>
        <v>1</v>
      </c>
      <c r="M798" s="1" t="str">
        <f aca="false">VLOOKUP(D798,'Team Reference'!$A:$B,2,FALSE())</f>
        <v>ATL</v>
      </c>
      <c r="N798" s="1" t="str">
        <f aca="false">VLOOKUP(E798,'Team Reference'!$A:$B,2,FALSE())</f>
        <v>SEA</v>
      </c>
      <c r="O798" s="1" t="str">
        <f aca="false">IF(F798&gt;G798,M798,IF(G798&gt;F798,N798,"Tie"))</f>
        <v>ATL</v>
      </c>
      <c r="P798" s="1" t="n">
        <f aca="false">F798-G798</f>
        <v>2</v>
      </c>
      <c r="Q798" s="1" t="n">
        <f aca="false">F798+G798</f>
        <v>58</v>
      </c>
      <c r="R798" s="1" t="str">
        <f aca="false">IF(H798=M798,"Home",IF(H798=N798,"Away",IF(H798="PICK","Pick","N/A")))</f>
        <v>Home</v>
      </c>
      <c r="S798" s="1" t="n">
        <f aca="false">IF(R798="Home",P798,IF(R798="Away",-P798,""))</f>
        <v>2</v>
      </c>
      <c r="T798" s="1" t="str">
        <f aca="false">IF(R798="Pick","No Line",IF(S798="","N/A",IF(S798+I798&gt;0,"Favorite Covered",IF(S798+I798&lt;0,"Underdog Covered","Push"))))</f>
        <v>Underdog Covered</v>
      </c>
      <c r="U798" s="1" t="str">
        <f aca="false">IF(Q798&gt;J798,"Over",IF(Q798&lt;J798,"Under","Push"))</f>
        <v>Over</v>
      </c>
    </row>
    <row r="799" customFormat="false" ht="15" hidden="false" customHeight="false" outlineLevel="0" collapsed="false">
      <c r="A799" s="1" t="s">
        <v>344</v>
      </c>
      <c r="B799" s="1" t="n">
        <v>2012</v>
      </c>
      <c r="C799" s="1" t="s">
        <v>238</v>
      </c>
      <c r="D799" s="1" t="s">
        <v>93</v>
      </c>
      <c r="E799" s="1" t="s">
        <v>77</v>
      </c>
      <c r="F799" s="1" t="n">
        <v>41</v>
      </c>
      <c r="G799" s="1" t="n">
        <v>28</v>
      </c>
      <c r="H799" s="1" t="s">
        <v>94</v>
      </c>
      <c r="I799" s="1" t="n">
        <v>-9.5</v>
      </c>
      <c r="J799" s="1" t="n">
        <v>51</v>
      </c>
      <c r="L799" s="1" t="b">
        <f aca="false">TRUE()</f>
        <v>1</v>
      </c>
      <c r="M799" s="1" t="str">
        <f aca="false">VLOOKUP(D799,'Team Reference'!$A:$B,2,FALSE())</f>
        <v>NE</v>
      </c>
      <c r="N799" s="1" t="str">
        <f aca="false">VLOOKUP(E799,'Team Reference'!$A:$B,2,FALSE())</f>
        <v>HOU</v>
      </c>
      <c r="O799" s="1" t="str">
        <f aca="false">IF(F799&gt;G799,M799,IF(G799&gt;F799,N799,"Tie"))</f>
        <v>NE</v>
      </c>
      <c r="P799" s="1" t="n">
        <f aca="false">F799-G799</f>
        <v>13</v>
      </c>
      <c r="Q799" s="1" t="n">
        <f aca="false">F799+G799</f>
        <v>69</v>
      </c>
      <c r="R799" s="1" t="str">
        <f aca="false">IF(H799=M799,"Home",IF(H799=N799,"Away",IF(H799="PICK","Pick","N/A")))</f>
        <v>Home</v>
      </c>
      <c r="S799" s="1" t="n">
        <f aca="false">IF(R799="Home",P799,IF(R799="Away",-P799,""))</f>
        <v>13</v>
      </c>
      <c r="T799" s="1" t="str">
        <f aca="false">IF(R799="Pick","No Line",IF(S799="","N/A",IF(S799+I799&gt;0,"Favorite Covered",IF(S799+I799&lt;0,"Underdog Covered","Push"))))</f>
        <v>Favorite Covered</v>
      </c>
      <c r="U799" s="1" t="str">
        <f aca="false">IF(Q799&gt;J799,"Over",IF(Q799&lt;J799,"Under","Push"))</f>
        <v>Over</v>
      </c>
    </row>
    <row r="800" customFormat="false" ht="15" hidden="false" customHeight="false" outlineLevel="0" collapsed="false">
      <c r="A800" s="1" t="s">
        <v>345</v>
      </c>
      <c r="B800" s="1" t="n">
        <v>2012</v>
      </c>
      <c r="C800" s="1" t="s">
        <v>241</v>
      </c>
      <c r="D800" s="1" t="s">
        <v>55</v>
      </c>
      <c r="E800" s="1" t="s">
        <v>108</v>
      </c>
      <c r="F800" s="1" t="n">
        <v>24</v>
      </c>
      <c r="G800" s="1" t="n">
        <v>28</v>
      </c>
      <c r="H800" s="1" t="s">
        <v>109</v>
      </c>
      <c r="I800" s="1" t="n">
        <v>-4.5</v>
      </c>
      <c r="J800" s="1" t="n">
        <v>49</v>
      </c>
      <c r="K800" s="1" t="s">
        <v>161</v>
      </c>
      <c r="L800" s="1" t="b">
        <f aca="false">TRUE()</f>
        <v>1</v>
      </c>
      <c r="M800" s="1" t="str">
        <f aca="false">VLOOKUP(D800,'Team Reference'!$A:$B,2,FALSE())</f>
        <v>ATL</v>
      </c>
      <c r="N800" s="1" t="str">
        <f aca="false">VLOOKUP(E800,'Team Reference'!$A:$B,2,FALSE())</f>
        <v>SF</v>
      </c>
      <c r="O800" s="1" t="str">
        <f aca="false">IF(F800&gt;G800,M800,IF(G800&gt;F800,N800,"Tie"))</f>
        <v>SF</v>
      </c>
      <c r="P800" s="1" t="n">
        <f aca="false">F800-G800</f>
        <v>-4</v>
      </c>
      <c r="Q800" s="1" t="n">
        <f aca="false">F800+G800</f>
        <v>52</v>
      </c>
      <c r="R800" s="1" t="str">
        <f aca="false">IF(H800=M800,"Home",IF(H800=N800,"Away",IF(H800="PICK","Pick","N/A")))</f>
        <v>Away</v>
      </c>
      <c r="S800" s="1" t="n">
        <f aca="false">IF(R800="Home",P800,IF(R800="Away",-P800,""))</f>
        <v>4</v>
      </c>
      <c r="T800" s="1" t="str">
        <f aca="false">IF(R800="Pick","No Line",IF(S800="","N/A",IF(S800+I800&gt;0,"Favorite Covered",IF(S800+I800&lt;0,"Underdog Covered","Push"))))</f>
        <v>Underdog Covered</v>
      </c>
      <c r="U800" s="1" t="str">
        <f aca="false">IF(Q800&gt;J800,"Over",IF(Q800&lt;J800,"Under","Push"))</f>
        <v>Over</v>
      </c>
    </row>
    <row r="801" customFormat="false" ht="15" hidden="false" customHeight="false" outlineLevel="0" collapsed="false">
      <c r="A801" s="1" t="s">
        <v>345</v>
      </c>
      <c r="B801" s="1" t="n">
        <v>2012</v>
      </c>
      <c r="C801" s="1" t="s">
        <v>241</v>
      </c>
      <c r="D801" s="1" t="s">
        <v>93</v>
      </c>
      <c r="E801" s="1" t="s">
        <v>57</v>
      </c>
      <c r="F801" s="1" t="n">
        <v>13</v>
      </c>
      <c r="G801" s="1" t="n">
        <v>28</v>
      </c>
      <c r="H801" s="1" t="s">
        <v>94</v>
      </c>
      <c r="I801" s="1" t="n">
        <v>-7.5</v>
      </c>
      <c r="J801" s="1" t="n">
        <v>51.5</v>
      </c>
      <c r="L801" s="1" t="b">
        <f aca="false">TRUE()</f>
        <v>1</v>
      </c>
      <c r="M801" s="1" t="str">
        <f aca="false">VLOOKUP(D801,'Team Reference'!$A:$B,2,FALSE())</f>
        <v>NE</v>
      </c>
      <c r="N801" s="1" t="str">
        <f aca="false">VLOOKUP(E801,'Team Reference'!$A:$B,2,FALSE())</f>
        <v>BAL</v>
      </c>
      <c r="O801" s="1" t="str">
        <f aca="false">IF(F801&gt;G801,M801,IF(G801&gt;F801,N801,"Tie"))</f>
        <v>BAL</v>
      </c>
      <c r="P801" s="1" t="n">
        <f aca="false">F801-G801</f>
        <v>-15</v>
      </c>
      <c r="Q801" s="1" t="n">
        <f aca="false">F801+G801</f>
        <v>41</v>
      </c>
      <c r="R801" s="1" t="str">
        <f aca="false">IF(H801=M801,"Home",IF(H801=N801,"Away",IF(H801="PICK","Pick","N/A")))</f>
        <v>Home</v>
      </c>
      <c r="S801" s="1" t="n">
        <f aca="false">IF(R801="Home",P801,IF(R801="Away",-P801,""))</f>
        <v>-15</v>
      </c>
      <c r="T801" s="1" t="str">
        <f aca="false">IF(R801="Pick","No Line",IF(S801="","N/A",IF(S801+I801&gt;0,"Favorite Covered",IF(S801+I801&lt;0,"Underdog Covered","Push"))))</f>
        <v>Underdog Covered</v>
      </c>
      <c r="U801" s="1" t="str">
        <f aca="false">IF(Q801&gt;J801,"Over",IF(Q801&lt;J801,"Under","Push"))</f>
        <v>Under</v>
      </c>
    </row>
    <row r="802" customFormat="false" ht="15" hidden="false" customHeight="false" outlineLevel="0" collapsed="false">
      <c r="A802" s="1" t="s">
        <v>346</v>
      </c>
      <c r="B802" s="1" t="n">
        <v>2012</v>
      </c>
      <c r="C802" s="1" t="s">
        <v>243</v>
      </c>
      <c r="D802" s="1" t="s">
        <v>108</v>
      </c>
      <c r="E802" s="1" t="s">
        <v>57</v>
      </c>
      <c r="F802" s="1" t="n">
        <v>31</v>
      </c>
      <c r="G802" s="1" t="n">
        <v>34</v>
      </c>
      <c r="H802" s="1" t="s">
        <v>109</v>
      </c>
      <c r="I802" s="1" t="n">
        <v>-4.5</v>
      </c>
      <c r="J802" s="1" t="n">
        <v>48</v>
      </c>
      <c r="K802" s="1" t="s">
        <v>347</v>
      </c>
      <c r="L802" s="1" t="b">
        <f aca="false">TRUE()</f>
        <v>1</v>
      </c>
      <c r="M802" s="1" t="str">
        <f aca="false">VLOOKUP(D802,'Team Reference'!$A:$B,2,FALSE())</f>
        <v>SF</v>
      </c>
      <c r="N802" s="1" t="str">
        <f aca="false">VLOOKUP(E802,'Team Reference'!$A:$B,2,FALSE())</f>
        <v>BAL</v>
      </c>
      <c r="O802" s="1" t="str">
        <f aca="false">IF(F802&gt;G802,M802,IF(G802&gt;F802,N802,"Tie"))</f>
        <v>BAL</v>
      </c>
      <c r="P802" s="1" t="n">
        <f aca="false">F802-G802</f>
        <v>-3</v>
      </c>
      <c r="Q802" s="1" t="n">
        <f aca="false">F802+G802</f>
        <v>65</v>
      </c>
      <c r="R802" s="1" t="str">
        <f aca="false">IF(H802=M802,"Home",IF(H802=N802,"Away",IF(H802="PICK","Pick","N/A")))</f>
        <v>Home</v>
      </c>
      <c r="S802" s="1" t="n">
        <f aca="false">IF(R802="Home",P802,IF(R802="Away",-P802,""))</f>
        <v>-3</v>
      </c>
      <c r="T802" s="1" t="str">
        <f aca="false">IF(R802="Pick","No Line",IF(S802="","N/A",IF(S802+I802&gt;0,"Favorite Covered",IF(S802+I802&lt;0,"Underdog Covered","Push"))))</f>
        <v>Underdog Covered</v>
      </c>
      <c r="U802" s="1" t="str">
        <f aca="false">IF(Q802&gt;J802,"Over",IF(Q802&lt;J802,"Under","Push"))</f>
        <v>Over</v>
      </c>
    </row>
    <row r="803" customFormat="false" ht="15" hidden="false" customHeight="false" outlineLevel="0" collapsed="false">
      <c r="A803" s="1" t="s">
        <v>348</v>
      </c>
      <c r="B803" s="1" t="n">
        <v>2013</v>
      </c>
      <c r="C803" s="1" t="s">
        <v>141</v>
      </c>
      <c r="D803" s="1" t="s">
        <v>71</v>
      </c>
      <c r="E803" s="1" t="s">
        <v>57</v>
      </c>
      <c r="F803" s="1" t="n">
        <v>49</v>
      </c>
      <c r="G803" s="1" t="n">
        <v>27</v>
      </c>
      <c r="H803" s="1" t="s">
        <v>72</v>
      </c>
      <c r="I803" s="1" t="n">
        <v>-7.5</v>
      </c>
      <c r="J803" s="1" t="n">
        <v>49.5</v>
      </c>
      <c r="K803" s="1" t="s">
        <v>166</v>
      </c>
      <c r="L803" s="1" t="b">
        <f aca="false">FALSE()</f>
        <v>0</v>
      </c>
      <c r="M803" s="1" t="str">
        <f aca="false">VLOOKUP(D803,'Team Reference'!$A:$B,2,FALSE())</f>
        <v>DEN</v>
      </c>
      <c r="N803" s="1" t="str">
        <f aca="false">VLOOKUP(E803,'Team Reference'!$A:$B,2,FALSE())</f>
        <v>BAL</v>
      </c>
      <c r="O803" s="1" t="str">
        <f aca="false">IF(F803&gt;G803,M803,IF(G803&gt;F803,N803,"Tie"))</f>
        <v>DEN</v>
      </c>
      <c r="P803" s="1" t="n">
        <f aca="false">F803-G803</f>
        <v>22</v>
      </c>
      <c r="Q803" s="1" t="n">
        <f aca="false">F803+G803</f>
        <v>76</v>
      </c>
      <c r="R803" s="1" t="str">
        <f aca="false">IF(H803=M803,"Home",IF(H803=N803,"Away",IF(H803="PICK","Pick","N/A")))</f>
        <v>Home</v>
      </c>
      <c r="S803" s="1" t="n">
        <f aca="false">IF(R803="Home",P803,IF(R803="Away",-P803,""))</f>
        <v>22</v>
      </c>
      <c r="T803" s="1" t="str">
        <f aca="false">IF(R803="Pick","No Line",IF(S803="","N/A",IF(S803+I803&gt;0,"Favorite Covered",IF(S803+I803&lt;0,"Underdog Covered","Push"))))</f>
        <v>Favorite Covered</v>
      </c>
      <c r="U803" s="1" t="str">
        <f aca="false">IF(Q803&gt;J803,"Over",IF(Q803&lt;J803,"Under","Push"))</f>
        <v>Over</v>
      </c>
    </row>
    <row r="804" customFormat="false" ht="15" hidden="false" customHeight="false" outlineLevel="0" collapsed="false">
      <c r="A804" s="1" t="s">
        <v>349</v>
      </c>
      <c r="B804" s="1" t="n">
        <v>2013</v>
      </c>
      <c r="C804" s="1" t="s">
        <v>141</v>
      </c>
      <c r="D804" s="1" t="s">
        <v>59</v>
      </c>
      <c r="E804" s="1" t="s">
        <v>93</v>
      </c>
      <c r="F804" s="1" t="n">
        <v>21</v>
      </c>
      <c r="G804" s="1" t="n">
        <v>23</v>
      </c>
      <c r="H804" s="1" t="s">
        <v>94</v>
      </c>
      <c r="I804" s="1" t="n">
        <v>-10.5</v>
      </c>
      <c r="J804" s="1" t="n">
        <v>51.5</v>
      </c>
      <c r="K804" s="1" t="s">
        <v>144</v>
      </c>
      <c r="L804" s="1" t="b">
        <f aca="false">FALSE()</f>
        <v>0</v>
      </c>
      <c r="M804" s="1" t="str">
        <f aca="false">VLOOKUP(D804,'Team Reference'!$A:$B,2,FALSE())</f>
        <v>BUF</v>
      </c>
      <c r="N804" s="1" t="str">
        <f aca="false">VLOOKUP(E804,'Team Reference'!$A:$B,2,FALSE())</f>
        <v>NE</v>
      </c>
      <c r="O804" s="1" t="str">
        <f aca="false">IF(F804&gt;G804,M804,IF(G804&gt;F804,N804,"Tie"))</f>
        <v>NE</v>
      </c>
      <c r="P804" s="1" t="n">
        <f aca="false">F804-G804</f>
        <v>-2</v>
      </c>
      <c r="Q804" s="1" t="n">
        <f aca="false">F804+G804</f>
        <v>44</v>
      </c>
      <c r="R804" s="1" t="str">
        <f aca="false">IF(H804=M804,"Home",IF(H804=N804,"Away",IF(H804="PICK","Pick","N/A")))</f>
        <v>Away</v>
      </c>
      <c r="S804" s="1" t="n">
        <f aca="false">IF(R804="Home",P804,IF(R804="Away",-P804,""))</f>
        <v>2</v>
      </c>
      <c r="T804" s="1" t="str">
        <f aca="false">IF(R804="Pick","No Line",IF(S804="","N/A",IF(S804+I804&gt;0,"Favorite Covered",IF(S804+I804&lt;0,"Underdog Covered","Push"))))</f>
        <v>Underdog Covered</v>
      </c>
      <c r="U804" s="1" t="str">
        <f aca="false">IF(Q804&gt;J804,"Over",IF(Q804&lt;J804,"Under","Push"))</f>
        <v>Under</v>
      </c>
    </row>
    <row r="805" customFormat="false" ht="15" hidden="false" customHeight="false" outlineLevel="0" collapsed="false">
      <c r="A805" s="1" t="s">
        <v>349</v>
      </c>
      <c r="B805" s="1" t="n">
        <v>2013</v>
      </c>
      <c r="C805" s="1" t="s">
        <v>141</v>
      </c>
      <c r="D805" s="1" t="s">
        <v>61</v>
      </c>
      <c r="E805" s="1" t="s">
        <v>110</v>
      </c>
      <c r="F805" s="1" t="n">
        <v>7</v>
      </c>
      <c r="G805" s="1" t="n">
        <v>12</v>
      </c>
      <c r="H805" s="1" t="s">
        <v>111</v>
      </c>
      <c r="I805" s="1" t="n">
        <v>-3.5</v>
      </c>
      <c r="J805" s="1" t="n">
        <v>45</v>
      </c>
      <c r="K805" s="1" t="s">
        <v>162</v>
      </c>
      <c r="L805" s="1" t="b">
        <f aca="false">FALSE()</f>
        <v>0</v>
      </c>
      <c r="M805" s="1" t="str">
        <f aca="false">VLOOKUP(D805,'Team Reference'!$A:$B,2,FALSE())</f>
        <v>CAR</v>
      </c>
      <c r="N805" s="1" t="str">
        <f aca="false">VLOOKUP(E805,'Team Reference'!$A:$B,2,FALSE())</f>
        <v>SEA</v>
      </c>
      <c r="O805" s="1" t="str">
        <f aca="false">IF(F805&gt;G805,M805,IF(G805&gt;F805,N805,"Tie"))</f>
        <v>SEA</v>
      </c>
      <c r="P805" s="1" t="n">
        <f aca="false">F805-G805</f>
        <v>-5</v>
      </c>
      <c r="Q805" s="1" t="n">
        <f aca="false">F805+G805</f>
        <v>19</v>
      </c>
      <c r="R805" s="1" t="str">
        <f aca="false">IF(H805=M805,"Home",IF(H805=N805,"Away",IF(H805="PICK","Pick","N/A")))</f>
        <v>Away</v>
      </c>
      <c r="S805" s="1" t="n">
        <f aca="false">IF(R805="Home",P805,IF(R805="Away",-P805,""))</f>
        <v>5</v>
      </c>
      <c r="T805" s="1" t="str">
        <f aca="false">IF(R805="Pick","No Line",IF(S805="","N/A",IF(S805+I805&gt;0,"Favorite Covered",IF(S805+I805&lt;0,"Underdog Covered","Push"))))</f>
        <v>Favorite Covered</v>
      </c>
      <c r="U805" s="1" t="str">
        <f aca="false">IF(Q805&gt;J805,"Over",IF(Q805&lt;J805,"Under","Push"))</f>
        <v>Under</v>
      </c>
    </row>
    <row r="806" customFormat="false" ht="15" hidden="false" customHeight="false" outlineLevel="0" collapsed="false">
      <c r="A806" s="1" t="s">
        <v>349</v>
      </c>
      <c r="B806" s="1" t="n">
        <v>2013</v>
      </c>
      <c r="C806" s="1" t="s">
        <v>141</v>
      </c>
      <c r="D806" s="1" t="s">
        <v>63</v>
      </c>
      <c r="E806" s="1" t="s">
        <v>65</v>
      </c>
      <c r="F806" s="1" t="n">
        <v>24</v>
      </c>
      <c r="G806" s="1" t="n">
        <v>21</v>
      </c>
      <c r="H806" s="1" t="s">
        <v>64</v>
      </c>
      <c r="I806" s="1" t="n">
        <v>-3</v>
      </c>
      <c r="J806" s="1" t="n">
        <v>42</v>
      </c>
      <c r="K806" s="1" t="s">
        <v>145</v>
      </c>
      <c r="L806" s="1" t="b">
        <f aca="false">FALSE()</f>
        <v>0</v>
      </c>
      <c r="M806" s="1" t="str">
        <f aca="false">VLOOKUP(D806,'Team Reference'!$A:$B,2,FALSE())</f>
        <v>CHI</v>
      </c>
      <c r="N806" s="1" t="str">
        <f aca="false">VLOOKUP(E806,'Team Reference'!$A:$B,2,FALSE())</f>
        <v>CIN</v>
      </c>
      <c r="O806" s="1" t="str">
        <f aca="false">IF(F806&gt;G806,M806,IF(G806&gt;F806,N806,"Tie"))</f>
        <v>CHI</v>
      </c>
      <c r="P806" s="1" t="n">
        <f aca="false">F806-G806</f>
        <v>3</v>
      </c>
      <c r="Q806" s="1" t="n">
        <f aca="false">F806+G806</f>
        <v>45</v>
      </c>
      <c r="R806" s="1" t="str">
        <f aca="false">IF(H806=M806,"Home",IF(H806=N806,"Away",IF(H806="PICK","Pick","N/A")))</f>
        <v>Home</v>
      </c>
      <c r="S806" s="1" t="n">
        <f aca="false">IF(R806="Home",P806,IF(R806="Away",-P806,""))</f>
        <v>3</v>
      </c>
      <c r="T806" s="1" t="str">
        <f aca="false">IF(R806="Pick","No Line",IF(S806="","N/A",IF(S806+I806&gt;0,"Favorite Covered",IF(S806+I806&lt;0,"Underdog Covered","Push"))))</f>
        <v>Push</v>
      </c>
      <c r="U806" s="1" t="str">
        <f aca="false">IF(Q806&gt;J806,"Over",IF(Q806&lt;J806,"Under","Push"))</f>
        <v>Over</v>
      </c>
    </row>
    <row r="807" customFormat="false" ht="15" hidden="false" customHeight="false" outlineLevel="0" collapsed="false">
      <c r="A807" s="1" t="s">
        <v>349</v>
      </c>
      <c r="B807" s="1" t="n">
        <v>2013</v>
      </c>
      <c r="C807" s="1" t="s">
        <v>141</v>
      </c>
      <c r="D807" s="1" t="s">
        <v>67</v>
      </c>
      <c r="E807" s="1" t="s">
        <v>89</v>
      </c>
      <c r="F807" s="1" t="n">
        <v>10</v>
      </c>
      <c r="G807" s="1" t="n">
        <v>23</v>
      </c>
      <c r="H807" s="1" t="s">
        <v>68</v>
      </c>
      <c r="I807" s="1" t="n">
        <v>-2.5</v>
      </c>
      <c r="J807" s="1" t="n">
        <v>40.5</v>
      </c>
      <c r="K807" s="1" t="s">
        <v>164</v>
      </c>
      <c r="L807" s="1" t="b">
        <f aca="false">FALSE()</f>
        <v>0</v>
      </c>
      <c r="M807" s="1" t="str">
        <f aca="false">VLOOKUP(D807,'Team Reference'!$A:$B,2,FALSE())</f>
        <v>CLE</v>
      </c>
      <c r="N807" s="1" t="str">
        <f aca="false">VLOOKUP(E807,'Team Reference'!$A:$B,2,FALSE())</f>
        <v>MIA</v>
      </c>
      <c r="O807" s="1" t="str">
        <f aca="false">IF(F807&gt;G807,M807,IF(G807&gt;F807,N807,"Tie"))</f>
        <v>MIA</v>
      </c>
      <c r="P807" s="1" t="n">
        <f aca="false">F807-G807</f>
        <v>-13</v>
      </c>
      <c r="Q807" s="1" t="n">
        <f aca="false">F807+G807</f>
        <v>33</v>
      </c>
      <c r="R807" s="1" t="str">
        <f aca="false">IF(H807=M807,"Home",IF(H807=N807,"Away",IF(H807="PICK","Pick","N/A")))</f>
        <v>Home</v>
      </c>
      <c r="S807" s="1" t="n">
        <f aca="false">IF(R807="Home",P807,IF(R807="Away",-P807,""))</f>
        <v>-13</v>
      </c>
      <c r="T807" s="1" t="str">
        <f aca="false">IF(R807="Pick","No Line",IF(S807="","N/A",IF(S807+I807&gt;0,"Favorite Covered",IF(S807+I807&lt;0,"Underdog Covered","Push"))))</f>
        <v>Underdog Covered</v>
      </c>
      <c r="U807" s="1" t="str">
        <f aca="false">IF(Q807&gt;J807,"Over",IF(Q807&lt;J807,"Under","Push"))</f>
        <v>Under</v>
      </c>
    </row>
    <row r="808" customFormat="false" ht="15" hidden="false" customHeight="false" outlineLevel="0" collapsed="false">
      <c r="A808" s="1" t="s">
        <v>349</v>
      </c>
      <c r="B808" s="1" t="n">
        <v>2013</v>
      </c>
      <c r="C808" s="1" t="s">
        <v>141</v>
      </c>
      <c r="D808" s="1" t="s">
        <v>69</v>
      </c>
      <c r="E808" s="1" t="s">
        <v>97</v>
      </c>
      <c r="F808" s="1" t="n">
        <v>36</v>
      </c>
      <c r="G808" s="1" t="n">
        <v>31</v>
      </c>
      <c r="H808" s="1" t="s">
        <v>70</v>
      </c>
      <c r="I808" s="1" t="n">
        <v>-3.5</v>
      </c>
      <c r="J808" s="1" t="n">
        <v>50</v>
      </c>
      <c r="K808" s="1" t="s">
        <v>165</v>
      </c>
      <c r="L808" s="1" t="b">
        <f aca="false">FALSE()</f>
        <v>0</v>
      </c>
      <c r="M808" s="1" t="str">
        <f aca="false">VLOOKUP(D808,'Team Reference'!$A:$B,2,FALSE())</f>
        <v>DAL</v>
      </c>
      <c r="N808" s="1" t="str">
        <f aca="false">VLOOKUP(E808,'Team Reference'!$A:$B,2,FALSE())</f>
        <v>NYG</v>
      </c>
      <c r="O808" s="1" t="str">
        <f aca="false">IF(F808&gt;G808,M808,IF(G808&gt;F808,N808,"Tie"))</f>
        <v>DAL</v>
      </c>
      <c r="P808" s="1" t="n">
        <f aca="false">F808-G808</f>
        <v>5</v>
      </c>
      <c r="Q808" s="1" t="n">
        <f aca="false">F808+G808</f>
        <v>67</v>
      </c>
      <c r="R808" s="1" t="str">
        <f aca="false">IF(H808=M808,"Home",IF(H808=N808,"Away",IF(H808="PICK","Pick","N/A")))</f>
        <v>Home</v>
      </c>
      <c r="S808" s="1" t="n">
        <f aca="false">IF(R808="Home",P808,IF(R808="Away",-P808,""))</f>
        <v>5</v>
      </c>
      <c r="T808" s="1" t="str">
        <f aca="false">IF(R808="Pick","No Line",IF(S808="","N/A",IF(S808+I808&gt;0,"Favorite Covered",IF(S808+I808&lt;0,"Underdog Covered","Push"))))</f>
        <v>Favorite Covered</v>
      </c>
      <c r="U808" s="1" t="str">
        <f aca="false">IF(Q808&gt;J808,"Over",IF(Q808&lt;J808,"Under","Push"))</f>
        <v>Over</v>
      </c>
    </row>
    <row r="809" customFormat="false" ht="15" hidden="false" customHeight="false" outlineLevel="0" collapsed="false">
      <c r="A809" s="1" t="s">
        <v>349</v>
      </c>
      <c r="B809" s="1" t="n">
        <v>2013</v>
      </c>
      <c r="C809" s="1" t="s">
        <v>141</v>
      </c>
      <c r="D809" s="1" t="s">
        <v>73</v>
      </c>
      <c r="E809" s="1" t="s">
        <v>91</v>
      </c>
      <c r="F809" s="1" t="n">
        <v>34</v>
      </c>
      <c r="G809" s="1" t="n">
        <v>24</v>
      </c>
      <c r="H809" s="1" t="s">
        <v>74</v>
      </c>
      <c r="I809" s="1" t="n">
        <v>-4.5</v>
      </c>
      <c r="J809" s="1" t="n">
        <v>47.5</v>
      </c>
      <c r="K809" s="1" t="s">
        <v>167</v>
      </c>
      <c r="L809" s="1" t="b">
        <f aca="false">FALSE()</f>
        <v>0</v>
      </c>
      <c r="M809" s="1" t="str">
        <f aca="false">VLOOKUP(D809,'Team Reference'!$A:$B,2,FALSE())</f>
        <v>DET</v>
      </c>
      <c r="N809" s="1" t="str">
        <f aca="false">VLOOKUP(E809,'Team Reference'!$A:$B,2,FALSE())</f>
        <v>MIN</v>
      </c>
      <c r="O809" s="1" t="str">
        <f aca="false">IF(F809&gt;G809,M809,IF(G809&gt;F809,N809,"Tie"))</f>
        <v>DET</v>
      </c>
      <c r="P809" s="1" t="n">
        <f aca="false">F809-G809</f>
        <v>10</v>
      </c>
      <c r="Q809" s="1" t="n">
        <f aca="false">F809+G809</f>
        <v>58</v>
      </c>
      <c r="R809" s="1" t="str">
        <f aca="false">IF(H809=M809,"Home",IF(H809=N809,"Away",IF(H809="PICK","Pick","N/A")))</f>
        <v>Home</v>
      </c>
      <c r="S809" s="1" t="n">
        <f aca="false">IF(R809="Home",P809,IF(R809="Away",-P809,""))</f>
        <v>10</v>
      </c>
      <c r="T809" s="1" t="str">
        <f aca="false">IF(R809="Pick","No Line",IF(S809="","N/A",IF(S809+I809&gt;0,"Favorite Covered",IF(S809+I809&lt;0,"Underdog Covered","Push"))))</f>
        <v>Favorite Covered</v>
      </c>
      <c r="U809" s="1" t="str">
        <f aca="false">IF(Q809&gt;J809,"Over",IF(Q809&lt;J809,"Under","Push"))</f>
        <v>Over</v>
      </c>
    </row>
    <row r="810" customFormat="false" ht="15" hidden="false" customHeight="false" outlineLevel="0" collapsed="false">
      <c r="A810" s="1" t="s">
        <v>349</v>
      </c>
      <c r="B810" s="1" t="n">
        <v>2013</v>
      </c>
      <c r="C810" s="1" t="s">
        <v>141</v>
      </c>
      <c r="D810" s="1" t="s">
        <v>79</v>
      </c>
      <c r="E810" s="1" t="s">
        <v>101</v>
      </c>
      <c r="F810" s="1" t="n">
        <v>21</v>
      </c>
      <c r="G810" s="1" t="n">
        <v>17</v>
      </c>
      <c r="H810" s="1" t="s">
        <v>80</v>
      </c>
      <c r="I810" s="1" t="n">
        <v>-11.5</v>
      </c>
      <c r="J810" s="1" t="n">
        <v>45.5</v>
      </c>
      <c r="K810" s="1" t="s">
        <v>169</v>
      </c>
      <c r="L810" s="1" t="b">
        <f aca="false">FALSE()</f>
        <v>0</v>
      </c>
      <c r="M810" s="1" t="str">
        <f aca="false">VLOOKUP(D810,'Team Reference'!$A:$B,2,FALSE())</f>
        <v>IND</v>
      </c>
      <c r="N810" s="1" t="str">
        <f aca="false">VLOOKUP(E810,'Team Reference'!$A:$B,2,FALSE())</f>
        <v>OAK</v>
      </c>
      <c r="O810" s="1" t="str">
        <f aca="false">IF(F810&gt;G810,M810,IF(G810&gt;F810,N810,"Tie"))</f>
        <v>IND</v>
      </c>
      <c r="P810" s="1" t="n">
        <f aca="false">F810-G810</f>
        <v>4</v>
      </c>
      <c r="Q810" s="1" t="n">
        <f aca="false">F810+G810</f>
        <v>38</v>
      </c>
      <c r="R810" s="1" t="str">
        <f aca="false">IF(H810=M810,"Home",IF(H810=N810,"Away",IF(H810="PICK","Pick","N/A")))</f>
        <v>Home</v>
      </c>
      <c r="S810" s="1" t="n">
        <f aca="false">IF(R810="Home",P810,IF(R810="Away",-P810,""))</f>
        <v>4</v>
      </c>
      <c r="T810" s="1" t="str">
        <f aca="false">IF(R810="Pick","No Line",IF(S810="","N/A",IF(S810+I810&gt;0,"Favorite Covered",IF(S810+I810&lt;0,"Underdog Covered","Push"))))</f>
        <v>Underdog Covered</v>
      </c>
      <c r="U810" s="1" t="str">
        <f aca="false">IF(Q810&gt;J810,"Over",IF(Q810&lt;J810,"Under","Push"))</f>
        <v>Under</v>
      </c>
    </row>
    <row r="811" customFormat="false" ht="15" hidden="false" customHeight="false" outlineLevel="0" collapsed="false">
      <c r="A811" s="1" t="s">
        <v>349</v>
      </c>
      <c r="B811" s="1" t="n">
        <v>2013</v>
      </c>
      <c r="C811" s="1" t="s">
        <v>141</v>
      </c>
      <c r="D811" s="1" t="s">
        <v>81</v>
      </c>
      <c r="E811" s="1" t="s">
        <v>83</v>
      </c>
      <c r="F811" s="1" t="n">
        <v>2</v>
      </c>
      <c r="G811" s="1" t="n">
        <v>28</v>
      </c>
      <c r="H811" s="1" t="s">
        <v>84</v>
      </c>
      <c r="I811" s="1" t="n">
        <v>-4.5</v>
      </c>
      <c r="J811" s="1" t="n">
        <v>43</v>
      </c>
      <c r="K811" s="1" t="s">
        <v>147</v>
      </c>
      <c r="L811" s="1" t="b">
        <f aca="false">FALSE()</f>
        <v>0</v>
      </c>
      <c r="M811" s="1" t="str">
        <f aca="false">VLOOKUP(D811,'Team Reference'!$A:$B,2,FALSE())</f>
        <v>JAX</v>
      </c>
      <c r="N811" s="1" t="str">
        <f aca="false">VLOOKUP(E811,'Team Reference'!$A:$B,2,FALSE())</f>
        <v>KC</v>
      </c>
      <c r="O811" s="1" t="str">
        <f aca="false">IF(F811&gt;G811,M811,IF(G811&gt;F811,N811,"Tie"))</f>
        <v>KC</v>
      </c>
      <c r="P811" s="1" t="n">
        <f aca="false">F811-G811</f>
        <v>-26</v>
      </c>
      <c r="Q811" s="1" t="n">
        <f aca="false">F811+G811</f>
        <v>30</v>
      </c>
      <c r="R811" s="1" t="str">
        <f aca="false">IF(H811=M811,"Home",IF(H811=N811,"Away",IF(H811="PICK","Pick","N/A")))</f>
        <v>Away</v>
      </c>
      <c r="S811" s="1" t="n">
        <f aca="false">IF(R811="Home",P811,IF(R811="Away",-P811,""))</f>
        <v>26</v>
      </c>
      <c r="T811" s="1" t="str">
        <f aca="false">IF(R811="Pick","No Line",IF(S811="","N/A",IF(S811+I811&gt;0,"Favorite Covered",IF(S811+I811&lt;0,"Underdog Covered","Push"))))</f>
        <v>Favorite Covered</v>
      </c>
      <c r="U811" s="1" t="str">
        <f aca="false">IF(Q811&gt;J811,"Over",IF(Q811&lt;J811,"Under","Push"))</f>
        <v>Under</v>
      </c>
    </row>
    <row r="812" customFormat="false" ht="15" hidden="false" customHeight="false" outlineLevel="0" collapsed="false">
      <c r="A812" s="1" t="s">
        <v>349</v>
      </c>
      <c r="B812" s="1" t="n">
        <v>2013</v>
      </c>
      <c r="C812" s="1" t="s">
        <v>141</v>
      </c>
      <c r="D812" s="1" t="s">
        <v>95</v>
      </c>
      <c r="E812" s="1" t="s">
        <v>55</v>
      </c>
      <c r="F812" s="1" t="n">
        <v>23</v>
      </c>
      <c r="G812" s="1" t="n">
        <v>17</v>
      </c>
      <c r="H812" s="1" t="s">
        <v>96</v>
      </c>
      <c r="I812" s="1" t="n">
        <v>-3.5</v>
      </c>
      <c r="J812" s="1" t="n">
        <v>56</v>
      </c>
      <c r="K812" s="1" t="s">
        <v>142</v>
      </c>
      <c r="L812" s="1" t="b">
        <f aca="false">FALSE()</f>
        <v>0</v>
      </c>
      <c r="M812" s="1" t="str">
        <f aca="false">VLOOKUP(D812,'Team Reference'!$A:$B,2,FALSE())</f>
        <v>NO</v>
      </c>
      <c r="N812" s="1" t="str">
        <f aca="false">VLOOKUP(E812,'Team Reference'!$A:$B,2,FALSE())</f>
        <v>ATL</v>
      </c>
      <c r="O812" s="1" t="str">
        <f aca="false">IF(F812&gt;G812,M812,IF(G812&gt;F812,N812,"Tie"))</f>
        <v>NO</v>
      </c>
      <c r="P812" s="1" t="n">
        <f aca="false">F812-G812</f>
        <v>6</v>
      </c>
      <c r="Q812" s="1" t="n">
        <f aca="false">F812+G812</f>
        <v>40</v>
      </c>
      <c r="R812" s="1" t="str">
        <f aca="false">IF(H812=M812,"Home",IF(H812=N812,"Away",IF(H812="PICK","Pick","N/A")))</f>
        <v>Home</v>
      </c>
      <c r="S812" s="1" t="n">
        <f aca="false">IF(R812="Home",P812,IF(R812="Away",-P812,""))</f>
        <v>6</v>
      </c>
      <c r="T812" s="1" t="str">
        <f aca="false">IF(R812="Pick","No Line",IF(S812="","N/A",IF(S812+I812&gt;0,"Favorite Covered",IF(S812+I812&lt;0,"Underdog Covered","Push"))))</f>
        <v>Favorite Covered</v>
      </c>
      <c r="U812" s="1" t="str">
        <f aca="false">IF(Q812&gt;J812,"Over",IF(Q812&lt;J812,"Under","Push"))</f>
        <v>Under</v>
      </c>
    </row>
    <row r="813" customFormat="false" ht="15" hidden="false" customHeight="false" outlineLevel="0" collapsed="false">
      <c r="A813" s="1" t="s">
        <v>349</v>
      </c>
      <c r="B813" s="1" t="n">
        <v>2013</v>
      </c>
      <c r="C813" s="1" t="s">
        <v>141</v>
      </c>
      <c r="D813" s="1" t="s">
        <v>99</v>
      </c>
      <c r="E813" s="1" t="s">
        <v>113</v>
      </c>
      <c r="F813" s="1" t="n">
        <v>18</v>
      </c>
      <c r="G813" s="1" t="n">
        <v>17</v>
      </c>
      <c r="H813" s="1" t="s">
        <v>114</v>
      </c>
      <c r="I813" s="1" t="n">
        <v>-6</v>
      </c>
      <c r="J813" s="1" t="n">
        <v>39</v>
      </c>
      <c r="K813" s="1" t="s">
        <v>149</v>
      </c>
      <c r="L813" s="1" t="b">
        <f aca="false">FALSE()</f>
        <v>0</v>
      </c>
      <c r="M813" s="1" t="str">
        <f aca="false">VLOOKUP(D813,'Team Reference'!$A:$B,2,FALSE())</f>
        <v>NYJ</v>
      </c>
      <c r="N813" s="1" t="str">
        <f aca="false">VLOOKUP(E813,'Team Reference'!$A:$B,2,FALSE())</f>
        <v>TB</v>
      </c>
      <c r="O813" s="1" t="str">
        <f aca="false">IF(F813&gt;G813,M813,IF(G813&gt;F813,N813,"Tie"))</f>
        <v>NYJ</v>
      </c>
      <c r="P813" s="1" t="n">
        <f aca="false">F813-G813</f>
        <v>1</v>
      </c>
      <c r="Q813" s="1" t="n">
        <f aca="false">F813+G813</f>
        <v>35</v>
      </c>
      <c r="R813" s="1" t="str">
        <f aca="false">IF(H813=M813,"Home",IF(H813=N813,"Away",IF(H813="PICK","Pick","N/A")))</f>
        <v>Away</v>
      </c>
      <c r="S813" s="1" t="n">
        <f aca="false">IF(R813="Home",P813,IF(R813="Away",-P813,""))</f>
        <v>-1</v>
      </c>
      <c r="T813" s="1" t="str">
        <f aca="false">IF(R813="Pick","No Line",IF(S813="","N/A",IF(S813+I813&gt;0,"Favorite Covered",IF(S813+I813&lt;0,"Underdog Covered","Push"))))</f>
        <v>Underdog Covered</v>
      </c>
      <c r="U813" s="1" t="str">
        <f aca="false">IF(Q813&gt;J813,"Over",IF(Q813&lt;J813,"Under","Push"))</f>
        <v>Under</v>
      </c>
    </row>
    <row r="814" customFormat="false" ht="15" hidden="false" customHeight="false" outlineLevel="0" collapsed="false">
      <c r="A814" s="1" t="s">
        <v>349</v>
      </c>
      <c r="B814" s="1" t="n">
        <v>2013</v>
      </c>
      <c r="C814" s="1" t="s">
        <v>141</v>
      </c>
      <c r="D814" s="1" t="s">
        <v>105</v>
      </c>
      <c r="E814" s="1" t="s">
        <v>115</v>
      </c>
      <c r="F814" s="1" t="n">
        <v>9</v>
      </c>
      <c r="G814" s="1" t="n">
        <v>16</v>
      </c>
      <c r="H814" s="1" t="s">
        <v>106</v>
      </c>
      <c r="I814" s="1" t="n">
        <v>-6</v>
      </c>
      <c r="J814" s="1" t="n">
        <v>42</v>
      </c>
      <c r="K814" s="1" t="s">
        <v>151</v>
      </c>
      <c r="L814" s="1" t="b">
        <f aca="false">FALSE()</f>
        <v>0</v>
      </c>
      <c r="M814" s="1" t="str">
        <f aca="false">VLOOKUP(D814,'Team Reference'!$A:$B,2,FALSE())</f>
        <v>PIT</v>
      </c>
      <c r="N814" s="1" t="str">
        <f aca="false">VLOOKUP(E814,'Team Reference'!$A:$B,2,FALSE())</f>
        <v>TEN</v>
      </c>
      <c r="O814" s="1" t="str">
        <f aca="false">IF(F814&gt;G814,M814,IF(G814&gt;F814,N814,"Tie"))</f>
        <v>TEN</v>
      </c>
      <c r="P814" s="1" t="n">
        <f aca="false">F814-G814</f>
        <v>-7</v>
      </c>
      <c r="Q814" s="1" t="n">
        <f aca="false">F814+G814</f>
        <v>25</v>
      </c>
      <c r="R814" s="1" t="str">
        <f aca="false">IF(H814=M814,"Home",IF(H814=N814,"Away",IF(H814="PICK","Pick","N/A")))</f>
        <v>Home</v>
      </c>
      <c r="S814" s="1" t="n">
        <f aca="false">IF(R814="Home",P814,IF(R814="Away",-P814,""))</f>
        <v>-7</v>
      </c>
      <c r="T814" s="1" t="str">
        <f aca="false">IF(R814="Pick","No Line",IF(S814="","N/A",IF(S814+I814&gt;0,"Favorite Covered",IF(S814+I814&lt;0,"Underdog Covered","Push"))))</f>
        <v>Underdog Covered</v>
      </c>
      <c r="U814" s="1" t="str">
        <f aca="false">IF(Q814&gt;J814,"Over",IF(Q814&lt;J814,"Under","Push"))</f>
        <v>Under</v>
      </c>
    </row>
    <row r="815" customFormat="false" ht="15" hidden="false" customHeight="false" outlineLevel="0" collapsed="false">
      <c r="A815" s="1" t="s">
        <v>349</v>
      </c>
      <c r="B815" s="1" t="n">
        <v>2013</v>
      </c>
      <c r="C815" s="1" t="s">
        <v>141</v>
      </c>
      <c r="D815" s="1" t="s">
        <v>108</v>
      </c>
      <c r="E815" s="1" t="s">
        <v>75</v>
      </c>
      <c r="F815" s="1" t="n">
        <v>34</v>
      </c>
      <c r="G815" s="1" t="n">
        <v>28</v>
      </c>
      <c r="H815" s="1" t="s">
        <v>109</v>
      </c>
      <c r="I815" s="1" t="n">
        <v>-5</v>
      </c>
      <c r="J815" s="1" t="n">
        <v>48.5</v>
      </c>
      <c r="K815" s="1" t="s">
        <v>174</v>
      </c>
      <c r="L815" s="1" t="b">
        <f aca="false">FALSE()</f>
        <v>0</v>
      </c>
      <c r="M815" s="1" t="str">
        <f aca="false">VLOOKUP(D815,'Team Reference'!$A:$B,2,FALSE())</f>
        <v>SF</v>
      </c>
      <c r="N815" s="1" t="str">
        <f aca="false">VLOOKUP(E815,'Team Reference'!$A:$B,2,FALSE())</f>
        <v>GB</v>
      </c>
      <c r="O815" s="1" t="str">
        <f aca="false">IF(F815&gt;G815,M815,IF(G815&gt;F815,N815,"Tie"))</f>
        <v>SF</v>
      </c>
      <c r="P815" s="1" t="n">
        <f aca="false">F815-G815</f>
        <v>6</v>
      </c>
      <c r="Q815" s="1" t="n">
        <f aca="false">F815+G815</f>
        <v>62</v>
      </c>
      <c r="R815" s="1" t="str">
        <f aca="false">IF(H815=M815,"Home",IF(H815=N815,"Away",IF(H815="PICK","Pick","N/A")))</f>
        <v>Home</v>
      </c>
      <c r="S815" s="1" t="n">
        <f aca="false">IF(R815="Home",P815,IF(R815="Away",-P815,""))</f>
        <v>6</v>
      </c>
      <c r="T815" s="1" t="str">
        <f aca="false">IF(R815="Pick","No Line",IF(S815="","N/A",IF(S815+I815&gt;0,"Favorite Covered",IF(S815+I815&lt;0,"Underdog Covered","Push"))))</f>
        <v>Favorite Covered</v>
      </c>
      <c r="U815" s="1" t="str">
        <f aca="false">IF(Q815&gt;J815,"Over",IF(Q815&lt;J815,"Under","Push"))</f>
        <v>Over</v>
      </c>
    </row>
    <row r="816" customFormat="false" ht="15" hidden="false" customHeight="false" outlineLevel="0" collapsed="false">
      <c r="A816" s="1" t="s">
        <v>349</v>
      </c>
      <c r="B816" s="1" t="n">
        <v>2013</v>
      </c>
      <c r="C816" s="1" t="s">
        <v>141</v>
      </c>
      <c r="D816" s="1" t="s">
        <v>112</v>
      </c>
      <c r="E816" s="1" t="s">
        <v>53</v>
      </c>
      <c r="F816" s="1" t="n">
        <v>27</v>
      </c>
      <c r="G816" s="1" t="n">
        <v>24</v>
      </c>
      <c r="H816" s="1" t="s">
        <v>88</v>
      </c>
      <c r="I816" s="1" t="n">
        <v>-3.5</v>
      </c>
      <c r="J816" s="1" t="n">
        <v>41.5</v>
      </c>
      <c r="K816" s="1" t="s">
        <v>153</v>
      </c>
      <c r="L816" s="1" t="b">
        <f aca="false">FALSE()</f>
        <v>0</v>
      </c>
      <c r="M816" s="1" t="str">
        <f aca="false">VLOOKUP(D816,'Team Reference'!$A:$B,2,FALSE())</f>
        <v>LAR</v>
      </c>
      <c r="N816" s="1" t="str">
        <f aca="false">VLOOKUP(E816,'Team Reference'!$A:$B,2,FALSE())</f>
        <v>ARI</v>
      </c>
      <c r="O816" s="1" t="str">
        <f aca="false">IF(F816&gt;G816,M816,IF(G816&gt;F816,N816,"Tie"))</f>
        <v>LAR</v>
      </c>
      <c r="P816" s="1" t="n">
        <f aca="false">F816-G816</f>
        <v>3</v>
      </c>
      <c r="Q816" s="1" t="n">
        <f aca="false">F816+G816</f>
        <v>51</v>
      </c>
      <c r="R816" s="1" t="str">
        <f aca="false">IF(H816=M816,"Home",IF(H816=N816,"Away",IF(H816="PICK","Pick","N/A")))</f>
        <v>Home</v>
      </c>
      <c r="S816" s="1" t="n">
        <f aca="false">IF(R816="Home",P816,IF(R816="Away",-P816,""))</f>
        <v>3</v>
      </c>
      <c r="T816" s="1" t="str">
        <f aca="false">IF(R816="Pick","No Line",IF(S816="","N/A",IF(S816+I816&gt;0,"Favorite Covered",IF(S816+I816&lt;0,"Underdog Covered","Push"))))</f>
        <v>Underdog Covered</v>
      </c>
      <c r="U816" s="1" t="str">
        <f aca="false">IF(Q816&gt;J816,"Over",IF(Q816&lt;J816,"Under","Push"))</f>
        <v>Over</v>
      </c>
    </row>
    <row r="817" customFormat="false" ht="15" hidden="false" customHeight="false" outlineLevel="0" collapsed="false">
      <c r="A817" s="1" t="s">
        <v>350</v>
      </c>
      <c r="B817" s="1" t="n">
        <v>2013</v>
      </c>
      <c r="C817" s="1" t="s">
        <v>141</v>
      </c>
      <c r="D817" s="1" t="s">
        <v>107</v>
      </c>
      <c r="E817" s="1" t="s">
        <v>77</v>
      </c>
      <c r="F817" s="1" t="n">
        <v>28</v>
      </c>
      <c r="G817" s="1" t="n">
        <v>31</v>
      </c>
      <c r="H817" s="1" t="s">
        <v>78</v>
      </c>
      <c r="I817" s="1" t="n">
        <v>-6.5</v>
      </c>
      <c r="J817" s="1" t="n">
        <v>45.5</v>
      </c>
      <c r="K817" s="1" t="s">
        <v>172</v>
      </c>
      <c r="L817" s="1" t="b">
        <f aca="false">FALSE()</f>
        <v>0</v>
      </c>
      <c r="M817" s="1" t="str">
        <f aca="false">VLOOKUP(D817,'Team Reference'!$A:$B,2,FALSE())</f>
        <v>LAC</v>
      </c>
      <c r="N817" s="1" t="str">
        <f aca="false">VLOOKUP(E817,'Team Reference'!$A:$B,2,FALSE())</f>
        <v>HOU</v>
      </c>
      <c r="O817" s="1" t="str">
        <f aca="false">IF(F817&gt;G817,M817,IF(G817&gt;F817,N817,"Tie"))</f>
        <v>HOU</v>
      </c>
      <c r="P817" s="1" t="n">
        <f aca="false">F817-G817</f>
        <v>-3</v>
      </c>
      <c r="Q817" s="1" t="n">
        <f aca="false">F817+G817</f>
        <v>59</v>
      </c>
      <c r="R817" s="1" t="str">
        <f aca="false">IF(H817=M817,"Home",IF(H817=N817,"Away",IF(H817="PICK","Pick","N/A")))</f>
        <v>Away</v>
      </c>
      <c r="S817" s="1" t="n">
        <f aca="false">IF(R817="Home",P817,IF(R817="Away",-P817,""))</f>
        <v>3</v>
      </c>
      <c r="T817" s="1" t="str">
        <f aca="false">IF(R817="Pick","No Line",IF(S817="","N/A",IF(S817+I817&gt;0,"Favorite Covered",IF(S817+I817&lt;0,"Underdog Covered","Push"))))</f>
        <v>Underdog Covered</v>
      </c>
      <c r="U817" s="1" t="str">
        <f aca="false">IF(Q817&gt;J817,"Over",IF(Q817&lt;J817,"Under","Push"))</f>
        <v>Over</v>
      </c>
    </row>
    <row r="818" customFormat="false" ht="15" hidden="false" customHeight="false" outlineLevel="0" collapsed="false">
      <c r="A818" s="1" t="s">
        <v>350</v>
      </c>
      <c r="B818" s="1" t="n">
        <v>2013</v>
      </c>
      <c r="C818" s="1" t="s">
        <v>141</v>
      </c>
      <c r="D818" s="1" t="s">
        <v>117</v>
      </c>
      <c r="E818" s="1" t="s">
        <v>103</v>
      </c>
      <c r="F818" s="1" t="n">
        <v>27</v>
      </c>
      <c r="G818" s="1" t="n">
        <v>33</v>
      </c>
      <c r="H818" s="1" t="s">
        <v>118</v>
      </c>
      <c r="I818" s="1" t="n">
        <v>-4.5</v>
      </c>
      <c r="J818" s="1" t="n">
        <v>53.5</v>
      </c>
      <c r="K818" s="1" t="s">
        <v>156</v>
      </c>
      <c r="L818" s="1" t="b">
        <f aca="false">FALSE()</f>
        <v>0</v>
      </c>
      <c r="M818" s="1" t="str">
        <f aca="false">VLOOKUP(D818,'Team Reference'!$A:$B,2,FALSE())</f>
        <v>WAS</v>
      </c>
      <c r="N818" s="1" t="str">
        <f aca="false">VLOOKUP(E818,'Team Reference'!$A:$B,2,FALSE())</f>
        <v>PHI</v>
      </c>
      <c r="O818" s="1" t="str">
        <f aca="false">IF(F818&gt;G818,M818,IF(G818&gt;F818,N818,"Tie"))</f>
        <v>PHI</v>
      </c>
      <c r="P818" s="1" t="n">
        <f aca="false">F818-G818</f>
        <v>-6</v>
      </c>
      <c r="Q818" s="1" t="n">
        <f aca="false">F818+G818</f>
        <v>60</v>
      </c>
      <c r="R818" s="1" t="str">
        <f aca="false">IF(H818=M818,"Home",IF(H818=N818,"Away",IF(H818="PICK","Pick","N/A")))</f>
        <v>Home</v>
      </c>
      <c r="S818" s="1" t="n">
        <f aca="false">IF(R818="Home",P818,IF(R818="Away",-P818,""))</f>
        <v>-6</v>
      </c>
      <c r="T818" s="1" t="str">
        <f aca="false">IF(R818="Pick","No Line",IF(S818="","N/A",IF(S818+I818&gt;0,"Favorite Covered",IF(S818+I818&lt;0,"Underdog Covered","Push"))))</f>
        <v>Underdog Covered</v>
      </c>
      <c r="U818" s="1" t="str">
        <f aca="false">IF(Q818&gt;J818,"Over",IF(Q818&lt;J818,"Under","Push"))</f>
        <v>Over</v>
      </c>
    </row>
    <row r="819" customFormat="false" ht="15" hidden="false" customHeight="false" outlineLevel="0" collapsed="false">
      <c r="A819" s="1" t="s">
        <v>351</v>
      </c>
      <c r="B819" s="1" t="n">
        <v>2013</v>
      </c>
      <c r="C819" s="1" t="s">
        <v>160</v>
      </c>
      <c r="D819" s="1" t="s">
        <v>93</v>
      </c>
      <c r="E819" s="1" t="s">
        <v>99</v>
      </c>
      <c r="F819" s="1" t="n">
        <v>13</v>
      </c>
      <c r="G819" s="1" t="n">
        <v>10</v>
      </c>
      <c r="H819" s="1" t="s">
        <v>94</v>
      </c>
      <c r="I819" s="1" t="n">
        <v>-11.5</v>
      </c>
      <c r="J819" s="1" t="n">
        <v>43.5</v>
      </c>
      <c r="K819" s="1" t="s">
        <v>148</v>
      </c>
      <c r="L819" s="1" t="b">
        <f aca="false">FALSE()</f>
        <v>0</v>
      </c>
      <c r="M819" s="1" t="str">
        <f aca="false">VLOOKUP(D819,'Team Reference'!$A:$B,2,FALSE())</f>
        <v>NE</v>
      </c>
      <c r="N819" s="1" t="str">
        <f aca="false">VLOOKUP(E819,'Team Reference'!$A:$B,2,FALSE())</f>
        <v>NYJ</v>
      </c>
      <c r="O819" s="1" t="str">
        <f aca="false">IF(F819&gt;G819,M819,IF(G819&gt;F819,N819,"Tie"))</f>
        <v>NE</v>
      </c>
      <c r="P819" s="1" t="n">
        <f aca="false">F819-G819</f>
        <v>3</v>
      </c>
      <c r="Q819" s="1" t="n">
        <f aca="false">F819+G819</f>
        <v>23</v>
      </c>
      <c r="R819" s="1" t="str">
        <f aca="false">IF(H819=M819,"Home",IF(H819=N819,"Away",IF(H819="PICK","Pick","N/A")))</f>
        <v>Home</v>
      </c>
      <c r="S819" s="1" t="n">
        <f aca="false">IF(R819="Home",P819,IF(R819="Away",-P819,""))</f>
        <v>3</v>
      </c>
      <c r="T819" s="1" t="str">
        <f aca="false">IF(R819="Pick","No Line",IF(S819="","N/A",IF(S819+I819&gt;0,"Favorite Covered",IF(S819+I819&lt;0,"Underdog Covered","Push"))))</f>
        <v>Underdog Covered</v>
      </c>
      <c r="U819" s="1" t="str">
        <f aca="false">IF(Q819&gt;J819,"Over",IF(Q819&lt;J819,"Under","Push"))</f>
        <v>Under</v>
      </c>
    </row>
    <row r="820" customFormat="false" ht="15" hidden="false" customHeight="false" outlineLevel="0" collapsed="false">
      <c r="A820" s="1" t="s">
        <v>352</v>
      </c>
      <c r="B820" s="1" t="n">
        <v>2013</v>
      </c>
      <c r="C820" s="1" t="s">
        <v>160</v>
      </c>
      <c r="D820" s="1" t="s">
        <v>53</v>
      </c>
      <c r="E820" s="1" t="s">
        <v>73</v>
      </c>
      <c r="F820" s="1" t="n">
        <v>25</v>
      </c>
      <c r="G820" s="1" t="n">
        <v>21</v>
      </c>
      <c r="H820" s="1" t="s">
        <v>74</v>
      </c>
      <c r="I820" s="1" t="n">
        <v>-2</v>
      </c>
      <c r="J820" s="1" t="n">
        <v>48.5</v>
      </c>
      <c r="K820" s="1" t="s">
        <v>177</v>
      </c>
      <c r="L820" s="1" t="b">
        <f aca="false">FALSE()</f>
        <v>0</v>
      </c>
      <c r="M820" s="1" t="str">
        <f aca="false">VLOOKUP(D820,'Team Reference'!$A:$B,2,FALSE())</f>
        <v>ARI</v>
      </c>
      <c r="N820" s="1" t="str">
        <f aca="false">VLOOKUP(E820,'Team Reference'!$A:$B,2,FALSE())</f>
        <v>DET</v>
      </c>
      <c r="O820" s="1" t="str">
        <f aca="false">IF(F820&gt;G820,M820,IF(G820&gt;F820,N820,"Tie"))</f>
        <v>ARI</v>
      </c>
      <c r="P820" s="1" t="n">
        <f aca="false">F820-G820</f>
        <v>4</v>
      </c>
      <c r="Q820" s="1" t="n">
        <f aca="false">F820+G820</f>
        <v>46</v>
      </c>
      <c r="R820" s="1" t="str">
        <f aca="false">IF(H820=M820,"Home",IF(H820=N820,"Away",IF(H820="PICK","Pick","N/A")))</f>
        <v>Away</v>
      </c>
      <c r="S820" s="1" t="n">
        <f aca="false">IF(R820="Home",P820,IF(R820="Away",-P820,""))</f>
        <v>-4</v>
      </c>
      <c r="T820" s="1" t="str">
        <f aca="false">IF(R820="Pick","No Line",IF(S820="","N/A",IF(S820+I820&gt;0,"Favorite Covered",IF(S820+I820&lt;0,"Underdog Covered","Push"))))</f>
        <v>Underdog Covered</v>
      </c>
      <c r="U820" s="1" t="str">
        <f aca="false">IF(Q820&gt;J820,"Over",IF(Q820&lt;J820,"Under","Push"))</f>
        <v>Under</v>
      </c>
    </row>
    <row r="821" customFormat="false" ht="15" hidden="false" customHeight="false" outlineLevel="0" collapsed="false">
      <c r="A821" s="1" t="s">
        <v>352</v>
      </c>
      <c r="B821" s="1" t="n">
        <v>2013</v>
      </c>
      <c r="C821" s="1" t="s">
        <v>160</v>
      </c>
      <c r="D821" s="1" t="s">
        <v>55</v>
      </c>
      <c r="E821" s="1" t="s">
        <v>112</v>
      </c>
      <c r="F821" s="1" t="n">
        <v>31</v>
      </c>
      <c r="G821" s="1" t="n">
        <v>24</v>
      </c>
      <c r="H821" s="1" t="s">
        <v>56</v>
      </c>
      <c r="I821" s="1" t="n">
        <v>-5.5</v>
      </c>
      <c r="J821" s="1" t="n">
        <v>47.5</v>
      </c>
      <c r="K821" s="1" t="s">
        <v>161</v>
      </c>
      <c r="L821" s="1" t="b">
        <f aca="false">FALSE()</f>
        <v>0</v>
      </c>
      <c r="M821" s="1" t="str">
        <f aca="false">VLOOKUP(D821,'Team Reference'!$A:$B,2,FALSE())</f>
        <v>ATL</v>
      </c>
      <c r="N821" s="1" t="str">
        <f aca="false">VLOOKUP(E821,'Team Reference'!$A:$B,2,FALSE())</f>
        <v>LAR</v>
      </c>
      <c r="O821" s="1" t="str">
        <f aca="false">IF(F821&gt;G821,M821,IF(G821&gt;F821,N821,"Tie"))</f>
        <v>ATL</v>
      </c>
      <c r="P821" s="1" t="n">
        <f aca="false">F821-G821</f>
        <v>7</v>
      </c>
      <c r="Q821" s="1" t="n">
        <f aca="false">F821+G821</f>
        <v>55</v>
      </c>
      <c r="R821" s="1" t="str">
        <f aca="false">IF(H821=M821,"Home",IF(H821=N821,"Away",IF(H821="PICK","Pick","N/A")))</f>
        <v>Home</v>
      </c>
      <c r="S821" s="1" t="n">
        <f aca="false">IF(R821="Home",P821,IF(R821="Away",-P821,""))</f>
        <v>7</v>
      </c>
      <c r="T821" s="1" t="str">
        <f aca="false">IF(R821="Pick","No Line",IF(S821="","N/A",IF(S821+I821&gt;0,"Favorite Covered",IF(S821+I821&lt;0,"Underdog Covered","Push"))))</f>
        <v>Favorite Covered</v>
      </c>
      <c r="U821" s="1" t="str">
        <f aca="false">IF(Q821&gt;J821,"Over",IF(Q821&lt;J821,"Under","Push"))</f>
        <v>Over</v>
      </c>
    </row>
    <row r="822" customFormat="false" ht="15" hidden="false" customHeight="false" outlineLevel="0" collapsed="false">
      <c r="A822" s="1" t="s">
        <v>352</v>
      </c>
      <c r="B822" s="1" t="n">
        <v>2013</v>
      </c>
      <c r="C822" s="1" t="s">
        <v>160</v>
      </c>
      <c r="D822" s="1" t="s">
        <v>57</v>
      </c>
      <c r="E822" s="1" t="s">
        <v>67</v>
      </c>
      <c r="F822" s="1" t="n">
        <v>14</v>
      </c>
      <c r="G822" s="1" t="n">
        <v>6</v>
      </c>
      <c r="H822" s="1" t="s">
        <v>58</v>
      </c>
      <c r="I822" s="1" t="n">
        <v>-7</v>
      </c>
      <c r="J822" s="1" t="n">
        <v>44</v>
      </c>
      <c r="K822" s="1" t="s">
        <v>178</v>
      </c>
      <c r="L822" s="1" t="b">
        <f aca="false">FALSE()</f>
        <v>0</v>
      </c>
      <c r="M822" s="1" t="str">
        <f aca="false">VLOOKUP(D822,'Team Reference'!$A:$B,2,FALSE())</f>
        <v>BAL</v>
      </c>
      <c r="N822" s="1" t="str">
        <f aca="false">VLOOKUP(E822,'Team Reference'!$A:$B,2,FALSE())</f>
        <v>CLE</v>
      </c>
      <c r="O822" s="1" t="str">
        <f aca="false">IF(F822&gt;G822,M822,IF(G822&gt;F822,N822,"Tie"))</f>
        <v>BAL</v>
      </c>
      <c r="P822" s="1" t="n">
        <f aca="false">F822-G822</f>
        <v>8</v>
      </c>
      <c r="Q822" s="1" t="n">
        <f aca="false">F822+G822</f>
        <v>20</v>
      </c>
      <c r="R822" s="1" t="str">
        <f aca="false">IF(H822=M822,"Home",IF(H822=N822,"Away",IF(H822="PICK","Pick","N/A")))</f>
        <v>Home</v>
      </c>
      <c r="S822" s="1" t="n">
        <f aca="false">IF(R822="Home",P822,IF(R822="Away",-P822,""))</f>
        <v>8</v>
      </c>
      <c r="T822" s="1" t="str">
        <f aca="false">IF(R822="Pick","No Line",IF(S822="","N/A",IF(S822+I822&gt;0,"Favorite Covered",IF(S822+I822&lt;0,"Underdog Covered","Push"))))</f>
        <v>Favorite Covered</v>
      </c>
      <c r="U822" s="1" t="str">
        <f aca="false">IF(Q822&gt;J822,"Over",IF(Q822&lt;J822,"Under","Push"))</f>
        <v>Under</v>
      </c>
    </row>
    <row r="823" customFormat="false" ht="15" hidden="false" customHeight="false" outlineLevel="0" collapsed="false">
      <c r="A823" s="1" t="s">
        <v>352</v>
      </c>
      <c r="B823" s="1" t="n">
        <v>2013</v>
      </c>
      <c r="C823" s="1" t="s">
        <v>160</v>
      </c>
      <c r="D823" s="1" t="s">
        <v>59</v>
      </c>
      <c r="E823" s="1" t="s">
        <v>61</v>
      </c>
      <c r="F823" s="1" t="n">
        <v>24</v>
      </c>
      <c r="G823" s="1" t="n">
        <v>23</v>
      </c>
      <c r="H823" s="1" t="s">
        <v>62</v>
      </c>
      <c r="I823" s="1" t="n">
        <v>-3.5</v>
      </c>
      <c r="J823" s="1" t="n">
        <v>43.5</v>
      </c>
      <c r="K823" s="1" t="s">
        <v>144</v>
      </c>
      <c r="L823" s="1" t="b">
        <f aca="false">FALSE()</f>
        <v>0</v>
      </c>
      <c r="M823" s="1" t="str">
        <f aca="false">VLOOKUP(D823,'Team Reference'!$A:$B,2,FALSE())</f>
        <v>BUF</v>
      </c>
      <c r="N823" s="1" t="str">
        <f aca="false">VLOOKUP(E823,'Team Reference'!$A:$B,2,FALSE())</f>
        <v>CAR</v>
      </c>
      <c r="O823" s="1" t="str">
        <f aca="false">IF(F823&gt;G823,M823,IF(G823&gt;F823,N823,"Tie"))</f>
        <v>BUF</v>
      </c>
      <c r="P823" s="1" t="n">
        <f aca="false">F823-G823</f>
        <v>1</v>
      </c>
      <c r="Q823" s="1" t="n">
        <f aca="false">F823+G823</f>
        <v>47</v>
      </c>
      <c r="R823" s="1" t="str">
        <f aca="false">IF(H823=M823,"Home",IF(H823=N823,"Away",IF(H823="PICK","Pick","N/A")))</f>
        <v>Away</v>
      </c>
      <c r="S823" s="1" t="n">
        <f aca="false">IF(R823="Home",P823,IF(R823="Away",-P823,""))</f>
        <v>-1</v>
      </c>
      <c r="T823" s="1" t="str">
        <f aca="false">IF(R823="Pick","No Line",IF(S823="","N/A",IF(S823+I823&gt;0,"Favorite Covered",IF(S823+I823&lt;0,"Underdog Covered","Push"))))</f>
        <v>Underdog Covered</v>
      </c>
      <c r="U823" s="1" t="str">
        <f aca="false">IF(Q823&gt;J823,"Over",IF(Q823&lt;J823,"Under","Push"))</f>
        <v>Over</v>
      </c>
    </row>
    <row r="824" customFormat="false" ht="15" hidden="false" customHeight="false" outlineLevel="0" collapsed="false">
      <c r="A824" s="1" t="s">
        <v>352</v>
      </c>
      <c r="B824" s="1" t="n">
        <v>2013</v>
      </c>
      <c r="C824" s="1" t="s">
        <v>160</v>
      </c>
      <c r="D824" s="1" t="s">
        <v>63</v>
      </c>
      <c r="E824" s="1" t="s">
        <v>91</v>
      </c>
      <c r="F824" s="1" t="n">
        <v>31</v>
      </c>
      <c r="G824" s="1" t="n">
        <v>30</v>
      </c>
      <c r="H824" s="1" t="s">
        <v>64</v>
      </c>
      <c r="I824" s="1" t="n">
        <v>-6.5</v>
      </c>
      <c r="J824" s="1" t="n">
        <v>42</v>
      </c>
      <c r="K824" s="1" t="s">
        <v>145</v>
      </c>
      <c r="L824" s="1" t="b">
        <f aca="false">FALSE()</f>
        <v>0</v>
      </c>
      <c r="M824" s="1" t="str">
        <f aca="false">VLOOKUP(D824,'Team Reference'!$A:$B,2,FALSE())</f>
        <v>CHI</v>
      </c>
      <c r="N824" s="1" t="str">
        <f aca="false">VLOOKUP(E824,'Team Reference'!$A:$B,2,FALSE())</f>
        <v>MIN</v>
      </c>
      <c r="O824" s="1" t="str">
        <f aca="false">IF(F824&gt;G824,M824,IF(G824&gt;F824,N824,"Tie"))</f>
        <v>CHI</v>
      </c>
      <c r="P824" s="1" t="n">
        <f aca="false">F824-G824</f>
        <v>1</v>
      </c>
      <c r="Q824" s="1" t="n">
        <f aca="false">F824+G824</f>
        <v>61</v>
      </c>
      <c r="R824" s="1" t="str">
        <f aca="false">IF(H824=M824,"Home",IF(H824=N824,"Away",IF(H824="PICK","Pick","N/A")))</f>
        <v>Home</v>
      </c>
      <c r="S824" s="1" t="n">
        <f aca="false">IF(R824="Home",P824,IF(R824="Away",-P824,""))</f>
        <v>1</v>
      </c>
      <c r="T824" s="1" t="str">
        <f aca="false">IF(R824="Pick","No Line",IF(S824="","N/A",IF(S824+I824&gt;0,"Favorite Covered",IF(S824+I824&lt;0,"Underdog Covered","Push"))))</f>
        <v>Underdog Covered</v>
      </c>
      <c r="U824" s="1" t="str">
        <f aca="false">IF(Q824&gt;J824,"Over",IF(Q824&lt;J824,"Under","Push"))</f>
        <v>Over</v>
      </c>
    </row>
    <row r="825" customFormat="false" ht="15" hidden="false" customHeight="false" outlineLevel="0" collapsed="false">
      <c r="A825" s="1" t="s">
        <v>352</v>
      </c>
      <c r="B825" s="1" t="n">
        <v>2013</v>
      </c>
      <c r="C825" s="1" t="s">
        <v>160</v>
      </c>
      <c r="D825" s="1" t="s">
        <v>75</v>
      </c>
      <c r="E825" s="1" t="s">
        <v>117</v>
      </c>
      <c r="F825" s="1" t="n">
        <v>38</v>
      </c>
      <c r="G825" s="1" t="n">
        <v>20</v>
      </c>
      <c r="H825" s="1" t="s">
        <v>76</v>
      </c>
      <c r="I825" s="1" t="n">
        <v>-8</v>
      </c>
      <c r="J825" s="1" t="n">
        <v>50</v>
      </c>
      <c r="K825" s="1" t="s">
        <v>168</v>
      </c>
      <c r="L825" s="1" t="b">
        <f aca="false">FALSE()</f>
        <v>0</v>
      </c>
      <c r="M825" s="1" t="str">
        <f aca="false">VLOOKUP(D825,'Team Reference'!$A:$B,2,FALSE())</f>
        <v>GB</v>
      </c>
      <c r="N825" s="1" t="str">
        <f aca="false">VLOOKUP(E825,'Team Reference'!$A:$B,2,FALSE())</f>
        <v>WAS</v>
      </c>
      <c r="O825" s="1" t="str">
        <f aca="false">IF(F825&gt;G825,M825,IF(G825&gt;F825,N825,"Tie"))</f>
        <v>GB</v>
      </c>
      <c r="P825" s="1" t="n">
        <f aca="false">F825-G825</f>
        <v>18</v>
      </c>
      <c r="Q825" s="1" t="n">
        <f aca="false">F825+G825</f>
        <v>58</v>
      </c>
      <c r="R825" s="1" t="str">
        <f aca="false">IF(H825=M825,"Home",IF(H825=N825,"Away",IF(H825="PICK","Pick","N/A")))</f>
        <v>Home</v>
      </c>
      <c r="S825" s="1" t="n">
        <f aca="false">IF(R825="Home",P825,IF(R825="Away",-P825,""))</f>
        <v>18</v>
      </c>
      <c r="T825" s="1" t="str">
        <f aca="false">IF(R825="Pick","No Line",IF(S825="","N/A",IF(S825+I825&gt;0,"Favorite Covered",IF(S825+I825&lt;0,"Underdog Covered","Push"))))</f>
        <v>Favorite Covered</v>
      </c>
      <c r="U825" s="1" t="str">
        <f aca="false">IF(Q825&gt;J825,"Over",IF(Q825&lt;J825,"Under","Push"))</f>
        <v>Over</v>
      </c>
    </row>
    <row r="826" customFormat="false" ht="15" hidden="false" customHeight="false" outlineLevel="0" collapsed="false">
      <c r="A826" s="1" t="s">
        <v>352</v>
      </c>
      <c r="B826" s="1" t="n">
        <v>2013</v>
      </c>
      <c r="C826" s="1" t="s">
        <v>160</v>
      </c>
      <c r="D826" s="1" t="s">
        <v>77</v>
      </c>
      <c r="E826" s="1" t="s">
        <v>115</v>
      </c>
      <c r="F826" s="1" t="n">
        <v>30</v>
      </c>
      <c r="G826" s="1" t="n">
        <v>24</v>
      </c>
      <c r="H826" s="1" t="s">
        <v>78</v>
      </c>
      <c r="I826" s="1" t="n">
        <v>-9</v>
      </c>
      <c r="J826" s="1" t="n">
        <v>43</v>
      </c>
      <c r="K826" s="1" t="s">
        <v>146</v>
      </c>
      <c r="L826" s="1" t="b">
        <f aca="false">FALSE()</f>
        <v>0</v>
      </c>
      <c r="M826" s="1" t="str">
        <f aca="false">VLOOKUP(D826,'Team Reference'!$A:$B,2,FALSE())</f>
        <v>HOU</v>
      </c>
      <c r="N826" s="1" t="str">
        <f aca="false">VLOOKUP(E826,'Team Reference'!$A:$B,2,FALSE())</f>
        <v>TEN</v>
      </c>
      <c r="O826" s="1" t="str">
        <f aca="false">IF(F826&gt;G826,M826,IF(G826&gt;F826,N826,"Tie"))</f>
        <v>HOU</v>
      </c>
      <c r="P826" s="1" t="n">
        <f aca="false">F826-G826</f>
        <v>6</v>
      </c>
      <c r="Q826" s="1" t="n">
        <f aca="false">F826+G826</f>
        <v>54</v>
      </c>
      <c r="R826" s="1" t="str">
        <f aca="false">IF(H826=M826,"Home",IF(H826=N826,"Away",IF(H826="PICK","Pick","N/A")))</f>
        <v>Home</v>
      </c>
      <c r="S826" s="1" t="n">
        <f aca="false">IF(R826="Home",P826,IF(R826="Away",-P826,""))</f>
        <v>6</v>
      </c>
      <c r="T826" s="1" t="str">
        <f aca="false">IF(R826="Pick","No Line",IF(S826="","N/A",IF(S826+I826&gt;0,"Favorite Covered",IF(S826+I826&lt;0,"Underdog Covered","Push"))))</f>
        <v>Underdog Covered</v>
      </c>
      <c r="U826" s="1" t="str">
        <f aca="false">IF(Q826&gt;J826,"Over",IF(Q826&lt;J826,"Under","Push"))</f>
        <v>Over</v>
      </c>
    </row>
    <row r="827" customFormat="false" ht="15" hidden="false" customHeight="false" outlineLevel="0" collapsed="false">
      <c r="A827" s="1" t="s">
        <v>352</v>
      </c>
      <c r="B827" s="1" t="n">
        <v>2013</v>
      </c>
      <c r="C827" s="1" t="s">
        <v>160</v>
      </c>
      <c r="D827" s="1" t="s">
        <v>79</v>
      </c>
      <c r="E827" s="1" t="s">
        <v>89</v>
      </c>
      <c r="F827" s="1" t="n">
        <v>20</v>
      </c>
      <c r="G827" s="1" t="n">
        <v>24</v>
      </c>
      <c r="H827" s="1" t="s">
        <v>80</v>
      </c>
      <c r="I827" s="1" t="n">
        <v>-3</v>
      </c>
      <c r="J827" s="1" t="n">
        <v>44</v>
      </c>
      <c r="K827" s="1" t="s">
        <v>169</v>
      </c>
      <c r="L827" s="1" t="b">
        <f aca="false">FALSE()</f>
        <v>0</v>
      </c>
      <c r="M827" s="1" t="str">
        <f aca="false">VLOOKUP(D827,'Team Reference'!$A:$B,2,FALSE())</f>
        <v>IND</v>
      </c>
      <c r="N827" s="1" t="str">
        <f aca="false">VLOOKUP(E827,'Team Reference'!$A:$B,2,FALSE())</f>
        <v>MIA</v>
      </c>
      <c r="O827" s="1" t="str">
        <f aca="false">IF(F827&gt;G827,M827,IF(G827&gt;F827,N827,"Tie"))</f>
        <v>MIA</v>
      </c>
      <c r="P827" s="1" t="n">
        <f aca="false">F827-G827</f>
        <v>-4</v>
      </c>
      <c r="Q827" s="1" t="n">
        <f aca="false">F827+G827</f>
        <v>44</v>
      </c>
      <c r="R827" s="1" t="str">
        <f aca="false">IF(H827=M827,"Home",IF(H827=N827,"Away",IF(H827="PICK","Pick","N/A")))</f>
        <v>Home</v>
      </c>
      <c r="S827" s="1" t="n">
        <f aca="false">IF(R827="Home",P827,IF(R827="Away",-P827,""))</f>
        <v>-4</v>
      </c>
      <c r="T827" s="1" t="str">
        <f aca="false">IF(R827="Pick","No Line",IF(S827="","N/A",IF(S827+I827&gt;0,"Favorite Covered",IF(S827+I827&lt;0,"Underdog Covered","Push"))))</f>
        <v>Underdog Covered</v>
      </c>
      <c r="U827" s="1" t="str">
        <f aca="false">IF(Q827&gt;J827,"Over",IF(Q827&lt;J827,"Under","Push"))</f>
        <v>Push</v>
      </c>
    </row>
    <row r="828" customFormat="false" ht="15" hidden="false" customHeight="false" outlineLevel="0" collapsed="false">
      <c r="A828" s="1" t="s">
        <v>352</v>
      </c>
      <c r="B828" s="1" t="n">
        <v>2013</v>
      </c>
      <c r="C828" s="1" t="s">
        <v>160</v>
      </c>
      <c r="D828" s="1" t="s">
        <v>83</v>
      </c>
      <c r="E828" s="1" t="s">
        <v>69</v>
      </c>
      <c r="F828" s="1" t="n">
        <v>17</v>
      </c>
      <c r="G828" s="1" t="n">
        <v>16</v>
      </c>
      <c r="H828" s="1" t="s">
        <v>84</v>
      </c>
      <c r="I828" s="1" t="n">
        <v>-3</v>
      </c>
      <c r="J828" s="1" t="n">
        <v>46</v>
      </c>
      <c r="K828" s="1" t="s">
        <v>158</v>
      </c>
      <c r="L828" s="1" t="b">
        <f aca="false">FALSE()</f>
        <v>0</v>
      </c>
      <c r="M828" s="1" t="str">
        <f aca="false">VLOOKUP(D828,'Team Reference'!$A:$B,2,FALSE())</f>
        <v>KC</v>
      </c>
      <c r="N828" s="1" t="str">
        <f aca="false">VLOOKUP(E828,'Team Reference'!$A:$B,2,FALSE())</f>
        <v>DAL</v>
      </c>
      <c r="O828" s="1" t="str">
        <f aca="false">IF(F828&gt;G828,M828,IF(G828&gt;F828,N828,"Tie"))</f>
        <v>KC</v>
      </c>
      <c r="P828" s="1" t="n">
        <f aca="false">F828-G828</f>
        <v>1</v>
      </c>
      <c r="Q828" s="1" t="n">
        <f aca="false">F828+G828</f>
        <v>33</v>
      </c>
      <c r="R828" s="1" t="str">
        <f aca="false">IF(H828=M828,"Home",IF(H828=N828,"Away",IF(H828="PICK","Pick","N/A")))</f>
        <v>Home</v>
      </c>
      <c r="S828" s="1" t="n">
        <f aca="false">IF(R828="Home",P828,IF(R828="Away",-P828,""))</f>
        <v>1</v>
      </c>
      <c r="T828" s="1" t="str">
        <f aca="false">IF(R828="Pick","No Line",IF(S828="","N/A",IF(S828+I828&gt;0,"Favorite Covered",IF(S828+I828&lt;0,"Underdog Covered","Push"))))</f>
        <v>Underdog Covered</v>
      </c>
      <c r="U828" s="1" t="str">
        <f aca="false">IF(Q828&gt;J828,"Over",IF(Q828&lt;J828,"Under","Push"))</f>
        <v>Under</v>
      </c>
    </row>
    <row r="829" customFormat="false" ht="15" hidden="false" customHeight="false" outlineLevel="0" collapsed="false">
      <c r="A829" s="1" t="s">
        <v>352</v>
      </c>
      <c r="B829" s="1" t="n">
        <v>2013</v>
      </c>
      <c r="C829" s="1" t="s">
        <v>160</v>
      </c>
      <c r="D829" s="1" t="s">
        <v>97</v>
      </c>
      <c r="E829" s="1" t="s">
        <v>71</v>
      </c>
      <c r="F829" s="1" t="n">
        <v>23</v>
      </c>
      <c r="G829" s="1" t="n">
        <v>41</v>
      </c>
      <c r="H829" s="1" t="s">
        <v>72</v>
      </c>
      <c r="I829" s="1" t="n">
        <v>-4</v>
      </c>
      <c r="J829" s="1" t="n">
        <v>55.5</v>
      </c>
      <c r="K829" s="1" t="s">
        <v>149</v>
      </c>
      <c r="L829" s="1" t="b">
        <f aca="false">FALSE()</f>
        <v>0</v>
      </c>
      <c r="M829" s="1" t="str">
        <f aca="false">VLOOKUP(D829,'Team Reference'!$A:$B,2,FALSE())</f>
        <v>NYG</v>
      </c>
      <c r="N829" s="1" t="str">
        <f aca="false">VLOOKUP(E829,'Team Reference'!$A:$B,2,FALSE())</f>
        <v>DEN</v>
      </c>
      <c r="O829" s="1" t="str">
        <f aca="false">IF(F829&gt;G829,M829,IF(G829&gt;F829,N829,"Tie"))</f>
        <v>DEN</v>
      </c>
      <c r="P829" s="1" t="n">
        <f aca="false">F829-G829</f>
        <v>-18</v>
      </c>
      <c r="Q829" s="1" t="n">
        <f aca="false">F829+G829</f>
        <v>64</v>
      </c>
      <c r="R829" s="1" t="str">
        <f aca="false">IF(H829=M829,"Home",IF(H829=N829,"Away",IF(H829="PICK","Pick","N/A")))</f>
        <v>Away</v>
      </c>
      <c r="S829" s="1" t="n">
        <f aca="false">IF(R829="Home",P829,IF(R829="Away",-P829,""))</f>
        <v>18</v>
      </c>
      <c r="T829" s="1" t="str">
        <f aca="false">IF(R829="Pick","No Line",IF(S829="","N/A",IF(S829+I829&gt;0,"Favorite Covered",IF(S829+I829&lt;0,"Underdog Covered","Push"))))</f>
        <v>Favorite Covered</v>
      </c>
      <c r="U829" s="1" t="str">
        <f aca="false">IF(Q829&gt;J829,"Over",IF(Q829&lt;J829,"Under","Push"))</f>
        <v>Over</v>
      </c>
    </row>
    <row r="830" customFormat="false" ht="15" hidden="false" customHeight="false" outlineLevel="0" collapsed="false">
      <c r="A830" s="1" t="s">
        <v>352</v>
      </c>
      <c r="B830" s="1" t="n">
        <v>2013</v>
      </c>
      <c r="C830" s="1" t="s">
        <v>160</v>
      </c>
      <c r="D830" s="1" t="s">
        <v>101</v>
      </c>
      <c r="E830" s="1" t="s">
        <v>81</v>
      </c>
      <c r="F830" s="1" t="n">
        <v>19</v>
      </c>
      <c r="G830" s="1" t="n">
        <v>9</v>
      </c>
      <c r="H830" s="1" t="s">
        <v>102</v>
      </c>
      <c r="I830" s="1" t="n">
        <v>-5</v>
      </c>
      <c r="J830" s="1" t="n">
        <v>40</v>
      </c>
      <c r="K830" s="1" t="s">
        <v>171</v>
      </c>
      <c r="L830" s="1" t="b">
        <f aca="false">FALSE()</f>
        <v>0</v>
      </c>
      <c r="M830" s="1" t="str">
        <f aca="false">VLOOKUP(D830,'Team Reference'!$A:$B,2,FALSE())</f>
        <v>OAK</v>
      </c>
      <c r="N830" s="1" t="str">
        <f aca="false">VLOOKUP(E830,'Team Reference'!$A:$B,2,FALSE())</f>
        <v>JAX</v>
      </c>
      <c r="O830" s="1" t="str">
        <f aca="false">IF(F830&gt;G830,M830,IF(G830&gt;F830,N830,"Tie"))</f>
        <v>OAK</v>
      </c>
      <c r="P830" s="1" t="n">
        <f aca="false">F830-G830</f>
        <v>10</v>
      </c>
      <c r="Q830" s="1" t="n">
        <f aca="false">F830+G830</f>
        <v>28</v>
      </c>
      <c r="R830" s="1" t="str">
        <f aca="false">IF(H830=M830,"Home",IF(H830=N830,"Away",IF(H830="PICK","Pick","N/A")))</f>
        <v>Home</v>
      </c>
      <c r="S830" s="1" t="n">
        <f aca="false">IF(R830="Home",P830,IF(R830="Away",-P830,""))</f>
        <v>10</v>
      </c>
      <c r="T830" s="1" t="str">
        <f aca="false">IF(R830="Pick","No Line",IF(S830="","N/A",IF(S830+I830&gt;0,"Favorite Covered",IF(S830+I830&lt;0,"Underdog Covered","Push"))))</f>
        <v>Favorite Covered</v>
      </c>
      <c r="U830" s="1" t="str">
        <f aca="false">IF(Q830&gt;J830,"Over",IF(Q830&lt;J830,"Under","Push"))</f>
        <v>Under</v>
      </c>
    </row>
    <row r="831" customFormat="false" ht="15" hidden="false" customHeight="false" outlineLevel="0" collapsed="false">
      <c r="A831" s="1" t="s">
        <v>352</v>
      </c>
      <c r="B831" s="1" t="n">
        <v>2013</v>
      </c>
      <c r="C831" s="1" t="s">
        <v>160</v>
      </c>
      <c r="D831" s="1" t="s">
        <v>103</v>
      </c>
      <c r="E831" s="1" t="s">
        <v>107</v>
      </c>
      <c r="F831" s="1" t="n">
        <v>30</v>
      </c>
      <c r="G831" s="1" t="n">
        <v>33</v>
      </c>
      <c r="H831" s="1" t="s">
        <v>104</v>
      </c>
      <c r="I831" s="1" t="n">
        <v>-7.5</v>
      </c>
      <c r="J831" s="1" t="n">
        <v>54</v>
      </c>
      <c r="K831" s="1" t="s">
        <v>150</v>
      </c>
      <c r="L831" s="1" t="b">
        <f aca="false">FALSE()</f>
        <v>0</v>
      </c>
      <c r="M831" s="1" t="str">
        <f aca="false">VLOOKUP(D831,'Team Reference'!$A:$B,2,FALSE())</f>
        <v>PHI</v>
      </c>
      <c r="N831" s="1" t="str">
        <f aca="false">VLOOKUP(E831,'Team Reference'!$A:$B,2,FALSE())</f>
        <v>LAC</v>
      </c>
      <c r="O831" s="1" t="str">
        <f aca="false">IF(F831&gt;G831,M831,IF(G831&gt;F831,N831,"Tie"))</f>
        <v>LAC</v>
      </c>
      <c r="P831" s="1" t="n">
        <f aca="false">F831-G831</f>
        <v>-3</v>
      </c>
      <c r="Q831" s="1" t="n">
        <f aca="false">F831+G831</f>
        <v>63</v>
      </c>
      <c r="R831" s="1" t="str">
        <f aca="false">IF(H831=M831,"Home",IF(H831=N831,"Away",IF(H831="PICK","Pick","N/A")))</f>
        <v>Home</v>
      </c>
      <c r="S831" s="1" t="n">
        <f aca="false">IF(R831="Home",P831,IF(R831="Away",-P831,""))</f>
        <v>-3</v>
      </c>
      <c r="T831" s="1" t="str">
        <f aca="false">IF(R831="Pick","No Line",IF(S831="","N/A",IF(S831+I831&gt;0,"Favorite Covered",IF(S831+I831&lt;0,"Underdog Covered","Push"))))</f>
        <v>Underdog Covered</v>
      </c>
      <c r="U831" s="1" t="str">
        <f aca="false">IF(Q831&gt;J831,"Over",IF(Q831&lt;J831,"Under","Push"))</f>
        <v>Over</v>
      </c>
    </row>
    <row r="832" customFormat="false" ht="15" hidden="false" customHeight="false" outlineLevel="0" collapsed="false">
      <c r="A832" s="1" t="s">
        <v>352</v>
      </c>
      <c r="B832" s="1" t="n">
        <v>2013</v>
      </c>
      <c r="C832" s="1" t="s">
        <v>160</v>
      </c>
      <c r="D832" s="1" t="s">
        <v>110</v>
      </c>
      <c r="E832" s="1" t="s">
        <v>108</v>
      </c>
      <c r="F832" s="1" t="n">
        <v>29</v>
      </c>
      <c r="G832" s="1" t="n">
        <v>3</v>
      </c>
      <c r="H832" s="1" t="s">
        <v>111</v>
      </c>
      <c r="I832" s="1" t="n">
        <v>-2.5</v>
      </c>
      <c r="J832" s="1" t="n">
        <v>44.5</v>
      </c>
      <c r="K832" s="1" t="s">
        <v>152</v>
      </c>
      <c r="L832" s="1" t="b">
        <f aca="false">FALSE()</f>
        <v>0</v>
      </c>
      <c r="M832" s="1" t="str">
        <f aca="false">VLOOKUP(D832,'Team Reference'!$A:$B,2,FALSE())</f>
        <v>SEA</v>
      </c>
      <c r="N832" s="1" t="str">
        <f aca="false">VLOOKUP(E832,'Team Reference'!$A:$B,2,FALSE())</f>
        <v>SF</v>
      </c>
      <c r="O832" s="1" t="str">
        <f aca="false">IF(F832&gt;G832,M832,IF(G832&gt;F832,N832,"Tie"))</f>
        <v>SEA</v>
      </c>
      <c r="P832" s="1" t="n">
        <f aca="false">F832-G832</f>
        <v>26</v>
      </c>
      <c r="Q832" s="1" t="n">
        <f aca="false">F832+G832</f>
        <v>32</v>
      </c>
      <c r="R832" s="1" t="str">
        <f aca="false">IF(H832=M832,"Home",IF(H832=N832,"Away",IF(H832="PICK","Pick","N/A")))</f>
        <v>Home</v>
      </c>
      <c r="S832" s="1" t="n">
        <f aca="false">IF(R832="Home",P832,IF(R832="Away",-P832,""))</f>
        <v>26</v>
      </c>
      <c r="T832" s="1" t="str">
        <f aca="false">IF(R832="Pick","No Line",IF(S832="","N/A",IF(S832+I832&gt;0,"Favorite Covered",IF(S832+I832&lt;0,"Underdog Covered","Push"))))</f>
        <v>Favorite Covered</v>
      </c>
      <c r="U832" s="1" t="str">
        <f aca="false">IF(Q832&gt;J832,"Over",IF(Q832&lt;J832,"Under","Push"))</f>
        <v>Under</v>
      </c>
    </row>
    <row r="833" customFormat="false" ht="15" hidden="false" customHeight="false" outlineLevel="0" collapsed="false">
      <c r="A833" s="1" t="s">
        <v>352</v>
      </c>
      <c r="B833" s="1" t="n">
        <v>2013</v>
      </c>
      <c r="C833" s="1" t="s">
        <v>160</v>
      </c>
      <c r="D833" s="1" t="s">
        <v>113</v>
      </c>
      <c r="E833" s="1" t="s">
        <v>95</v>
      </c>
      <c r="F833" s="1" t="n">
        <v>14</v>
      </c>
      <c r="G833" s="1" t="n">
        <v>16</v>
      </c>
      <c r="H833" s="1" t="s">
        <v>96</v>
      </c>
      <c r="I833" s="1" t="n">
        <v>-4</v>
      </c>
      <c r="J833" s="1" t="n">
        <v>48.5</v>
      </c>
      <c r="K833" s="1" t="s">
        <v>154</v>
      </c>
      <c r="L833" s="1" t="b">
        <f aca="false">FALSE()</f>
        <v>0</v>
      </c>
      <c r="M833" s="1" t="str">
        <f aca="false">VLOOKUP(D833,'Team Reference'!$A:$B,2,FALSE())</f>
        <v>TB</v>
      </c>
      <c r="N833" s="1" t="str">
        <f aca="false">VLOOKUP(E833,'Team Reference'!$A:$B,2,FALSE())</f>
        <v>NO</v>
      </c>
      <c r="O833" s="1" t="str">
        <f aca="false">IF(F833&gt;G833,M833,IF(G833&gt;F833,N833,"Tie"))</f>
        <v>NO</v>
      </c>
      <c r="P833" s="1" t="n">
        <f aca="false">F833-G833</f>
        <v>-2</v>
      </c>
      <c r="Q833" s="1" t="n">
        <f aca="false">F833+G833</f>
        <v>30</v>
      </c>
      <c r="R833" s="1" t="str">
        <f aca="false">IF(H833=M833,"Home",IF(H833=N833,"Away",IF(H833="PICK","Pick","N/A")))</f>
        <v>Away</v>
      </c>
      <c r="S833" s="1" t="n">
        <f aca="false">IF(R833="Home",P833,IF(R833="Away",-P833,""))</f>
        <v>2</v>
      </c>
      <c r="T833" s="1" t="str">
        <f aca="false">IF(R833="Pick","No Line",IF(S833="","N/A",IF(S833+I833&gt;0,"Favorite Covered",IF(S833+I833&lt;0,"Underdog Covered","Push"))))</f>
        <v>Underdog Covered</v>
      </c>
      <c r="U833" s="1" t="str">
        <f aca="false">IF(Q833&gt;J833,"Over",IF(Q833&lt;J833,"Under","Push"))</f>
        <v>Under</v>
      </c>
    </row>
    <row r="834" customFormat="false" ht="15" hidden="false" customHeight="false" outlineLevel="0" collapsed="false">
      <c r="A834" s="1" t="s">
        <v>353</v>
      </c>
      <c r="B834" s="1" t="n">
        <v>2013</v>
      </c>
      <c r="C834" s="1" t="s">
        <v>160</v>
      </c>
      <c r="D834" s="1" t="s">
        <v>65</v>
      </c>
      <c r="E834" s="1" t="s">
        <v>105</v>
      </c>
      <c r="F834" s="1" t="n">
        <v>20</v>
      </c>
      <c r="G834" s="1" t="n">
        <v>10</v>
      </c>
      <c r="H834" s="1" t="s">
        <v>66</v>
      </c>
      <c r="I834" s="1" t="n">
        <v>-6.5</v>
      </c>
      <c r="J834" s="1" t="n">
        <v>41</v>
      </c>
      <c r="K834" s="1" t="s">
        <v>163</v>
      </c>
      <c r="L834" s="1" t="b">
        <f aca="false">FALSE()</f>
        <v>0</v>
      </c>
      <c r="M834" s="1" t="str">
        <f aca="false">VLOOKUP(D834,'Team Reference'!$A:$B,2,FALSE())</f>
        <v>CIN</v>
      </c>
      <c r="N834" s="1" t="str">
        <f aca="false">VLOOKUP(E834,'Team Reference'!$A:$B,2,FALSE())</f>
        <v>PIT</v>
      </c>
      <c r="O834" s="1" t="str">
        <f aca="false">IF(F834&gt;G834,M834,IF(G834&gt;F834,N834,"Tie"))</f>
        <v>CIN</v>
      </c>
      <c r="P834" s="1" t="n">
        <f aca="false">F834-G834</f>
        <v>10</v>
      </c>
      <c r="Q834" s="1" t="n">
        <f aca="false">F834+G834</f>
        <v>30</v>
      </c>
      <c r="R834" s="1" t="str">
        <f aca="false">IF(H834=M834,"Home",IF(H834=N834,"Away",IF(H834="PICK","Pick","N/A")))</f>
        <v>Home</v>
      </c>
      <c r="S834" s="1" t="n">
        <f aca="false">IF(R834="Home",P834,IF(R834="Away",-P834,""))</f>
        <v>10</v>
      </c>
      <c r="T834" s="1" t="str">
        <f aca="false">IF(R834="Pick","No Line",IF(S834="","N/A",IF(S834+I834&gt;0,"Favorite Covered",IF(S834+I834&lt;0,"Underdog Covered","Push"))))</f>
        <v>Favorite Covered</v>
      </c>
      <c r="U834" s="1" t="str">
        <f aca="false">IF(Q834&gt;J834,"Over",IF(Q834&lt;J834,"Under","Push"))</f>
        <v>Under</v>
      </c>
    </row>
    <row r="835" customFormat="false" ht="15" hidden="false" customHeight="false" outlineLevel="0" collapsed="false">
      <c r="A835" s="1" t="s">
        <v>354</v>
      </c>
      <c r="B835" s="1" t="n">
        <v>2013</v>
      </c>
      <c r="C835" s="1" t="s">
        <v>176</v>
      </c>
      <c r="D835" s="1" t="s">
        <v>103</v>
      </c>
      <c r="E835" s="1" t="s">
        <v>83</v>
      </c>
      <c r="F835" s="1" t="n">
        <v>16</v>
      </c>
      <c r="G835" s="1" t="n">
        <v>26</v>
      </c>
      <c r="H835" s="1" t="s">
        <v>104</v>
      </c>
      <c r="I835" s="1" t="n">
        <v>-3.5</v>
      </c>
      <c r="J835" s="1" t="n">
        <v>51</v>
      </c>
      <c r="K835" s="1" t="s">
        <v>150</v>
      </c>
      <c r="L835" s="1" t="b">
        <f aca="false">FALSE()</f>
        <v>0</v>
      </c>
      <c r="M835" s="1" t="str">
        <f aca="false">VLOOKUP(D835,'Team Reference'!$A:$B,2,FALSE())</f>
        <v>PHI</v>
      </c>
      <c r="N835" s="1" t="str">
        <f aca="false">VLOOKUP(E835,'Team Reference'!$A:$B,2,FALSE())</f>
        <v>KC</v>
      </c>
      <c r="O835" s="1" t="str">
        <f aca="false">IF(F835&gt;G835,M835,IF(G835&gt;F835,N835,"Tie"))</f>
        <v>KC</v>
      </c>
      <c r="P835" s="1" t="n">
        <f aca="false">F835-G835</f>
        <v>-10</v>
      </c>
      <c r="Q835" s="1" t="n">
        <f aca="false">F835+G835</f>
        <v>42</v>
      </c>
      <c r="R835" s="1" t="str">
        <f aca="false">IF(H835=M835,"Home",IF(H835=N835,"Away",IF(H835="PICK","Pick","N/A")))</f>
        <v>Home</v>
      </c>
      <c r="S835" s="1" t="n">
        <f aca="false">IF(R835="Home",P835,IF(R835="Away",-P835,""))</f>
        <v>-10</v>
      </c>
      <c r="T835" s="1" t="str">
        <f aca="false">IF(R835="Pick","No Line",IF(S835="","N/A",IF(S835+I835&gt;0,"Favorite Covered",IF(S835+I835&lt;0,"Underdog Covered","Push"))))</f>
        <v>Underdog Covered</v>
      </c>
      <c r="U835" s="1" t="str">
        <f aca="false">IF(Q835&gt;J835,"Over",IF(Q835&lt;J835,"Under","Push"))</f>
        <v>Under</v>
      </c>
    </row>
    <row r="836" customFormat="false" ht="15" hidden="false" customHeight="false" outlineLevel="0" collapsed="false">
      <c r="A836" s="1" t="s">
        <v>355</v>
      </c>
      <c r="B836" s="1" t="n">
        <v>2013</v>
      </c>
      <c r="C836" s="1" t="s">
        <v>176</v>
      </c>
      <c r="D836" s="1" t="s">
        <v>57</v>
      </c>
      <c r="E836" s="1" t="s">
        <v>77</v>
      </c>
      <c r="F836" s="1" t="n">
        <v>30</v>
      </c>
      <c r="G836" s="1" t="n">
        <v>9</v>
      </c>
      <c r="H836" s="1" t="s">
        <v>78</v>
      </c>
      <c r="I836" s="1" t="n">
        <v>-1</v>
      </c>
      <c r="J836" s="1" t="n">
        <v>44.5</v>
      </c>
      <c r="K836" s="1" t="s">
        <v>178</v>
      </c>
      <c r="L836" s="1" t="b">
        <f aca="false">FALSE()</f>
        <v>0</v>
      </c>
      <c r="M836" s="1" t="str">
        <f aca="false">VLOOKUP(D836,'Team Reference'!$A:$B,2,FALSE())</f>
        <v>BAL</v>
      </c>
      <c r="N836" s="1" t="str">
        <f aca="false">VLOOKUP(E836,'Team Reference'!$A:$B,2,FALSE())</f>
        <v>HOU</v>
      </c>
      <c r="O836" s="1" t="str">
        <f aca="false">IF(F836&gt;G836,M836,IF(G836&gt;F836,N836,"Tie"))</f>
        <v>BAL</v>
      </c>
      <c r="P836" s="1" t="n">
        <f aca="false">F836-G836</f>
        <v>21</v>
      </c>
      <c r="Q836" s="1" t="n">
        <f aca="false">F836+G836</f>
        <v>39</v>
      </c>
      <c r="R836" s="1" t="str">
        <f aca="false">IF(H836=M836,"Home",IF(H836=N836,"Away",IF(H836="PICK","Pick","N/A")))</f>
        <v>Away</v>
      </c>
      <c r="S836" s="1" t="n">
        <f aca="false">IF(R836="Home",P836,IF(R836="Away",-P836,""))</f>
        <v>-21</v>
      </c>
      <c r="T836" s="1" t="str">
        <f aca="false">IF(R836="Pick","No Line",IF(S836="","N/A",IF(S836+I836&gt;0,"Favorite Covered",IF(S836+I836&lt;0,"Underdog Covered","Push"))))</f>
        <v>Underdog Covered</v>
      </c>
      <c r="U836" s="1" t="str">
        <f aca="false">IF(Q836&gt;J836,"Over",IF(Q836&lt;J836,"Under","Push"))</f>
        <v>Under</v>
      </c>
    </row>
    <row r="837" customFormat="false" ht="15" hidden="false" customHeight="false" outlineLevel="0" collapsed="false">
      <c r="A837" s="1" t="s">
        <v>355</v>
      </c>
      <c r="B837" s="1" t="n">
        <v>2013</v>
      </c>
      <c r="C837" s="1" t="s">
        <v>176</v>
      </c>
      <c r="D837" s="1" t="s">
        <v>61</v>
      </c>
      <c r="E837" s="1" t="s">
        <v>97</v>
      </c>
      <c r="F837" s="1" t="n">
        <v>38</v>
      </c>
      <c r="G837" s="1" t="n">
        <v>0</v>
      </c>
      <c r="H837" s="1" t="s">
        <v>98</v>
      </c>
      <c r="I837" s="1" t="n">
        <v>-3</v>
      </c>
      <c r="J837" s="1" t="n">
        <v>47</v>
      </c>
      <c r="K837" s="1" t="s">
        <v>162</v>
      </c>
      <c r="L837" s="1" t="b">
        <f aca="false">FALSE()</f>
        <v>0</v>
      </c>
      <c r="M837" s="1" t="str">
        <f aca="false">VLOOKUP(D837,'Team Reference'!$A:$B,2,FALSE())</f>
        <v>CAR</v>
      </c>
      <c r="N837" s="1" t="str">
        <f aca="false">VLOOKUP(E837,'Team Reference'!$A:$B,2,FALSE())</f>
        <v>NYG</v>
      </c>
      <c r="O837" s="1" t="str">
        <f aca="false">IF(F837&gt;G837,M837,IF(G837&gt;F837,N837,"Tie"))</f>
        <v>CAR</v>
      </c>
      <c r="P837" s="1" t="n">
        <f aca="false">F837-G837</f>
        <v>38</v>
      </c>
      <c r="Q837" s="1" t="n">
        <f aca="false">F837+G837</f>
        <v>38</v>
      </c>
      <c r="R837" s="1" t="str">
        <f aca="false">IF(H837=M837,"Home",IF(H837=N837,"Away",IF(H837="PICK","Pick","N/A")))</f>
        <v>Away</v>
      </c>
      <c r="S837" s="1" t="n">
        <f aca="false">IF(R837="Home",P837,IF(R837="Away",-P837,""))</f>
        <v>-38</v>
      </c>
      <c r="T837" s="1" t="str">
        <f aca="false">IF(R837="Pick","No Line",IF(S837="","N/A",IF(S837+I837&gt;0,"Favorite Covered",IF(S837+I837&lt;0,"Underdog Covered","Push"))))</f>
        <v>Underdog Covered</v>
      </c>
      <c r="U837" s="1" t="str">
        <f aca="false">IF(Q837&gt;J837,"Over",IF(Q837&lt;J837,"Under","Push"))</f>
        <v>Under</v>
      </c>
    </row>
    <row r="838" customFormat="false" ht="15" hidden="false" customHeight="false" outlineLevel="0" collapsed="false">
      <c r="A838" s="1" t="s">
        <v>355</v>
      </c>
      <c r="B838" s="1" t="n">
        <v>2013</v>
      </c>
      <c r="C838" s="1" t="s">
        <v>176</v>
      </c>
      <c r="D838" s="1" t="s">
        <v>65</v>
      </c>
      <c r="E838" s="1" t="s">
        <v>75</v>
      </c>
      <c r="F838" s="1" t="n">
        <v>34</v>
      </c>
      <c r="G838" s="1" t="n">
        <v>30</v>
      </c>
      <c r="H838" s="1" t="s">
        <v>76</v>
      </c>
      <c r="I838" s="1" t="n">
        <v>-3</v>
      </c>
      <c r="J838" s="1" t="n">
        <v>50.5</v>
      </c>
      <c r="K838" s="1" t="s">
        <v>163</v>
      </c>
      <c r="L838" s="1" t="b">
        <f aca="false">FALSE()</f>
        <v>0</v>
      </c>
      <c r="M838" s="1" t="str">
        <f aca="false">VLOOKUP(D838,'Team Reference'!$A:$B,2,FALSE())</f>
        <v>CIN</v>
      </c>
      <c r="N838" s="1" t="str">
        <f aca="false">VLOOKUP(E838,'Team Reference'!$A:$B,2,FALSE())</f>
        <v>GB</v>
      </c>
      <c r="O838" s="1" t="str">
        <f aca="false">IF(F838&gt;G838,M838,IF(G838&gt;F838,N838,"Tie"))</f>
        <v>CIN</v>
      </c>
      <c r="P838" s="1" t="n">
        <f aca="false">F838-G838</f>
        <v>4</v>
      </c>
      <c r="Q838" s="1" t="n">
        <f aca="false">F838+G838</f>
        <v>64</v>
      </c>
      <c r="R838" s="1" t="str">
        <f aca="false">IF(H838=M838,"Home",IF(H838=N838,"Away",IF(H838="PICK","Pick","N/A")))</f>
        <v>Away</v>
      </c>
      <c r="S838" s="1" t="n">
        <f aca="false">IF(R838="Home",P838,IF(R838="Away",-P838,""))</f>
        <v>-4</v>
      </c>
      <c r="T838" s="1" t="str">
        <f aca="false">IF(R838="Pick","No Line",IF(S838="","N/A",IF(S838+I838&gt;0,"Favorite Covered",IF(S838+I838&lt;0,"Underdog Covered","Push"))))</f>
        <v>Underdog Covered</v>
      </c>
      <c r="U838" s="1" t="str">
        <f aca="false">IF(Q838&gt;J838,"Over",IF(Q838&lt;J838,"Under","Push"))</f>
        <v>Over</v>
      </c>
    </row>
    <row r="839" customFormat="false" ht="15" hidden="false" customHeight="false" outlineLevel="0" collapsed="false">
      <c r="A839" s="1" t="s">
        <v>355</v>
      </c>
      <c r="B839" s="1" t="n">
        <v>2013</v>
      </c>
      <c r="C839" s="1" t="s">
        <v>176</v>
      </c>
      <c r="D839" s="1" t="s">
        <v>69</v>
      </c>
      <c r="E839" s="1" t="s">
        <v>112</v>
      </c>
      <c r="F839" s="1" t="n">
        <v>31</v>
      </c>
      <c r="G839" s="1" t="n">
        <v>7</v>
      </c>
      <c r="H839" s="1" t="s">
        <v>70</v>
      </c>
      <c r="I839" s="1" t="n">
        <v>-3.5</v>
      </c>
      <c r="J839" s="1" t="n">
        <v>47</v>
      </c>
      <c r="K839" s="1" t="s">
        <v>165</v>
      </c>
      <c r="L839" s="1" t="b">
        <f aca="false">FALSE()</f>
        <v>0</v>
      </c>
      <c r="M839" s="1" t="str">
        <f aca="false">VLOOKUP(D839,'Team Reference'!$A:$B,2,FALSE())</f>
        <v>DAL</v>
      </c>
      <c r="N839" s="1" t="str">
        <f aca="false">VLOOKUP(E839,'Team Reference'!$A:$B,2,FALSE())</f>
        <v>LAR</v>
      </c>
      <c r="O839" s="1" t="str">
        <f aca="false">IF(F839&gt;G839,M839,IF(G839&gt;F839,N839,"Tie"))</f>
        <v>DAL</v>
      </c>
      <c r="P839" s="1" t="n">
        <f aca="false">F839-G839</f>
        <v>24</v>
      </c>
      <c r="Q839" s="1" t="n">
        <f aca="false">F839+G839</f>
        <v>38</v>
      </c>
      <c r="R839" s="1" t="str">
        <f aca="false">IF(H839=M839,"Home",IF(H839=N839,"Away",IF(H839="PICK","Pick","N/A")))</f>
        <v>Home</v>
      </c>
      <c r="S839" s="1" t="n">
        <f aca="false">IF(R839="Home",P839,IF(R839="Away",-P839,""))</f>
        <v>24</v>
      </c>
      <c r="T839" s="1" t="str">
        <f aca="false">IF(R839="Pick","No Line",IF(S839="","N/A",IF(S839+I839&gt;0,"Favorite Covered",IF(S839+I839&lt;0,"Underdog Covered","Push"))))</f>
        <v>Favorite Covered</v>
      </c>
      <c r="U839" s="1" t="str">
        <f aca="false">IF(Q839&gt;J839,"Over",IF(Q839&lt;J839,"Under","Push"))</f>
        <v>Under</v>
      </c>
    </row>
    <row r="840" customFormat="false" ht="15" hidden="false" customHeight="false" outlineLevel="0" collapsed="false">
      <c r="A840" s="1" t="s">
        <v>355</v>
      </c>
      <c r="B840" s="1" t="n">
        <v>2013</v>
      </c>
      <c r="C840" s="1" t="s">
        <v>176</v>
      </c>
      <c r="D840" s="1" t="s">
        <v>89</v>
      </c>
      <c r="E840" s="1" t="s">
        <v>55</v>
      </c>
      <c r="F840" s="1" t="n">
        <v>27</v>
      </c>
      <c r="G840" s="1" t="n">
        <v>23</v>
      </c>
      <c r="H840" s="1" t="s">
        <v>90</v>
      </c>
      <c r="I840" s="1" t="n">
        <v>-2.5</v>
      </c>
      <c r="J840" s="1" t="n">
        <v>46</v>
      </c>
      <c r="K840" s="1" t="s">
        <v>179</v>
      </c>
      <c r="L840" s="1" t="b">
        <f aca="false">FALSE()</f>
        <v>0</v>
      </c>
      <c r="M840" s="1" t="str">
        <f aca="false">VLOOKUP(D840,'Team Reference'!$A:$B,2,FALSE())</f>
        <v>MIA</v>
      </c>
      <c r="N840" s="1" t="str">
        <f aca="false">VLOOKUP(E840,'Team Reference'!$A:$B,2,FALSE())</f>
        <v>ATL</v>
      </c>
      <c r="O840" s="1" t="str">
        <f aca="false">IF(F840&gt;G840,M840,IF(G840&gt;F840,N840,"Tie"))</f>
        <v>MIA</v>
      </c>
      <c r="P840" s="1" t="n">
        <f aca="false">F840-G840</f>
        <v>4</v>
      </c>
      <c r="Q840" s="1" t="n">
        <f aca="false">F840+G840</f>
        <v>50</v>
      </c>
      <c r="R840" s="1" t="str">
        <f aca="false">IF(H840=M840,"Home",IF(H840=N840,"Away",IF(H840="PICK","Pick","N/A")))</f>
        <v>Home</v>
      </c>
      <c r="S840" s="1" t="n">
        <f aca="false">IF(R840="Home",P840,IF(R840="Away",-P840,""))</f>
        <v>4</v>
      </c>
      <c r="T840" s="1" t="str">
        <f aca="false">IF(R840="Pick","No Line",IF(S840="","N/A",IF(S840+I840&gt;0,"Favorite Covered",IF(S840+I840&lt;0,"Underdog Covered","Push"))))</f>
        <v>Favorite Covered</v>
      </c>
      <c r="U840" s="1" t="str">
        <f aca="false">IF(Q840&gt;J840,"Over",IF(Q840&lt;J840,"Under","Push"))</f>
        <v>Over</v>
      </c>
    </row>
    <row r="841" customFormat="false" ht="15" hidden="false" customHeight="false" outlineLevel="0" collapsed="false">
      <c r="A841" s="1" t="s">
        <v>355</v>
      </c>
      <c r="B841" s="1" t="n">
        <v>2013</v>
      </c>
      <c r="C841" s="1" t="s">
        <v>176</v>
      </c>
      <c r="D841" s="1" t="s">
        <v>91</v>
      </c>
      <c r="E841" s="1" t="s">
        <v>67</v>
      </c>
      <c r="F841" s="1" t="n">
        <v>27</v>
      </c>
      <c r="G841" s="1" t="n">
        <v>31</v>
      </c>
      <c r="H841" s="1" t="s">
        <v>92</v>
      </c>
      <c r="I841" s="1" t="n">
        <v>-7</v>
      </c>
      <c r="J841" s="1" t="n">
        <v>40.5</v>
      </c>
      <c r="K841" s="1" t="s">
        <v>170</v>
      </c>
      <c r="L841" s="1" t="b">
        <f aca="false">FALSE()</f>
        <v>0</v>
      </c>
      <c r="M841" s="1" t="str">
        <f aca="false">VLOOKUP(D841,'Team Reference'!$A:$B,2,FALSE())</f>
        <v>MIN</v>
      </c>
      <c r="N841" s="1" t="str">
        <f aca="false">VLOOKUP(E841,'Team Reference'!$A:$B,2,FALSE())</f>
        <v>CLE</v>
      </c>
      <c r="O841" s="1" t="str">
        <f aca="false">IF(F841&gt;G841,M841,IF(G841&gt;F841,N841,"Tie"))</f>
        <v>CLE</v>
      </c>
      <c r="P841" s="1" t="n">
        <f aca="false">F841-G841</f>
        <v>-4</v>
      </c>
      <c r="Q841" s="1" t="n">
        <f aca="false">F841+G841</f>
        <v>58</v>
      </c>
      <c r="R841" s="1" t="str">
        <f aca="false">IF(H841=M841,"Home",IF(H841=N841,"Away",IF(H841="PICK","Pick","N/A")))</f>
        <v>Home</v>
      </c>
      <c r="S841" s="1" t="n">
        <f aca="false">IF(R841="Home",P841,IF(R841="Away",-P841,""))</f>
        <v>-4</v>
      </c>
      <c r="T841" s="1" t="str">
        <f aca="false">IF(R841="Pick","No Line",IF(S841="","N/A",IF(S841+I841&gt;0,"Favorite Covered",IF(S841+I841&lt;0,"Underdog Covered","Push"))))</f>
        <v>Underdog Covered</v>
      </c>
      <c r="U841" s="1" t="str">
        <f aca="false">IF(Q841&gt;J841,"Over",IF(Q841&lt;J841,"Under","Push"))</f>
        <v>Over</v>
      </c>
    </row>
    <row r="842" customFormat="false" ht="15" hidden="false" customHeight="false" outlineLevel="0" collapsed="false">
      <c r="A842" s="1" t="s">
        <v>355</v>
      </c>
      <c r="B842" s="1" t="n">
        <v>2013</v>
      </c>
      <c r="C842" s="1" t="s">
        <v>176</v>
      </c>
      <c r="D842" s="1" t="s">
        <v>93</v>
      </c>
      <c r="E842" s="1" t="s">
        <v>113</v>
      </c>
      <c r="F842" s="1" t="n">
        <v>23</v>
      </c>
      <c r="G842" s="1" t="n">
        <v>3</v>
      </c>
      <c r="H842" s="1" t="s">
        <v>94</v>
      </c>
      <c r="I842" s="1" t="n">
        <v>-7.5</v>
      </c>
      <c r="J842" s="1" t="n">
        <v>45</v>
      </c>
      <c r="K842" s="1" t="s">
        <v>148</v>
      </c>
      <c r="L842" s="1" t="b">
        <f aca="false">FALSE()</f>
        <v>0</v>
      </c>
      <c r="M842" s="1" t="str">
        <f aca="false">VLOOKUP(D842,'Team Reference'!$A:$B,2,FALSE())</f>
        <v>NE</v>
      </c>
      <c r="N842" s="1" t="str">
        <f aca="false">VLOOKUP(E842,'Team Reference'!$A:$B,2,FALSE())</f>
        <v>TB</v>
      </c>
      <c r="O842" s="1" t="str">
        <f aca="false">IF(F842&gt;G842,M842,IF(G842&gt;F842,N842,"Tie"))</f>
        <v>NE</v>
      </c>
      <c r="P842" s="1" t="n">
        <f aca="false">F842-G842</f>
        <v>20</v>
      </c>
      <c r="Q842" s="1" t="n">
        <f aca="false">F842+G842</f>
        <v>26</v>
      </c>
      <c r="R842" s="1" t="str">
        <f aca="false">IF(H842=M842,"Home",IF(H842=N842,"Away",IF(H842="PICK","Pick","N/A")))</f>
        <v>Home</v>
      </c>
      <c r="S842" s="1" t="n">
        <f aca="false">IF(R842="Home",P842,IF(R842="Away",-P842,""))</f>
        <v>20</v>
      </c>
      <c r="T842" s="1" t="str">
        <f aca="false">IF(R842="Pick","No Line",IF(S842="","N/A",IF(S842+I842&gt;0,"Favorite Covered",IF(S842+I842&lt;0,"Underdog Covered","Push"))))</f>
        <v>Favorite Covered</v>
      </c>
      <c r="U842" s="1" t="str">
        <f aca="false">IF(Q842&gt;J842,"Over",IF(Q842&lt;J842,"Under","Push"))</f>
        <v>Under</v>
      </c>
    </row>
    <row r="843" customFormat="false" ht="15" hidden="false" customHeight="false" outlineLevel="0" collapsed="false">
      <c r="A843" s="1" t="s">
        <v>355</v>
      </c>
      <c r="B843" s="1" t="n">
        <v>2013</v>
      </c>
      <c r="C843" s="1" t="s">
        <v>176</v>
      </c>
      <c r="D843" s="1" t="s">
        <v>95</v>
      </c>
      <c r="E843" s="1" t="s">
        <v>53</v>
      </c>
      <c r="F843" s="1" t="n">
        <v>31</v>
      </c>
      <c r="G843" s="1" t="n">
        <v>7</v>
      </c>
      <c r="H843" s="1" t="s">
        <v>96</v>
      </c>
      <c r="I843" s="1" t="n">
        <v>-7.5</v>
      </c>
      <c r="J843" s="1" t="n">
        <v>49.5</v>
      </c>
      <c r="K843" s="1" t="s">
        <v>142</v>
      </c>
      <c r="L843" s="1" t="b">
        <f aca="false">FALSE()</f>
        <v>0</v>
      </c>
      <c r="M843" s="1" t="str">
        <f aca="false">VLOOKUP(D843,'Team Reference'!$A:$B,2,FALSE())</f>
        <v>NO</v>
      </c>
      <c r="N843" s="1" t="str">
        <f aca="false">VLOOKUP(E843,'Team Reference'!$A:$B,2,FALSE())</f>
        <v>ARI</v>
      </c>
      <c r="O843" s="1" t="str">
        <f aca="false">IF(F843&gt;G843,M843,IF(G843&gt;F843,N843,"Tie"))</f>
        <v>NO</v>
      </c>
      <c r="P843" s="1" t="n">
        <f aca="false">F843-G843</f>
        <v>24</v>
      </c>
      <c r="Q843" s="1" t="n">
        <f aca="false">F843+G843</f>
        <v>38</v>
      </c>
      <c r="R843" s="1" t="str">
        <f aca="false">IF(H843=M843,"Home",IF(H843=N843,"Away",IF(H843="PICK","Pick","N/A")))</f>
        <v>Home</v>
      </c>
      <c r="S843" s="1" t="n">
        <f aca="false">IF(R843="Home",P843,IF(R843="Away",-P843,""))</f>
        <v>24</v>
      </c>
      <c r="T843" s="1" t="str">
        <f aca="false">IF(R843="Pick","No Line",IF(S843="","N/A",IF(S843+I843&gt;0,"Favorite Covered",IF(S843+I843&lt;0,"Underdog Covered","Push"))))</f>
        <v>Favorite Covered</v>
      </c>
      <c r="U843" s="1" t="str">
        <f aca="false">IF(Q843&gt;J843,"Over",IF(Q843&lt;J843,"Under","Push"))</f>
        <v>Under</v>
      </c>
    </row>
    <row r="844" customFormat="false" ht="15" hidden="false" customHeight="false" outlineLevel="0" collapsed="false">
      <c r="A844" s="1" t="s">
        <v>355</v>
      </c>
      <c r="B844" s="1" t="n">
        <v>2013</v>
      </c>
      <c r="C844" s="1" t="s">
        <v>176</v>
      </c>
      <c r="D844" s="1" t="s">
        <v>99</v>
      </c>
      <c r="E844" s="1" t="s">
        <v>59</v>
      </c>
      <c r="F844" s="1" t="n">
        <v>27</v>
      </c>
      <c r="G844" s="1" t="n">
        <v>20</v>
      </c>
      <c r="H844" s="1" t="s">
        <v>100</v>
      </c>
      <c r="I844" s="1" t="n">
        <v>-2.5</v>
      </c>
      <c r="J844" s="1" t="n">
        <v>41</v>
      </c>
      <c r="K844" s="1" t="s">
        <v>149</v>
      </c>
      <c r="L844" s="1" t="b">
        <f aca="false">FALSE()</f>
        <v>0</v>
      </c>
      <c r="M844" s="1" t="str">
        <f aca="false">VLOOKUP(D844,'Team Reference'!$A:$B,2,FALSE())</f>
        <v>NYJ</v>
      </c>
      <c r="N844" s="1" t="str">
        <f aca="false">VLOOKUP(E844,'Team Reference'!$A:$B,2,FALSE())</f>
        <v>BUF</v>
      </c>
      <c r="O844" s="1" t="str">
        <f aca="false">IF(F844&gt;G844,M844,IF(G844&gt;F844,N844,"Tie"))</f>
        <v>NYJ</v>
      </c>
      <c r="P844" s="1" t="n">
        <f aca="false">F844-G844</f>
        <v>7</v>
      </c>
      <c r="Q844" s="1" t="n">
        <f aca="false">F844+G844</f>
        <v>47</v>
      </c>
      <c r="R844" s="1" t="str">
        <f aca="false">IF(H844=M844,"Home",IF(H844=N844,"Away",IF(H844="PICK","Pick","N/A")))</f>
        <v>Home</v>
      </c>
      <c r="S844" s="1" t="n">
        <f aca="false">IF(R844="Home",P844,IF(R844="Away",-P844,""))</f>
        <v>7</v>
      </c>
      <c r="T844" s="1" t="str">
        <f aca="false">IF(R844="Pick","No Line",IF(S844="","N/A",IF(S844+I844&gt;0,"Favorite Covered",IF(S844+I844&lt;0,"Underdog Covered","Push"))))</f>
        <v>Favorite Covered</v>
      </c>
      <c r="U844" s="1" t="str">
        <f aca="false">IF(Q844&gt;J844,"Over",IF(Q844&lt;J844,"Under","Push"))</f>
        <v>Over</v>
      </c>
    </row>
    <row r="845" customFormat="false" ht="15" hidden="false" customHeight="false" outlineLevel="0" collapsed="false">
      <c r="A845" s="1" t="s">
        <v>355</v>
      </c>
      <c r="B845" s="1" t="n">
        <v>2013</v>
      </c>
      <c r="C845" s="1" t="s">
        <v>176</v>
      </c>
      <c r="D845" s="1" t="s">
        <v>105</v>
      </c>
      <c r="E845" s="1" t="s">
        <v>63</v>
      </c>
      <c r="F845" s="1" t="n">
        <v>23</v>
      </c>
      <c r="G845" s="1" t="n">
        <v>40</v>
      </c>
      <c r="H845" s="1" t="s">
        <v>64</v>
      </c>
      <c r="I845" s="1" t="n">
        <v>-2.5</v>
      </c>
      <c r="J845" s="1" t="n">
        <v>41</v>
      </c>
      <c r="K845" s="1" t="s">
        <v>151</v>
      </c>
      <c r="L845" s="1" t="b">
        <f aca="false">FALSE()</f>
        <v>0</v>
      </c>
      <c r="M845" s="1" t="str">
        <f aca="false">VLOOKUP(D845,'Team Reference'!$A:$B,2,FALSE())</f>
        <v>PIT</v>
      </c>
      <c r="N845" s="1" t="str">
        <f aca="false">VLOOKUP(E845,'Team Reference'!$A:$B,2,FALSE())</f>
        <v>CHI</v>
      </c>
      <c r="O845" s="1" t="str">
        <f aca="false">IF(F845&gt;G845,M845,IF(G845&gt;F845,N845,"Tie"))</f>
        <v>CHI</v>
      </c>
      <c r="P845" s="1" t="n">
        <f aca="false">F845-G845</f>
        <v>-17</v>
      </c>
      <c r="Q845" s="1" t="n">
        <f aca="false">F845+G845</f>
        <v>63</v>
      </c>
      <c r="R845" s="1" t="str">
        <f aca="false">IF(H845=M845,"Home",IF(H845=N845,"Away",IF(H845="PICK","Pick","N/A")))</f>
        <v>Away</v>
      </c>
      <c r="S845" s="1" t="n">
        <f aca="false">IF(R845="Home",P845,IF(R845="Away",-P845,""))</f>
        <v>17</v>
      </c>
      <c r="T845" s="1" t="str">
        <f aca="false">IF(R845="Pick","No Line",IF(S845="","N/A",IF(S845+I845&gt;0,"Favorite Covered",IF(S845+I845&lt;0,"Underdog Covered","Push"))))</f>
        <v>Favorite Covered</v>
      </c>
      <c r="U845" s="1" t="str">
        <f aca="false">IF(Q845&gt;J845,"Over",IF(Q845&lt;J845,"Under","Push"))</f>
        <v>Over</v>
      </c>
    </row>
    <row r="846" customFormat="false" ht="15" hidden="false" customHeight="false" outlineLevel="0" collapsed="false">
      <c r="A846" s="1" t="s">
        <v>355</v>
      </c>
      <c r="B846" s="1" t="n">
        <v>2013</v>
      </c>
      <c r="C846" s="1" t="s">
        <v>176</v>
      </c>
      <c r="D846" s="1" t="s">
        <v>108</v>
      </c>
      <c r="E846" s="1" t="s">
        <v>79</v>
      </c>
      <c r="F846" s="1" t="n">
        <v>7</v>
      </c>
      <c r="G846" s="1" t="n">
        <v>27</v>
      </c>
      <c r="H846" s="1" t="s">
        <v>109</v>
      </c>
      <c r="I846" s="1" t="n">
        <v>-10</v>
      </c>
      <c r="J846" s="1" t="n">
        <v>47</v>
      </c>
      <c r="K846" s="1" t="s">
        <v>174</v>
      </c>
      <c r="L846" s="1" t="b">
        <f aca="false">FALSE()</f>
        <v>0</v>
      </c>
      <c r="M846" s="1" t="str">
        <f aca="false">VLOOKUP(D846,'Team Reference'!$A:$B,2,FALSE())</f>
        <v>SF</v>
      </c>
      <c r="N846" s="1" t="str">
        <f aca="false">VLOOKUP(E846,'Team Reference'!$A:$B,2,FALSE())</f>
        <v>IND</v>
      </c>
      <c r="O846" s="1" t="str">
        <f aca="false">IF(F846&gt;G846,M846,IF(G846&gt;F846,N846,"Tie"))</f>
        <v>IND</v>
      </c>
      <c r="P846" s="1" t="n">
        <f aca="false">F846-G846</f>
        <v>-20</v>
      </c>
      <c r="Q846" s="1" t="n">
        <f aca="false">F846+G846</f>
        <v>34</v>
      </c>
      <c r="R846" s="1" t="str">
        <f aca="false">IF(H846=M846,"Home",IF(H846=N846,"Away",IF(H846="PICK","Pick","N/A")))</f>
        <v>Home</v>
      </c>
      <c r="S846" s="1" t="n">
        <f aca="false">IF(R846="Home",P846,IF(R846="Away",-P846,""))</f>
        <v>-20</v>
      </c>
      <c r="T846" s="1" t="str">
        <f aca="false">IF(R846="Pick","No Line",IF(S846="","N/A",IF(S846+I846&gt;0,"Favorite Covered",IF(S846+I846&lt;0,"Underdog Covered","Push"))))</f>
        <v>Underdog Covered</v>
      </c>
      <c r="U846" s="1" t="str">
        <f aca="false">IF(Q846&gt;J846,"Over",IF(Q846&lt;J846,"Under","Push"))</f>
        <v>Under</v>
      </c>
    </row>
    <row r="847" customFormat="false" ht="15" hidden="false" customHeight="false" outlineLevel="0" collapsed="false">
      <c r="A847" s="1" t="s">
        <v>355</v>
      </c>
      <c r="B847" s="1" t="n">
        <v>2013</v>
      </c>
      <c r="C847" s="1" t="s">
        <v>176</v>
      </c>
      <c r="D847" s="1" t="s">
        <v>110</v>
      </c>
      <c r="E847" s="1" t="s">
        <v>81</v>
      </c>
      <c r="F847" s="1" t="n">
        <v>45</v>
      </c>
      <c r="G847" s="1" t="n">
        <v>17</v>
      </c>
      <c r="H847" s="1" t="s">
        <v>111</v>
      </c>
      <c r="I847" s="1" t="n">
        <v>-20</v>
      </c>
      <c r="J847" s="1" t="n">
        <v>39.5</v>
      </c>
      <c r="K847" s="1" t="s">
        <v>152</v>
      </c>
      <c r="L847" s="1" t="b">
        <f aca="false">FALSE()</f>
        <v>0</v>
      </c>
      <c r="M847" s="1" t="str">
        <f aca="false">VLOOKUP(D847,'Team Reference'!$A:$B,2,FALSE())</f>
        <v>SEA</v>
      </c>
      <c r="N847" s="1" t="str">
        <f aca="false">VLOOKUP(E847,'Team Reference'!$A:$B,2,FALSE())</f>
        <v>JAX</v>
      </c>
      <c r="O847" s="1" t="str">
        <f aca="false">IF(F847&gt;G847,M847,IF(G847&gt;F847,N847,"Tie"))</f>
        <v>SEA</v>
      </c>
      <c r="P847" s="1" t="n">
        <f aca="false">F847-G847</f>
        <v>28</v>
      </c>
      <c r="Q847" s="1" t="n">
        <f aca="false">F847+G847</f>
        <v>62</v>
      </c>
      <c r="R847" s="1" t="str">
        <f aca="false">IF(H847=M847,"Home",IF(H847=N847,"Away",IF(H847="PICK","Pick","N/A")))</f>
        <v>Home</v>
      </c>
      <c r="S847" s="1" t="n">
        <f aca="false">IF(R847="Home",P847,IF(R847="Away",-P847,""))</f>
        <v>28</v>
      </c>
      <c r="T847" s="1" t="str">
        <f aca="false">IF(R847="Pick","No Line",IF(S847="","N/A",IF(S847+I847&gt;0,"Favorite Covered",IF(S847+I847&lt;0,"Underdog Covered","Push"))))</f>
        <v>Favorite Covered</v>
      </c>
      <c r="U847" s="1" t="str">
        <f aca="false">IF(Q847&gt;J847,"Over",IF(Q847&lt;J847,"Under","Push"))</f>
        <v>Over</v>
      </c>
    </row>
    <row r="848" customFormat="false" ht="15" hidden="false" customHeight="false" outlineLevel="0" collapsed="false">
      <c r="A848" s="1" t="s">
        <v>355</v>
      </c>
      <c r="B848" s="1" t="n">
        <v>2013</v>
      </c>
      <c r="C848" s="1" t="s">
        <v>176</v>
      </c>
      <c r="D848" s="1" t="s">
        <v>115</v>
      </c>
      <c r="E848" s="1" t="s">
        <v>107</v>
      </c>
      <c r="F848" s="1" t="n">
        <v>20</v>
      </c>
      <c r="G848" s="1" t="n">
        <v>17</v>
      </c>
      <c r="H848" s="1" t="s">
        <v>116</v>
      </c>
      <c r="I848" s="1" t="n">
        <v>-3</v>
      </c>
      <c r="J848" s="1" t="n">
        <v>43.5</v>
      </c>
      <c r="K848" s="1" t="s">
        <v>155</v>
      </c>
      <c r="L848" s="1" t="b">
        <f aca="false">FALSE()</f>
        <v>0</v>
      </c>
      <c r="M848" s="1" t="str">
        <f aca="false">VLOOKUP(D848,'Team Reference'!$A:$B,2,FALSE())</f>
        <v>TEN</v>
      </c>
      <c r="N848" s="1" t="str">
        <f aca="false">VLOOKUP(E848,'Team Reference'!$A:$B,2,FALSE())</f>
        <v>LAC</v>
      </c>
      <c r="O848" s="1" t="str">
        <f aca="false">IF(F848&gt;G848,M848,IF(G848&gt;F848,N848,"Tie"))</f>
        <v>TEN</v>
      </c>
      <c r="P848" s="1" t="n">
        <f aca="false">F848-G848</f>
        <v>3</v>
      </c>
      <c r="Q848" s="1" t="n">
        <f aca="false">F848+G848</f>
        <v>37</v>
      </c>
      <c r="R848" s="1" t="str">
        <f aca="false">IF(H848=M848,"Home",IF(H848=N848,"Away",IF(H848="PICK","Pick","N/A")))</f>
        <v>Home</v>
      </c>
      <c r="S848" s="1" t="n">
        <f aca="false">IF(R848="Home",P848,IF(R848="Away",-P848,""))</f>
        <v>3</v>
      </c>
      <c r="T848" s="1" t="str">
        <f aca="false">IF(R848="Pick","No Line",IF(S848="","N/A",IF(S848+I848&gt;0,"Favorite Covered",IF(S848+I848&lt;0,"Underdog Covered","Push"))))</f>
        <v>Push</v>
      </c>
      <c r="U848" s="1" t="str">
        <f aca="false">IF(Q848&gt;J848,"Over",IF(Q848&lt;J848,"Under","Push"))</f>
        <v>Under</v>
      </c>
    </row>
    <row r="849" customFormat="false" ht="15" hidden="false" customHeight="false" outlineLevel="0" collapsed="false">
      <c r="A849" s="1" t="s">
        <v>355</v>
      </c>
      <c r="B849" s="1" t="n">
        <v>2013</v>
      </c>
      <c r="C849" s="1" t="s">
        <v>176</v>
      </c>
      <c r="D849" s="1" t="s">
        <v>117</v>
      </c>
      <c r="E849" s="1" t="s">
        <v>73</v>
      </c>
      <c r="F849" s="1" t="n">
        <v>20</v>
      </c>
      <c r="G849" s="1" t="n">
        <v>27</v>
      </c>
      <c r="H849" s="1" t="s">
        <v>74</v>
      </c>
      <c r="I849" s="1" t="n">
        <v>-1</v>
      </c>
      <c r="J849" s="1" t="n">
        <v>49.5</v>
      </c>
      <c r="K849" s="1" t="s">
        <v>156</v>
      </c>
      <c r="L849" s="1" t="b">
        <f aca="false">FALSE()</f>
        <v>0</v>
      </c>
      <c r="M849" s="1" t="str">
        <f aca="false">VLOOKUP(D849,'Team Reference'!$A:$B,2,FALSE())</f>
        <v>WAS</v>
      </c>
      <c r="N849" s="1" t="str">
        <f aca="false">VLOOKUP(E849,'Team Reference'!$A:$B,2,FALSE())</f>
        <v>DET</v>
      </c>
      <c r="O849" s="1" t="str">
        <f aca="false">IF(F849&gt;G849,M849,IF(G849&gt;F849,N849,"Tie"))</f>
        <v>DET</v>
      </c>
      <c r="P849" s="1" t="n">
        <f aca="false">F849-G849</f>
        <v>-7</v>
      </c>
      <c r="Q849" s="1" t="n">
        <f aca="false">F849+G849</f>
        <v>47</v>
      </c>
      <c r="R849" s="1" t="str">
        <f aca="false">IF(H849=M849,"Home",IF(H849=N849,"Away",IF(H849="PICK","Pick","N/A")))</f>
        <v>Away</v>
      </c>
      <c r="S849" s="1" t="n">
        <f aca="false">IF(R849="Home",P849,IF(R849="Away",-P849,""))</f>
        <v>7</v>
      </c>
      <c r="T849" s="1" t="str">
        <f aca="false">IF(R849="Pick","No Line",IF(S849="","N/A",IF(S849+I849&gt;0,"Favorite Covered",IF(S849+I849&lt;0,"Underdog Covered","Push"))))</f>
        <v>Favorite Covered</v>
      </c>
      <c r="U849" s="1" t="str">
        <f aca="false">IF(Q849&gt;J849,"Over",IF(Q849&lt;J849,"Under","Push"))</f>
        <v>Under</v>
      </c>
    </row>
    <row r="850" customFormat="false" ht="15" hidden="false" customHeight="false" outlineLevel="0" collapsed="false">
      <c r="A850" s="1" t="s">
        <v>356</v>
      </c>
      <c r="B850" s="1" t="n">
        <v>2013</v>
      </c>
      <c r="C850" s="1" t="s">
        <v>176</v>
      </c>
      <c r="D850" s="1" t="s">
        <v>71</v>
      </c>
      <c r="E850" s="1" t="s">
        <v>101</v>
      </c>
      <c r="F850" s="1" t="n">
        <v>37</v>
      </c>
      <c r="G850" s="1" t="n">
        <v>21</v>
      </c>
      <c r="H850" s="1" t="s">
        <v>72</v>
      </c>
      <c r="I850" s="1" t="n">
        <v>-16.5</v>
      </c>
      <c r="J850" s="1" t="n">
        <v>50</v>
      </c>
      <c r="K850" s="1" t="s">
        <v>166</v>
      </c>
      <c r="L850" s="1" t="b">
        <f aca="false">FALSE()</f>
        <v>0</v>
      </c>
      <c r="M850" s="1" t="str">
        <f aca="false">VLOOKUP(D850,'Team Reference'!$A:$B,2,FALSE())</f>
        <v>DEN</v>
      </c>
      <c r="N850" s="1" t="str">
        <f aca="false">VLOOKUP(E850,'Team Reference'!$A:$B,2,FALSE())</f>
        <v>OAK</v>
      </c>
      <c r="O850" s="1" t="str">
        <f aca="false">IF(F850&gt;G850,M850,IF(G850&gt;F850,N850,"Tie"))</f>
        <v>DEN</v>
      </c>
      <c r="P850" s="1" t="n">
        <f aca="false">F850-G850</f>
        <v>16</v>
      </c>
      <c r="Q850" s="1" t="n">
        <f aca="false">F850+G850</f>
        <v>58</v>
      </c>
      <c r="R850" s="1" t="str">
        <f aca="false">IF(H850=M850,"Home",IF(H850=N850,"Away",IF(H850="PICK","Pick","N/A")))</f>
        <v>Home</v>
      </c>
      <c r="S850" s="1" t="n">
        <f aca="false">IF(R850="Home",P850,IF(R850="Away",-P850,""))</f>
        <v>16</v>
      </c>
      <c r="T850" s="1" t="str">
        <f aca="false">IF(R850="Pick","No Line",IF(S850="","N/A",IF(S850+I850&gt;0,"Favorite Covered",IF(S850+I850&lt;0,"Underdog Covered","Push"))))</f>
        <v>Underdog Covered</v>
      </c>
      <c r="U850" s="1" t="str">
        <f aca="false">IF(Q850&gt;J850,"Over",IF(Q850&lt;J850,"Under","Push"))</f>
        <v>Over</v>
      </c>
    </row>
    <row r="851" customFormat="false" ht="15" hidden="false" customHeight="false" outlineLevel="0" collapsed="false">
      <c r="A851" s="1" t="s">
        <v>357</v>
      </c>
      <c r="B851" s="1" t="n">
        <v>2013</v>
      </c>
      <c r="C851" s="1" t="s">
        <v>182</v>
      </c>
      <c r="D851" s="1" t="s">
        <v>112</v>
      </c>
      <c r="E851" s="1" t="s">
        <v>108</v>
      </c>
      <c r="F851" s="1" t="n">
        <v>11</v>
      </c>
      <c r="G851" s="1" t="n">
        <v>35</v>
      </c>
      <c r="H851" s="1" t="s">
        <v>109</v>
      </c>
      <c r="I851" s="1" t="n">
        <v>-4</v>
      </c>
      <c r="J851" s="1" t="n">
        <v>43.5</v>
      </c>
      <c r="K851" s="1" t="s">
        <v>153</v>
      </c>
      <c r="L851" s="1" t="b">
        <f aca="false">FALSE()</f>
        <v>0</v>
      </c>
      <c r="M851" s="1" t="str">
        <f aca="false">VLOOKUP(D851,'Team Reference'!$A:$B,2,FALSE())</f>
        <v>LAR</v>
      </c>
      <c r="N851" s="1" t="str">
        <f aca="false">VLOOKUP(E851,'Team Reference'!$A:$B,2,FALSE())</f>
        <v>SF</v>
      </c>
      <c r="O851" s="1" t="str">
        <f aca="false">IF(F851&gt;G851,M851,IF(G851&gt;F851,N851,"Tie"))</f>
        <v>SF</v>
      </c>
      <c r="P851" s="1" t="n">
        <f aca="false">F851-G851</f>
        <v>-24</v>
      </c>
      <c r="Q851" s="1" t="n">
        <f aca="false">F851+G851</f>
        <v>46</v>
      </c>
      <c r="R851" s="1" t="str">
        <f aca="false">IF(H851=M851,"Home",IF(H851=N851,"Away",IF(H851="PICK","Pick","N/A")))</f>
        <v>Away</v>
      </c>
      <c r="S851" s="1" t="n">
        <f aca="false">IF(R851="Home",P851,IF(R851="Away",-P851,""))</f>
        <v>24</v>
      </c>
      <c r="T851" s="1" t="str">
        <f aca="false">IF(R851="Pick","No Line",IF(S851="","N/A",IF(S851+I851&gt;0,"Favorite Covered",IF(S851+I851&lt;0,"Underdog Covered","Push"))))</f>
        <v>Favorite Covered</v>
      </c>
      <c r="U851" s="1" t="str">
        <f aca="false">IF(Q851&gt;J851,"Over",IF(Q851&lt;J851,"Under","Push"))</f>
        <v>Over</v>
      </c>
    </row>
    <row r="852" customFormat="false" ht="15" hidden="false" customHeight="false" outlineLevel="0" collapsed="false">
      <c r="A852" s="1" t="s">
        <v>358</v>
      </c>
      <c r="B852" s="1" t="n">
        <v>2013</v>
      </c>
      <c r="C852" s="1" t="s">
        <v>182</v>
      </c>
      <c r="D852" s="1" t="s">
        <v>55</v>
      </c>
      <c r="E852" s="1" t="s">
        <v>93</v>
      </c>
      <c r="F852" s="1" t="n">
        <v>23</v>
      </c>
      <c r="G852" s="1" t="n">
        <v>30</v>
      </c>
      <c r="H852" s="1" t="s">
        <v>56</v>
      </c>
      <c r="I852" s="1" t="n">
        <v>-3</v>
      </c>
      <c r="J852" s="1" t="n">
        <v>50</v>
      </c>
      <c r="K852" s="1" t="s">
        <v>161</v>
      </c>
      <c r="L852" s="1" t="b">
        <f aca="false">FALSE()</f>
        <v>0</v>
      </c>
      <c r="M852" s="1" t="str">
        <f aca="false">VLOOKUP(D852,'Team Reference'!$A:$B,2,FALSE())</f>
        <v>ATL</v>
      </c>
      <c r="N852" s="1" t="str">
        <f aca="false">VLOOKUP(E852,'Team Reference'!$A:$B,2,FALSE())</f>
        <v>NE</v>
      </c>
      <c r="O852" s="1" t="str">
        <f aca="false">IF(F852&gt;G852,M852,IF(G852&gt;F852,N852,"Tie"))</f>
        <v>NE</v>
      </c>
      <c r="P852" s="1" t="n">
        <f aca="false">F852-G852</f>
        <v>-7</v>
      </c>
      <c r="Q852" s="1" t="n">
        <f aca="false">F852+G852</f>
        <v>53</v>
      </c>
      <c r="R852" s="1" t="str">
        <f aca="false">IF(H852=M852,"Home",IF(H852=N852,"Away",IF(H852="PICK","Pick","N/A")))</f>
        <v>Home</v>
      </c>
      <c r="S852" s="1" t="n">
        <f aca="false">IF(R852="Home",P852,IF(R852="Away",-P852,""))</f>
        <v>-7</v>
      </c>
      <c r="T852" s="1" t="str">
        <f aca="false">IF(R852="Pick","No Line",IF(S852="","N/A",IF(S852+I852&gt;0,"Favorite Covered",IF(S852+I852&lt;0,"Underdog Covered","Push"))))</f>
        <v>Underdog Covered</v>
      </c>
      <c r="U852" s="1" t="str">
        <f aca="false">IF(Q852&gt;J852,"Over",IF(Q852&lt;J852,"Under","Push"))</f>
        <v>Over</v>
      </c>
    </row>
    <row r="853" customFormat="false" ht="15" hidden="false" customHeight="false" outlineLevel="0" collapsed="false">
      <c r="A853" s="1" t="s">
        <v>358</v>
      </c>
      <c r="B853" s="1" t="n">
        <v>2013</v>
      </c>
      <c r="C853" s="1" t="s">
        <v>182</v>
      </c>
      <c r="D853" s="1" t="s">
        <v>59</v>
      </c>
      <c r="E853" s="1" t="s">
        <v>57</v>
      </c>
      <c r="F853" s="1" t="n">
        <v>23</v>
      </c>
      <c r="G853" s="1" t="n">
        <v>20</v>
      </c>
      <c r="H853" s="1" t="s">
        <v>58</v>
      </c>
      <c r="I853" s="1" t="n">
        <v>-4</v>
      </c>
      <c r="J853" s="1" t="n">
        <v>45</v>
      </c>
      <c r="K853" s="1" t="s">
        <v>144</v>
      </c>
      <c r="L853" s="1" t="b">
        <f aca="false">FALSE()</f>
        <v>0</v>
      </c>
      <c r="M853" s="1" t="str">
        <f aca="false">VLOOKUP(D853,'Team Reference'!$A:$B,2,FALSE())</f>
        <v>BUF</v>
      </c>
      <c r="N853" s="1" t="str">
        <f aca="false">VLOOKUP(E853,'Team Reference'!$A:$B,2,FALSE())</f>
        <v>BAL</v>
      </c>
      <c r="O853" s="1" t="str">
        <f aca="false">IF(F853&gt;G853,M853,IF(G853&gt;F853,N853,"Tie"))</f>
        <v>BUF</v>
      </c>
      <c r="P853" s="1" t="n">
        <f aca="false">F853-G853</f>
        <v>3</v>
      </c>
      <c r="Q853" s="1" t="n">
        <f aca="false">F853+G853</f>
        <v>43</v>
      </c>
      <c r="R853" s="1" t="str">
        <f aca="false">IF(H853=M853,"Home",IF(H853=N853,"Away",IF(H853="PICK","Pick","N/A")))</f>
        <v>Away</v>
      </c>
      <c r="S853" s="1" t="n">
        <f aca="false">IF(R853="Home",P853,IF(R853="Away",-P853,""))</f>
        <v>-3</v>
      </c>
      <c r="T853" s="1" t="str">
        <f aca="false">IF(R853="Pick","No Line",IF(S853="","N/A",IF(S853+I853&gt;0,"Favorite Covered",IF(S853+I853&lt;0,"Underdog Covered","Push"))))</f>
        <v>Underdog Covered</v>
      </c>
      <c r="U853" s="1" t="str">
        <f aca="false">IF(Q853&gt;J853,"Over",IF(Q853&lt;J853,"Under","Push"))</f>
        <v>Under</v>
      </c>
    </row>
    <row r="854" customFormat="false" ht="15" hidden="false" customHeight="false" outlineLevel="0" collapsed="false">
      <c r="A854" s="1" t="s">
        <v>358</v>
      </c>
      <c r="B854" s="1" t="n">
        <v>2013</v>
      </c>
      <c r="C854" s="1" t="s">
        <v>182</v>
      </c>
      <c r="D854" s="1" t="s">
        <v>67</v>
      </c>
      <c r="E854" s="1" t="s">
        <v>65</v>
      </c>
      <c r="F854" s="1" t="n">
        <v>17</v>
      </c>
      <c r="G854" s="1" t="n">
        <v>6</v>
      </c>
      <c r="H854" s="1" t="s">
        <v>66</v>
      </c>
      <c r="I854" s="1" t="n">
        <v>-4.5</v>
      </c>
      <c r="J854" s="1" t="n">
        <v>42.5</v>
      </c>
      <c r="K854" s="1" t="s">
        <v>164</v>
      </c>
      <c r="L854" s="1" t="b">
        <f aca="false">FALSE()</f>
        <v>0</v>
      </c>
      <c r="M854" s="1" t="str">
        <f aca="false">VLOOKUP(D854,'Team Reference'!$A:$B,2,FALSE())</f>
        <v>CLE</v>
      </c>
      <c r="N854" s="1" t="str">
        <f aca="false">VLOOKUP(E854,'Team Reference'!$A:$B,2,FALSE())</f>
        <v>CIN</v>
      </c>
      <c r="O854" s="1" t="str">
        <f aca="false">IF(F854&gt;G854,M854,IF(G854&gt;F854,N854,"Tie"))</f>
        <v>CLE</v>
      </c>
      <c r="P854" s="1" t="n">
        <f aca="false">F854-G854</f>
        <v>11</v>
      </c>
      <c r="Q854" s="1" t="n">
        <f aca="false">F854+G854</f>
        <v>23</v>
      </c>
      <c r="R854" s="1" t="str">
        <f aca="false">IF(H854=M854,"Home",IF(H854=N854,"Away",IF(H854="PICK","Pick","N/A")))</f>
        <v>Away</v>
      </c>
      <c r="S854" s="1" t="n">
        <f aca="false">IF(R854="Home",P854,IF(R854="Away",-P854,""))</f>
        <v>-11</v>
      </c>
      <c r="T854" s="1" t="str">
        <f aca="false">IF(R854="Pick","No Line",IF(S854="","N/A",IF(S854+I854&gt;0,"Favorite Covered",IF(S854+I854&lt;0,"Underdog Covered","Push"))))</f>
        <v>Underdog Covered</v>
      </c>
      <c r="U854" s="1" t="str">
        <f aca="false">IF(Q854&gt;J854,"Over",IF(Q854&lt;J854,"Under","Push"))</f>
        <v>Under</v>
      </c>
    </row>
    <row r="855" customFormat="false" ht="15" hidden="false" customHeight="false" outlineLevel="0" collapsed="false">
      <c r="A855" s="1" t="s">
        <v>358</v>
      </c>
      <c r="B855" s="1" t="n">
        <v>2013</v>
      </c>
      <c r="C855" s="1" t="s">
        <v>182</v>
      </c>
      <c r="D855" s="1" t="s">
        <v>71</v>
      </c>
      <c r="E855" s="1" t="s">
        <v>103</v>
      </c>
      <c r="F855" s="1" t="n">
        <v>52</v>
      </c>
      <c r="G855" s="1" t="n">
        <v>20</v>
      </c>
      <c r="H855" s="1" t="s">
        <v>72</v>
      </c>
      <c r="I855" s="1" t="n">
        <v>-11.5</v>
      </c>
      <c r="J855" s="1" t="n">
        <v>59</v>
      </c>
      <c r="K855" s="1" t="s">
        <v>166</v>
      </c>
      <c r="L855" s="1" t="b">
        <f aca="false">FALSE()</f>
        <v>0</v>
      </c>
      <c r="M855" s="1" t="str">
        <f aca="false">VLOOKUP(D855,'Team Reference'!$A:$B,2,FALSE())</f>
        <v>DEN</v>
      </c>
      <c r="N855" s="1" t="str">
        <f aca="false">VLOOKUP(E855,'Team Reference'!$A:$B,2,FALSE())</f>
        <v>PHI</v>
      </c>
      <c r="O855" s="1" t="str">
        <f aca="false">IF(F855&gt;G855,M855,IF(G855&gt;F855,N855,"Tie"))</f>
        <v>DEN</v>
      </c>
      <c r="P855" s="1" t="n">
        <f aca="false">F855-G855</f>
        <v>32</v>
      </c>
      <c r="Q855" s="1" t="n">
        <f aca="false">F855+G855</f>
        <v>72</v>
      </c>
      <c r="R855" s="1" t="str">
        <f aca="false">IF(H855=M855,"Home",IF(H855=N855,"Away",IF(H855="PICK","Pick","N/A")))</f>
        <v>Home</v>
      </c>
      <c r="S855" s="1" t="n">
        <f aca="false">IF(R855="Home",P855,IF(R855="Away",-P855,""))</f>
        <v>32</v>
      </c>
      <c r="T855" s="1" t="str">
        <f aca="false">IF(R855="Pick","No Line",IF(S855="","N/A",IF(S855+I855&gt;0,"Favorite Covered",IF(S855+I855&lt;0,"Underdog Covered","Push"))))</f>
        <v>Favorite Covered</v>
      </c>
      <c r="U855" s="1" t="str">
        <f aca="false">IF(Q855&gt;J855,"Over",IF(Q855&lt;J855,"Under","Push"))</f>
        <v>Over</v>
      </c>
    </row>
    <row r="856" customFormat="false" ht="15" hidden="false" customHeight="false" outlineLevel="0" collapsed="false">
      <c r="A856" s="1" t="s">
        <v>358</v>
      </c>
      <c r="B856" s="1" t="n">
        <v>2013</v>
      </c>
      <c r="C856" s="1" t="s">
        <v>182</v>
      </c>
      <c r="D856" s="1" t="s">
        <v>73</v>
      </c>
      <c r="E856" s="1" t="s">
        <v>63</v>
      </c>
      <c r="F856" s="1" t="n">
        <v>40</v>
      </c>
      <c r="G856" s="1" t="n">
        <v>32</v>
      </c>
      <c r="H856" s="1" t="s">
        <v>74</v>
      </c>
      <c r="I856" s="1" t="n">
        <v>-2.5</v>
      </c>
      <c r="J856" s="1" t="n">
        <v>49.5</v>
      </c>
      <c r="K856" s="1" t="s">
        <v>167</v>
      </c>
      <c r="L856" s="1" t="b">
        <f aca="false">FALSE()</f>
        <v>0</v>
      </c>
      <c r="M856" s="1" t="str">
        <f aca="false">VLOOKUP(D856,'Team Reference'!$A:$B,2,FALSE())</f>
        <v>DET</v>
      </c>
      <c r="N856" s="1" t="str">
        <f aca="false">VLOOKUP(E856,'Team Reference'!$A:$B,2,FALSE())</f>
        <v>CHI</v>
      </c>
      <c r="O856" s="1" t="str">
        <f aca="false">IF(F856&gt;G856,M856,IF(G856&gt;F856,N856,"Tie"))</f>
        <v>DET</v>
      </c>
      <c r="P856" s="1" t="n">
        <f aca="false">F856-G856</f>
        <v>8</v>
      </c>
      <c r="Q856" s="1" t="n">
        <f aca="false">F856+G856</f>
        <v>72</v>
      </c>
      <c r="R856" s="1" t="str">
        <f aca="false">IF(H856=M856,"Home",IF(H856=N856,"Away",IF(H856="PICK","Pick","N/A")))</f>
        <v>Home</v>
      </c>
      <c r="S856" s="1" t="n">
        <f aca="false">IF(R856="Home",P856,IF(R856="Away",-P856,""))</f>
        <v>8</v>
      </c>
      <c r="T856" s="1" t="str">
        <f aca="false">IF(R856="Pick","No Line",IF(S856="","N/A",IF(S856+I856&gt;0,"Favorite Covered",IF(S856+I856&lt;0,"Underdog Covered","Push"))))</f>
        <v>Favorite Covered</v>
      </c>
      <c r="U856" s="1" t="str">
        <f aca="false">IF(Q856&gt;J856,"Over",IF(Q856&lt;J856,"Under","Push"))</f>
        <v>Over</v>
      </c>
    </row>
    <row r="857" customFormat="false" ht="15" hidden="false" customHeight="false" outlineLevel="0" collapsed="false">
      <c r="A857" s="1" t="s">
        <v>358</v>
      </c>
      <c r="B857" s="1" t="n">
        <v>2013</v>
      </c>
      <c r="C857" s="1" t="s">
        <v>182</v>
      </c>
      <c r="D857" s="1" t="s">
        <v>77</v>
      </c>
      <c r="E857" s="1" t="s">
        <v>110</v>
      </c>
      <c r="F857" s="1" t="n">
        <v>20</v>
      </c>
      <c r="G857" s="1" t="n">
        <v>23</v>
      </c>
      <c r="H857" s="1" t="s">
        <v>111</v>
      </c>
      <c r="I857" s="1" t="n">
        <v>-2</v>
      </c>
      <c r="J857" s="1" t="n">
        <v>41</v>
      </c>
      <c r="K857" s="1" t="s">
        <v>146</v>
      </c>
      <c r="L857" s="1" t="b">
        <f aca="false">FALSE()</f>
        <v>0</v>
      </c>
      <c r="M857" s="1" t="str">
        <f aca="false">VLOOKUP(D857,'Team Reference'!$A:$B,2,FALSE())</f>
        <v>HOU</v>
      </c>
      <c r="N857" s="1" t="str">
        <f aca="false">VLOOKUP(E857,'Team Reference'!$A:$B,2,FALSE())</f>
        <v>SEA</v>
      </c>
      <c r="O857" s="1" t="str">
        <f aca="false">IF(F857&gt;G857,M857,IF(G857&gt;F857,N857,"Tie"))</f>
        <v>SEA</v>
      </c>
      <c r="P857" s="1" t="n">
        <f aca="false">F857-G857</f>
        <v>-3</v>
      </c>
      <c r="Q857" s="1" t="n">
        <f aca="false">F857+G857</f>
        <v>43</v>
      </c>
      <c r="R857" s="1" t="str">
        <f aca="false">IF(H857=M857,"Home",IF(H857=N857,"Away",IF(H857="PICK","Pick","N/A")))</f>
        <v>Away</v>
      </c>
      <c r="S857" s="1" t="n">
        <f aca="false">IF(R857="Home",P857,IF(R857="Away",-P857,""))</f>
        <v>3</v>
      </c>
      <c r="T857" s="1" t="str">
        <f aca="false">IF(R857="Pick","No Line",IF(S857="","N/A",IF(S857+I857&gt;0,"Favorite Covered",IF(S857+I857&lt;0,"Underdog Covered","Push"))))</f>
        <v>Favorite Covered</v>
      </c>
      <c r="U857" s="1" t="str">
        <f aca="false">IF(Q857&gt;J857,"Over",IF(Q857&lt;J857,"Under","Push"))</f>
        <v>Over</v>
      </c>
    </row>
    <row r="858" customFormat="false" ht="15" hidden="false" customHeight="false" outlineLevel="0" collapsed="false">
      <c r="A858" s="1" t="s">
        <v>358</v>
      </c>
      <c r="B858" s="1" t="n">
        <v>2013</v>
      </c>
      <c r="C858" s="1" t="s">
        <v>182</v>
      </c>
      <c r="D858" s="1" t="s">
        <v>81</v>
      </c>
      <c r="E858" s="1" t="s">
        <v>79</v>
      </c>
      <c r="F858" s="1" t="n">
        <v>3</v>
      </c>
      <c r="G858" s="1" t="n">
        <v>37</v>
      </c>
      <c r="H858" s="1" t="s">
        <v>80</v>
      </c>
      <c r="I858" s="1" t="n">
        <v>-9.5</v>
      </c>
      <c r="J858" s="1" t="n">
        <v>42.5</v>
      </c>
      <c r="K858" s="1" t="s">
        <v>147</v>
      </c>
      <c r="L858" s="1" t="b">
        <f aca="false">FALSE()</f>
        <v>0</v>
      </c>
      <c r="M858" s="1" t="str">
        <f aca="false">VLOOKUP(D858,'Team Reference'!$A:$B,2,FALSE())</f>
        <v>JAX</v>
      </c>
      <c r="N858" s="1" t="str">
        <f aca="false">VLOOKUP(E858,'Team Reference'!$A:$B,2,FALSE())</f>
        <v>IND</v>
      </c>
      <c r="O858" s="1" t="str">
        <f aca="false">IF(F858&gt;G858,M858,IF(G858&gt;F858,N858,"Tie"))</f>
        <v>IND</v>
      </c>
      <c r="P858" s="1" t="n">
        <f aca="false">F858-G858</f>
        <v>-34</v>
      </c>
      <c r="Q858" s="1" t="n">
        <f aca="false">F858+G858</f>
        <v>40</v>
      </c>
      <c r="R858" s="1" t="str">
        <f aca="false">IF(H858=M858,"Home",IF(H858=N858,"Away",IF(H858="PICK","Pick","N/A")))</f>
        <v>Away</v>
      </c>
      <c r="S858" s="1" t="n">
        <f aca="false">IF(R858="Home",P858,IF(R858="Away",-P858,""))</f>
        <v>34</v>
      </c>
      <c r="T858" s="1" t="str">
        <f aca="false">IF(R858="Pick","No Line",IF(S858="","N/A",IF(S858+I858&gt;0,"Favorite Covered",IF(S858+I858&lt;0,"Underdog Covered","Push"))))</f>
        <v>Favorite Covered</v>
      </c>
      <c r="U858" s="1" t="str">
        <f aca="false">IF(Q858&gt;J858,"Over",IF(Q858&lt;J858,"Under","Push"))</f>
        <v>Under</v>
      </c>
    </row>
    <row r="859" customFormat="false" ht="15" hidden="false" customHeight="false" outlineLevel="0" collapsed="false">
      <c r="A859" s="1" t="s">
        <v>358</v>
      </c>
      <c r="B859" s="1" t="n">
        <v>2013</v>
      </c>
      <c r="C859" s="1" t="s">
        <v>182</v>
      </c>
      <c r="D859" s="1" t="s">
        <v>83</v>
      </c>
      <c r="E859" s="1" t="s">
        <v>97</v>
      </c>
      <c r="F859" s="1" t="n">
        <v>31</v>
      </c>
      <c r="G859" s="1" t="n">
        <v>7</v>
      </c>
      <c r="H859" s="1" t="s">
        <v>84</v>
      </c>
      <c r="I859" s="1" t="n">
        <v>-4.5</v>
      </c>
      <c r="J859" s="1" t="n">
        <v>44</v>
      </c>
      <c r="K859" s="1" t="s">
        <v>158</v>
      </c>
      <c r="L859" s="1" t="b">
        <f aca="false">FALSE()</f>
        <v>0</v>
      </c>
      <c r="M859" s="1" t="str">
        <f aca="false">VLOOKUP(D859,'Team Reference'!$A:$B,2,FALSE())</f>
        <v>KC</v>
      </c>
      <c r="N859" s="1" t="str">
        <f aca="false">VLOOKUP(E859,'Team Reference'!$A:$B,2,FALSE())</f>
        <v>NYG</v>
      </c>
      <c r="O859" s="1" t="str">
        <f aca="false">IF(F859&gt;G859,M859,IF(G859&gt;F859,N859,"Tie"))</f>
        <v>KC</v>
      </c>
      <c r="P859" s="1" t="n">
        <f aca="false">F859-G859</f>
        <v>24</v>
      </c>
      <c r="Q859" s="1" t="n">
        <f aca="false">F859+G859</f>
        <v>38</v>
      </c>
      <c r="R859" s="1" t="str">
        <f aca="false">IF(H859=M859,"Home",IF(H859=N859,"Away",IF(H859="PICK","Pick","N/A")))</f>
        <v>Home</v>
      </c>
      <c r="S859" s="1" t="n">
        <f aca="false">IF(R859="Home",P859,IF(R859="Away",-P859,""))</f>
        <v>24</v>
      </c>
      <c r="T859" s="1" t="str">
        <f aca="false">IF(R859="Pick","No Line",IF(S859="","N/A",IF(S859+I859&gt;0,"Favorite Covered",IF(S859+I859&lt;0,"Underdog Covered","Push"))))</f>
        <v>Favorite Covered</v>
      </c>
      <c r="U859" s="1" t="str">
        <f aca="false">IF(Q859&gt;J859,"Over",IF(Q859&lt;J859,"Under","Push"))</f>
        <v>Under</v>
      </c>
    </row>
    <row r="860" customFormat="false" ht="15" hidden="false" customHeight="false" outlineLevel="0" collapsed="false">
      <c r="A860" s="1" t="s">
        <v>358</v>
      </c>
      <c r="B860" s="1" t="n">
        <v>2013</v>
      </c>
      <c r="C860" s="1" t="s">
        <v>182</v>
      </c>
      <c r="D860" s="1" t="s">
        <v>91</v>
      </c>
      <c r="E860" s="1" t="s">
        <v>105</v>
      </c>
      <c r="F860" s="1" t="n">
        <v>34</v>
      </c>
      <c r="G860" s="1" t="n">
        <v>27</v>
      </c>
      <c r="H860" s="1" t="s">
        <v>106</v>
      </c>
      <c r="I860" s="1" t="n">
        <v>-3</v>
      </c>
      <c r="J860" s="1" t="n">
        <v>42.5</v>
      </c>
      <c r="K860" s="1" t="s">
        <v>195</v>
      </c>
      <c r="L860" s="1" t="b">
        <f aca="false">FALSE()</f>
        <v>0</v>
      </c>
      <c r="M860" s="1" t="str">
        <f aca="false">VLOOKUP(D860,'Team Reference'!$A:$B,2,FALSE())</f>
        <v>MIN</v>
      </c>
      <c r="N860" s="1" t="str">
        <f aca="false">VLOOKUP(E860,'Team Reference'!$A:$B,2,FALSE())</f>
        <v>PIT</v>
      </c>
      <c r="O860" s="1" t="str">
        <f aca="false">IF(F860&gt;G860,M860,IF(G860&gt;F860,N860,"Tie"))</f>
        <v>MIN</v>
      </c>
      <c r="P860" s="1" t="n">
        <f aca="false">F860-G860</f>
        <v>7</v>
      </c>
      <c r="Q860" s="1" t="n">
        <f aca="false">F860+G860</f>
        <v>61</v>
      </c>
      <c r="R860" s="1" t="str">
        <f aca="false">IF(H860=M860,"Home",IF(H860=N860,"Away",IF(H860="PICK","Pick","N/A")))</f>
        <v>Away</v>
      </c>
      <c r="S860" s="1" t="n">
        <f aca="false">IF(R860="Home",P860,IF(R860="Away",-P860,""))</f>
        <v>-7</v>
      </c>
      <c r="T860" s="1" t="str">
        <f aca="false">IF(R860="Pick","No Line",IF(S860="","N/A",IF(S860+I860&gt;0,"Favorite Covered",IF(S860+I860&lt;0,"Underdog Covered","Push"))))</f>
        <v>Underdog Covered</v>
      </c>
      <c r="U860" s="1" t="str">
        <f aca="false">IF(Q860&gt;J860,"Over",IF(Q860&lt;J860,"Under","Push"))</f>
        <v>Over</v>
      </c>
    </row>
    <row r="861" customFormat="false" ht="15" hidden="false" customHeight="false" outlineLevel="0" collapsed="false">
      <c r="A861" s="1" t="s">
        <v>358</v>
      </c>
      <c r="B861" s="1" t="n">
        <v>2013</v>
      </c>
      <c r="C861" s="1" t="s">
        <v>182</v>
      </c>
      <c r="D861" s="1" t="s">
        <v>101</v>
      </c>
      <c r="E861" s="1" t="s">
        <v>117</v>
      </c>
      <c r="F861" s="1" t="n">
        <v>14</v>
      </c>
      <c r="G861" s="1" t="n">
        <v>24</v>
      </c>
      <c r="H861" s="1" t="s">
        <v>118</v>
      </c>
      <c r="I861" s="1" t="n">
        <v>-4</v>
      </c>
      <c r="J861" s="1" t="n">
        <v>46</v>
      </c>
      <c r="K861" s="1" t="s">
        <v>171</v>
      </c>
      <c r="L861" s="1" t="b">
        <f aca="false">FALSE()</f>
        <v>0</v>
      </c>
      <c r="M861" s="1" t="str">
        <f aca="false">VLOOKUP(D861,'Team Reference'!$A:$B,2,FALSE())</f>
        <v>OAK</v>
      </c>
      <c r="N861" s="1" t="str">
        <f aca="false">VLOOKUP(E861,'Team Reference'!$A:$B,2,FALSE())</f>
        <v>WAS</v>
      </c>
      <c r="O861" s="1" t="str">
        <f aca="false">IF(F861&gt;G861,M861,IF(G861&gt;F861,N861,"Tie"))</f>
        <v>WAS</v>
      </c>
      <c r="P861" s="1" t="n">
        <f aca="false">F861-G861</f>
        <v>-10</v>
      </c>
      <c r="Q861" s="1" t="n">
        <f aca="false">F861+G861</f>
        <v>38</v>
      </c>
      <c r="R861" s="1" t="str">
        <f aca="false">IF(H861=M861,"Home",IF(H861=N861,"Away",IF(H861="PICK","Pick","N/A")))</f>
        <v>Away</v>
      </c>
      <c r="S861" s="1" t="n">
        <f aca="false">IF(R861="Home",P861,IF(R861="Away",-P861,""))</f>
        <v>10</v>
      </c>
      <c r="T861" s="1" t="str">
        <f aca="false">IF(R861="Pick","No Line",IF(S861="","N/A",IF(S861+I861&gt;0,"Favorite Covered",IF(S861+I861&lt;0,"Underdog Covered","Push"))))</f>
        <v>Favorite Covered</v>
      </c>
      <c r="U861" s="1" t="str">
        <f aca="false">IF(Q861&gt;J861,"Over",IF(Q861&lt;J861,"Under","Push"))</f>
        <v>Under</v>
      </c>
    </row>
    <row r="862" customFormat="false" ht="15" hidden="false" customHeight="false" outlineLevel="0" collapsed="false">
      <c r="A862" s="1" t="s">
        <v>358</v>
      </c>
      <c r="B862" s="1" t="n">
        <v>2013</v>
      </c>
      <c r="C862" s="1" t="s">
        <v>182</v>
      </c>
      <c r="D862" s="1" t="s">
        <v>107</v>
      </c>
      <c r="E862" s="1" t="s">
        <v>69</v>
      </c>
      <c r="F862" s="1" t="n">
        <v>30</v>
      </c>
      <c r="G862" s="1" t="n">
        <v>21</v>
      </c>
      <c r="H862" s="1" t="s">
        <v>70</v>
      </c>
      <c r="I862" s="1" t="n">
        <v>-1.5</v>
      </c>
      <c r="J862" s="1" t="n">
        <v>48</v>
      </c>
      <c r="K862" s="1" t="s">
        <v>172</v>
      </c>
      <c r="L862" s="1" t="b">
        <f aca="false">FALSE()</f>
        <v>0</v>
      </c>
      <c r="M862" s="1" t="str">
        <f aca="false">VLOOKUP(D862,'Team Reference'!$A:$B,2,FALSE())</f>
        <v>LAC</v>
      </c>
      <c r="N862" s="1" t="str">
        <f aca="false">VLOOKUP(E862,'Team Reference'!$A:$B,2,FALSE())</f>
        <v>DAL</v>
      </c>
      <c r="O862" s="1" t="str">
        <f aca="false">IF(F862&gt;G862,M862,IF(G862&gt;F862,N862,"Tie"))</f>
        <v>LAC</v>
      </c>
      <c r="P862" s="1" t="n">
        <f aca="false">F862-G862</f>
        <v>9</v>
      </c>
      <c r="Q862" s="1" t="n">
        <f aca="false">F862+G862</f>
        <v>51</v>
      </c>
      <c r="R862" s="1" t="str">
        <f aca="false">IF(H862=M862,"Home",IF(H862=N862,"Away",IF(H862="PICK","Pick","N/A")))</f>
        <v>Away</v>
      </c>
      <c r="S862" s="1" t="n">
        <f aca="false">IF(R862="Home",P862,IF(R862="Away",-P862,""))</f>
        <v>-9</v>
      </c>
      <c r="T862" s="1" t="str">
        <f aca="false">IF(R862="Pick","No Line",IF(S862="","N/A",IF(S862+I862&gt;0,"Favorite Covered",IF(S862+I862&lt;0,"Underdog Covered","Push"))))</f>
        <v>Underdog Covered</v>
      </c>
      <c r="U862" s="1" t="str">
        <f aca="false">IF(Q862&gt;J862,"Over",IF(Q862&lt;J862,"Under","Push"))</f>
        <v>Over</v>
      </c>
    </row>
    <row r="863" customFormat="false" ht="15" hidden="false" customHeight="false" outlineLevel="0" collapsed="false">
      <c r="A863" s="1" t="s">
        <v>358</v>
      </c>
      <c r="B863" s="1" t="n">
        <v>2013</v>
      </c>
      <c r="C863" s="1" t="s">
        <v>182</v>
      </c>
      <c r="D863" s="1" t="s">
        <v>113</v>
      </c>
      <c r="E863" s="1" t="s">
        <v>53</v>
      </c>
      <c r="F863" s="1" t="n">
        <v>10</v>
      </c>
      <c r="G863" s="1" t="n">
        <v>13</v>
      </c>
      <c r="H863" s="1" t="s">
        <v>114</v>
      </c>
      <c r="I863" s="1" t="n">
        <v>-2.5</v>
      </c>
      <c r="J863" s="1" t="n">
        <v>40</v>
      </c>
      <c r="K863" s="1" t="s">
        <v>154</v>
      </c>
      <c r="L863" s="1" t="b">
        <f aca="false">FALSE()</f>
        <v>0</v>
      </c>
      <c r="M863" s="1" t="str">
        <f aca="false">VLOOKUP(D863,'Team Reference'!$A:$B,2,FALSE())</f>
        <v>TB</v>
      </c>
      <c r="N863" s="1" t="str">
        <f aca="false">VLOOKUP(E863,'Team Reference'!$A:$B,2,FALSE())</f>
        <v>ARI</v>
      </c>
      <c r="O863" s="1" t="str">
        <f aca="false">IF(F863&gt;G863,M863,IF(G863&gt;F863,N863,"Tie"))</f>
        <v>ARI</v>
      </c>
      <c r="P863" s="1" t="n">
        <f aca="false">F863-G863</f>
        <v>-3</v>
      </c>
      <c r="Q863" s="1" t="n">
        <f aca="false">F863+G863</f>
        <v>23</v>
      </c>
      <c r="R863" s="1" t="str">
        <f aca="false">IF(H863=M863,"Home",IF(H863=N863,"Away",IF(H863="PICK","Pick","N/A")))</f>
        <v>Home</v>
      </c>
      <c r="S863" s="1" t="n">
        <f aca="false">IF(R863="Home",P863,IF(R863="Away",-P863,""))</f>
        <v>-3</v>
      </c>
      <c r="T863" s="1" t="str">
        <f aca="false">IF(R863="Pick","No Line",IF(S863="","N/A",IF(S863+I863&gt;0,"Favorite Covered",IF(S863+I863&lt;0,"Underdog Covered","Push"))))</f>
        <v>Underdog Covered</v>
      </c>
      <c r="U863" s="1" t="str">
        <f aca="false">IF(Q863&gt;J863,"Over",IF(Q863&lt;J863,"Under","Push"))</f>
        <v>Under</v>
      </c>
    </row>
    <row r="864" customFormat="false" ht="15" hidden="false" customHeight="false" outlineLevel="0" collapsed="false">
      <c r="A864" s="1" t="s">
        <v>358</v>
      </c>
      <c r="B864" s="1" t="n">
        <v>2013</v>
      </c>
      <c r="C864" s="1" t="s">
        <v>182</v>
      </c>
      <c r="D864" s="1" t="s">
        <v>115</v>
      </c>
      <c r="E864" s="1" t="s">
        <v>99</v>
      </c>
      <c r="F864" s="1" t="n">
        <v>38</v>
      </c>
      <c r="G864" s="1" t="n">
        <v>13</v>
      </c>
      <c r="H864" s="1" t="s">
        <v>116</v>
      </c>
      <c r="I864" s="1" t="n">
        <v>-3.5</v>
      </c>
      <c r="J864" s="1" t="n">
        <v>40.5</v>
      </c>
      <c r="K864" s="1" t="s">
        <v>155</v>
      </c>
      <c r="L864" s="1" t="b">
        <f aca="false">FALSE()</f>
        <v>0</v>
      </c>
      <c r="M864" s="1" t="str">
        <f aca="false">VLOOKUP(D864,'Team Reference'!$A:$B,2,FALSE())</f>
        <v>TEN</v>
      </c>
      <c r="N864" s="1" t="str">
        <f aca="false">VLOOKUP(E864,'Team Reference'!$A:$B,2,FALSE())</f>
        <v>NYJ</v>
      </c>
      <c r="O864" s="1" t="str">
        <f aca="false">IF(F864&gt;G864,M864,IF(G864&gt;F864,N864,"Tie"))</f>
        <v>TEN</v>
      </c>
      <c r="P864" s="1" t="n">
        <f aca="false">F864-G864</f>
        <v>25</v>
      </c>
      <c r="Q864" s="1" t="n">
        <f aca="false">F864+G864</f>
        <v>51</v>
      </c>
      <c r="R864" s="1" t="str">
        <f aca="false">IF(H864=M864,"Home",IF(H864=N864,"Away",IF(H864="PICK","Pick","N/A")))</f>
        <v>Home</v>
      </c>
      <c r="S864" s="1" t="n">
        <f aca="false">IF(R864="Home",P864,IF(R864="Away",-P864,""))</f>
        <v>25</v>
      </c>
      <c r="T864" s="1" t="str">
        <f aca="false">IF(R864="Pick","No Line",IF(S864="","N/A",IF(S864+I864&gt;0,"Favorite Covered",IF(S864+I864&lt;0,"Underdog Covered","Push"))))</f>
        <v>Favorite Covered</v>
      </c>
      <c r="U864" s="1" t="str">
        <f aca="false">IF(Q864&gt;J864,"Over",IF(Q864&lt;J864,"Under","Push"))</f>
        <v>Over</v>
      </c>
    </row>
    <row r="865" customFormat="false" ht="15" hidden="false" customHeight="false" outlineLevel="0" collapsed="false">
      <c r="A865" s="1" t="s">
        <v>359</v>
      </c>
      <c r="B865" s="1" t="n">
        <v>2013</v>
      </c>
      <c r="C865" s="1" t="s">
        <v>182</v>
      </c>
      <c r="D865" s="1" t="s">
        <v>95</v>
      </c>
      <c r="E865" s="1" t="s">
        <v>89</v>
      </c>
      <c r="F865" s="1" t="n">
        <v>38</v>
      </c>
      <c r="G865" s="1" t="n">
        <v>17</v>
      </c>
      <c r="H865" s="1" t="s">
        <v>96</v>
      </c>
      <c r="I865" s="1" t="n">
        <v>-7.5</v>
      </c>
      <c r="J865" s="1" t="n">
        <v>49</v>
      </c>
      <c r="K865" s="1" t="s">
        <v>142</v>
      </c>
      <c r="L865" s="1" t="b">
        <f aca="false">FALSE()</f>
        <v>0</v>
      </c>
      <c r="M865" s="1" t="str">
        <f aca="false">VLOOKUP(D865,'Team Reference'!$A:$B,2,FALSE())</f>
        <v>NO</v>
      </c>
      <c r="N865" s="1" t="str">
        <f aca="false">VLOOKUP(E865,'Team Reference'!$A:$B,2,FALSE())</f>
        <v>MIA</v>
      </c>
      <c r="O865" s="1" t="str">
        <f aca="false">IF(F865&gt;G865,M865,IF(G865&gt;F865,N865,"Tie"))</f>
        <v>NO</v>
      </c>
      <c r="P865" s="1" t="n">
        <f aca="false">F865-G865</f>
        <v>21</v>
      </c>
      <c r="Q865" s="1" t="n">
        <f aca="false">F865+G865</f>
        <v>55</v>
      </c>
      <c r="R865" s="1" t="str">
        <f aca="false">IF(H865=M865,"Home",IF(H865=N865,"Away",IF(H865="PICK","Pick","N/A")))</f>
        <v>Home</v>
      </c>
      <c r="S865" s="1" t="n">
        <f aca="false">IF(R865="Home",P865,IF(R865="Away",-P865,""))</f>
        <v>21</v>
      </c>
      <c r="T865" s="1" t="str">
        <f aca="false">IF(R865="Pick","No Line",IF(S865="","N/A",IF(S865+I865&gt;0,"Favorite Covered",IF(S865+I865&lt;0,"Underdog Covered","Push"))))</f>
        <v>Favorite Covered</v>
      </c>
      <c r="U865" s="1" t="str">
        <f aca="false">IF(Q865&gt;J865,"Over",IF(Q865&lt;J865,"Under","Push"))</f>
        <v>Over</v>
      </c>
    </row>
    <row r="866" customFormat="false" ht="15" hidden="false" customHeight="false" outlineLevel="0" collapsed="false">
      <c r="A866" s="1" t="s">
        <v>360</v>
      </c>
      <c r="B866" s="1" t="n">
        <v>2013</v>
      </c>
      <c r="C866" s="1" t="s">
        <v>185</v>
      </c>
      <c r="D866" s="1" t="s">
        <v>67</v>
      </c>
      <c r="E866" s="1" t="s">
        <v>59</v>
      </c>
      <c r="F866" s="1" t="n">
        <v>37</v>
      </c>
      <c r="G866" s="1" t="n">
        <v>24</v>
      </c>
      <c r="H866" s="1" t="s">
        <v>68</v>
      </c>
      <c r="I866" s="1" t="n">
        <v>-4</v>
      </c>
      <c r="J866" s="1" t="n">
        <v>41</v>
      </c>
      <c r="K866" s="1" t="s">
        <v>164</v>
      </c>
      <c r="L866" s="1" t="b">
        <f aca="false">FALSE()</f>
        <v>0</v>
      </c>
      <c r="M866" s="1" t="str">
        <f aca="false">VLOOKUP(D866,'Team Reference'!$A:$B,2,FALSE())</f>
        <v>CLE</v>
      </c>
      <c r="N866" s="1" t="str">
        <f aca="false">VLOOKUP(E866,'Team Reference'!$A:$B,2,FALSE())</f>
        <v>BUF</v>
      </c>
      <c r="O866" s="1" t="str">
        <f aca="false">IF(F866&gt;G866,M866,IF(G866&gt;F866,N866,"Tie"))</f>
        <v>CLE</v>
      </c>
      <c r="P866" s="1" t="n">
        <f aca="false">F866-G866</f>
        <v>13</v>
      </c>
      <c r="Q866" s="1" t="n">
        <f aca="false">F866+G866</f>
        <v>61</v>
      </c>
      <c r="R866" s="1" t="str">
        <f aca="false">IF(H866=M866,"Home",IF(H866=N866,"Away",IF(H866="PICK","Pick","N/A")))</f>
        <v>Home</v>
      </c>
      <c r="S866" s="1" t="n">
        <f aca="false">IF(R866="Home",P866,IF(R866="Away",-P866,""))</f>
        <v>13</v>
      </c>
      <c r="T866" s="1" t="str">
        <f aca="false">IF(R866="Pick","No Line",IF(S866="","N/A",IF(S866+I866&gt;0,"Favorite Covered",IF(S866+I866&lt;0,"Underdog Covered","Push"))))</f>
        <v>Favorite Covered</v>
      </c>
      <c r="U866" s="1" t="str">
        <f aca="false">IF(Q866&gt;J866,"Over",IF(Q866&lt;J866,"Under","Push"))</f>
        <v>Over</v>
      </c>
    </row>
    <row r="867" customFormat="false" ht="15" hidden="false" customHeight="false" outlineLevel="0" collapsed="false">
      <c r="A867" s="1" t="s">
        <v>361</v>
      </c>
      <c r="B867" s="1" t="n">
        <v>2013</v>
      </c>
      <c r="C867" s="1" t="s">
        <v>185</v>
      </c>
      <c r="D867" s="1" t="s">
        <v>53</v>
      </c>
      <c r="E867" s="1" t="s">
        <v>61</v>
      </c>
      <c r="F867" s="1" t="n">
        <v>22</v>
      </c>
      <c r="G867" s="1" t="n">
        <v>6</v>
      </c>
      <c r="H867" s="1" t="s">
        <v>62</v>
      </c>
      <c r="I867" s="1" t="n">
        <v>-3</v>
      </c>
      <c r="J867" s="1" t="n">
        <v>42.5</v>
      </c>
      <c r="K867" s="1" t="s">
        <v>177</v>
      </c>
      <c r="L867" s="1" t="b">
        <f aca="false">FALSE()</f>
        <v>0</v>
      </c>
      <c r="M867" s="1" t="str">
        <f aca="false">VLOOKUP(D867,'Team Reference'!$A:$B,2,FALSE())</f>
        <v>ARI</v>
      </c>
      <c r="N867" s="1" t="str">
        <f aca="false">VLOOKUP(E867,'Team Reference'!$A:$B,2,FALSE())</f>
        <v>CAR</v>
      </c>
      <c r="O867" s="1" t="str">
        <f aca="false">IF(F867&gt;G867,M867,IF(G867&gt;F867,N867,"Tie"))</f>
        <v>ARI</v>
      </c>
      <c r="P867" s="1" t="n">
        <f aca="false">F867-G867</f>
        <v>16</v>
      </c>
      <c r="Q867" s="1" t="n">
        <f aca="false">F867+G867</f>
        <v>28</v>
      </c>
      <c r="R867" s="1" t="str">
        <f aca="false">IF(H867=M867,"Home",IF(H867=N867,"Away",IF(H867="PICK","Pick","N/A")))</f>
        <v>Away</v>
      </c>
      <c r="S867" s="1" t="n">
        <f aca="false">IF(R867="Home",P867,IF(R867="Away",-P867,""))</f>
        <v>-16</v>
      </c>
      <c r="T867" s="1" t="str">
        <f aca="false">IF(R867="Pick","No Line",IF(S867="","N/A",IF(S867+I867&gt;0,"Favorite Covered",IF(S867+I867&lt;0,"Underdog Covered","Push"))))</f>
        <v>Underdog Covered</v>
      </c>
      <c r="U867" s="1" t="str">
        <f aca="false">IF(Q867&gt;J867,"Over",IF(Q867&lt;J867,"Under","Push"))</f>
        <v>Under</v>
      </c>
    </row>
    <row r="868" customFormat="false" ht="15" hidden="false" customHeight="false" outlineLevel="0" collapsed="false">
      <c r="A868" s="1" t="s">
        <v>361</v>
      </c>
      <c r="B868" s="1" t="n">
        <v>2013</v>
      </c>
      <c r="C868" s="1" t="s">
        <v>185</v>
      </c>
      <c r="D868" s="1" t="s">
        <v>63</v>
      </c>
      <c r="E868" s="1" t="s">
        <v>95</v>
      </c>
      <c r="F868" s="1" t="n">
        <v>18</v>
      </c>
      <c r="G868" s="1" t="n">
        <v>26</v>
      </c>
      <c r="H868" s="1" t="s">
        <v>96</v>
      </c>
      <c r="I868" s="1" t="n">
        <v>-1.5</v>
      </c>
      <c r="J868" s="1" t="n">
        <v>51.5</v>
      </c>
      <c r="K868" s="1" t="s">
        <v>145</v>
      </c>
      <c r="L868" s="1" t="b">
        <f aca="false">FALSE()</f>
        <v>0</v>
      </c>
      <c r="M868" s="1" t="str">
        <f aca="false">VLOOKUP(D868,'Team Reference'!$A:$B,2,FALSE())</f>
        <v>CHI</v>
      </c>
      <c r="N868" s="1" t="str">
        <f aca="false">VLOOKUP(E868,'Team Reference'!$A:$B,2,FALSE())</f>
        <v>NO</v>
      </c>
      <c r="O868" s="1" t="str">
        <f aca="false">IF(F868&gt;G868,M868,IF(G868&gt;F868,N868,"Tie"))</f>
        <v>NO</v>
      </c>
      <c r="P868" s="1" t="n">
        <f aca="false">F868-G868</f>
        <v>-8</v>
      </c>
      <c r="Q868" s="1" t="n">
        <f aca="false">F868+G868</f>
        <v>44</v>
      </c>
      <c r="R868" s="1" t="str">
        <f aca="false">IF(H868=M868,"Home",IF(H868=N868,"Away",IF(H868="PICK","Pick","N/A")))</f>
        <v>Away</v>
      </c>
      <c r="S868" s="1" t="n">
        <f aca="false">IF(R868="Home",P868,IF(R868="Away",-P868,""))</f>
        <v>8</v>
      </c>
      <c r="T868" s="1" t="str">
        <f aca="false">IF(R868="Pick","No Line",IF(S868="","N/A",IF(S868+I868&gt;0,"Favorite Covered",IF(S868+I868&lt;0,"Underdog Covered","Push"))))</f>
        <v>Favorite Covered</v>
      </c>
      <c r="U868" s="1" t="str">
        <f aca="false">IF(Q868&gt;J868,"Over",IF(Q868&lt;J868,"Under","Push"))</f>
        <v>Under</v>
      </c>
    </row>
    <row r="869" customFormat="false" ht="15" hidden="false" customHeight="false" outlineLevel="0" collapsed="false">
      <c r="A869" s="1" t="s">
        <v>361</v>
      </c>
      <c r="B869" s="1" t="n">
        <v>2013</v>
      </c>
      <c r="C869" s="1" t="s">
        <v>185</v>
      </c>
      <c r="D869" s="1" t="s">
        <v>65</v>
      </c>
      <c r="E869" s="1" t="s">
        <v>93</v>
      </c>
      <c r="F869" s="1" t="n">
        <v>13</v>
      </c>
      <c r="G869" s="1" t="n">
        <v>6</v>
      </c>
      <c r="H869" s="1" t="s">
        <v>94</v>
      </c>
      <c r="I869" s="1" t="n">
        <v>-1</v>
      </c>
      <c r="J869" s="1" t="n">
        <v>45.5</v>
      </c>
      <c r="K869" s="1" t="s">
        <v>163</v>
      </c>
      <c r="L869" s="1" t="b">
        <f aca="false">FALSE()</f>
        <v>0</v>
      </c>
      <c r="M869" s="1" t="str">
        <f aca="false">VLOOKUP(D869,'Team Reference'!$A:$B,2,FALSE())</f>
        <v>CIN</v>
      </c>
      <c r="N869" s="1" t="str">
        <f aca="false">VLOOKUP(E869,'Team Reference'!$A:$B,2,FALSE())</f>
        <v>NE</v>
      </c>
      <c r="O869" s="1" t="str">
        <f aca="false">IF(F869&gt;G869,M869,IF(G869&gt;F869,N869,"Tie"))</f>
        <v>CIN</v>
      </c>
      <c r="P869" s="1" t="n">
        <f aca="false">F869-G869</f>
        <v>7</v>
      </c>
      <c r="Q869" s="1" t="n">
        <f aca="false">F869+G869</f>
        <v>19</v>
      </c>
      <c r="R869" s="1" t="str">
        <f aca="false">IF(H869=M869,"Home",IF(H869=N869,"Away",IF(H869="PICK","Pick","N/A")))</f>
        <v>Away</v>
      </c>
      <c r="S869" s="1" t="n">
        <f aca="false">IF(R869="Home",P869,IF(R869="Away",-P869,""))</f>
        <v>-7</v>
      </c>
      <c r="T869" s="1" t="str">
        <f aca="false">IF(R869="Pick","No Line",IF(S869="","N/A",IF(S869+I869&gt;0,"Favorite Covered",IF(S869+I869&lt;0,"Underdog Covered","Push"))))</f>
        <v>Underdog Covered</v>
      </c>
      <c r="U869" s="1" t="str">
        <f aca="false">IF(Q869&gt;J869,"Over",IF(Q869&lt;J869,"Under","Push"))</f>
        <v>Under</v>
      </c>
    </row>
    <row r="870" customFormat="false" ht="15" hidden="false" customHeight="false" outlineLevel="0" collapsed="false">
      <c r="A870" s="1" t="s">
        <v>361</v>
      </c>
      <c r="B870" s="1" t="n">
        <v>2013</v>
      </c>
      <c r="C870" s="1" t="s">
        <v>185</v>
      </c>
      <c r="D870" s="1" t="s">
        <v>69</v>
      </c>
      <c r="E870" s="1" t="s">
        <v>71</v>
      </c>
      <c r="F870" s="1" t="n">
        <v>48</v>
      </c>
      <c r="G870" s="1" t="n">
        <v>51</v>
      </c>
      <c r="H870" s="1" t="s">
        <v>72</v>
      </c>
      <c r="I870" s="1" t="n">
        <v>-9</v>
      </c>
      <c r="J870" s="1" t="n">
        <v>57.5</v>
      </c>
      <c r="K870" s="1" t="s">
        <v>165</v>
      </c>
      <c r="L870" s="1" t="b">
        <f aca="false">FALSE()</f>
        <v>0</v>
      </c>
      <c r="M870" s="1" t="str">
        <f aca="false">VLOOKUP(D870,'Team Reference'!$A:$B,2,FALSE())</f>
        <v>DAL</v>
      </c>
      <c r="N870" s="1" t="str">
        <f aca="false">VLOOKUP(E870,'Team Reference'!$A:$B,2,FALSE())</f>
        <v>DEN</v>
      </c>
      <c r="O870" s="1" t="str">
        <f aca="false">IF(F870&gt;G870,M870,IF(G870&gt;F870,N870,"Tie"))</f>
        <v>DEN</v>
      </c>
      <c r="P870" s="1" t="n">
        <f aca="false">F870-G870</f>
        <v>-3</v>
      </c>
      <c r="Q870" s="1" t="n">
        <f aca="false">F870+G870</f>
        <v>99</v>
      </c>
      <c r="R870" s="1" t="str">
        <f aca="false">IF(H870=M870,"Home",IF(H870=N870,"Away",IF(H870="PICK","Pick","N/A")))</f>
        <v>Away</v>
      </c>
      <c r="S870" s="1" t="n">
        <f aca="false">IF(R870="Home",P870,IF(R870="Away",-P870,""))</f>
        <v>3</v>
      </c>
      <c r="T870" s="1" t="str">
        <f aca="false">IF(R870="Pick","No Line",IF(S870="","N/A",IF(S870+I870&gt;0,"Favorite Covered",IF(S870+I870&lt;0,"Underdog Covered","Push"))))</f>
        <v>Underdog Covered</v>
      </c>
      <c r="U870" s="1" t="str">
        <f aca="false">IF(Q870&gt;J870,"Over",IF(Q870&lt;J870,"Under","Push"))</f>
        <v>Over</v>
      </c>
    </row>
    <row r="871" customFormat="false" ht="15" hidden="false" customHeight="false" outlineLevel="0" collapsed="false">
      <c r="A871" s="1" t="s">
        <v>361</v>
      </c>
      <c r="B871" s="1" t="n">
        <v>2013</v>
      </c>
      <c r="C871" s="1" t="s">
        <v>185</v>
      </c>
      <c r="D871" s="1" t="s">
        <v>75</v>
      </c>
      <c r="E871" s="1" t="s">
        <v>73</v>
      </c>
      <c r="F871" s="1" t="n">
        <v>22</v>
      </c>
      <c r="G871" s="1" t="n">
        <v>9</v>
      </c>
      <c r="H871" s="1" t="s">
        <v>76</v>
      </c>
      <c r="I871" s="1" t="n">
        <v>-9.5</v>
      </c>
      <c r="J871" s="1" t="n">
        <v>55</v>
      </c>
      <c r="K871" s="1" t="s">
        <v>168</v>
      </c>
      <c r="L871" s="1" t="b">
        <f aca="false">FALSE()</f>
        <v>0</v>
      </c>
      <c r="M871" s="1" t="str">
        <f aca="false">VLOOKUP(D871,'Team Reference'!$A:$B,2,FALSE())</f>
        <v>GB</v>
      </c>
      <c r="N871" s="1" t="str">
        <f aca="false">VLOOKUP(E871,'Team Reference'!$A:$B,2,FALSE())</f>
        <v>DET</v>
      </c>
      <c r="O871" s="1" t="str">
        <f aca="false">IF(F871&gt;G871,M871,IF(G871&gt;F871,N871,"Tie"))</f>
        <v>GB</v>
      </c>
      <c r="P871" s="1" t="n">
        <f aca="false">F871-G871</f>
        <v>13</v>
      </c>
      <c r="Q871" s="1" t="n">
        <f aca="false">F871+G871</f>
        <v>31</v>
      </c>
      <c r="R871" s="1" t="str">
        <f aca="false">IF(H871=M871,"Home",IF(H871=N871,"Away",IF(H871="PICK","Pick","N/A")))</f>
        <v>Home</v>
      </c>
      <c r="S871" s="1" t="n">
        <f aca="false">IF(R871="Home",P871,IF(R871="Away",-P871,""))</f>
        <v>13</v>
      </c>
      <c r="T871" s="1" t="str">
        <f aca="false">IF(R871="Pick","No Line",IF(S871="","N/A",IF(S871+I871&gt;0,"Favorite Covered",IF(S871+I871&lt;0,"Underdog Covered","Push"))))</f>
        <v>Favorite Covered</v>
      </c>
      <c r="U871" s="1" t="str">
        <f aca="false">IF(Q871&gt;J871,"Over",IF(Q871&lt;J871,"Under","Push"))</f>
        <v>Under</v>
      </c>
    </row>
    <row r="872" customFormat="false" ht="15" hidden="false" customHeight="false" outlineLevel="0" collapsed="false">
      <c r="A872" s="1" t="s">
        <v>361</v>
      </c>
      <c r="B872" s="1" t="n">
        <v>2013</v>
      </c>
      <c r="C872" s="1" t="s">
        <v>185</v>
      </c>
      <c r="D872" s="1" t="s">
        <v>79</v>
      </c>
      <c r="E872" s="1" t="s">
        <v>110</v>
      </c>
      <c r="F872" s="1" t="n">
        <v>34</v>
      </c>
      <c r="G872" s="1" t="n">
        <v>28</v>
      </c>
      <c r="H872" s="1" t="s">
        <v>111</v>
      </c>
      <c r="I872" s="1" t="n">
        <v>-3</v>
      </c>
      <c r="J872" s="1" t="n">
        <v>44</v>
      </c>
      <c r="K872" s="1" t="s">
        <v>169</v>
      </c>
      <c r="L872" s="1" t="b">
        <f aca="false">FALSE()</f>
        <v>0</v>
      </c>
      <c r="M872" s="1" t="str">
        <f aca="false">VLOOKUP(D872,'Team Reference'!$A:$B,2,FALSE())</f>
        <v>IND</v>
      </c>
      <c r="N872" s="1" t="str">
        <f aca="false">VLOOKUP(E872,'Team Reference'!$A:$B,2,FALSE())</f>
        <v>SEA</v>
      </c>
      <c r="O872" s="1" t="str">
        <f aca="false">IF(F872&gt;G872,M872,IF(G872&gt;F872,N872,"Tie"))</f>
        <v>IND</v>
      </c>
      <c r="P872" s="1" t="n">
        <f aca="false">F872-G872</f>
        <v>6</v>
      </c>
      <c r="Q872" s="1" t="n">
        <f aca="false">F872+G872</f>
        <v>62</v>
      </c>
      <c r="R872" s="1" t="str">
        <f aca="false">IF(H872=M872,"Home",IF(H872=N872,"Away",IF(H872="PICK","Pick","N/A")))</f>
        <v>Away</v>
      </c>
      <c r="S872" s="1" t="n">
        <f aca="false">IF(R872="Home",P872,IF(R872="Away",-P872,""))</f>
        <v>-6</v>
      </c>
      <c r="T872" s="1" t="str">
        <f aca="false">IF(R872="Pick","No Line",IF(S872="","N/A",IF(S872+I872&gt;0,"Favorite Covered",IF(S872+I872&lt;0,"Underdog Covered","Push"))))</f>
        <v>Underdog Covered</v>
      </c>
      <c r="U872" s="1" t="str">
        <f aca="false">IF(Q872&gt;J872,"Over",IF(Q872&lt;J872,"Under","Push"))</f>
        <v>Over</v>
      </c>
    </row>
    <row r="873" customFormat="false" ht="15" hidden="false" customHeight="false" outlineLevel="0" collapsed="false">
      <c r="A873" s="1" t="s">
        <v>361</v>
      </c>
      <c r="B873" s="1" t="n">
        <v>2013</v>
      </c>
      <c r="C873" s="1" t="s">
        <v>185</v>
      </c>
      <c r="D873" s="1" t="s">
        <v>89</v>
      </c>
      <c r="E873" s="1" t="s">
        <v>57</v>
      </c>
      <c r="F873" s="1" t="n">
        <v>23</v>
      </c>
      <c r="G873" s="1" t="n">
        <v>26</v>
      </c>
      <c r="H873" s="1" t="s">
        <v>90</v>
      </c>
      <c r="I873" s="1" t="n">
        <v>-2.5</v>
      </c>
      <c r="J873" s="1" t="n">
        <v>43</v>
      </c>
      <c r="K873" s="1" t="s">
        <v>179</v>
      </c>
      <c r="L873" s="1" t="b">
        <f aca="false">FALSE()</f>
        <v>0</v>
      </c>
      <c r="M873" s="1" t="str">
        <f aca="false">VLOOKUP(D873,'Team Reference'!$A:$B,2,FALSE())</f>
        <v>MIA</v>
      </c>
      <c r="N873" s="1" t="str">
        <f aca="false">VLOOKUP(E873,'Team Reference'!$A:$B,2,FALSE())</f>
        <v>BAL</v>
      </c>
      <c r="O873" s="1" t="str">
        <f aca="false">IF(F873&gt;G873,M873,IF(G873&gt;F873,N873,"Tie"))</f>
        <v>BAL</v>
      </c>
      <c r="P873" s="1" t="n">
        <f aca="false">F873-G873</f>
        <v>-3</v>
      </c>
      <c r="Q873" s="1" t="n">
        <f aca="false">F873+G873</f>
        <v>49</v>
      </c>
      <c r="R873" s="1" t="str">
        <f aca="false">IF(H873=M873,"Home",IF(H873=N873,"Away",IF(H873="PICK","Pick","N/A")))</f>
        <v>Home</v>
      </c>
      <c r="S873" s="1" t="n">
        <f aca="false">IF(R873="Home",P873,IF(R873="Away",-P873,""))</f>
        <v>-3</v>
      </c>
      <c r="T873" s="1" t="str">
        <f aca="false">IF(R873="Pick","No Line",IF(S873="","N/A",IF(S873+I873&gt;0,"Favorite Covered",IF(S873+I873&lt;0,"Underdog Covered","Push"))))</f>
        <v>Underdog Covered</v>
      </c>
      <c r="U873" s="1" t="str">
        <f aca="false">IF(Q873&gt;J873,"Over",IF(Q873&lt;J873,"Under","Push"))</f>
        <v>Over</v>
      </c>
    </row>
    <row r="874" customFormat="false" ht="15" hidden="false" customHeight="false" outlineLevel="0" collapsed="false">
      <c r="A874" s="1" t="s">
        <v>361</v>
      </c>
      <c r="B874" s="1" t="n">
        <v>2013</v>
      </c>
      <c r="C874" s="1" t="s">
        <v>185</v>
      </c>
      <c r="D874" s="1" t="s">
        <v>97</v>
      </c>
      <c r="E874" s="1" t="s">
        <v>103</v>
      </c>
      <c r="F874" s="1" t="n">
        <v>21</v>
      </c>
      <c r="G874" s="1" t="n">
        <v>36</v>
      </c>
      <c r="H874" s="1" t="s">
        <v>98</v>
      </c>
      <c r="I874" s="1" t="n">
        <v>-1.5</v>
      </c>
      <c r="J874" s="1" t="n">
        <v>54</v>
      </c>
      <c r="K874" s="1" t="s">
        <v>149</v>
      </c>
      <c r="L874" s="1" t="b">
        <f aca="false">FALSE()</f>
        <v>0</v>
      </c>
      <c r="M874" s="1" t="str">
        <f aca="false">VLOOKUP(D874,'Team Reference'!$A:$B,2,FALSE())</f>
        <v>NYG</v>
      </c>
      <c r="N874" s="1" t="str">
        <f aca="false">VLOOKUP(E874,'Team Reference'!$A:$B,2,FALSE())</f>
        <v>PHI</v>
      </c>
      <c r="O874" s="1" t="str">
        <f aca="false">IF(F874&gt;G874,M874,IF(G874&gt;F874,N874,"Tie"))</f>
        <v>PHI</v>
      </c>
      <c r="P874" s="1" t="n">
        <f aca="false">F874-G874</f>
        <v>-15</v>
      </c>
      <c r="Q874" s="1" t="n">
        <f aca="false">F874+G874</f>
        <v>57</v>
      </c>
      <c r="R874" s="1" t="str">
        <f aca="false">IF(H874=M874,"Home",IF(H874=N874,"Away",IF(H874="PICK","Pick","N/A")))</f>
        <v>Home</v>
      </c>
      <c r="S874" s="1" t="n">
        <f aca="false">IF(R874="Home",P874,IF(R874="Away",-P874,""))</f>
        <v>-15</v>
      </c>
      <c r="T874" s="1" t="str">
        <f aca="false">IF(R874="Pick","No Line",IF(S874="","N/A",IF(S874+I874&gt;0,"Favorite Covered",IF(S874+I874&lt;0,"Underdog Covered","Push"))))</f>
        <v>Underdog Covered</v>
      </c>
      <c r="U874" s="1" t="str">
        <f aca="false">IF(Q874&gt;J874,"Over",IF(Q874&lt;J874,"Under","Push"))</f>
        <v>Over</v>
      </c>
    </row>
    <row r="875" customFormat="false" ht="15" hidden="false" customHeight="false" outlineLevel="0" collapsed="false">
      <c r="A875" s="1" t="s">
        <v>361</v>
      </c>
      <c r="B875" s="1" t="n">
        <v>2013</v>
      </c>
      <c r="C875" s="1" t="s">
        <v>185</v>
      </c>
      <c r="D875" s="1" t="s">
        <v>101</v>
      </c>
      <c r="E875" s="1" t="s">
        <v>107</v>
      </c>
      <c r="F875" s="1" t="n">
        <v>27</v>
      </c>
      <c r="G875" s="1" t="n">
        <v>17</v>
      </c>
      <c r="H875" s="1" t="s">
        <v>86</v>
      </c>
      <c r="I875" s="1" t="n">
        <v>-5</v>
      </c>
      <c r="J875" s="1" t="n">
        <v>47</v>
      </c>
      <c r="K875" s="1" t="s">
        <v>171</v>
      </c>
      <c r="L875" s="1" t="b">
        <f aca="false">FALSE()</f>
        <v>0</v>
      </c>
      <c r="M875" s="1" t="str">
        <f aca="false">VLOOKUP(D875,'Team Reference'!$A:$B,2,FALSE())</f>
        <v>OAK</v>
      </c>
      <c r="N875" s="1" t="str">
        <f aca="false">VLOOKUP(E875,'Team Reference'!$A:$B,2,FALSE())</f>
        <v>LAC</v>
      </c>
      <c r="O875" s="1" t="str">
        <f aca="false">IF(F875&gt;G875,M875,IF(G875&gt;F875,N875,"Tie"))</f>
        <v>OAK</v>
      </c>
      <c r="P875" s="1" t="n">
        <f aca="false">F875-G875</f>
        <v>10</v>
      </c>
      <c r="Q875" s="1" t="n">
        <f aca="false">F875+G875</f>
        <v>44</v>
      </c>
      <c r="R875" s="1" t="str">
        <f aca="false">IF(H875=M875,"Home",IF(H875=N875,"Away",IF(H875="PICK","Pick","N/A")))</f>
        <v>Away</v>
      </c>
      <c r="S875" s="1" t="n">
        <f aca="false">IF(R875="Home",P875,IF(R875="Away",-P875,""))</f>
        <v>-10</v>
      </c>
      <c r="T875" s="1" t="str">
        <f aca="false">IF(R875="Pick","No Line",IF(S875="","N/A",IF(S875+I875&gt;0,"Favorite Covered",IF(S875+I875&lt;0,"Underdog Covered","Push"))))</f>
        <v>Underdog Covered</v>
      </c>
      <c r="U875" s="1" t="str">
        <f aca="false">IF(Q875&gt;J875,"Over",IF(Q875&lt;J875,"Under","Push"))</f>
        <v>Under</v>
      </c>
    </row>
    <row r="876" customFormat="false" ht="15" hidden="false" customHeight="false" outlineLevel="0" collapsed="false">
      <c r="A876" s="1" t="s">
        <v>361</v>
      </c>
      <c r="B876" s="1" t="n">
        <v>2013</v>
      </c>
      <c r="C876" s="1" t="s">
        <v>185</v>
      </c>
      <c r="D876" s="1" t="s">
        <v>108</v>
      </c>
      <c r="E876" s="1" t="s">
        <v>77</v>
      </c>
      <c r="F876" s="1" t="n">
        <v>34</v>
      </c>
      <c r="G876" s="1" t="n">
        <v>3</v>
      </c>
      <c r="H876" s="1" t="s">
        <v>109</v>
      </c>
      <c r="I876" s="1" t="n">
        <v>-4.5</v>
      </c>
      <c r="J876" s="1" t="n">
        <v>44</v>
      </c>
      <c r="K876" s="1" t="s">
        <v>174</v>
      </c>
      <c r="L876" s="1" t="b">
        <f aca="false">FALSE()</f>
        <v>0</v>
      </c>
      <c r="M876" s="1" t="str">
        <f aca="false">VLOOKUP(D876,'Team Reference'!$A:$B,2,FALSE())</f>
        <v>SF</v>
      </c>
      <c r="N876" s="1" t="str">
        <f aca="false">VLOOKUP(E876,'Team Reference'!$A:$B,2,FALSE())</f>
        <v>HOU</v>
      </c>
      <c r="O876" s="1" t="str">
        <f aca="false">IF(F876&gt;G876,M876,IF(G876&gt;F876,N876,"Tie"))</f>
        <v>SF</v>
      </c>
      <c r="P876" s="1" t="n">
        <f aca="false">F876-G876</f>
        <v>31</v>
      </c>
      <c r="Q876" s="1" t="n">
        <f aca="false">F876+G876</f>
        <v>37</v>
      </c>
      <c r="R876" s="1" t="str">
        <f aca="false">IF(H876=M876,"Home",IF(H876=N876,"Away",IF(H876="PICK","Pick","N/A")))</f>
        <v>Home</v>
      </c>
      <c r="S876" s="1" t="n">
        <f aca="false">IF(R876="Home",P876,IF(R876="Away",-P876,""))</f>
        <v>31</v>
      </c>
      <c r="T876" s="1" t="str">
        <f aca="false">IF(R876="Pick","No Line",IF(S876="","N/A",IF(S876+I876&gt;0,"Favorite Covered",IF(S876+I876&lt;0,"Underdog Covered","Push"))))</f>
        <v>Favorite Covered</v>
      </c>
      <c r="U876" s="1" t="str">
        <f aca="false">IF(Q876&gt;J876,"Over",IF(Q876&lt;J876,"Under","Push"))</f>
        <v>Under</v>
      </c>
    </row>
    <row r="877" customFormat="false" ht="15" hidden="false" customHeight="false" outlineLevel="0" collapsed="false">
      <c r="A877" s="1" t="s">
        <v>361</v>
      </c>
      <c r="B877" s="1" t="n">
        <v>2013</v>
      </c>
      <c r="C877" s="1" t="s">
        <v>185</v>
      </c>
      <c r="D877" s="1" t="s">
        <v>112</v>
      </c>
      <c r="E877" s="1" t="s">
        <v>81</v>
      </c>
      <c r="F877" s="1" t="n">
        <v>34</v>
      </c>
      <c r="G877" s="1" t="n">
        <v>20</v>
      </c>
      <c r="H877" s="1" t="s">
        <v>88</v>
      </c>
      <c r="I877" s="1" t="n">
        <v>-11</v>
      </c>
      <c r="J877" s="1" t="n">
        <v>41</v>
      </c>
      <c r="K877" s="1" t="s">
        <v>153</v>
      </c>
      <c r="L877" s="1" t="b">
        <f aca="false">FALSE()</f>
        <v>0</v>
      </c>
      <c r="M877" s="1" t="str">
        <f aca="false">VLOOKUP(D877,'Team Reference'!$A:$B,2,FALSE())</f>
        <v>LAR</v>
      </c>
      <c r="N877" s="1" t="str">
        <f aca="false">VLOOKUP(E877,'Team Reference'!$A:$B,2,FALSE())</f>
        <v>JAX</v>
      </c>
      <c r="O877" s="1" t="str">
        <f aca="false">IF(F877&gt;G877,M877,IF(G877&gt;F877,N877,"Tie"))</f>
        <v>LAR</v>
      </c>
      <c r="P877" s="1" t="n">
        <f aca="false">F877-G877</f>
        <v>14</v>
      </c>
      <c r="Q877" s="1" t="n">
        <f aca="false">F877+G877</f>
        <v>54</v>
      </c>
      <c r="R877" s="1" t="str">
        <f aca="false">IF(H877=M877,"Home",IF(H877=N877,"Away",IF(H877="PICK","Pick","N/A")))</f>
        <v>Home</v>
      </c>
      <c r="S877" s="1" t="n">
        <f aca="false">IF(R877="Home",P877,IF(R877="Away",-P877,""))</f>
        <v>14</v>
      </c>
      <c r="T877" s="1" t="str">
        <f aca="false">IF(R877="Pick","No Line",IF(S877="","N/A",IF(S877+I877&gt;0,"Favorite Covered",IF(S877+I877&lt;0,"Underdog Covered","Push"))))</f>
        <v>Favorite Covered</v>
      </c>
      <c r="U877" s="1" t="str">
        <f aca="false">IF(Q877&gt;J877,"Over",IF(Q877&lt;J877,"Under","Push"))</f>
        <v>Over</v>
      </c>
    </row>
    <row r="878" customFormat="false" ht="15" hidden="false" customHeight="false" outlineLevel="0" collapsed="false">
      <c r="A878" s="1" t="s">
        <v>361</v>
      </c>
      <c r="B878" s="1" t="n">
        <v>2013</v>
      </c>
      <c r="C878" s="1" t="s">
        <v>185</v>
      </c>
      <c r="D878" s="1" t="s">
        <v>115</v>
      </c>
      <c r="E878" s="1" t="s">
        <v>83</v>
      </c>
      <c r="F878" s="1" t="n">
        <v>17</v>
      </c>
      <c r="G878" s="1" t="n">
        <v>26</v>
      </c>
      <c r="H878" s="1" t="s">
        <v>84</v>
      </c>
      <c r="I878" s="1" t="n">
        <v>-3</v>
      </c>
      <c r="J878" s="1" t="n">
        <v>38.5</v>
      </c>
      <c r="K878" s="1" t="s">
        <v>155</v>
      </c>
      <c r="L878" s="1" t="b">
        <f aca="false">FALSE()</f>
        <v>0</v>
      </c>
      <c r="M878" s="1" t="str">
        <f aca="false">VLOOKUP(D878,'Team Reference'!$A:$B,2,FALSE())</f>
        <v>TEN</v>
      </c>
      <c r="N878" s="1" t="str">
        <f aca="false">VLOOKUP(E878,'Team Reference'!$A:$B,2,FALSE())</f>
        <v>KC</v>
      </c>
      <c r="O878" s="1" t="str">
        <f aca="false">IF(F878&gt;G878,M878,IF(G878&gt;F878,N878,"Tie"))</f>
        <v>KC</v>
      </c>
      <c r="P878" s="1" t="n">
        <f aca="false">F878-G878</f>
        <v>-9</v>
      </c>
      <c r="Q878" s="1" t="n">
        <f aca="false">F878+G878</f>
        <v>43</v>
      </c>
      <c r="R878" s="1" t="str">
        <f aca="false">IF(H878=M878,"Home",IF(H878=N878,"Away",IF(H878="PICK","Pick","N/A")))</f>
        <v>Away</v>
      </c>
      <c r="S878" s="1" t="n">
        <f aca="false">IF(R878="Home",P878,IF(R878="Away",-P878,""))</f>
        <v>9</v>
      </c>
      <c r="T878" s="1" t="str">
        <f aca="false">IF(R878="Pick","No Line",IF(S878="","N/A",IF(S878+I878&gt;0,"Favorite Covered",IF(S878+I878&lt;0,"Underdog Covered","Push"))))</f>
        <v>Favorite Covered</v>
      </c>
      <c r="U878" s="1" t="str">
        <f aca="false">IF(Q878&gt;J878,"Over",IF(Q878&lt;J878,"Under","Push"))</f>
        <v>Over</v>
      </c>
    </row>
    <row r="879" customFormat="false" ht="15" hidden="false" customHeight="false" outlineLevel="0" collapsed="false">
      <c r="A879" s="1" t="s">
        <v>362</v>
      </c>
      <c r="B879" s="1" t="n">
        <v>2013</v>
      </c>
      <c r="C879" s="1" t="s">
        <v>185</v>
      </c>
      <c r="D879" s="1" t="s">
        <v>55</v>
      </c>
      <c r="E879" s="1" t="s">
        <v>99</v>
      </c>
      <c r="F879" s="1" t="n">
        <v>28</v>
      </c>
      <c r="G879" s="1" t="n">
        <v>30</v>
      </c>
      <c r="H879" s="1" t="s">
        <v>56</v>
      </c>
      <c r="I879" s="1" t="n">
        <v>-10.5</v>
      </c>
      <c r="J879" s="1" t="n">
        <v>45</v>
      </c>
      <c r="K879" s="1" t="s">
        <v>161</v>
      </c>
      <c r="L879" s="1" t="b">
        <f aca="false">FALSE()</f>
        <v>0</v>
      </c>
      <c r="M879" s="1" t="str">
        <f aca="false">VLOOKUP(D879,'Team Reference'!$A:$B,2,FALSE())</f>
        <v>ATL</v>
      </c>
      <c r="N879" s="1" t="str">
        <f aca="false">VLOOKUP(E879,'Team Reference'!$A:$B,2,FALSE())</f>
        <v>NYJ</v>
      </c>
      <c r="O879" s="1" t="str">
        <f aca="false">IF(F879&gt;G879,M879,IF(G879&gt;F879,N879,"Tie"))</f>
        <v>NYJ</v>
      </c>
      <c r="P879" s="1" t="n">
        <f aca="false">F879-G879</f>
        <v>-2</v>
      </c>
      <c r="Q879" s="1" t="n">
        <f aca="false">F879+G879</f>
        <v>58</v>
      </c>
      <c r="R879" s="1" t="str">
        <f aca="false">IF(H879=M879,"Home",IF(H879=N879,"Away",IF(H879="PICK","Pick","N/A")))</f>
        <v>Home</v>
      </c>
      <c r="S879" s="1" t="n">
        <f aca="false">IF(R879="Home",P879,IF(R879="Away",-P879,""))</f>
        <v>-2</v>
      </c>
      <c r="T879" s="1" t="str">
        <f aca="false">IF(R879="Pick","No Line",IF(S879="","N/A",IF(S879+I879&gt;0,"Favorite Covered",IF(S879+I879&lt;0,"Underdog Covered","Push"))))</f>
        <v>Underdog Covered</v>
      </c>
      <c r="U879" s="1" t="str">
        <f aca="false">IF(Q879&gt;J879,"Over",IF(Q879&lt;J879,"Under","Push"))</f>
        <v>Over</v>
      </c>
    </row>
    <row r="880" customFormat="false" ht="15" hidden="false" customHeight="false" outlineLevel="0" collapsed="false">
      <c r="A880" s="1" t="s">
        <v>363</v>
      </c>
      <c r="B880" s="1" t="n">
        <v>2013</v>
      </c>
      <c r="C880" s="1" t="s">
        <v>188</v>
      </c>
      <c r="D880" s="1" t="s">
        <v>63</v>
      </c>
      <c r="E880" s="1" t="s">
        <v>97</v>
      </c>
      <c r="F880" s="1" t="n">
        <v>27</v>
      </c>
      <c r="G880" s="1" t="n">
        <v>21</v>
      </c>
      <c r="H880" s="1" t="s">
        <v>64</v>
      </c>
      <c r="I880" s="1" t="n">
        <v>-8.5</v>
      </c>
      <c r="J880" s="1" t="n">
        <v>48</v>
      </c>
      <c r="K880" s="1" t="s">
        <v>145</v>
      </c>
      <c r="L880" s="1" t="b">
        <f aca="false">FALSE()</f>
        <v>0</v>
      </c>
      <c r="M880" s="1" t="str">
        <f aca="false">VLOOKUP(D880,'Team Reference'!$A:$B,2,FALSE())</f>
        <v>CHI</v>
      </c>
      <c r="N880" s="1" t="str">
        <f aca="false">VLOOKUP(E880,'Team Reference'!$A:$B,2,FALSE())</f>
        <v>NYG</v>
      </c>
      <c r="O880" s="1" t="str">
        <f aca="false">IF(F880&gt;G880,M880,IF(G880&gt;F880,N880,"Tie"))</f>
        <v>CHI</v>
      </c>
      <c r="P880" s="1" t="n">
        <f aca="false">F880-G880</f>
        <v>6</v>
      </c>
      <c r="Q880" s="1" t="n">
        <f aca="false">F880+G880</f>
        <v>48</v>
      </c>
      <c r="R880" s="1" t="str">
        <f aca="false">IF(H880=M880,"Home",IF(H880=N880,"Away",IF(H880="PICK","Pick","N/A")))</f>
        <v>Home</v>
      </c>
      <c r="S880" s="1" t="n">
        <f aca="false">IF(R880="Home",P880,IF(R880="Away",-P880,""))</f>
        <v>6</v>
      </c>
      <c r="T880" s="1" t="str">
        <f aca="false">IF(R880="Pick","No Line",IF(S880="","N/A",IF(S880+I880&gt;0,"Favorite Covered",IF(S880+I880&lt;0,"Underdog Covered","Push"))))</f>
        <v>Underdog Covered</v>
      </c>
      <c r="U880" s="1" t="str">
        <f aca="false">IF(Q880&gt;J880,"Over",IF(Q880&lt;J880,"Under","Push"))</f>
        <v>Push</v>
      </c>
    </row>
    <row r="881" customFormat="false" ht="15" hidden="false" customHeight="false" outlineLevel="0" collapsed="false">
      <c r="A881" s="1" t="s">
        <v>364</v>
      </c>
      <c r="B881" s="1" t="n">
        <v>2013</v>
      </c>
      <c r="C881" s="1" t="s">
        <v>188</v>
      </c>
      <c r="D881" s="1" t="s">
        <v>57</v>
      </c>
      <c r="E881" s="1" t="s">
        <v>75</v>
      </c>
      <c r="F881" s="1" t="n">
        <v>17</v>
      </c>
      <c r="G881" s="1" t="n">
        <v>19</v>
      </c>
      <c r="H881" s="1" t="s">
        <v>76</v>
      </c>
      <c r="I881" s="1" t="n">
        <v>-2</v>
      </c>
      <c r="J881" s="1" t="n">
        <v>48</v>
      </c>
      <c r="K881" s="1" t="s">
        <v>178</v>
      </c>
      <c r="L881" s="1" t="b">
        <f aca="false">FALSE()</f>
        <v>0</v>
      </c>
      <c r="M881" s="1" t="str">
        <f aca="false">VLOOKUP(D881,'Team Reference'!$A:$B,2,FALSE())</f>
        <v>BAL</v>
      </c>
      <c r="N881" s="1" t="str">
        <f aca="false">VLOOKUP(E881,'Team Reference'!$A:$B,2,FALSE())</f>
        <v>GB</v>
      </c>
      <c r="O881" s="1" t="str">
        <f aca="false">IF(F881&gt;G881,M881,IF(G881&gt;F881,N881,"Tie"))</f>
        <v>GB</v>
      </c>
      <c r="P881" s="1" t="n">
        <f aca="false">F881-G881</f>
        <v>-2</v>
      </c>
      <c r="Q881" s="1" t="n">
        <f aca="false">F881+G881</f>
        <v>36</v>
      </c>
      <c r="R881" s="1" t="str">
        <f aca="false">IF(H881=M881,"Home",IF(H881=N881,"Away",IF(H881="PICK","Pick","N/A")))</f>
        <v>Away</v>
      </c>
      <c r="S881" s="1" t="n">
        <f aca="false">IF(R881="Home",P881,IF(R881="Away",-P881,""))</f>
        <v>2</v>
      </c>
      <c r="T881" s="1" t="str">
        <f aca="false">IF(R881="Pick","No Line",IF(S881="","N/A",IF(S881+I881&gt;0,"Favorite Covered",IF(S881+I881&lt;0,"Underdog Covered","Push"))))</f>
        <v>Push</v>
      </c>
      <c r="U881" s="1" t="str">
        <f aca="false">IF(Q881&gt;J881,"Over",IF(Q881&lt;J881,"Under","Push"))</f>
        <v>Under</v>
      </c>
    </row>
    <row r="882" customFormat="false" ht="15" hidden="false" customHeight="false" outlineLevel="0" collapsed="false">
      <c r="A882" s="1" t="s">
        <v>364</v>
      </c>
      <c r="B882" s="1" t="n">
        <v>2013</v>
      </c>
      <c r="C882" s="1" t="s">
        <v>188</v>
      </c>
      <c r="D882" s="1" t="s">
        <v>59</v>
      </c>
      <c r="E882" s="1" t="s">
        <v>65</v>
      </c>
      <c r="F882" s="1" t="n">
        <v>24</v>
      </c>
      <c r="G882" s="1" t="n">
        <v>27</v>
      </c>
      <c r="H882" s="1" t="s">
        <v>66</v>
      </c>
      <c r="I882" s="1" t="n">
        <v>-6</v>
      </c>
      <c r="J882" s="1" t="n">
        <v>41</v>
      </c>
      <c r="K882" s="1" t="s">
        <v>144</v>
      </c>
      <c r="L882" s="1" t="b">
        <f aca="false">FALSE()</f>
        <v>0</v>
      </c>
      <c r="M882" s="1" t="str">
        <f aca="false">VLOOKUP(D882,'Team Reference'!$A:$B,2,FALSE())</f>
        <v>BUF</v>
      </c>
      <c r="N882" s="1" t="str">
        <f aca="false">VLOOKUP(E882,'Team Reference'!$A:$B,2,FALSE())</f>
        <v>CIN</v>
      </c>
      <c r="O882" s="1" t="str">
        <f aca="false">IF(F882&gt;G882,M882,IF(G882&gt;F882,N882,"Tie"))</f>
        <v>CIN</v>
      </c>
      <c r="P882" s="1" t="n">
        <f aca="false">F882-G882</f>
        <v>-3</v>
      </c>
      <c r="Q882" s="1" t="n">
        <f aca="false">F882+G882</f>
        <v>51</v>
      </c>
      <c r="R882" s="1" t="str">
        <f aca="false">IF(H882=M882,"Home",IF(H882=N882,"Away",IF(H882="PICK","Pick","N/A")))</f>
        <v>Away</v>
      </c>
      <c r="S882" s="1" t="n">
        <f aca="false">IF(R882="Home",P882,IF(R882="Away",-P882,""))</f>
        <v>3</v>
      </c>
      <c r="T882" s="1" t="str">
        <f aca="false">IF(R882="Pick","No Line",IF(S882="","N/A",IF(S882+I882&gt;0,"Favorite Covered",IF(S882+I882&lt;0,"Underdog Covered","Push"))))</f>
        <v>Underdog Covered</v>
      </c>
      <c r="U882" s="1" t="str">
        <f aca="false">IF(Q882&gt;J882,"Over",IF(Q882&lt;J882,"Under","Push"))</f>
        <v>Over</v>
      </c>
    </row>
    <row r="883" customFormat="false" ht="15" hidden="false" customHeight="false" outlineLevel="0" collapsed="false">
      <c r="A883" s="1" t="s">
        <v>364</v>
      </c>
      <c r="B883" s="1" t="n">
        <v>2013</v>
      </c>
      <c r="C883" s="1" t="s">
        <v>188</v>
      </c>
      <c r="D883" s="1" t="s">
        <v>67</v>
      </c>
      <c r="E883" s="1" t="s">
        <v>73</v>
      </c>
      <c r="F883" s="1" t="n">
        <v>17</v>
      </c>
      <c r="G883" s="1" t="n">
        <v>31</v>
      </c>
      <c r="H883" s="1" t="s">
        <v>74</v>
      </c>
      <c r="I883" s="1" t="n">
        <v>-2.5</v>
      </c>
      <c r="J883" s="1" t="n">
        <v>43.5</v>
      </c>
      <c r="K883" s="1" t="s">
        <v>164</v>
      </c>
      <c r="L883" s="1" t="b">
        <f aca="false">FALSE()</f>
        <v>0</v>
      </c>
      <c r="M883" s="1" t="str">
        <f aca="false">VLOOKUP(D883,'Team Reference'!$A:$B,2,FALSE())</f>
        <v>CLE</v>
      </c>
      <c r="N883" s="1" t="str">
        <f aca="false">VLOOKUP(E883,'Team Reference'!$A:$B,2,FALSE())</f>
        <v>DET</v>
      </c>
      <c r="O883" s="1" t="str">
        <f aca="false">IF(F883&gt;G883,M883,IF(G883&gt;F883,N883,"Tie"))</f>
        <v>DET</v>
      </c>
      <c r="P883" s="1" t="n">
        <f aca="false">F883-G883</f>
        <v>-14</v>
      </c>
      <c r="Q883" s="1" t="n">
        <f aca="false">F883+G883</f>
        <v>48</v>
      </c>
      <c r="R883" s="1" t="str">
        <f aca="false">IF(H883=M883,"Home",IF(H883=N883,"Away",IF(H883="PICK","Pick","N/A")))</f>
        <v>Away</v>
      </c>
      <c r="S883" s="1" t="n">
        <f aca="false">IF(R883="Home",P883,IF(R883="Away",-P883,""))</f>
        <v>14</v>
      </c>
      <c r="T883" s="1" t="str">
        <f aca="false">IF(R883="Pick","No Line",IF(S883="","N/A",IF(S883+I883&gt;0,"Favorite Covered",IF(S883+I883&lt;0,"Underdog Covered","Push"))))</f>
        <v>Favorite Covered</v>
      </c>
      <c r="U883" s="1" t="str">
        <f aca="false">IF(Q883&gt;J883,"Over",IF(Q883&lt;J883,"Under","Push"))</f>
        <v>Over</v>
      </c>
    </row>
    <row r="884" customFormat="false" ht="15" hidden="false" customHeight="false" outlineLevel="0" collapsed="false">
      <c r="A884" s="1" t="s">
        <v>364</v>
      </c>
      <c r="B884" s="1" t="n">
        <v>2013</v>
      </c>
      <c r="C884" s="1" t="s">
        <v>188</v>
      </c>
      <c r="D884" s="1" t="s">
        <v>69</v>
      </c>
      <c r="E884" s="1" t="s">
        <v>117</v>
      </c>
      <c r="F884" s="1" t="n">
        <v>31</v>
      </c>
      <c r="G884" s="1" t="n">
        <v>16</v>
      </c>
      <c r="H884" s="1" t="s">
        <v>70</v>
      </c>
      <c r="I884" s="1" t="n">
        <v>-5.5</v>
      </c>
      <c r="J884" s="1" t="n">
        <v>51.5</v>
      </c>
      <c r="K884" s="1" t="s">
        <v>165</v>
      </c>
      <c r="L884" s="1" t="b">
        <f aca="false">FALSE()</f>
        <v>0</v>
      </c>
      <c r="M884" s="1" t="str">
        <f aca="false">VLOOKUP(D884,'Team Reference'!$A:$B,2,FALSE())</f>
        <v>DAL</v>
      </c>
      <c r="N884" s="1" t="str">
        <f aca="false">VLOOKUP(E884,'Team Reference'!$A:$B,2,FALSE())</f>
        <v>WAS</v>
      </c>
      <c r="O884" s="1" t="str">
        <f aca="false">IF(F884&gt;G884,M884,IF(G884&gt;F884,N884,"Tie"))</f>
        <v>DAL</v>
      </c>
      <c r="P884" s="1" t="n">
        <f aca="false">F884-G884</f>
        <v>15</v>
      </c>
      <c r="Q884" s="1" t="n">
        <f aca="false">F884+G884</f>
        <v>47</v>
      </c>
      <c r="R884" s="1" t="str">
        <f aca="false">IF(H884=M884,"Home",IF(H884=N884,"Away",IF(H884="PICK","Pick","N/A")))</f>
        <v>Home</v>
      </c>
      <c r="S884" s="1" t="n">
        <f aca="false">IF(R884="Home",P884,IF(R884="Away",-P884,""))</f>
        <v>15</v>
      </c>
      <c r="T884" s="1" t="str">
        <f aca="false">IF(R884="Pick","No Line",IF(S884="","N/A",IF(S884+I884&gt;0,"Favorite Covered",IF(S884+I884&lt;0,"Underdog Covered","Push"))))</f>
        <v>Favorite Covered</v>
      </c>
      <c r="U884" s="1" t="str">
        <f aca="false">IF(Q884&gt;J884,"Over",IF(Q884&lt;J884,"Under","Push"))</f>
        <v>Under</v>
      </c>
    </row>
    <row r="885" customFormat="false" ht="15" hidden="false" customHeight="false" outlineLevel="0" collapsed="false">
      <c r="A885" s="1" t="s">
        <v>364</v>
      </c>
      <c r="B885" s="1" t="n">
        <v>2013</v>
      </c>
      <c r="C885" s="1" t="s">
        <v>188</v>
      </c>
      <c r="D885" s="1" t="s">
        <v>71</v>
      </c>
      <c r="E885" s="1" t="s">
        <v>81</v>
      </c>
      <c r="F885" s="1" t="n">
        <v>35</v>
      </c>
      <c r="G885" s="1" t="n">
        <v>19</v>
      </c>
      <c r="H885" s="1" t="s">
        <v>72</v>
      </c>
      <c r="I885" s="1" t="n">
        <v>-26.5</v>
      </c>
      <c r="J885" s="1" t="n">
        <v>52</v>
      </c>
      <c r="K885" s="1" t="s">
        <v>166</v>
      </c>
      <c r="L885" s="1" t="b">
        <f aca="false">FALSE()</f>
        <v>0</v>
      </c>
      <c r="M885" s="1" t="str">
        <f aca="false">VLOOKUP(D885,'Team Reference'!$A:$B,2,FALSE())</f>
        <v>DEN</v>
      </c>
      <c r="N885" s="1" t="str">
        <f aca="false">VLOOKUP(E885,'Team Reference'!$A:$B,2,FALSE())</f>
        <v>JAX</v>
      </c>
      <c r="O885" s="1" t="str">
        <f aca="false">IF(F885&gt;G885,M885,IF(G885&gt;F885,N885,"Tie"))</f>
        <v>DEN</v>
      </c>
      <c r="P885" s="1" t="n">
        <f aca="false">F885-G885</f>
        <v>16</v>
      </c>
      <c r="Q885" s="1" t="n">
        <f aca="false">F885+G885</f>
        <v>54</v>
      </c>
      <c r="R885" s="1" t="str">
        <f aca="false">IF(H885=M885,"Home",IF(H885=N885,"Away",IF(H885="PICK","Pick","N/A")))</f>
        <v>Home</v>
      </c>
      <c r="S885" s="1" t="n">
        <f aca="false">IF(R885="Home",P885,IF(R885="Away",-P885,""))</f>
        <v>16</v>
      </c>
      <c r="T885" s="1" t="str">
        <f aca="false">IF(R885="Pick","No Line",IF(S885="","N/A",IF(S885+I885&gt;0,"Favorite Covered",IF(S885+I885&lt;0,"Underdog Covered","Push"))))</f>
        <v>Underdog Covered</v>
      </c>
      <c r="U885" s="1" t="str">
        <f aca="false">IF(Q885&gt;J885,"Over",IF(Q885&lt;J885,"Under","Push"))</f>
        <v>Over</v>
      </c>
    </row>
    <row r="886" customFormat="false" ht="15" hidden="false" customHeight="false" outlineLevel="0" collapsed="false">
      <c r="A886" s="1" t="s">
        <v>364</v>
      </c>
      <c r="B886" s="1" t="n">
        <v>2013</v>
      </c>
      <c r="C886" s="1" t="s">
        <v>188</v>
      </c>
      <c r="D886" s="1" t="s">
        <v>77</v>
      </c>
      <c r="E886" s="1" t="s">
        <v>112</v>
      </c>
      <c r="F886" s="1" t="n">
        <v>13</v>
      </c>
      <c r="G886" s="1" t="n">
        <v>38</v>
      </c>
      <c r="H886" s="1" t="s">
        <v>78</v>
      </c>
      <c r="I886" s="1" t="n">
        <v>-9</v>
      </c>
      <c r="J886" s="1" t="n">
        <v>42.5</v>
      </c>
      <c r="K886" s="1" t="s">
        <v>146</v>
      </c>
      <c r="L886" s="1" t="b">
        <f aca="false">FALSE()</f>
        <v>0</v>
      </c>
      <c r="M886" s="1" t="str">
        <f aca="false">VLOOKUP(D886,'Team Reference'!$A:$B,2,FALSE())</f>
        <v>HOU</v>
      </c>
      <c r="N886" s="1" t="str">
        <f aca="false">VLOOKUP(E886,'Team Reference'!$A:$B,2,FALSE())</f>
        <v>LAR</v>
      </c>
      <c r="O886" s="1" t="str">
        <f aca="false">IF(F886&gt;G886,M886,IF(G886&gt;F886,N886,"Tie"))</f>
        <v>LAR</v>
      </c>
      <c r="P886" s="1" t="n">
        <f aca="false">F886-G886</f>
        <v>-25</v>
      </c>
      <c r="Q886" s="1" t="n">
        <f aca="false">F886+G886</f>
        <v>51</v>
      </c>
      <c r="R886" s="1" t="str">
        <f aca="false">IF(H886=M886,"Home",IF(H886=N886,"Away",IF(H886="PICK","Pick","N/A")))</f>
        <v>Home</v>
      </c>
      <c r="S886" s="1" t="n">
        <f aca="false">IF(R886="Home",P886,IF(R886="Away",-P886,""))</f>
        <v>-25</v>
      </c>
      <c r="T886" s="1" t="str">
        <f aca="false">IF(R886="Pick","No Line",IF(S886="","N/A",IF(S886+I886&gt;0,"Favorite Covered",IF(S886+I886&lt;0,"Underdog Covered","Push"))))</f>
        <v>Underdog Covered</v>
      </c>
      <c r="U886" s="1" t="str">
        <f aca="false">IF(Q886&gt;J886,"Over",IF(Q886&lt;J886,"Under","Push"))</f>
        <v>Over</v>
      </c>
    </row>
    <row r="887" customFormat="false" ht="15" hidden="false" customHeight="false" outlineLevel="0" collapsed="false">
      <c r="A887" s="1" t="s">
        <v>364</v>
      </c>
      <c r="B887" s="1" t="n">
        <v>2013</v>
      </c>
      <c r="C887" s="1" t="s">
        <v>188</v>
      </c>
      <c r="D887" s="1" t="s">
        <v>83</v>
      </c>
      <c r="E887" s="1" t="s">
        <v>101</v>
      </c>
      <c r="F887" s="1" t="n">
        <v>24</v>
      </c>
      <c r="G887" s="1" t="n">
        <v>7</v>
      </c>
      <c r="H887" s="1" t="s">
        <v>84</v>
      </c>
      <c r="I887" s="1" t="n">
        <v>-7.5</v>
      </c>
      <c r="J887" s="1" t="n">
        <v>41.5</v>
      </c>
      <c r="K887" s="1" t="s">
        <v>158</v>
      </c>
      <c r="L887" s="1" t="b">
        <f aca="false">FALSE()</f>
        <v>0</v>
      </c>
      <c r="M887" s="1" t="str">
        <f aca="false">VLOOKUP(D887,'Team Reference'!$A:$B,2,FALSE())</f>
        <v>KC</v>
      </c>
      <c r="N887" s="1" t="str">
        <f aca="false">VLOOKUP(E887,'Team Reference'!$A:$B,2,FALSE())</f>
        <v>OAK</v>
      </c>
      <c r="O887" s="1" t="str">
        <f aca="false">IF(F887&gt;G887,M887,IF(G887&gt;F887,N887,"Tie"))</f>
        <v>KC</v>
      </c>
      <c r="P887" s="1" t="n">
        <f aca="false">F887-G887</f>
        <v>17</v>
      </c>
      <c r="Q887" s="1" t="n">
        <f aca="false">F887+G887</f>
        <v>31</v>
      </c>
      <c r="R887" s="1" t="str">
        <f aca="false">IF(H887=M887,"Home",IF(H887=N887,"Away",IF(H887="PICK","Pick","N/A")))</f>
        <v>Home</v>
      </c>
      <c r="S887" s="1" t="n">
        <f aca="false">IF(R887="Home",P887,IF(R887="Away",-P887,""))</f>
        <v>17</v>
      </c>
      <c r="T887" s="1" t="str">
        <f aca="false">IF(R887="Pick","No Line",IF(S887="","N/A",IF(S887+I887&gt;0,"Favorite Covered",IF(S887+I887&lt;0,"Underdog Covered","Push"))))</f>
        <v>Favorite Covered</v>
      </c>
      <c r="U887" s="1" t="str">
        <f aca="false">IF(Q887&gt;J887,"Over",IF(Q887&lt;J887,"Under","Push"))</f>
        <v>Under</v>
      </c>
    </row>
    <row r="888" customFormat="false" ht="15" hidden="false" customHeight="false" outlineLevel="0" collapsed="false">
      <c r="A888" s="1" t="s">
        <v>364</v>
      </c>
      <c r="B888" s="1" t="n">
        <v>2013</v>
      </c>
      <c r="C888" s="1" t="s">
        <v>188</v>
      </c>
      <c r="D888" s="1" t="s">
        <v>91</v>
      </c>
      <c r="E888" s="1" t="s">
        <v>61</v>
      </c>
      <c r="F888" s="1" t="n">
        <v>10</v>
      </c>
      <c r="G888" s="1" t="n">
        <v>35</v>
      </c>
      <c r="H888" s="1" t="s">
        <v>92</v>
      </c>
      <c r="I888" s="1" t="n">
        <v>-2.5</v>
      </c>
      <c r="J888" s="1" t="n">
        <v>44.5</v>
      </c>
      <c r="K888" s="1" t="s">
        <v>170</v>
      </c>
      <c r="L888" s="1" t="b">
        <f aca="false">FALSE()</f>
        <v>0</v>
      </c>
      <c r="M888" s="1" t="str">
        <f aca="false">VLOOKUP(D888,'Team Reference'!$A:$B,2,FALSE())</f>
        <v>MIN</v>
      </c>
      <c r="N888" s="1" t="str">
        <f aca="false">VLOOKUP(E888,'Team Reference'!$A:$B,2,FALSE())</f>
        <v>CAR</v>
      </c>
      <c r="O888" s="1" t="str">
        <f aca="false">IF(F888&gt;G888,M888,IF(G888&gt;F888,N888,"Tie"))</f>
        <v>CAR</v>
      </c>
      <c r="P888" s="1" t="n">
        <f aca="false">F888-G888</f>
        <v>-25</v>
      </c>
      <c r="Q888" s="1" t="n">
        <f aca="false">F888+G888</f>
        <v>45</v>
      </c>
      <c r="R888" s="1" t="str">
        <f aca="false">IF(H888=M888,"Home",IF(H888=N888,"Away",IF(H888="PICK","Pick","N/A")))</f>
        <v>Home</v>
      </c>
      <c r="S888" s="1" t="n">
        <f aca="false">IF(R888="Home",P888,IF(R888="Away",-P888,""))</f>
        <v>-25</v>
      </c>
      <c r="T888" s="1" t="str">
        <f aca="false">IF(R888="Pick","No Line",IF(S888="","N/A",IF(S888+I888&gt;0,"Favorite Covered",IF(S888+I888&lt;0,"Underdog Covered","Push"))))</f>
        <v>Underdog Covered</v>
      </c>
      <c r="U888" s="1" t="str">
        <f aca="false">IF(Q888&gt;J888,"Over",IF(Q888&lt;J888,"Under","Push"))</f>
        <v>Over</v>
      </c>
    </row>
    <row r="889" customFormat="false" ht="15" hidden="false" customHeight="false" outlineLevel="0" collapsed="false">
      <c r="A889" s="1" t="s">
        <v>364</v>
      </c>
      <c r="B889" s="1" t="n">
        <v>2013</v>
      </c>
      <c r="C889" s="1" t="s">
        <v>188</v>
      </c>
      <c r="D889" s="1" t="s">
        <v>93</v>
      </c>
      <c r="E889" s="1" t="s">
        <v>95</v>
      </c>
      <c r="F889" s="1" t="n">
        <v>30</v>
      </c>
      <c r="G889" s="1" t="n">
        <v>27</v>
      </c>
      <c r="H889" s="1" t="s">
        <v>94</v>
      </c>
      <c r="I889" s="1" t="n">
        <v>-2.5</v>
      </c>
      <c r="J889" s="1" t="n">
        <v>50</v>
      </c>
      <c r="K889" s="1" t="s">
        <v>148</v>
      </c>
      <c r="L889" s="1" t="b">
        <f aca="false">FALSE()</f>
        <v>0</v>
      </c>
      <c r="M889" s="1" t="str">
        <f aca="false">VLOOKUP(D889,'Team Reference'!$A:$B,2,FALSE())</f>
        <v>NE</v>
      </c>
      <c r="N889" s="1" t="str">
        <f aca="false">VLOOKUP(E889,'Team Reference'!$A:$B,2,FALSE())</f>
        <v>NO</v>
      </c>
      <c r="O889" s="1" t="str">
        <f aca="false">IF(F889&gt;G889,M889,IF(G889&gt;F889,N889,"Tie"))</f>
        <v>NE</v>
      </c>
      <c r="P889" s="1" t="n">
        <f aca="false">F889-G889</f>
        <v>3</v>
      </c>
      <c r="Q889" s="1" t="n">
        <f aca="false">F889+G889</f>
        <v>57</v>
      </c>
      <c r="R889" s="1" t="str">
        <f aca="false">IF(H889=M889,"Home",IF(H889=N889,"Away",IF(H889="PICK","Pick","N/A")))</f>
        <v>Home</v>
      </c>
      <c r="S889" s="1" t="n">
        <f aca="false">IF(R889="Home",P889,IF(R889="Away",-P889,""))</f>
        <v>3</v>
      </c>
      <c r="T889" s="1" t="str">
        <f aca="false">IF(R889="Pick","No Line",IF(S889="","N/A",IF(S889+I889&gt;0,"Favorite Covered",IF(S889+I889&lt;0,"Underdog Covered","Push"))))</f>
        <v>Favorite Covered</v>
      </c>
      <c r="U889" s="1" t="str">
        <f aca="false">IF(Q889&gt;J889,"Over",IF(Q889&lt;J889,"Under","Push"))</f>
        <v>Over</v>
      </c>
    </row>
    <row r="890" customFormat="false" ht="15" hidden="false" customHeight="false" outlineLevel="0" collapsed="false">
      <c r="A890" s="1" t="s">
        <v>364</v>
      </c>
      <c r="B890" s="1" t="n">
        <v>2013</v>
      </c>
      <c r="C890" s="1" t="s">
        <v>188</v>
      </c>
      <c r="D890" s="1" t="s">
        <v>99</v>
      </c>
      <c r="E890" s="1" t="s">
        <v>105</v>
      </c>
      <c r="F890" s="1" t="n">
        <v>6</v>
      </c>
      <c r="G890" s="1" t="n">
        <v>19</v>
      </c>
      <c r="H890" s="1" t="s">
        <v>106</v>
      </c>
      <c r="I890" s="1" t="n">
        <v>-1.5</v>
      </c>
      <c r="J890" s="1" t="n">
        <v>41</v>
      </c>
      <c r="K890" s="1" t="s">
        <v>149</v>
      </c>
      <c r="L890" s="1" t="b">
        <f aca="false">FALSE()</f>
        <v>0</v>
      </c>
      <c r="M890" s="1" t="str">
        <f aca="false">VLOOKUP(D890,'Team Reference'!$A:$B,2,FALSE())</f>
        <v>NYJ</v>
      </c>
      <c r="N890" s="1" t="str">
        <f aca="false">VLOOKUP(E890,'Team Reference'!$A:$B,2,FALSE())</f>
        <v>PIT</v>
      </c>
      <c r="O890" s="1" t="str">
        <f aca="false">IF(F890&gt;G890,M890,IF(G890&gt;F890,N890,"Tie"))</f>
        <v>PIT</v>
      </c>
      <c r="P890" s="1" t="n">
        <f aca="false">F890-G890</f>
        <v>-13</v>
      </c>
      <c r="Q890" s="1" t="n">
        <f aca="false">F890+G890</f>
        <v>25</v>
      </c>
      <c r="R890" s="1" t="str">
        <f aca="false">IF(H890=M890,"Home",IF(H890=N890,"Away",IF(H890="PICK","Pick","N/A")))</f>
        <v>Away</v>
      </c>
      <c r="S890" s="1" t="n">
        <f aca="false">IF(R890="Home",P890,IF(R890="Away",-P890,""))</f>
        <v>13</v>
      </c>
      <c r="T890" s="1" t="str">
        <f aca="false">IF(R890="Pick","No Line",IF(S890="","N/A",IF(S890+I890&gt;0,"Favorite Covered",IF(S890+I890&lt;0,"Underdog Covered","Push"))))</f>
        <v>Favorite Covered</v>
      </c>
      <c r="U890" s="1" t="str">
        <f aca="false">IF(Q890&gt;J890,"Over",IF(Q890&lt;J890,"Under","Push"))</f>
        <v>Under</v>
      </c>
    </row>
    <row r="891" customFormat="false" ht="15" hidden="false" customHeight="false" outlineLevel="0" collapsed="false">
      <c r="A891" s="1" t="s">
        <v>364</v>
      </c>
      <c r="B891" s="1" t="n">
        <v>2013</v>
      </c>
      <c r="C891" s="1" t="s">
        <v>188</v>
      </c>
      <c r="D891" s="1" t="s">
        <v>108</v>
      </c>
      <c r="E891" s="1" t="s">
        <v>53</v>
      </c>
      <c r="F891" s="1" t="n">
        <v>32</v>
      </c>
      <c r="G891" s="1" t="n">
        <v>20</v>
      </c>
      <c r="H891" s="1" t="s">
        <v>109</v>
      </c>
      <c r="I891" s="1" t="n">
        <v>-10.5</v>
      </c>
      <c r="J891" s="1" t="n">
        <v>41</v>
      </c>
      <c r="K891" s="1" t="s">
        <v>174</v>
      </c>
      <c r="L891" s="1" t="b">
        <f aca="false">FALSE()</f>
        <v>0</v>
      </c>
      <c r="M891" s="1" t="str">
        <f aca="false">VLOOKUP(D891,'Team Reference'!$A:$B,2,FALSE())</f>
        <v>SF</v>
      </c>
      <c r="N891" s="1" t="str">
        <f aca="false">VLOOKUP(E891,'Team Reference'!$A:$B,2,FALSE())</f>
        <v>ARI</v>
      </c>
      <c r="O891" s="1" t="str">
        <f aca="false">IF(F891&gt;G891,M891,IF(G891&gt;F891,N891,"Tie"))</f>
        <v>SF</v>
      </c>
      <c r="P891" s="1" t="n">
        <f aca="false">F891-G891</f>
        <v>12</v>
      </c>
      <c r="Q891" s="1" t="n">
        <f aca="false">F891+G891</f>
        <v>52</v>
      </c>
      <c r="R891" s="1" t="str">
        <f aca="false">IF(H891=M891,"Home",IF(H891=N891,"Away",IF(H891="PICK","Pick","N/A")))</f>
        <v>Home</v>
      </c>
      <c r="S891" s="1" t="n">
        <f aca="false">IF(R891="Home",P891,IF(R891="Away",-P891,""))</f>
        <v>12</v>
      </c>
      <c r="T891" s="1" t="str">
        <f aca="false">IF(R891="Pick","No Line",IF(S891="","N/A",IF(S891+I891&gt;0,"Favorite Covered",IF(S891+I891&lt;0,"Underdog Covered","Push"))))</f>
        <v>Favorite Covered</v>
      </c>
      <c r="U891" s="1" t="str">
        <f aca="false">IF(Q891&gt;J891,"Over",IF(Q891&lt;J891,"Under","Push"))</f>
        <v>Over</v>
      </c>
    </row>
    <row r="892" customFormat="false" ht="15" hidden="false" customHeight="false" outlineLevel="0" collapsed="false">
      <c r="A892" s="1" t="s">
        <v>364</v>
      </c>
      <c r="B892" s="1" t="n">
        <v>2013</v>
      </c>
      <c r="C892" s="1" t="s">
        <v>188</v>
      </c>
      <c r="D892" s="1" t="s">
        <v>110</v>
      </c>
      <c r="E892" s="1" t="s">
        <v>115</v>
      </c>
      <c r="F892" s="1" t="n">
        <v>20</v>
      </c>
      <c r="G892" s="1" t="n">
        <v>13</v>
      </c>
      <c r="H892" s="1" t="s">
        <v>111</v>
      </c>
      <c r="I892" s="1" t="n">
        <v>-11.5</v>
      </c>
      <c r="J892" s="1" t="n">
        <v>41.5</v>
      </c>
      <c r="K892" s="1" t="s">
        <v>152</v>
      </c>
      <c r="L892" s="1" t="b">
        <f aca="false">FALSE()</f>
        <v>0</v>
      </c>
      <c r="M892" s="1" t="str">
        <f aca="false">VLOOKUP(D892,'Team Reference'!$A:$B,2,FALSE())</f>
        <v>SEA</v>
      </c>
      <c r="N892" s="1" t="str">
        <f aca="false">VLOOKUP(E892,'Team Reference'!$A:$B,2,FALSE())</f>
        <v>TEN</v>
      </c>
      <c r="O892" s="1" t="str">
        <f aca="false">IF(F892&gt;G892,M892,IF(G892&gt;F892,N892,"Tie"))</f>
        <v>SEA</v>
      </c>
      <c r="P892" s="1" t="n">
        <f aca="false">F892-G892</f>
        <v>7</v>
      </c>
      <c r="Q892" s="1" t="n">
        <f aca="false">F892+G892</f>
        <v>33</v>
      </c>
      <c r="R892" s="1" t="str">
        <f aca="false">IF(H892=M892,"Home",IF(H892=N892,"Away",IF(H892="PICK","Pick","N/A")))</f>
        <v>Home</v>
      </c>
      <c r="S892" s="1" t="n">
        <f aca="false">IF(R892="Home",P892,IF(R892="Away",-P892,""))</f>
        <v>7</v>
      </c>
      <c r="T892" s="1" t="str">
        <f aca="false">IF(R892="Pick","No Line",IF(S892="","N/A",IF(S892+I892&gt;0,"Favorite Covered",IF(S892+I892&lt;0,"Underdog Covered","Push"))))</f>
        <v>Underdog Covered</v>
      </c>
      <c r="U892" s="1" t="str">
        <f aca="false">IF(Q892&gt;J892,"Over",IF(Q892&lt;J892,"Under","Push"))</f>
        <v>Under</v>
      </c>
    </row>
    <row r="893" customFormat="false" ht="15" hidden="false" customHeight="false" outlineLevel="0" collapsed="false">
      <c r="A893" s="1" t="s">
        <v>364</v>
      </c>
      <c r="B893" s="1" t="n">
        <v>2013</v>
      </c>
      <c r="C893" s="1" t="s">
        <v>188</v>
      </c>
      <c r="D893" s="1" t="s">
        <v>113</v>
      </c>
      <c r="E893" s="1" t="s">
        <v>103</v>
      </c>
      <c r="F893" s="1" t="n">
        <v>20</v>
      </c>
      <c r="G893" s="1" t="n">
        <v>31</v>
      </c>
      <c r="H893" s="1" t="s">
        <v>104</v>
      </c>
      <c r="I893" s="1" t="n">
        <v>-3</v>
      </c>
      <c r="J893" s="1" t="n">
        <v>44</v>
      </c>
      <c r="K893" s="1" t="s">
        <v>154</v>
      </c>
      <c r="L893" s="1" t="b">
        <f aca="false">FALSE()</f>
        <v>0</v>
      </c>
      <c r="M893" s="1" t="str">
        <f aca="false">VLOOKUP(D893,'Team Reference'!$A:$B,2,FALSE())</f>
        <v>TB</v>
      </c>
      <c r="N893" s="1" t="str">
        <f aca="false">VLOOKUP(E893,'Team Reference'!$A:$B,2,FALSE())</f>
        <v>PHI</v>
      </c>
      <c r="O893" s="1" t="str">
        <f aca="false">IF(F893&gt;G893,M893,IF(G893&gt;F893,N893,"Tie"))</f>
        <v>PHI</v>
      </c>
      <c r="P893" s="1" t="n">
        <f aca="false">F893-G893</f>
        <v>-11</v>
      </c>
      <c r="Q893" s="1" t="n">
        <f aca="false">F893+G893</f>
        <v>51</v>
      </c>
      <c r="R893" s="1" t="str">
        <f aca="false">IF(H893=M893,"Home",IF(H893=N893,"Away",IF(H893="PICK","Pick","N/A")))</f>
        <v>Away</v>
      </c>
      <c r="S893" s="1" t="n">
        <f aca="false">IF(R893="Home",P893,IF(R893="Away",-P893,""))</f>
        <v>11</v>
      </c>
      <c r="T893" s="1" t="str">
        <f aca="false">IF(R893="Pick","No Line",IF(S893="","N/A",IF(S893+I893&gt;0,"Favorite Covered",IF(S893+I893&lt;0,"Underdog Covered","Push"))))</f>
        <v>Favorite Covered</v>
      </c>
      <c r="U893" s="1" t="str">
        <f aca="false">IF(Q893&gt;J893,"Over",IF(Q893&lt;J893,"Under","Push"))</f>
        <v>Over</v>
      </c>
    </row>
    <row r="894" customFormat="false" ht="15" hidden="false" customHeight="false" outlineLevel="0" collapsed="false">
      <c r="A894" s="1" t="s">
        <v>365</v>
      </c>
      <c r="B894" s="1" t="n">
        <v>2013</v>
      </c>
      <c r="C894" s="1" t="s">
        <v>188</v>
      </c>
      <c r="D894" s="1" t="s">
        <v>107</v>
      </c>
      <c r="E894" s="1" t="s">
        <v>79</v>
      </c>
      <c r="F894" s="1" t="n">
        <v>19</v>
      </c>
      <c r="G894" s="1" t="n">
        <v>9</v>
      </c>
      <c r="H894" s="1" t="s">
        <v>200</v>
      </c>
      <c r="I894" s="1" t="n">
        <v>0</v>
      </c>
      <c r="J894" s="1" t="n">
        <v>50.5</v>
      </c>
      <c r="K894" s="1" t="s">
        <v>172</v>
      </c>
      <c r="L894" s="1" t="b">
        <f aca="false">FALSE()</f>
        <v>0</v>
      </c>
      <c r="M894" s="1" t="str">
        <f aca="false">VLOOKUP(D894,'Team Reference'!$A:$B,2,FALSE())</f>
        <v>LAC</v>
      </c>
      <c r="N894" s="1" t="str">
        <f aca="false">VLOOKUP(E894,'Team Reference'!$A:$B,2,FALSE())</f>
        <v>IND</v>
      </c>
      <c r="O894" s="1" t="str">
        <f aca="false">IF(F894&gt;G894,M894,IF(G894&gt;F894,N894,"Tie"))</f>
        <v>LAC</v>
      </c>
      <c r="P894" s="1" t="n">
        <f aca="false">F894-G894</f>
        <v>10</v>
      </c>
      <c r="Q894" s="1" t="n">
        <f aca="false">F894+G894</f>
        <v>28</v>
      </c>
      <c r="R894" s="1" t="str">
        <f aca="false">IF(H894=M894,"Home",IF(H894=N894,"Away",IF(H894="PICK","Pick","N/A")))</f>
        <v>Pick</v>
      </c>
      <c r="S894" s="1" t="str">
        <f aca="false">IF(R894="Home",P894,IF(R894="Away",-P894,""))</f>
        <v/>
      </c>
      <c r="T894" s="1" t="str">
        <f aca="false">IF(R894="Pick","No Line",IF(S894="","N/A",IF(S894+I894&gt;0,"Favorite Covered",IF(S894+I894&lt;0,"Underdog Covered","Push"))))</f>
        <v>No Line</v>
      </c>
      <c r="U894" s="1" t="str">
        <f aca="false">IF(Q894&gt;J894,"Over",IF(Q894&lt;J894,"Under","Push"))</f>
        <v>Under</v>
      </c>
    </row>
    <row r="895" customFormat="false" ht="15" hidden="false" customHeight="false" outlineLevel="0" collapsed="false">
      <c r="A895" s="1" t="s">
        <v>366</v>
      </c>
      <c r="B895" s="1" t="n">
        <v>2013</v>
      </c>
      <c r="C895" s="1" t="s">
        <v>191</v>
      </c>
      <c r="D895" s="1" t="s">
        <v>53</v>
      </c>
      <c r="E895" s="1" t="s">
        <v>110</v>
      </c>
      <c r="F895" s="1" t="n">
        <v>22</v>
      </c>
      <c r="G895" s="1" t="n">
        <v>34</v>
      </c>
      <c r="H895" s="1" t="s">
        <v>111</v>
      </c>
      <c r="I895" s="1" t="n">
        <v>-4.5</v>
      </c>
      <c r="J895" s="1" t="n">
        <v>41.5</v>
      </c>
      <c r="K895" s="1" t="s">
        <v>177</v>
      </c>
      <c r="L895" s="1" t="b">
        <f aca="false">FALSE()</f>
        <v>0</v>
      </c>
      <c r="M895" s="1" t="str">
        <f aca="false">VLOOKUP(D895,'Team Reference'!$A:$B,2,FALSE())</f>
        <v>ARI</v>
      </c>
      <c r="N895" s="1" t="str">
        <f aca="false">VLOOKUP(E895,'Team Reference'!$A:$B,2,FALSE())</f>
        <v>SEA</v>
      </c>
      <c r="O895" s="1" t="str">
        <f aca="false">IF(F895&gt;G895,M895,IF(G895&gt;F895,N895,"Tie"))</f>
        <v>SEA</v>
      </c>
      <c r="P895" s="1" t="n">
        <f aca="false">F895-G895</f>
        <v>-12</v>
      </c>
      <c r="Q895" s="1" t="n">
        <f aca="false">F895+G895</f>
        <v>56</v>
      </c>
      <c r="R895" s="1" t="str">
        <f aca="false">IF(H895=M895,"Home",IF(H895=N895,"Away",IF(H895="PICK","Pick","N/A")))</f>
        <v>Away</v>
      </c>
      <c r="S895" s="1" t="n">
        <f aca="false">IF(R895="Home",P895,IF(R895="Away",-P895,""))</f>
        <v>12</v>
      </c>
      <c r="T895" s="1" t="str">
        <f aca="false">IF(R895="Pick","No Line",IF(S895="","N/A",IF(S895+I895&gt;0,"Favorite Covered",IF(S895+I895&lt;0,"Underdog Covered","Push"))))</f>
        <v>Favorite Covered</v>
      </c>
      <c r="U895" s="1" t="str">
        <f aca="false">IF(Q895&gt;J895,"Over",IF(Q895&lt;J895,"Under","Push"))</f>
        <v>Over</v>
      </c>
    </row>
    <row r="896" customFormat="false" ht="15" hidden="false" customHeight="false" outlineLevel="0" collapsed="false">
      <c r="A896" s="1" t="s">
        <v>367</v>
      </c>
      <c r="B896" s="1" t="n">
        <v>2013</v>
      </c>
      <c r="C896" s="1" t="s">
        <v>191</v>
      </c>
      <c r="D896" s="1" t="s">
        <v>55</v>
      </c>
      <c r="E896" s="1" t="s">
        <v>113</v>
      </c>
      <c r="F896" s="1" t="n">
        <v>31</v>
      </c>
      <c r="G896" s="1" t="n">
        <v>23</v>
      </c>
      <c r="H896" s="1" t="s">
        <v>56</v>
      </c>
      <c r="I896" s="1" t="n">
        <v>-6.5</v>
      </c>
      <c r="J896" s="1" t="n">
        <v>43</v>
      </c>
      <c r="K896" s="1" t="s">
        <v>161</v>
      </c>
      <c r="L896" s="1" t="b">
        <f aca="false">FALSE()</f>
        <v>0</v>
      </c>
      <c r="M896" s="1" t="str">
        <f aca="false">VLOOKUP(D896,'Team Reference'!$A:$B,2,FALSE())</f>
        <v>ATL</v>
      </c>
      <c r="N896" s="1" t="str">
        <f aca="false">VLOOKUP(E896,'Team Reference'!$A:$B,2,FALSE())</f>
        <v>TB</v>
      </c>
      <c r="O896" s="1" t="str">
        <f aca="false">IF(F896&gt;G896,M896,IF(G896&gt;F896,N896,"Tie"))</f>
        <v>ATL</v>
      </c>
      <c r="P896" s="1" t="n">
        <f aca="false">F896-G896</f>
        <v>8</v>
      </c>
      <c r="Q896" s="1" t="n">
        <f aca="false">F896+G896</f>
        <v>54</v>
      </c>
      <c r="R896" s="1" t="str">
        <f aca="false">IF(H896=M896,"Home",IF(H896=N896,"Away",IF(H896="PICK","Pick","N/A")))</f>
        <v>Home</v>
      </c>
      <c r="S896" s="1" t="n">
        <f aca="false">IF(R896="Home",P896,IF(R896="Away",-P896,""))</f>
        <v>8</v>
      </c>
      <c r="T896" s="1" t="str">
        <f aca="false">IF(R896="Pick","No Line",IF(S896="","N/A",IF(S896+I896&gt;0,"Favorite Covered",IF(S896+I896&lt;0,"Underdog Covered","Push"))))</f>
        <v>Favorite Covered</v>
      </c>
      <c r="U896" s="1" t="str">
        <f aca="false">IF(Q896&gt;J896,"Over",IF(Q896&lt;J896,"Under","Push"))</f>
        <v>Over</v>
      </c>
    </row>
    <row r="897" customFormat="false" ht="15" hidden="false" customHeight="false" outlineLevel="0" collapsed="false">
      <c r="A897" s="1" t="s">
        <v>367</v>
      </c>
      <c r="B897" s="1" t="n">
        <v>2013</v>
      </c>
      <c r="C897" s="1" t="s">
        <v>191</v>
      </c>
      <c r="D897" s="1" t="s">
        <v>61</v>
      </c>
      <c r="E897" s="1" t="s">
        <v>112</v>
      </c>
      <c r="F897" s="1" t="n">
        <v>30</v>
      </c>
      <c r="G897" s="1" t="n">
        <v>15</v>
      </c>
      <c r="H897" s="1" t="s">
        <v>62</v>
      </c>
      <c r="I897" s="1" t="n">
        <v>-7</v>
      </c>
      <c r="J897" s="1" t="n">
        <v>42</v>
      </c>
      <c r="K897" s="1" t="s">
        <v>162</v>
      </c>
      <c r="L897" s="1" t="b">
        <f aca="false">FALSE()</f>
        <v>0</v>
      </c>
      <c r="M897" s="1" t="str">
        <f aca="false">VLOOKUP(D897,'Team Reference'!$A:$B,2,FALSE())</f>
        <v>CAR</v>
      </c>
      <c r="N897" s="1" t="str">
        <f aca="false">VLOOKUP(E897,'Team Reference'!$A:$B,2,FALSE())</f>
        <v>LAR</v>
      </c>
      <c r="O897" s="1" t="str">
        <f aca="false">IF(F897&gt;G897,M897,IF(G897&gt;F897,N897,"Tie"))</f>
        <v>CAR</v>
      </c>
      <c r="P897" s="1" t="n">
        <f aca="false">F897-G897</f>
        <v>15</v>
      </c>
      <c r="Q897" s="1" t="n">
        <f aca="false">F897+G897</f>
        <v>45</v>
      </c>
      <c r="R897" s="1" t="str">
        <f aca="false">IF(H897=M897,"Home",IF(H897=N897,"Away",IF(H897="PICK","Pick","N/A")))</f>
        <v>Home</v>
      </c>
      <c r="S897" s="1" t="n">
        <f aca="false">IF(R897="Home",P897,IF(R897="Away",-P897,""))</f>
        <v>15</v>
      </c>
      <c r="T897" s="1" t="str">
        <f aca="false">IF(R897="Pick","No Line",IF(S897="","N/A",IF(S897+I897&gt;0,"Favorite Covered",IF(S897+I897&lt;0,"Underdog Covered","Push"))))</f>
        <v>Favorite Covered</v>
      </c>
      <c r="U897" s="1" t="str">
        <f aca="false">IF(Q897&gt;J897,"Over",IF(Q897&lt;J897,"Under","Push"))</f>
        <v>Over</v>
      </c>
    </row>
    <row r="898" customFormat="false" ht="15" hidden="false" customHeight="false" outlineLevel="0" collapsed="false">
      <c r="A898" s="1" t="s">
        <v>367</v>
      </c>
      <c r="B898" s="1" t="n">
        <v>2013</v>
      </c>
      <c r="C898" s="1" t="s">
        <v>191</v>
      </c>
      <c r="D898" s="1" t="s">
        <v>73</v>
      </c>
      <c r="E898" s="1" t="s">
        <v>65</v>
      </c>
      <c r="F898" s="1" t="n">
        <v>24</v>
      </c>
      <c r="G898" s="1" t="n">
        <v>27</v>
      </c>
      <c r="H898" s="1" t="s">
        <v>74</v>
      </c>
      <c r="I898" s="1" t="n">
        <v>-1.5</v>
      </c>
      <c r="J898" s="1" t="n">
        <v>46</v>
      </c>
      <c r="K898" s="1" t="s">
        <v>167</v>
      </c>
      <c r="L898" s="1" t="b">
        <f aca="false">FALSE()</f>
        <v>0</v>
      </c>
      <c r="M898" s="1" t="str">
        <f aca="false">VLOOKUP(D898,'Team Reference'!$A:$B,2,FALSE())</f>
        <v>DET</v>
      </c>
      <c r="N898" s="1" t="str">
        <f aca="false">VLOOKUP(E898,'Team Reference'!$A:$B,2,FALSE())</f>
        <v>CIN</v>
      </c>
      <c r="O898" s="1" t="str">
        <f aca="false">IF(F898&gt;G898,M898,IF(G898&gt;F898,N898,"Tie"))</f>
        <v>CIN</v>
      </c>
      <c r="P898" s="1" t="n">
        <f aca="false">F898-G898</f>
        <v>-3</v>
      </c>
      <c r="Q898" s="1" t="n">
        <f aca="false">F898+G898</f>
        <v>51</v>
      </c>
      <c r="R898" s="1" t="str">
        <f aca="false">IF(H898=M898,"Home",IF(H898=N898,"Away",IF(H898="PICK","Pick","N/A")))</f>
        <v>Home</v>
      </c>
      <c r="S898" s="1" t="n">
        <f aca="false">IF(R898="Home",P898,IF(R898="Away",-P898,""))</f>
        <v>-3</v>
      </c>
      <c r="T898" s="1" t="str">
        <f aca="false">IF(R898="Pick","No Line",IF(S898="","N/A",IF(S898+I898&gt;0,"Favorite Covered",IF(S898+I898&lt;0,"Underdog Covered","Push"))))</f>
        <v>Underdog Covered</v>
      </c>
      <c r="U898" s="1" t="str">
        <f aca="false">IF(Q898&gt;J898,"Over",IF(Q898&lt;J898,"Under","Push"))</f>
        <v>Over</v>
      </c>
    </row>
    <row r="899" customFormat="false" ht="15" hidden="false" customHeight="false" outlineLevel="0" collapsed="false">
      <c r="A899" s="1" t="s">
        <v>367</v>
      </c>
      <c r="B899" s="1" t="n">
        <v>2013</v>
      </c>
      <c r="C899" s="1" t="s">
        <v>191</v>
      </c>
      <c r="D899" s="1" t="s">
        <v>75</v>
      </c>
      <c r="E899" s="1" t="s">
        <v>67</v>
      </c>
      <c r="F899" s="1" t="n">
        <v>31</v>
      </c>
      <c r="G899" s="1" t="n">
        <v>13</v>
      </c>
      <c r="H899" s="1" t="s">
        <v>76</v>
      </c>
      <c r="I899" s="1" t="n">
        <v>-9.5</v>
      </c>
      <c r="J899" s="1" t="n">
        <v>45</v>
      </c>
      <c r="K899" s="1" t="s">
        <v>168</v>
      </c>
      <c r="L899" s="1" t="b">
        <f aca="false">FALSE()</f>
        <v>0</v>
      </c>
      <c r="M899" s="1" t="str">
        <f aca="false">VLOOKUP(D899,'Team Reference'!$A:$B,2,FALSE())</f>
        <v>GB</v>
      </c>
      <c r="N899" s="1" t="str">
        <f aca="false">VLOOKUP(E899,'Team Reference'!$A:$B,2,FALSE())</f>
        <v>CLE</v>
      </c>
      <c r="O899" s="1" t="str">
        <f aca="false">IF(F899&gt;G899,M899,IF(G899&gt;F899,N899,"Tie"))</f>
        <v>GB</v>
      </c>
      <c r="P899" s="1" t="n">
        <f aca="false">F899-G899</f>
        <v>18</v>
      </c>
      <c r="Q899" s="1" t="n">
        <f aca="false">F899+G899</f>
        <v>44</v>
      </c>
      <c r="R899" s="1" t="str">
        <f aca="false">IF(H899=M899,"Home",IF(H899=N899,"Away",IF(H899="PICK","Pick","N/A")))</f>
        <v>Home</v>
      </c>
      <c r="S899" s="1" t="n">
        <f aca="false">IF(R899="Home",P899,IF(R899="Away",-P899,""))</f>
        <v>18</v>
      </c>
      <c r="T899" s="1" t="str">
        <f aca="false">IF(R899="Pick","No Line",IF(S899="","N/A",IF(S899+I899&gt;0,"Favorite Covered",IF(S899+I899&lt;0,"Underdog Covered","Push"))))</f>
        <v>Favorite Covered</v>
      </c>
      <c r="U899" s="1" t="str">
        <f aca="false">IF(Q899&gt;J899,"Over",IF(Q899&lt;J899,"Under","Push"))</f>
        <v>Under</v>
      </c>
    </row>
    <row r="900" customFormat="false" ht="15" hidden="false" customHeight="false" outlineLevel="0" collapsed="false">
      <c r="A900" s="1" t="s">
        <v>367</v>
      </c>
      <c r="B900" s="1" t="n">
        <v>2013</v>
      </c>
      <c r="C900" s="1" t="s">
        <v>191</v>
      </c>
      <c r="D900" s="1" t="s">
        <v>79</v>
      </c>
      <c r="E900" s="1" t="s">
        <v>71</v>
      </c>
      <c r="F900" s="1" t="n">
        <v>39</v>
      </c>
      <c r="G900" s="1" t="n">
        <v>33</v>
      </c>
      <c r="H900" s="1" t="s">
        <v>72</v>
      </c>
      <c r="I900" s="1" t="n">
        <v>-6</v>
      </c>
      <c r="J900" s="1" t="n">
        <v>55.5</v>
      </c>
      <c r="K900" s="1" t="s">
        <v>169</v>
      </c>
      <c r="L900" s="1" t="b">
        <f aca="false">FALSE()</f>
        <v>0</v>
      </c>
      <c r="M900" s="1" t="str">
        <f aca="false">VLOOKUP(D900,'Team Reference'!$A:$B,2,FALSE())</f>
        <v>IND</v>
      </c>
      <c r="N900" s="1" t="str">
        <f aca="false">VLOOKUP(E900,'Team Reference'!$A:$B,2,FALSE())</f>
        <v>DEN</v>
      </c>
      <c r="O900" s="1" t="str">
        <f aca="false">IF(F900&gt;G900,M900,IF(G900&gt;F900,N900,"Tie"))</f>
        <v>IND</v>
      </c>
      <c r="P900" s="1" t="n">
        <f aca="false">F900-G900</f>
        <v>6</v>
      </c>
      <c r="Q900" s="1" t="n">
        <f aca="false">F900+G900</f>
        <v>72</v>
      </c>
      <c r="R900" s="1" t="str">
        <f aca="false">IF(H900=M900,"Home",IF(H900=N900,"Away",IF(H900="PICK","Pick","N/A")))</f>
        <v>Away</v>
      </c>
      <c r="S900" s="1" t="n">
        <f aca="false">IF(R900="Home",P900,IF(R900="Away",-P900,""))</f>
        <v>-6</v>
      </c>
      <c r="T900" s="1" t="str">
        <f aca="false">IF(R900="Pick","No Line",IF(S900="","N/A",IF(S900+I900&gt;0,"Favorite Covered",IF(S900+I900&lt;0,"Underdog Covered","Push"))))</f>
        <v>Underdog Covered</v>
      </c>
      <c r="U900" s="1" t="str">
        <f aca="false">IF(Q900&gt;J900,"Over",IF(Q900&lt;J900,"Under","Push"))</f>
        <v>Over</v>
      </c>
    </row>
    <row r="901" customFormat="false" ht="15" hidden="false" customHeight="false" outlineLevel="0" collapsed="false">
      <c r="A901" s="1" t="s">
        <v>367</v>
      </c>
      <c r="B901" s="1" t="n">
        <v>2013</v>
      </c>
      <c r="C901" s="1" t="s">
        <v>191</v>
      </c>
      <c r="D901" s="1" t="s">
        <v>81</v>
      </c>
      <c r="E901" s="1" t="s">
        <v>107</v>
      </c>
      <c r="F901" s="1" t="n">
        <v>6</v>
      </c>
      <c r="G901" s="1" t="n">
        <v>24</v>
      </c>
      <c r="H901" s="1" t="s">
        <v>86</v>
      </c>
      <c r="I901" s="1" t="n">
        <v>-7</v>
      </c>
      <c r="J901" s="1" t="n">
        <v>44.5</v>
      </c>
      <c r="K901" s="1" t="s">
        <v>147</v>
      </c>
      <c r="L901" s="1" t="b">
        <f aca="false">FALSE()</f>
        <v>0</v>
      </c>
      <c r="M901" s="1" t="str">
        <f aca="false">VLOOKUP(D901,'Team Reference'!$A:$B,2,FALSE())</f>
        <v>JAX</v>
      </c>
      <c r="N901" s="1" t="str">
        <f aca="false">VLOOKUP(E901,'Team Reference'!$A:$B,2,FALSE())</f>
        <v>LAC</v>
      </c>
      <c r="O901" s="1" t="str">
        <f aca="false">IF(F901&gt;G901,M901,IF(G901&gt;F901,N901,"Tie"))</f>
        <v>LAC</v>
      </c>
      <c r="P901" s="1" t="n">
        <f aca="false">F901-G901</f>
        <v>-18</v>
      </c>
      <c r="Q901" s="1" t="n">
        <f aca="false">F901+G901</f>
        <v>30</v>
      </c>
      <c r="R901" s="1" t="str">
        <f aca="false">IF(H901=M901,"Home",IF(H901=N901,"Away",IF(H901="PICK","Pick","N/A")))</f>
        <v>Away</v>
      </c>
      <c r="S901" s="1" t="n">
        <f aca="false">IF(R901="Home",P901,IF(R901="Away",-P901,""))</f>
        <v>18</v>
      </c>
      <c r="T901" s="1" t="str">
        <f aca="false">IF(R901="Pick","No Line",IF(S901="","N/A",IF(S901+I901&gt;0,"Favorite Covered",IF(S901+I901&lt;0,"Underdog Covered","Push"))))</f>
        <v>Favorite Covered</v>
      </c>
      <c r="U901" s="1" t="str">
        <f aca="false">IF(Q901&gt;J901,"Over",IF(Q901&lt;J901,"Under","Push"))</f>
        <v>Under</v>
      </c>
    </row>
    <row r="902" customFormat="false" ht="15" hidden="false" customHeight="false" outlineLevel="0" collapsed="false">
      <c r="A902" s="1" t="s">
        <v>367</v>
      </c>
      <c r="B902" s="1" t="n">
        <v>2013</v>
      </c>
      <c r="C902" s="1" t="s">
        <v>191</v>
      </c>
      <c r="D902" s="1" t="s">
        <v>83</v>
      </c>
      <c r="E902" s="1" t="s">
        <v>77</v>
      </c>
      <c r="F902" s="1" t="n">
        <v>17</v>
      </c>
      <c r="G902" s="1" t="n">
        <v>16</v>
      </c>
      <c r="H902" s="1" t="s">
        <v>84</v>
      </c>
      <c r="I902" s="1" t="n">
        <v>-6</v>
      </c>
      <c r="J902" s="1" t="n">
        <v>39</v>
      </c>
      <c r="K902" s="1" t="s">
        <v>158</v>
      </c>
      <c r="L902" s="1" t="b">
        <f aca="false">FALSE()</f>
        <v>0</v>
      </c>
      <c r="M902" s="1" t="str">
        <f aca="false">VLOOKUP(D902,'Team Reference'!$A:$B,2,FALSE())</f>
        <v>KC</v>
      </c>
      <c r="N902" s="1" t="str">
        <f aca="false">VLOOKUP(E902,'Team Reference'!$A:$B,2,FALSE())</f>
        <v>HOU</v>
      </c>
      <c r="O902" s="1" t="str">
        <f aca="false">IF(F902&gt;G902,M902,IF(G902&gt;F902,N902,"Tie"))</f>
        <v>KC</v>
      </c>
      <c r="P902" s="1" t="n">
        <f aca="false">F902-G902</f>
        <v>1</v>
      </c>
      <c r="Q902" s="1" t="n">
        <f aca="false">F902+G902</f>
        <v>33</v>
      </c>
      <c r="R902" s="1" t="str">
        <f aca="false">IF(H902=M902,"Home",IF(H902=N902,"Away",IF(H902="PICK","Pick","N/A")))</f>
        <v>Home</v>
      </c>
      <c r="S902" s="1" t="n">
        <f aca="false">IF(R902="Home",P902,IF(R902="Away",-P902,""))</f>
        <v>1</v>
      </c>
      <c r="T902" s="1" t="str">
        <f aca="false">IF(R902="Pick","No Line",IF(S902="","N/A",IF(S902+I902&gt;0,"Favorite Covered",IF(S902+I902&lt;0,"Underdog Covered","Push"))))</f>
        <v>Underdog Covered</v>
      </c>
      <c r="U902" s="1" t="str">
        <f aca="false">IF(Q902&gt;J902,"Over",IF(Q902&lt;J902,"Under","Push"))</f>
        <v>Under</v>
      </c>
    </row>
    <row r="903" customFormat="false" ht="15" hidden="false" customHeight="false" outlineLevel="0" collapsed="false">
      <c r="A903" s="1" t="s">
        <v>367</v>
      </c>
      <c r="B903" s="1" t="n">
        <v>2013</v>
      </c>
      <c r="C903" s="1" t="s">
        <v>191</v>
      </c>
      <c r="D903" s="1" t="s">
        <v>89</v>
      </c>
      <c r="E903" s="1" t="s">
        <v>59</v>
      </c>
      <c r="F903" s="1" t="n">
        <v>21</v>
      </c>
      <c r="G903" s="1" t="n">
        <v>23</v>
      </c>
      <c r="H903" s="1" t="s">
        <v>90</v>
      </c>
      <c r="I903" s="1" t="n">
        <v>-6.5</v>
      </c>
      <c r="J903" s="1" t="n">
        <v>44.5</v>
      </c>
      <c r="K903" s="1" t="s">
        <v>179</v>
      </c>
      <c r="L903" s="1" t="b">
        <f aca="false">FALSE()</f>
        <v>0</v>
      </c>
      <c r="M903" s="1" t="str">
        <f aca="false">VLOOKUP(D903,'Team Reference'!$A:$B,2,FALSE())</f>
        <v>MIA</v>
      </c>
      <c r="N903" s="1" t="str">
        <f aca="false">VLOOKUP(E903,'Team Reference'!$A:$B,2,FALSE())</f>
        <v>BUF</v>
      </c>
      <c r="O903" s="1" t="str">
        <f aca="false">IF(F903&gt;G903,M903,IF(G903&gt;F903,N903,"Tie"))</f>
        <v>BUF</v>
      </c>
      <c r="P903" s="1" t="n">
        <f aca="false">F903-G903</f>
        <v>-2</v>
      </c>
      <c r="Q903" s="1" t="n">
        <f aca="false">F903+G903</f>
        <v>44</v>
      </c>
      <c r="R903" s="1" t="str">
        <f aca="false">IF(H903=M903,"Home",IF(H903=N903,"Away",IF(H903="PICK","Pick","N/A")))</f>
        <v>Home</v>
      </c>
      <c r="S903" s="1" t="n">
        <f aca="false">IF(R903="Home",P903,IF(R903="Away",-P903,""))</f>
        <v>-2</v>
      </c>
      <c r="T903" s="1" t="str">
        <f aca="false">IF(R903="Pick","No Line",IF(S903="","N/A",IF(S903+I903&gt;0,"Favorite Covered",IF(S903+I903&lt;0,"Underdog Covered","Push"))))</f>
        <v>Underdog Covered</v>
      </c>
      <c r="U903" s="1" t="str">
        <f aca="false">IF(Q903&gt;J903,"Over",IF(Q903&lt;J903,"Under","Push"))</f>
        <v>Under</v>
      </c>
    </row>
    <row r="904" customFormat="false" ht="15" hidden="false" customHeight="false" outlineLevel="0" collapsed="false">
      <c r="A904" s="1" t="s">
        <v>367</v>
      </c>
      <c r="B904" s="1" t="n">
        <v>2013</v>
      </c>
      <c r="C904" s="1" t="s">
        <v>191</v>
      </c>
      <c r="D904" s="1" t="s">
        <v>99</v>
      </c>
      <c r="E904" s="1" t="s">
        <v>93</v>
      </c>
      <c r="F904" s="1" t="n">
        <v>30</v>
      </c>
      <c r="G904" s="1" t="n">
        <v>27</v>
      </c>
      <c r="H904" s="1" t="s">
        <v>94</v>
      </c>
      <c r="I904" s="1" t="n">
        <v>-3</v>
      </c>
      <c r="J904" s="1" t="n">
        <v>43</v>
      </c>
      <c r="K904" s="1" t="s">
        <v>149</v>
      </c>
      <c r="L904" s="1" t="b">
        <f aca="false">FALSE()</f>
        <v>0</v>
      </c>
      <c r="M904" s="1" t="str">
        <f aca="false">VLOOKUP(D904,'Team Reference'!$A:$B,2,FALSE())</f>
        <v>NYJ</v>
      </c>
      <c r="N904" s="1" t="str">
        <f aca="false">VLOOKUP(E904,'Team Reference'!$A:$B,2,FALSE())</f>
        <v>NE</v>
      </c>
      <c r="O904" s="1" t="str">
        <f aca="false">IF(F904&gt;G904,M904,IF(G904&gt;F904,N904,"Tie"))</f>
        <v>NYJ</v>
      </c>
      <c r="P904" s="1" t="n">
        <f aca="false">F904-G904</f>
        <v>3</v>
      </c>
      <c r="Q904" s="1" t="n">
        <f aca="false">F904+G904</f>
        <v>57</v>
      </c>
      <c r="R904" s="1" t="str">
        <f aca="false">IF(H904=M904,"Home",IF(H904=N904,"Away",IF(H904="PICK","Pick","N/A")))</f>
        <v>Away</v>
      </c>
      <c r="S904" s="1" t="n">
        <f aca="false">IF(R904="Home",P904,IF(R904="Away",-P904,""))</f>
        <v>-3</v>
      </c>
      <c r="T904" s="1" t="str">
        <f aca="false">IF(R904="Pick","No Line",IF(S904="","N/A",IF(S904+I904&gt;0,"Favorite Covered",IF(S904+I904&lt;0,"Underdog Covered","Push"))))</f>
        <v>Underdog Covered</v>
      </c>
      <c r="U904" s="1" t="str">
        <f aca="false">IF(Q904&gt;J904,"Over",IF(Q904&lt;J904,"Under","Push"))</f>
        <v>Over</v>
      </c>
    </row>
    <row r="905" customFormat="false" ht="15" hidden="false" customHeight="false" outlineLevel="0" collapsed="false">
      <c r="A905" s="1" t="s">
        <v>367</v>
      </c>
      <c r="B905" s="1" t="n">
        <v>2013</v>
      </c>
      <c r="C905" s="1" t="s">
        <v>191</v>
      </c>
      <c r="D905" s="1" t="s">
        <v>103</v>
      </c>
      <c r="E905" s="1" t="s">
        <v>69</v>
      </c>
      <c r="F905" s="1" t="n">
        <v>3</v>
      </c>
      <c r="G905" s="1" t="n">
        <v>17</v>
      </c>
      <c r="H905" s="1" t="s">
        <v>104</v>
      </c>
      <c r="I905" s="1" t="n">
        <v>-2.5</v>
      </c>
      <c r="J905" s="1" t="n">
        <v>55</v>
      </c>
      <c r="K905" s="1" t="s">
        <v>150</v>
      </c>
      <c r="L905" s="1" t="b">
        <f aca="false">FALSE()</f>
        <v>0</v>
      </c>
      <c r="M905" s="1" t="str">
        <f aca="false">VLOOKUP(D905,'Team Reference'!$A:$B,2,FALSE())</f>
        <v>PHI</v>
      </c>
      <c r="N905" s="1" t="str">
        <f aca="false">VLOOKUP(E905,'Team Reference'!$A:$B,2,FALSE())</f>
        <v>DAL</v>
      </c>
      <c r="O905" s="1" t="str">
        <f aca="false">IF(F905&gt;G905,M905,IF(G905&gt;F905,N905,"Tie"))</f>
        <v>DAL</v>
      </c>
      <c r="P905" s="1" t="n">
        <f aca="false">F905-G905</f>
        <v>-14</v>
      </c>
      <c r="Q905" s="1" t="n">
        <f aca="false">F905+G905</f>
        <v>20</v>
      </c>
      <c r="R905" s="1" t="str">
        <f aca="false">IF(H905=M905,"Home",IF(H905=N905,"Away",IF(H905="PICK","Pick","N/A")))</f>
        <v>Home</v>
      </c>
      <c r="S905" s="1" t="n">
        <f aca="false">IF(R905="Home",P905,IF(R905="Away",-P905,""))</f>
        <v>-14</v>
      </c>
      <c r="T905" s="1" t="str">
        <f aca="false">IF(R905="Pick","No Line",IF(S905="","N/A",IF(S905+I905&gt;0,"Favorite Covered",IF(S905+I905&lt;0,"Underdog Covered","Push"))))</f>
        <v>Underdog Covered</v>
      </c>
      <c r="U905" s="1" t="str">
        <f aca="false">IF(Q905&gt;J905,"Over",IF(Q905&lt;J905,"Under","Push"))</f>
        <v>Under</v>
      </c>
    </row>
    <row r="906" customFormat="false" ht="15" hidden="false" customHeight="false" outlineLevel="0" collapsed="false">
      <c r="A906" s="1" t="s">
        <v>367</v>
      </c>
      <c r="B906" s="1" t="n">
        <v>2013</v>
      </c>
      <c r="C906" s="1" t="s">
        <v>191</v>
      </c>
      <c r="D906" s="1" t="s">
        <v>105</v>
      </c>
      <c r="E906" s="1" t="s">
        <v>57</v>
      </c>
      <c r="F906" s="1" t="n">
        <v>19</v>
      </c>
      <c r="G906" s="1" t="n">
        <v>16</v>
      </c>
      <c r="H906" s="1" t="s">
        <v>106</v>
      </c>
      <c r="I906" s="1" t="n">
        <v>-2.5</v>
      </c>
      <c r="J906" s="1" t="n">
        <v>41</v>
      </c>
      <c r="K906" s="1" t="s">
        <v>151</v>
      </c>
      <c r="L906" s="1" t="b">
        <f aca="false">FALSE()</f>
        <v>0</v>
      </c>
      <c r="M906" s="1" t="str">
        <f aca="false">VLOOKUP(D906,'Team Reference'!$A:$B,2,FALSE())</f>
        <v>PIT</v>
      </c>
      <c r="N906" s="1" t="str">
        <f aca="false">VLOOKUP(E906,'Team Reference'!$A:$B,2,FALSE())</f>
        <v>BAL</v>
      </c>
      <c r="O906" s="1" t="str">
        <f aca="false">IF(F906&gt;G906,M906,IF(G906&gt;F906,N906,"Tie"))</f>
        <v>PIT</v>
      </c>
      <c r="P906" s="1" t="n">
        <f aca="false">F906-G906</f>
        <v>3</v>
      </c>
      <c r="Q906" s="1" t="n">
        <f aca="false">F906+G906</f>
        <v>35</v>
      </c>
      <c r="R906" s="1" t="str">
        <f aca="false">IF(H906=M906,"Home",IF(H906=N906,"Away",IF(H906="PICK","Pick","N/A")))</f>
        <v>Home</v>
      </c>
      <c r="S906" s="1" t="n">
        <f aca="false">IF(R906="Home",P906,IF(R906="Away",-P906,""))</f>
        <v>3</v>
      </c>
      <c r="T906" s="1" t="str">
        <f aca="false">IF(R906="Pick","No Line",IF(S906="","N/A",IF(S906+I906&gt;0,"Favorite Covered",IF(S906+I906&lt;0,"Underdog Covered","Push"))))</f>
        <v>Favorite Covered</v>
      </c>
      <c r="U906" s="1" t="str">
        <f aca="false">IF(Q906&gt;J906,"Over",IF(Q906&lt;J906,"Under","Push"))</f>
        <v>Under</v>
      </c>
    </row>
    <row r="907" customFormat="false" ht="15" hidden="false" customHeight="false" outlineLevel="0" collapsed="false">
      <c r="A907" s="1" t="s">
        <v>367</v>
      </c>
      <c r="B907" s="1" t="n">
        <v>2013</v>
      </c>
      <c r="C907" s="1" t="s">
        <v>191</v>
      </c>
      <c r="D907" s="1" t="s">
        <v>115</v>
      </c>
      <c r="E907" s="1" t="s">
        <v>108</v>
      </c>
      <c r="F907" s="1" t="n">
        <v>17</v>
      </c>
      <c r="G907" s="1" t="n">
        <v>31</v>
      </c>
      <c r="H907" s="1" t="s">
        <v>109</v>
      </c>
      <c r="I907" s="1" t="n">
        <v>-3</v>
      </c>
      <c r="J907" s="1" t="n">
        <v>40.5</v>
      </c>
      <c r="K907" s="1" t="s">
        <v>155</v>
      </c>
      <c r="L907" s="1" t="b">
        <f aca="false">FALSE()</f>
        <v>0</v>
      </c>
      <c r="M907" s="1" t="str">
        <f aca="false">VLOOKUP(D907,'Team Reference'!$A:$B,2,FALSE())</f>
        <v>TEN</v>
      </c>
      <c r="N907" s="1" t="str">
        <f aca="false">VLOOKUP(E907,'Team Reference'!$A:$B,2,FALSE())</f>
        <v>SF</v>
      </c>
      <c r="O907" s="1" t="str">
        <f aca="false">IF(F907&gt;G907,M907,IF(G907&gt;F907,N907,"Tie"))</f>
        <v>SF</v>
      </c>
      <c r="P907" s="1" t="n">
        <f aca="false">F907-G907</f>
        <v>-14</v>
      </c>
      <c r="Q907" s="1" t="n">
        <f aca="false">F907+G907</f>
        <v>48</v>
      </c>
      <c r="R907" s="1" t="str">
        <f aca="false">IF(H907=M907,"Home",IF(H907=N907,"Away",IF(H907="PICK","Pick","N/A")))</f>
        <v>Away</v>
      </c>
      <c r="S907" s="1" t="n">
        <f aca="false">IF(R907="Home",P907,IF(R907="Away",-P907,""))</f>
        <v>14</v>
      </c>
      <c r="T907" s="1" t="str">
        <f aca="false">IF(R907="Pick","No Line",IF(S907="","N/A",IF(S907+I907&gt;0,"Favorite Covered",IF(S907+I907&lt;0,"Underdog Covered","Push"))))</f>
        <v>Favorite Covered</v>
      </c>
      <c r="U907" s="1" t="str">
        <f aca="false">IF(Q907&gt;J907,"Over",IF(Q907&lt;J907,"Under","Push"))</f>
        <v>Over</v>
      </c>
    </row>
    <row r="908" customFormat="false" ht="15" hidden="false" customHeight="false" outlineLevel="0" collapsed="false">
      <c r="A908" s="1" t="s">
        <v>367</v>
      </c>
      <c r="B908" s="1" t="n">
        <v>2013</v>
      </c>
      <c r="C908" s="1" t="s">
        <v>191</v>
      </c>
      <c r="D908" s="1" t="s">
        <v>117</v>
      </c>
      <c r="E908" s="1" t="s">
        <v>63</v>
      </c>
      <c r="F908" s="1" t="n">
        <v>45</v>
      </c>
      <c r="G908" s="1" t="n">
        <v>41</v>
      </c>
      <c r="H908" s="1" t="s">
        <v>64</v>
      </c>
      <c r="I908" s="1" t="n">
        <v>-1</v>
      </c>
      <c r="J908" s="1" t="n">
        <v>48</v>
      </c>
      <c r="K908" s="1" t="s">
        <v>156</v>
      </c>
      <c r="L908" s="1" t="b">
        <f aca="false">FALSE()</f>
        <v>0</v>
      </c>
      <c r="M908" s="1" t="str">
        <f aca="false">VLOOKUP(D908,'Team Reference'!$A:$B,2,FALSE())</f>
        <v>WAS</v>
      </c>
      <c r="N908" s="1" t="str">
        <f aca="false">VLOOKUP(E908,'Team Reference'!$A:$B,2,FALSE())</f>
        <v>CHI</v>
      </c>
      <c r="O908" s="1" t="str">
        <f aca="false">IF(F908&gt;G908,M908,IF(G908&gt;F908,N908,"Tie"))</f>
        <v>WAS</v>
      </c>
      <c r="P908" s="1" t="n">
        <f aca="false">F908-G908</f>
        <v>4</v>
      </c>
      <c r="Q908" s="1" t="n">
        <f aca="false">F908+G908</f>
        <v>86</v>
      </c>
      <c r="R908" s="1" t="str">
        <f aca="false">IF(H908=M908,"Home",IF(H908=N908,"Away",IF(H908="PICK","Pick","N/A")))</f>
        <v>Away</v>
      </c>
      <c r="S908" s="1" t="n">
        <f aca="false">IF(R908="Home",P908,IF(R908="Away",-P908,""))</f>
        <v>-4</v>
      </c>
      <c r="T908" s="1" t="str">
        <f aca="false">IF(R908="Pick","No Line",IF(S908="","N/A",IF(S908+I908&gt;0,"Favorite Covered",IF(S908+I908&lt;0,"Underdog Covered","Push"))))</f>
        <v>Underdog Covered</v>
      </c>
      <c r="U908" s="1" t="str">
        <f aca="false">IF(Q908&gt;J908,"Over",IF(Q908&lt;J908,"Under","Push"))</f>
        <v>Over</v>
      </c>
    </row>
    <row r="909" customFormat="false" ht="15" hidden="false" customHeight="false" outlineLevel="0" collapsed="false">
      <c r="A909" s="1" t="s">
        <v>368</v>
      </c>
      <c r="B909" s="1" t="n">
        <v>2013</v>
      </c>
      <c r="C909" s="1" t="s">
        <v>191</v>
      </c>
      <c r="D909" s="1" t="s">
        <v>97</v>
      </c>
      <c r="E909" s="1" t="s">
        <v>91</v>
      </c>
      <c r="F909" s="1" t="n">
        <v>23</v>
      </c>
      <c r="G909" s="1" t="n">
        <v>7</v>
      </c>
      <c r="H909" s="1" t="s">
        <v>98</v>
      </c>
      <c r="I909" s="1" t="n">
        <v>-3.5</v>
      </c>
      <c r="J909" s="1" t="n">
        <v>47</v>
      </c>
      <c r="K909" s="1" t="s">
        <v>149</v>
      </c>
      <c r="L909" s="1" t="b">
        <f aca="false">FALSE()</f>
        <v>0</v>
      </c>
      <c r="M909" s="1" t="str">
        <f aca="false">VLOOKUP(D909,'Team Reference'!$A:$B,2,FALSE())</f>
        <v>NYG</v>
      </c>
      <c r="N909" s="1" t="str">
        <f aca="false">VLOOKUP(E909,'Team Reference'!$A:$B,2,FALSE())</f>
        <v>MIN</v>
      </c>
      <c r="O909" s="1" t="str">
        <f aca="false">IF(F909&gt;G909,M909,IF(G909&gt;F909,N909,"Tie"))</f>
        <v>NYG</v>
      </c>
      <c r="P909" s="1" t="n">
        <f aca="false">F909-G909</f>
        <v>16</v>
      </c>
      <c r="Q909" s="1" t="n">
        <f aca="false">F909+G909</f>
        <v>30</v>
      </c>
      <c r="R909" s="1" t="str">
        <f aca="false">IF(H909=M909,"Home",IF(H909=N909,"Away",IF(H909="PICK","Pick","N/A")))</f>
        <v>Home</v>
      </c>
      <c r="S909" s="1" t="n">
        <f aca="false">IF(R909="Home",P909,IF(R909="Away",-P909,""))</f>
        <v>16</v>
      </c>
      <c r="T909" s="1" t="str">
        <f aca="false">IF(R909="Pick","No Line",IF(S909="","N/A",IF(S909+I909&gt;0,"Favorite Covered",IF(S909+I909&lt;0,"Underdog Covered","Push"))))</f>
        <v>Favorite Covered</v>
      </c>
      <c r="U909" s="1" t="str">
        <f aca="false">IF(Q909&gt;J909,"Over",IF(Q909&lt;J909,"Under","Push"))</f>
        <v>Under</v>
      </c>
    </row>
    <row r="910" customFormat="false" ht="15" hidden="false" customHeight="false" outlineLevel="0" collapsed="false">
      <c r="A910" s="1" t="s">
        <v>369</v>
      </c>
      <c r="B910" s="1" t="n">
        <v>2013</v>
      </c>
      <c r="C910" s="1" t="s">
        <v>194</v>
      </c>
      <c r="D910" s="1" t="s">
        <v>113</v>
      </c>
      <c r="E910" s="1" t="s">
        <v>61</v>
      </c>
      <c r="F910" s="1" t="n">
        <v>13</v>
      </c>
      <c r="G910" s="1" t="n">
        <v>31</v>
      </c>
      <c r="H910" s="1" t="s">
        <v>62</v>
      </c>
      <c r="I910" s="1" t="n">
        <v>-6.5</v>
      </c>
      <c r="J910" s="1" t="n">
        <v>38.5</v>
      </c>
      <c r="K910" s="1" t="s">
        <v>154</v>
      </c>
      <c r="L910" s="1" t="b">
        <f aca="false">FALSE()</f>
        <v>0</v>
      </c>
      <c r="M910" s="1" t="str">
        <f aca="false">VLOOKUP(D910,'Team Reference'!$A:$B,2,FALSE())</f>
        <v>TB</v>
      </c>
      <c r="N910" s="1" t="str">
        <f aca="false">VLOOKUP(E910,'Team Reference'!$A:$B,2,FALSE())</f>
        <v>CAR</v>
      </c>
      <c r="O910" s="1" t="str">
        <f aca="false">IF(F910&gt;G910,M910,IF(G910&gt;F910,N910,"Tie"))</f>
        <v>CAR</v>
      </c>
      <c r="P910" s="1" t="n">
        <f aca="false">F910-G910</f>
        <v>-18</v>
      </c>
      <c r="Q910" s="1" t="n">
        <f aca="false">F910+G910</f>
        <v>44</v>
      </c>
      <c r="R910" s="1" t="str">
        <f aca="false">IF(H910=M910,"Home",IF(H910=N910,"Away",IF(H910="PICK","Pick","N/A")))</f>
        <v>Away</v>
      </c>
      <c r="S910" s="1" t="n">
        <f aca="false">IF(R910="Home",P910,IF(R910="Away",-P910,""))</f>
        <v>18</v>
      </c>
      <c r="T910" s="1" t="str">
        <f aca="false">IF(R910="Pick","No Line",IF(S910="","N/A",IF(S910+I910&gt;0,"Favorite Covered",IF(S910+I910&lt;0,"Underdog Covered","Push"))))</f>
        <v>Favorite Covered</v>
      </c>
      <c r="U910" s="1" t="str">
        <f aca="false">IF(Q910&gt;J910,"Over",IF(Q910&lt;J910,"Under","Push"))</f>
        <v>Over</v>
      </c>
    </row>
    <row r="911" customFormat="false" ht="15" hidden="false" customHeight="false" outlineLevel="0" collapsed="false">
      <c r="A911" s="1" t="s">
        <v>370</v>
      </c>
      <c r="B911" s="1" t="n">
        <v>2013</v>
      </c>
      <c r="C911" s="1" t="s">
        <v>194</v>
      </c>
      <c r="D911" s="1" t="s">
        <v>53</v>
      </c>
      <c r="E911" s="1" t="s">
        <v>55</v>
      </c>
      <c r="F911" s="1" t="n">
        <v>27</v>
      </c>
      <c r="G911" s="1" t="n">
        <v>13</v>
      </c>
      <c r="H911" s="1" t="s">
        <v>54</v>
      </c>
      <c r="I911" s="1" t="n">
        <v>-3</v>
      </c>
      <c r="J911" s="1" t="n">
        <v>46.5</v>
      </c>
      <c r="K911" s="1" t="s">
        <v>177</v>
      </c>
      <c r="L911" s="1" t="b">
        <f aca="false">FALSE()</f>
        <v>0</v>
      </c>
      <c r="M911" s="1" t="str">
        <f aca="false">VLOOKUP(D911,'Team Reference'!$A:$B,2,FALSE())</f>
        <v>ARI</v>
      </c>
      <c r="N911" s="1" t="str">
        <f aca="false">VLOOKUP(E911,'Team Reference'!$A:$B,2,FALSE())</f>
        <v>ATL</v>
      </c>
      <c r="O911" s="1" t="str">
        <f aca="false">IF(F911&gt;G911,M911,IF(G911&gt;F911,N911,"Tie"))</f>
        <v>ARI</v>
      </c>
      <c r="P911" s="1" t="n">
        <f aca="false">F911-G911</f>
        <v>14</v>
      </c>
      <c r="Q911" s="1" t="n">
        <f aca="false">F911+G911</f>
        <v>40</v>
      </c>
      <c r="R911" s="1" t="str">
        <f aca="false">IF(H911=M911,"Home",IF(H911=N911,"Away",IF(H911="PICK","Pick","N/A")))</f>
        <v>Home</v>
      </c>
      <c r="S911" s="1" t="n">
        <f aca="false">IF(R911="Home",P911,IF(R911="Away",-P911,""))</f>
        <v>14</v>
      </c>
      <c r="T911" s="1" t="str">
        <f aca="false">IF(R911="Pick","No Line",IF(S911="","N/A",IF(S911+I911&gt;0,"Favorite Covered",IF(S911+I911&lt;0,"Underdog Covered","Push"))))</f>
        <v>Favorite Covered</v>
      </c>
      <c r="U911" s="1" t="str">
        <f aca="false">IF(Q911&gt;J911,"Over",IF(Q911&lt;J911,"Under","Push"))</f>
        <v>Under</v>
      </c>
    </row>
    <row r="912" customFormat="false" ht="15" hidden="false" customHeight="false" outlineLevel="0" collapsed="false">
      <c r="A912" s="1" t="s">
        <v>370</v>
      </c>
      <c r="B912" s="1" t="n">
        <v>2013</v>
      </c>
      <c r="C912" s="1" t="s">
        <v>194</v>
      </c>
      <c r="D912" s="1" t="s">
        <v>65</v>
      </c>
      <c r="E912" s="1" t="s">
        <v>99</v>
      </c>
      <c r="F912" s="1" t="n">
        <v>49</v>
      </c>
      <c r="G912" s="1" t="n">
        <v>9</v>
      </c>
      <c r="H912" s="1" t="s">
        <v>66</v>
      </c>
      <c r="I912" s="1" t="n">
        <v>-4.5</v>
      </c>
      <c r="J912" s="1" t="n">
        <v>41.5</v>
      </c>
      <c r="K912" s="1" t="s">
        <v>163</v>
      </c>
      <c r="L912" s="1" t="b">
        <f aca="false">FALSE()</f>
        <v>0</v>
      </c>
      <c r="M912" s="1" t="str">
        <f aca="false">VLOOKUP(D912,'Team Reference'!$A:$B,2,FALSE())</f>
        <v>CIN</v>
      </c>
      <c r="N912" s="1" t="str">
        <f aca="false">VLOOKUP(E912,'Team Reference'!$A:$B,2,FALSE())</f>
        <v>NYJ</v>
      </c>
      <c r="O912" s="1" t="str">
        <f aca="false">IF(F912&gt;G912,M912,IF(G912&gt;F912,N912,"Tie"))</f>
        <v>CIN</v>
      </c>
      <c r="P912" s="1" t="n">
        <f aca="false">F912-G912</f>
        <v>40</v>
      </c>
      <c r="Q912" s="1" t="n">
        <f aca="false">F912+G912</f>
        <v>58</v>
      </c>
      <c r="R912" s="1" t="str">
        <f aca="false">IF(H912=M912,"Home",IF(H912=N912,"Away",IF(H912="PICK","Pick","N/A")))</f>
        <v>Home</v>
      </c>
      <c r="S912" s="1" t="n">
        <f aca="false">IF(R912="Home",P912,IF(R912="Away",-P912,""))</f>
        <v>40</v>
      </c>
      <c r="T912" s="1" t="str">
        <f aca="false">IF(R912="Pick","No Line",IF(S912="","N/A",IF(S912+I912&gt;0,"Favorite Covered",IF(S912+I912&lt;0,"Underdog Covered","Push"))))</f>
        <v>Favorite Covered</v>
      </c>
      <c r="U912" s="1" t="str">
        <f aca="false">IF(Q912&gt;J912,"Over",IF(Q912&lt;J912,"Under","Push"))</f>
        <v>Over</v>
      </c>
    </row>
    <row r="913" customFormat="false" ht="15" hidden="false" customHeight="false" outlineLevel="0" collapsed="false">
      <c r="A913" s="1" t="s">
        <v>370</v>
      </c>
      <c r="B913" s="1" t="n">
        <v>2013</v>
      </c>
      <c r="C913" s="1" t="s">
        <v>194</v>
      </c>
      <c r="D913" s="1" t="s">
        <v>71</v>
      </c>
      <c r="E913" s="1" t="s">
        <v>117</v>
      </c>
      <c r="F913" s="1" t="n">
        <v>45</v>
      </c>
      <c r="G913" s="1" t="n">
        <v>21</v>
      </c>
      <c r="H913" s="1" t="s">
        <v>72</v>
      </c>
      <c r="I913" s="1" t="n">
        <v>-11</v>
      </c>
      <c r="J913" s="1" t="n">
        <v>58</v>
      </c>
      <c r="K913" s="1" t="s">
        <v>166</v>
      </c>
      <c r="L913" s="1" t="b">
        <f aca="false">FALSE()</f>
        <v>0</v>
      </c>
      <c r="M913" s="1" t="str">
        <f aca="false">VLOOKUP(D913,'Team Reference'!$A:$B,2,FALSE())</f>
        <v>DEN</v>
      </c>
      <c r="N913" s="1" t="str">
        <f aca="false">VLOOKUP(E913,'Team Reference'!$A:$B,2,FALSE())</f>
        <v>WAS</v>
      </c>
      <c r="O913" s="1" t="str">
        <f aca="false">IF(F913&gt;G913,M913,IF(G913&gt;F913,N913,"Tie"))</f>
        <v>DEN</v>
      </c>
      <c r="P913" s="1" t="n">
        <f aca="false">F913-G913</f>
        <v>24</v>
      </c>
      <c r="Q913" s="1" t="n">
        <f aca="false">F913+G913</f>
        <v>66</v>
      </c>
      <c r="R913" s="1" t="str">
        <f aca="false">IF(H913=M913,"Home",IF(H913=N913,"Away",IF(H913="PICK","Pick","N/A")))</f>
        <v>Home</v>
      </c>
      <c r="S913" s="1" t="n">
        <f aca="false">IF(R913="Home",P913,IF(R913="Away",-P913,""))</f>
        <v>24</v>
      </c>
      <c r="T913" s="1" t="str">
        <f aca="false">IF(R913="Pick","No Line",IF(S913="","N/A",IF(S913+I913&gt;0,"Favorite Covered",IF(S913+I913&lt;0,"Underdog Covered","Push"))))</f>
        <v>Favorite Covered</v>
      </c>
      <c r="U913" s="1" t="str">
        <f aca="false">IF(Q913&gt;J913,"Over",IF(Q913&lt;J913,"Under","Push"))</f>
        <v>Over</v>
      </c>
    </row>
    <row r="914" customFormat="false" ht="15" hidden="false" customHeight="false" outlineLevel="0" collapsed="false">
      <c r="A914" s="1" t="s">
        <v>370</v>
      </c>
      <c r="B914" s="1" t="n">
        <v>2013</v>
      </c>
      <c r="C914" s="1" t="s">
        <v>194</v>
      </c>
      <c r="D914" s="1" t="s">
        <v>73</v>
      </c>
      <c r="E914" s="1" t="s">
        <v>69</v>
      </c>
      <c r="F914" s="1" t="n">
        <v>31</v>
      </c>
      <c r="G914" s="1" t="n">
        <v>30</v>
      </c>
      <c r="H914" s="1" t="s">
        <v>74</v>
      </c>
      <c r="I914" s="1" t="n">
        <v>-3</v>
      </c>
      <c r="J914" s="1" t="n">
        <v>50.5</v>
      </c>
      <c r="K914" s="1" t="s">
        <v>167</v>
      </c>
      <c r="L914" s="1" t="b">
        <f aca="false">FALSE()</f>
        <v>0</v>
      </c>
      <c r="M914" s="1" t="str">
        <f aca="false">VLOOKUP(D914,'Team Reference'!$A:$B,2,FALSE())</f>
        <v>DET</v>
      </c>
      <c r="N914" s="1" t="str">
        <f aca="false">VLOOKUP(E914,'Team Reference'!$A:$B,2,FALSE())</f>
        <v>DAL</v>
      </c>
      <c r="O914" s="1" t="str">
        <f aca="false">IF(F914&gt;G914,M914,IF(G914&gt;F914,N914,"Tie"))</f>
        <v>DET</v>
      </c>
      <c r="P914" s="1" t="n">
        <f aca="false">F914-G914</f>
        <v>1</v>
      </c>
      <c r="Q914" s="1" t="n">
        <f aca="false">F914+G914</f>
        <v>61</v>
      </c>
      <c r="R914" s="1" t="str">
        <f aca="false">IF(H914=M914,"Home",IF(H914=N914,"Away",IF(H914="PICK","Pick","N/A")))</f>
        <v>Home</v>
      </c>
      <c r="S914" s="1" t="n">
        <f aca="false">IF(R914="Home",P914,IF(R914="Away",-P914,""))</f>
        <v>1</v>
      </c>
      <c r="T914" s="1" t="str">
        <f aca="false">IF(R914="Pick","No Line",IF(S914="","N/A",IF(S914+I914&gt;0,"Favorite Covered",IF(S914+I914&lt;0,"Underdog Covered","Push"))))</f>
        <v>Underdog Covered</v>
      </c>
      <c r="U914" s="1" t="str">
        <f aca="false">IF(Q914&gt;J914,"Over",IF(Q914&lt;J914,"Under","Push"))</f>
        <v>Over</v>
      </c>
    </row>
    <row r="915" customFormat="false" ht="15" hidden="false" customHeight="false" outlineLevel="0" collapsed="false">
      <c r="A915" s="1" t="s">
        <v>370</v>
      </c>
      <c r="B915" s="1" t="n">
        <v>2013</v>
      </c>
      <c r="C915" s="1" t="s">
        <v>194</v>
      </c>
      <c r="D915" s="1" t="s">
        <v>81</v>
      </c>
      <c r="E915" s="1" t="s">
        <v>108</v>
      </c>
      <c r="F915" s="1" t="n">
        <v>10</v>
      </c>
      <c r="G915" s="1" t="n">
        <v>42</v>
      </c>
      <c r="H915" s="1" t="s">
        <v>109</v>
      </c>
      <c r="I915" s="1" t="n">
        <v>-14.5</v>
      </c>
      <c r="J915" s="1" t="n">
        <v>40</v>
      </c>
      <c r="K915" s="1" t="s">
        <v>195</v>
      </c>
      <c r="L915" s="1" t="b">
        <f aca="false">FALSE()</f>
        <v>0</v>
      </c>
      <c r="M915" s="1" t="str">
        <f aca="false">VLOOKUP(D915,'Team Reference'!$A:$B,2,FALSE())</f>
        <v>JAX</v>
      </c>
      <c r="N915" s="1" t="str">
        <f aca="false">VLOOKUP(E915,'Team Reference'!$A:$B,2,FALSE())</f>
        <v>SF</v>
      </c>
      <c r="O915" s="1" t="str">
        <f aca="false">IF(F915&gt;G915,M915,IF(G915&gt;F915,N915,"Tie"))</f>
        <v>SF</v>
      </c>
      <c r="P915" s="1" t="n">
        <f aca="false">F915-G915</f>
        <v>-32</v>
      </c>
      <c r="Q915" s="1" t="n">
        <f aca="false">F915+G915</f>
        <v>52</v>
      </c>
      <c r="R915" s="1" t="str">
        <f aca="false">IF(H915=M915,"Home",IF(H915=N915,"Away",IF(H915="PICK","Pick","N/A")))</f>
        <v>Away</v>
      </c>
      <c r="S915" s="1" t="n">
        <f aca="false">IF(R915="Home",P915,IF(R915="Away",-P915,""))</f>
        <v>32</v>
      </c>
      <c r="T915" s="1" t="str">
        <f aca="false">IF(R915="Pick","No Line",IF(S915="","N/A",IF(S915+I915&gt;0,"Favorite Covered",IF(S915+I915&lt;0,"Underdog Covered","Push"))))</f>
        <v>Favorite Covered</v>
      </c>
      <c r="U915" s="1" t="str">
        <f aca="false">IF(Q915&gt;J915,"Over",IF(Q915&lt;J915,"Under","Push"))</f>
        <v>Over</v>
      </c>
    </row>
    <row r="916" customFormat="false" ht="15" hidden="false" customHeight="false" outlineLevel="0" collapsed="false">
      <c r="A916" s="1" t="s">
        <v>370</v>
      </c>
      <c r="B916" s="1" t="n">
        <v>2013</v>
      </c>
      <c r="C916" s="1" t="s">
        <v>194</v>
      </c>
      <c r="D916" s="1" t="s">
        <v>83</v>
      </c>
      <c r="E916" s="1" t="s">
        <v>67</v>
      </c>
      <c r="F916" s="1" t="n">
        <v>23</v>
      </c>
      <c r="G916" s="1" t="n">
        <v>17</v>
      </c>
      <c r="H916" s="1" t="s">
        <v>84</v>
      </c>
      <c r="I916" s="1" t="n">
        <v>-7</v>
      </c>
      <c r="J916" s="1" t="n">
        <v>39</v>
      </c>
      <c r="K916" s="1" t="s">
        <v>158</v>
      </c>
      <c r="L916" s="1" t="b">
        <f aca="false">FALSE()</f>
        <v>0</v>
      </c>
      <c r="M916" s="1" t="str">
        <f aca="false">VLOOKUP(D916,'Team Reference'!$A:$B,2,FALSE())</f>
        <v>KC</v>
      </c>
      <c r="N916" s="1" t="str">
        <f aca="false">VLOOKUP(E916,'Team Reference'!$A:$B,2,FALSE())</f>
        <v>CLE</v>
      </c>
      <c r="O916" s="1" t="str">
        <f aca="false">IF(F916&gt;G916,M916,IF(G916&gt;F916,N916,"Tie"))</f>
        <v>KC</v>
      </c>
      <c r="P916" s="1" t="n">
        <f aca="false">F916-G916</f>
        <v>6</v>
      </c>
      <c r="Q916" s="1" t="n">
        <f aca="false">F916+G916</f>
        <v>40</v>
      </c>
      <c r="R916" s="1" t="str">
        <f aca="false">IF(H916=M916,"Home",IF(H916=N916,"Away",IF(H916="PICK","Pick","N/A")))</f>
        <v>Home</v>
      </c>
      <c r="S916" s="1" t="n">
        <f aca="false">IF(R916="Home",P916,IF(R916="Away",-P916,""))</f>
        <v>6</v>
      </c>
      <c r="T916" s="1" t="str">
        <f aca="false">IF(R916="Pick","No Line",IF(S916="","N/A",IF(S916+I916&gt;0,"Favorite Covered",IF(S916+I916&lt;0,"Underdog Covered","Push"))))</f>
        <v>Underdog Covered</v>
      </c>
      <c r="U916" s="1" t="str">
        <f aca="false">IF(Q916&gt;J916,"Over",IF(Q916&lt;J916,"Under","Push"))</f>
        <v>Over</v>
      </c>
    </row>
    <row r="917" customFormat="false" ht="15" hidden="false" customHeight="false" outlineLevel="0" collapsed="false">
      <c r="A917" s="1" t="s">
        <v>370</v>
      </c>
      <c r="B917" s="1" t="n">
        <v>2013</v>
      </c>
      <c r="C917" s="1" t="s">
        <v>194</v>
      </c>
      <c r="D917" s="1" t="s">
        <v>91</v>
      </c>
      <c r="E917" s="1" t="s">
        <v>75</v>
      </c>
      <c r="F917" s="1" t="n">
        <v>31</v>
      </c>
      <c r="G917" s="1" t="n">
        <v>44</v>
      </c>
      <c r="H917" s="1" t="s">
        <v>76</v>
      </c>
      <c r="I917" s="1" t="n">
        <v>-7.5</v>
      </c>
      <c r="J917" s="1" t="n">
        <v>47</v>
      </c>
      <c r="K917" s="1" t="s">
        <v>170</v>
      </c>
      <c r="L917" s="1" t="b">
        <f aca="false">FALSE()</f>
        <v>0</v>
      </c>
      <c r="M917" s="1" t="str">
        <f aca="false">VLOOKUP(D917,'Team Reference'!$A:$B,2,FALSE())</f>
        <v>MIN</v>
      </c>
      <c r="N917" s="1" t="str">
        <f aca="false">VLOOKUP(E917,'Team Reference'!$A:$B,2,FALSE())</f>
        <v>GB</v>
      </c>
      <c r="O917" s="1" t="str">
        <f aca="false">IF(F917&gt;G917,M917,IF(G917&gt;F917,N917,"Tie"))</f>
        <v>GB</v>
      </c>
      <c r="P917" s="1" t="n">
        <f aca="false">F917-G917</f>
        <v>-13</v>
      </c>
      <c r="Q917" s="1" t="n">
        <f aca="false">F917+G917</f>
        <v>75</v>
      </c>
      <c r="R917" s="1" t="str">
        <f aca="false">IF(H917=M917,"Home",IF(H917=N917,"Away",IF(H917="PICK","Pick","N/A")))</f>
        <v>Away</v>
      </c>
      <c r="S917" s="1" t="n">
        <f aca="false">IF(R917="Home",P917,IF(R917="Away",-P917,""))</f>
        <v>13</v>
      </c>
      <c r="T917" s="1" t="str">
        <f aca="false">IF(R917="Pick","No Line",IF(S917="","N/A",IF(S917+I917&gt;0,"Favorite Covered",IF(S917+I917&lt;0,"Underdog Covered","Push"))))</f>
        <v>Favorite Covered</v>
      </c>
      <c r="U917" s="1" t="str">
        <f aca="false">IF(Q917&gt;J917,"Over",IF(Q917&lt;J917,"Under","Push"))</f>
        <v>Over</v>
      </c>
    </row>
    <row r="918" customFormat="false" ht="15" hidden="false" customHeight="false" outlineLevel="0" collapsed="false">
      <c r="A918" s="1" t="s">
        <v>370</v>
      </c>
      <c r="B918" s="1" t="n">
        <v>2013</v>
      </c>
      <c r="C918" s="1" t="s">
        <v>194</v>
      </c>
      <c r="D918" s="1" t="s">
        <v>93</v>
      </c>
      <c r="E918" s="1" t="s">
        <v>89</v>
      </c>
      <c r="F918" s="1" t="n">
        <v>27</v>
      </c>
      <c r="G918" s="1" t="n">
        <v>17</v>
      </c>
      <c r="H918" s="1" t="s">
        <v>94</v>
      </c>
      <c r="I918" s="1" t="n">
        <v>-5.5</v>
      </c>
      <c r="J918" s="1" t="n">
        <v>45</v>
      </c>
      <c r="K918" s="1" t="s">
        <v>148</v>
      </c>
      <c r="L918" s="1" t="b">
        <f aca="false">FALSE()</f>
        <v>0</v>
      </c>
      <c r="M918" s="1" t="str">
        <f aca="false">VLOOKUP(D918,'Team Reference'!$A:$B,2,FALSE())</f>
        <v>NE</v>
      </c>
      <c r="N918" s="1" t="str">
        <f aca="false">VLOOKUP(E918,'Team Reference'!$A:$B,2,FALSE())</f>
        <v>MIA</v>
      </c>
      <c r="O918" s="1" t="str">
        <f aca="false">IF(F918&gt;G918,M918,IF(G918&gt;F918,N918,"Tie"))</f>
        <v>NE</v>
      </c>
      <c r="P918" s="1" t="n">
        <f aca="false">F918-G918</f>
        <v>10</v>
      </c>
      <c r="Q918" s="1" t="n">
        <f aca="false">F918+G918</f>
        <v>44</v>
      </c>
      <c r="R918" s="1" t="str">
        <f aca="false">IF(H918=M918,"Home",IF(H918=N918,"Away",IF(H918="PICK","Pick","N/A")))</f>
        <v>Home</v>
      </c>
      <c r="S918" s="1" t="n">
        <f aca="false">IF(R918="Home",P918,IF(R918="Away",-P918,""))</f>
        <v>10</v>
      </c>
      <c r="T918" s="1" t="str">
        <f aca="false">IF(R918="Pick","No Line",IF(S918="","N/A",IF(S918+I918&gt;0,"Favorite Covered",IF(S918+I918&lt;0,"Underdog Covered","Push"))))</f>
        <v>Favorite Covered</v>
      </c>
      <c r="U918" s="1" t="str">
        <f aca="false">IF(Q918&gt;J918,"Over",IF(Q918&lt;J918,"Under","Push"))</f>
        <v>Under</v>
      </c>
    </row>
    <row r="919" customFormat="false" ht="15" hidden="false" customHeight="false" outlineLevel="0" collapsed="false">
      <c r="A919" s="1" t="s">
        <v>370</v>
      </c>
      <c r="B919" s="1" t="n">
        <v>2013</v>
      </c>
      <c r="C919" s="1" t="s">
        <v>194</v>
      </c>
      <c r="D919" s="1" t="s">
        <v>95</v>
      </c>
      <c r="E919" s="1" t="s">
        <v>59</v>
      </c>
      <c r="F919" s="1" t="n">
        <v>35</v>
      </c>
      <c r="G919" s="1" t="n">
        <v>17</v>
      </c>
      <c r="H919" s="1" t="s">
        <v>96</v>
      </c>
      <c r="I919" s="1" t="n">
        <v>-10.5</v>
      </c>
      <c r="J919" s="1" t="n">
        <v>48</v>
      </c>
      <c r="K919" s="1" t="s">
        <v>142</v>
      </c>
      <c r="L919" s="1" t="b">
        <f aca="false">FALSE()</f>
        <v>0</v>
      </c>
      <c r="M919" s="1" t="str">
        <f aca="false">VLOOKUP(D919,'Team Reference'!$A:$B,2,FALSE())</f>
        <v>NO</v>
      </c>
      <c r="N919" s="1" t="str">
        <f aca="false">VLOOKUP(E919,'Team Reference'!$A:$B,2,FALSE())</f>
        <v>BUF</v>
      </c>
      <c r="O919" s="1" t="str">
        <f aca="false">IF(F919&gt;G919,M919,IF(G919&gt;F919,N919,"Tie"))</f>
        <v>NO</v>
      </c>
      <c r="P919" s="1" t="n">
        <f aca="false">F919-G919</f>
        <v>18</v>
      </c>
      <c r="Q919" s="1" t="n">
        <f aca="false">F919+G919</f>
        <v>52</v>
      </c>
      <c r="R919" s="1" t="str">
        <f aca="false">IF(H919=M919,"Home",IF(H919=N919,"Away",IF(H919="PICK","Pick","N/A")))</f>
        <v>Home</v>
      </c>
      <c r="S919" s="1" t="n">
        <f aca="false">IF(R919="Home",P919,IF(R919="Away",-P919,""))</f>
        <v>18</v>
      </c>
      <c r="T919" s="1" t="str">
        <f aca="false">IF(R919="Pick","No Line",IF(S919="","N/A",IF(S919+I919&gt;0,"Favorite Covered",IF(S919+I919&lt;0,"Underdog Covered","Push"))))</f>
        <v>Favorite Covered</v>
      </c>
      <c r="U919" s="1" t="str">
        <f aca="false">IF(Q919&gt;J919,"Over",IF(Q919&lt;J919,"Under","Push"))</f>
        <v>Over</v>
      </c>
    </row>
    <row r="920" customFormat="false" ht="15" hidden="false" customHeight="false" outlineLevel="0" collapsed="false">
      <c r="A920" s="1" t="s">
        <v>370</v>
      </c>
      <c r="B920" s="1" t="n">
        <v>2013</v>
      </c>
      <c r="C920" s="1" t="s">
        <v>194</v>
      </c>
      <c r="D920" s="1" t="s">
        <v>101</v>
      </c>
      <c r="E920" s="1" t="s">
        <v>105</v>
      </c>
      <c r="F920" s="1" t="n">
        <v>21</v>
      </c>
      <c r="G920" s="1" t="n">
        <v>18</v>
      </c>
      <c r="H920" s="1" t="s">
        <v>106</v>
      </c>
      <c r="I920" s="1" t="n">
        <v>-2.5</v>
      </c>
      <c r="J920" s="1" t="n">
        <v>40.5</v>
      </c>
      <c r="K920" s="1" t="s">
        <v>171</v>
      </c>
      <c r="L920" s="1" t="b">
        <f aca="false">FALSE()</f>
        <v>0</v>
      </c>
      <c r="M920" s="1" t="str">
        <f aca="false">VLOOKUP(D920,'Team Reference'!$A:$B,2,FALSE())</f>
        <v>OAK</v>
      </c>
      <c r="N920" s="1" t="str">
        <f aca="false">VLOOKUP(E920,'Team Reference'!$A:$B,2,FALSE())</f>
        <v>PIT</v>
      </c>
      <c r="O920" s="1" t="str">
        <f aca="false">IF(F920&gt;G920,M920,IF(G920&gt;F920,N920,"Tie"))</f>
        <v>OAK</v>
      </c>
      <c r="P920" s="1" t="n">
        <f aca="false">F920-G920</f>
        <v>3</v>
      </c>
      <c r="Q920" s="1" t="n">
        <f aca="false">F920+G920</f>
        <v>39</v>
      </c>
      <c r="R920" s="1" t="str">
        <f aca="false">IF(H920=M920,"Home",IF(H920=N920,"Away",IF(H920="PICK","Pick","N/A")))</f>
        <v>Away</v>
      </c>
      <c r="S920" s="1" t="n">
        <f aca="false">IF(R920="Home",P920,IF(R920="Away",-P920,""))</f>
        <v>-3</v>
      </c>
      <c r="T920" s="1" t="str">
        <f aca="false">IF(R920="Pick","No Line",IF(S920="","N/A",IF(S920+I920&gt;0,"Favorite Covered",IF(S920+I920&lt;0,"Underdog Covered","Push"))))</f>
        <v>Underdog Covered</v>
      </c>
      <c r="U920" s="1" t="str">
        <f aca="false">IF(Q920&gt;J920,"Over",IF(Q920&lt;J920,"Under","Push"))</f>
        <v>Under</v>
      </c>
    </row>
    <row r="921" customFormat="false" ht="15" hidden="false" customHeight="false" outlineLevel="0" collapsed="false">
      <c r="A921" s="1" t="s">
        <v>370</v>
      </c>
      <c r="B921" s="1" t="n">
        <v>2013</v>
      </c>
      <c r="C921" s="1" t="s">
        <v>194</v>
      </c>
      <c r="D921" s="1" t="s">
        <v>103</v>
      </c>
      <c r="E921" s="1" t="s">
        <v>97</v>
      </c>
      <c r="F921" s="1" t="n">
        <v>7</v>
      </c>
      <c r="G921" s="1" t="n">
        <v>15</v>
      </c>
      <c r="H921" s="1" t="s">
        <v>104</v>
      </c>
      <c r="I921" s="1" t="n">
        <v>-5.5</v>
      </c>
      <c r="J921" s="1" t="n">
        <v>49.5</v>
      </c>
      <c r="K921" s="1" t="s">
        <v>150</v>
      </c>
      <c r="L921" s="1" t="b">
        <f aca="false">FALSE()</f>
        <v>0</v>
      </c>
      <c r="M921" s="1" t="str">
        <f aca="false">VLOOKUP(D921,'Team Reference'!$A:$B,2,FALSE())</f>
        <v>PHI</v>
      </c>
      <c r="N921" s="1" t="str">
        <f aca="false">VLOOKUP(E921,'Team Reference'!$A:$B,2,FALSE())</f>
        <v>NYG</v>
      </c>
      <c r="O921" s="1" t="str">
        <f aca="false">IF(F921&gt;G921,M921,IF(G921&gt;F921,N921,"Tie"))</f>
        <v>NYG</v>
      </c>
      <c r="P921" s="1" t="n">
        <f aca="false">F921-G921</f>
        <v>-8</v>
      </c>
      <c r="Q921" s="1" t="n">
        <f aca="false">F921+G921</f>
        <v>22</v>
      </c>
      <c r="R921" s="1" t="str">
        <f aca="false">IF(H921=M921,"Home",IF(H921=N921,"Away",IF(H921="PICK","Pick","N/A")))</f>
        <v>Home</v>
      </c>
      <c r="S921" s="1" t="n">
        <f aca="false">IF(R921="Home",P921,IF(R921="Away",-P921,""))</f>
        <v>-8</v>
      </c>
      <c r="T921" s="1" t="str">
        <f aca="false">IF(R921="Pick","No Line",IF(S921="","N/A",IF(S921+I921&gt;0,"Favorite Covered",IF(S921+I921&lt;0,"Underdog Covered","Push"))))</f>
        <v>Underdog Covered</v>
      </c>
      <c r="U921" s="1" t="str">
        <f aca="false">IF(Q921&gt;J921,"Over",IF(Q921&lt;J921,"Under","Push"))</f>
        <v>Under</v>
      </c>
    </row>
    <row r="922" customFormat="false" ht="15" hidden="false" customHeight="false" outlineLevel="0" collapsed="false">
      <c r="A922" s="1" t="s">
        <v>371</v>
      </c>
      <c r="B922" s="1" t="n">
        <v>2013</v>
      </c>
      <c r="C922" s="1" t="s">
        <v>194</v>
      </c>
      <c r="D922" s="1" t="s">
        <v>112</v>
      </c>
      <c r="E922" s="1" t="s">
        <v>110</v>
      </c>
      <c r="F922" s="1" t="n">
        <v>9</v>
      </c>
      <c r="G922" s="1" t="n">
        <v>14</v>
      </c>
      <c r="H922" s="1" t="s">
        <v>111</v>
      </c>
      <c r="I922" s="1" t="n">
        <v>-13</v>
      </c>
      <c r="J922" s="1" t="n">
        <v>43.5</v>
      </c>
      <c r="K922" s="1" t="s">
        <v>153</v>
      </c>
      <c r="L922" s="1" t="b">
        <f aca="false">FALSE()</f>
        <v>0</v>
      </c>
      <c r="M922" s="1" t="str">
        <f aca="false">VLOOKUP(D922,'Team Reference'!$A:$B,2,FALSE())</f>
        <v>LAR</v>
      </c>
      <c r="N922" s="1" t="str">
        <f aca="false">VLOOKUP(E922,'Team Reference'!$A:$B,2,FALSE())</f>
        <v>SEA</v>
      </c>
      <c r="O922" s="1" t="str">
        <f aca="false">IF(F922&gt;G922,M922,IF(G922&gt;F922,N922,"Tie"))</f>
        <v>SEA</v>
      </c>
      <c r="P922" s="1" t="n">
        <f aca="false">F922-G922</f>
        <v>-5</v>
      </c>
      <c r="Q922" s="1" t="n">
        <f aca="false">F922+G922</f>
        <v>23</v>
      </c>
      <c r="R922" s="1" t="str">
        <f aca="false">IF(H922=M922,"Home",IF(H922=N922,"Away",IF(H922="PICK","Pick","N/A")))</f>
        <v>Away</v>
      </c>
      <c r="S922" s="1" t="n">
        <f aca="false">IF(R922="Home",P922,IF(R922="Away",-P922,""))</f>
        <v>5</v>
      </c>
      <c r="T922" s="1" t="str">
        <f aca="false">IF(R922="Pick","No Line",IF(S922="","N/A",IF(S922+I922&gt;0,"Favorite Covered",IF(S922+I922&lt;0,"Underdog Covered","Push"))))</f>
        <v>Underdog Covered</v>
      </c>
      <c r="U922" s="1" t="str">
        <f aca="false">IF(Q922&gt;J922,"Over",IF(Q922&lt;J922,"Under","Push"))</f>
        <v>Under</v>
      </c>
    </row>
    <row r="923" customFormat="false" ht="15" hidden="false" customHeight="false" outlineLevel="0" collapsed="false">
      <c r="A923" s="1" t="s">
        <v>372</v>
      </c>
      <c r="B923" s="1" t="n">
        <v>2013</v>
      </c>
      <c r="C923" s="1" t="s">
        <v>198</v>
      </c>
      <c r="D923" s="1" t="s">
        <v>89</v>
      </c>
      <c r="E923" s="1" t="s">
        <v>65</v>
      </c>
      <c r="F923" s="1" t="n">
        <v>22</v>
      </c>
      <c r="G923" s="1" t="n">
        <v>20</v>
      </c>
      <c r="H923" s="1" t="s">
        <v>66</v>
      </c>
      <c r="I923" s="1" t="n">
        <v>-3</v>
      </c>
      <c r="J923" s="1" t="n">
        <v>42</v>
      </c>
      <c r="K923" s="1" t="s">
        <v>179</v>
      </c>
      <c r="L923" s="1" t="b">
        <f aca="false">FALSE()</f>
        <v>0</v>
      </c>
      <c r="M923" s="1" t="str">
        <f aca="false">VLOOKUP(D923,'Team Reference'!$A:$B,2,FALSE())</f>
        <v>MIA</v>
      </c>
      <c r="N923" s="1" t="str">
        <f aca="false">VLOOKUP(E923,'Team Reference'!$A:$B,2,FALSE())</f>
        <v>CIN</v>
      </c>
      <c r="O923" s="1" t="str">
        <f aca="false">IF(F923&gt;G923,M923,IF(G923&gt;F923,N923,"Tie"))</f>
        <v>MIA</v>
      </c>
      <c r="P923" s="1" t="n">
        <f aca="false">F923-G923</f>
        <v>2</v>
      </c>
      <c r="Q923" s="1" t="n">
        <f aca="false">F923+G923</f>
        <v>42</v>
      </c>
      <c r="R923" s="1" t="str">
        <f aca="false">IF(H923=M923,"Home",IF(H923=N923,"Away",IF(H923="PICK","Pick","N/A")))</f>
        <v>Away</v>
      </c>
      <c r="S923" s="1" t="n">
        <f aca="false">IF(R923="Home",P923,IF(R923="Away",-P923,""))</f>
        <v>-2</v>
      </c>
      <c r="T923" s="1" t="str">
        <f aca="false">IF(R923="Pick","No Line",IF(S923="","N/A",IF(S923+I923&gt;0,"Favorite Covered",IF(S923+I923&lt;0,"Underdog Covered","Push"))))</f>
        <v>Underdog Covered</v>
      </c>
      <c r="U923" s="1" t="str">
        <f aca="false">IF(Q923&gt;J923,"Over",IF(Q923&lt;J923,"Under","Push"))</f>
        <v>Push</v>
      </c>
    </row>
    <row r="924" customFormat="false" ht="15" hidden="false" customHeight="false" outlineLevel="0" collapsed="false">
      <c r="A924" s="1" t="s">
        <v>373</v>
      </c>
      <c r="B924" s="1" t="n">
        <v>2013</v>
      </c>
      <c r="C924" s="1" t="s">
        <v>198</v>
      </c>
      <c r="D924" s="1" t="s">
        <v>59</v>
      </c>
      <c r="E924" s="1" t="s">
        <v>83</v>
      </c>
      <c r="F924" s="1" t="n">
        <v>13</v>
      </c>
      <c r="G924" s="1" t="n">
        <v>23</v>
      </c>
      <c r="H924" s="1" t="s">
        <v>84</v>
      </c>
      <c r="I924" s="1" t="n">
        <v>-4.5</v>
      </c>
      <c r="J924" s="1" t="n">
        <v>41</v>
      </c>
      <c r="K924" s="1" t="s">
        <v>144</v>
      </c>
      <c r="L924" s="1" t="b">
        <f aca="false">FALSE()</f>
        <v>0</v>
      </c>
      <c r="M924" s="1" t="str">
        <f aca="false">VLOOKUP(D924,'Team Reference'!$A:$B,2,FALSE())</f>
        <v>BUF</v>
      </c>
      <c r="N924" s="1" t="str">
        <f aca="false">VLOOKUP(E924,'Team Reference'!$A:$B,2,FALSE())</f>
        <v>KC</v>
      </c>
      <c r="O924" s="1" t="str">
        <f aca="false">IF(F924&gt;G924,M924,IF(G924&gt;F924,N924,"Tie"))</f>
        <v>KC</v>
      </c>
      <c r="P924" s="1" t="n">
        <f aca="false">F924-G924</f>
        <v>-10</v>
      </c>
      <c r="Q924" s="1" t="n">
        <f aca="false">F924+G924</f>
        <v>36</v>
      </c>
      <c r="R924" s="1" t="str">
        <f aca="false">IF(H924=M924,"Home",IF(H924=N924,"Away",IF(H924="PICK","Pick","N/A")))</f>
        <v>Away</v>
      </c>
      <c r="S924" s="1" t="n">
        <f aca="false">IF(R924="Home",P924,IF(R924="Away",-P924,""))</f>
        <v>10</v>
      </c>
      <c r="T924" s="1" t="str">
        <f aca="false">IF(R924="Pick","No Line",IF(S924="","N/A",IF(S924+I924&gt;0,"Favorite Covered",IF(S924+I924&lt;0,"Underdog Covered","Push"))))</f>
        <v>Favorite Covered</v>
      </c>
      <c r="U924" s="1" t="str">
        <f aca="false">IF(Q924&gt;J924,"Over",IF(Q924&lt;J924,"Under","Push"))</f>
        <v>Under</v>
      </c>
    </row>
    <row r="925" customFormat="false" ht="15" hidden="false" customHeight="false" outlineLevel="0" collapsed="false">
      <c r="A925" s="1" t="s">
        <v>373</v>
      </c>
      <c r="B925" s="1" t="n">
        <v>2013</v>
      </c>
      <c r="C925" s="1" t="s">
        <v>198</v>
      </c>
      <c r="D925" s="1" t="s">
        <v>61</v>
      </c>
      <c r="E925" s="1" t="s">
        <v>55</v>
      </c>
      <c r="F925" s="1" t="n">
        <v>34</v>
      </c>
      <c r="G925" s="1" t="n">
        <v>10</v>
      </c>
      <c r="H925" s="1" t="s">
        <v>62</v>
      </c>
      <c r="I925" s="1" t="n">
        <v>-8</v>
      </c>
      <c r="J925" s="1" t="n">
        <v>47</v>
      </c>
      <c r="K925" s="1" t="s">
        <v>162</v>
      </c>
      <c r="L925" s="1" t="b">
        <f aca="false">FALSE()</f>
        <v>0</v>
      </c>
      <c r="M925" s="1" t="str">
        <f aca="false">VLOOKUP(D925,'Team Reference'!$A:$B,2,FALSE())</f>
        <v>CAR</v>
      </c>
      <c r="N925" s="1" t="str">
        <f aca="false">VLOOKUP(E925,'Team Reference'!$A:$B,2,FALSE())</f>
        <v>ATL</v>
      </c>
      <c r="O925" s="1" t="str">
        <f aca="false">IF(F925&gt;G925,M925,IF(G925&gt;F925,N925,"Tie"))</f>
        <v>CAR</v>
      </c>
      <c r="P925" s="1" t="n">
        <f aca="false">F925-G925</f>
        <v>24</v>
      </c>
      <c r="Q925" s="1" t="n">
        <f aca="false">F925+G925</f>
        <v>44</v>
      </c>
      <c r="R925" s="1" t="str">
        <f aca="false">IF(H925=M925,"Home",IF(H925=N925,"Away",IF(H925="PICK","Pick","N/A")))</f>
        <v>Home</v>
      </c>
      <c r="S925" s="1" t="n">
        <f aca="false">IF(R925="Home",P925,IF(R925="Away",-P925,""))</f>
        <v>24</v>
      </c>
      <c r="T925" s="1" t="str">
        <f aca="false">IF(R925="Pick","No Line",IF(S925="","N/A",IF(S925+I925&gt;0,"Favorite Covered",IF(S925+I925&lt;0,"Underdog Covered","Push"))))</f>
        <v>Favorite Covered</v>
      </c>
      <c r="U925" s="1" t="str">
        <f aca="false">IF(Q925&gt;J925,"Over",IF(Q925&lt;J925,"Under","Push"))</f>
        <v>Under</v>
      </c>
    </row>
    <row r="926" customFormat="false" ht="15" hidden="false" customHeight="false" outlineLevel="0" collapsed="false">
      <c r="A926" s="1" t="s">
        <v>373</v>
      </c>
      <c r="B926" s="1" t="n">
        <v>2013</v>
      </c>
      <c r="C926" s="1" t="s">
        <v>198</v>
      </c>
      <c r="D926" s="1" t="s">
        <v>67</v>
      </c>
      <c r="E926" s="1" t="s">
        <v>57</v>
      </c>
      <c r="F926" s="1" t="n">
        <v>24</v>
      </c>
      <c r="G926" s="1" t="n">
        <v>18</v>
      </c>
      <c r="H926" s="1" t="s">
        <v>58</v>
      </c>
      <c r="I926" s="1" t="n">
        <v>-1</v>
      </c>
      <c r="J926" s="1" t="n">
        <v>42</v>
      </c>
      <c r="K926" s="1" t="s">
        <v>164</v>
      </c>
      <c r="L926" s="1" t="b">
        <f aca="false">FALSE()</f>
        <v>0</v>
      </c>
      <c r="M926" s="1" t="str">
        <f aca="false">VLOOKUP(D926,'Team Reference'!$A:$B,2,FALSE())</f>
        <v>CLE</v>
      </c>
      <c r="N926" s="1" t="str">
        <f aca="false">VLOOKUP(E926,'Team Reference'!$A:$B,2,FALSE())</f>
        <v>BAL</v>
      </c>
      <c r="O926" s="1" t="str">
        <f aca="false">IF(F926&gt;G926,M926,IF(G926&gt;F926,N926,"Tie"))</f>
        <v>CLE</v>
      </c>
      <c r="P926" s="1" t="n">
        <f aca="false">F926-G926</f>
        <v>6</v>
      </c>
      <c r="Q926" s="1" t="n">
        <f aca="false">F926+G926</f>
        <v>42</v>
      </c>
      <c r="R926" s="1" t="str">
        <f aca="false">IF(H926=M926,"Home",IF(H926=N926,"Away",IF(H926="PICK","Pick","N/A")))</f>
        <v>Away</v>
      </c>
      <c r="S926" s="1" t="n">
        <f aca="false">IF(R926="Home",P926,IF(R926="Away",-P926,""))</f>
        <v>-6</v>
      </c>
      <c r="T926" s="1" t="str">
        <f aca="false">IF(R926="Pick","No Line",IF(S926="","N/A",IF(S926+I926&gt;0,"Favorite Covered",IF(S926+I926&lt;0,"Underdog Covered","Push"))))</f>
        <v>Underdog Covered</v>
      </c>
      <c r="U926" s="1" t="str">
        <f aca="false">IF(Q926&gt;J926,"Over",IF(Q926&lt;J926,"Under","Push"))</f>
        <v>Push</v>
      </c>
    </row>
    <row r="927" customFormat="false" ht="15" hidden="false" customHeight="false" outlineLevel="0" collapsed="false">
      <c r="A927" s="1" t="s">
        <v>373</v>
      </c>
      <c r="B927" s="1" t="n">
        <v>2013</v>
      </c>
      <c r="C927" s="1" t="s">
        <v>198</v>
      </c>
      <c r="D927" s="1" t="s">
        <v>69</v>
      </c>
      <c r="E927" s="1" t="s">
        <v>91</v>
      </c>
      <c r="F927" s="1" t="n">
        <v>27</v>
      </c>
      <c r="G927" s="1" t="n">
        <v>23</v>
      </c>
      <c r="H927" s="1" t="s">
        <v>70</v>
      </c>
      <c r="I927" s="1" t="n">
        <v>-8.5</v>
      </c>
      <c r="J927" s="1" t="n">
        <v>50.5</v>
      </c>
      <c r="K927" s="1" t="s">
        <v>165</v>
      </c>
      <c r="L927" s="1" t="b">
        <f aca="false">FALSE()</f>
        <v>0</v>
      </c>
      <c r="M927" s="1" t="str">
        <f aca="false">VLOOKUP(D927,'Team Reference'!$A:$B,2,FALSE())</f>
        <v>DAL</v>
      </c>
      <c r="N927" s="1" t="str">
        <f aca="false">VLOOKUP(E927,'Team Reference'!$A:$B,2,FALSE())</f>
        <v>MIN</v>
      </c>
      <c r="O927" s="1" t="str">
        <f aca="false">IF(F927&gt;G927,M927,IF(G927&gt;F927,N927,"Tie"))</f>
        <v>DAL</v>
      </c>
      <c r="P927" s="1" t="n">
        <f aca="false">F927-G927</f>
        <v>4</v>
      </c>
      <c r="Q927" s="1" t="n">
        <f aca="false">F927+G927</f>
        <v>50</v>
      </c>
      <c r="R927" s="1" t="str">
        <f aca="false">IF(H927=M927,"Home",IF(H927=N927,"Away",IF(H927="PICK","Pick","N/A")))</f>
        <v>Home</v>
      </c>
      <c r="S927" s="1" t="n">
        <f aca="false">IF(R927="Home",P927,IF(R927="Away",-P927,""))</f>
        <v>4</v>
      </c>
      <c r="T927" s="1" t="str">
        <f aca="false">IF(R927="Pick","No Line",IF(S927="","N/A",IF(S927+I927&gt;0,"Favorite Covered",IF(S927+I927&lt;0,"Underdog Covered","Push"))))</f>
        <v>Underdog Covered</v>
      </c>
      <c r="U927" s="1" t="str">
        <f aca="false">IF(Q927&gt;J927,"Over",IF(Q927&lt;J927,"Under","Push"))</f>
        <v>Under</v>
      </c>
    </row>
    <row r="928" customFormat="false" ht="15" hidden="false" customHeight="false" outlineLevel="0" collapsed="false">
      <c r="A928" s="1" t="s">
        <v>373</v>
      </c>
      <c r="B928" s="1" t="n">
        <v>2013</v>
      </c>
      <c r="C928" s="1" t="s">
        <v>198</v>
      </c>
      <c r="D928" s="1" t="s">
        <v>77</v>
      </c>
      <c r="E928" s="1" t="s">
        <v>79</v>
      </c>
      <c r="F928" s="1" t="n">
        <v>24</v>
      </c>
      <c r="G928" s="1" t="n">
        <v>27</v>
      </c>
      <c r="H928" s="1" t="s">
        <v>80</v>
      </c>
      <c r="I928" s="1" t="n">
        <v>-1</v>
      </c>
      <c r="J928" s="1" t="n">
        <v>44</v>
      </c>
      <c r="K928" s="1" t="s">
        <v>146</v>
      </c>
      <c r="L928" s="1" t="b">
        <f aca="false">FALSE()</f>
        <v>0</v>
      </c>
      <c r="M928" s="1" t="str">
        <f aca="false">VLOOKUP(D928,'Team Reference'!$A:$B,2,FALSE())</f>
        <v>HOU</v>
      </c>
      <c r="N928" s="1" t="str">
        <f aca="false">VLOOKUP(E928,'Team Reference'!$A:$B,2,FALSE())</f>
        <v>IND</v>
      </c>
      <c r="O928" s="1" t="str">
        <f aca="false">IF(F928&gt;G928,M928,IF(G928&gt;F928,N928,"Tie"))</f>
        <v>IND</v>
      </c>
      <c r="P928" s="1" t="n">
        <f aca="false">F928-G928</f>
        <v>-3</v>
      </c>
      <c r="Q928" s="1" t="n">
        <f aca="false">F928+G928</f>
        <v>51</v>
      </c>
      <c r="R928" s="1" t="str">
        <f aca="false">IF(H928=M928,"Home",IF(H928=N928,"Away",IF(H928="PICK","Pick","N/A")))</f>
        <v>Away</v>
      </c>
      <c r="S928" s="1" t="n">
        <f aca="false">IF(R928="Home",P928,IF(R928="Away",-P928,""))</f>
        <v>3</v>
      </c>
      <c r="T928" s="1" t="str">
        <f aca="false">IF(R928="Pick","No Line",IF(S928="","N/A",IF(S928+I928&gt;0,"Favorite Covered",IF(S928+I928&lt;0,"Underdog Covered","Push"))))</f>
        <v>Favorite Covered</v>
      </c>
      <c r="U928" s="1" t="str">
        <f aca="false">IF(Q928&gt;J928,"Over",IF(Q928&lt;J928,"Under","Push"))</f>
        <v>Over</v>
      </c>
    </row>
    <row r="929" customFormat="false" ht="15" hidden="false" customHeight="false" outlineLevel="0" collapsed="false">
      <c r="A929" s="1" t="s">
        <v>373</v>
      </c>
      <c r="B929" s="1" t="n">
        <v>2013</v>
      </c>
      <c r="C929" s="1" t="s">
        <v>198</v>
      </c>
      <c r="D929" s="1" t="s">
        <v>93</v>
      </c>
      <c r="E929" s="1" t="s">
        <v>105</v>
      </c>
      <c r="F929" s="1" t="n">
        <v>55</v>
      </c>
      <c r="G929" s="1" t="n">
        <v>31</v>
      </c>
      <c r="H929" s="1" t="s">
        <v>94</v>
      </c>
      <c r="I929" s="1" t="n">
        <v>-5.5</v>
      </c>
      <c r="J929" s="1" t="n">
        <v>43</v>
      </c>
      <c r="K929" s="1" t="s">
        <v>148</v>
      </c>
      <c r="L929" s="1" t="b">
        <f aca="false">FALSE()</f>
        <v>0</v>
      </c>
      <c r="M929" s="1" t="str">
        <f aca="false">VLOOKUP(D929,'Team Reference'!$A:$B,2,FALSE())</f>
        <v>NE</v>
      </c>
      <c r="N929" s="1" t="str">
        <f aca="false">VLOOKUP(E929,'Team Reference'!$A:$B,2,FALSE())</f>
        <v>PIT</v>
      </c>
      <c r="O929" s="1" t="str">
        <f aca="false">IF(F929&gt;G929,M929,IF(G929&gt;F929,N929,"Tie"))</f>
        <v>NE</v>
      </c>
      <c r="P929" s="1" t="n">
        <f aca="false">F929-G929</f>
        <v>24</v>
      </c>
      <c r="Q929" s="1" t="n">
        <f aca="false">F929+G929</f>
        <v>86</v>
      </c>
      <c r="R929" s="1" t="str">
        <f aca="false">IF(H929=M929,"Home",IF(H929=N929,"Away",IF(H929="PICK","Pick","N/A")))</f>
        <v>Home</v>
      </c>
      <c r="S929" s="1" t="n">
        <f aca="false">IF(R929="Home",P929,IF(R929="Away",-P929,""))</f>
        <v>24</v>
      </c>
      <c r="T929" s="1" t="str">
        <f aca="false">IF(R929="Pick","No Line",IF(S929="","N/A",IF(S929+I929&gt;0,"Favorite Covered",IF(S929+I929&lt;0,"Underdog Covered","Push"))))</f>
        <v>Favorite Covered</v>
      </c>
      <c r="U929" s="1" t="str">
        <f aca="false">IF(Q929&gt;J929,"Over",IF(Q929&lt;J929,"Under","Push"))</f>
        <v>Over</v>
      </c>
    </row>
    <row r="930" customFormat="false" ht="15" hidden="false" customHeight="false" outlineLevel="0" collapsed="false">
      <c r="A930" s="1" t="s">
        <v>373</v>
      </c>
      <c r="B930" s="1" t="n">
        <v>2013</v>
      </c>
      <c r="C930" s="1" t="s">
        <v>198</v>
      </c>
      <c r="D930" s="1" t="s">
        <v>99</v>
      </c>
      <c r="E930" s="1" t="s">
        <v>95</v>
      </c>
      <c r="F930" s="1" t="n">
        <v>26</v>
      </c>
      <c r="G930" s="1" t="n">
        <v>20</v>
      </c>
      <c r="H930" s="1" t="s">
        <v>96</v>
      </c>
      <c r="I930" s="1" t="n">
        <v>-5.5</v>
      </c>
      <c r="J930" s="1" t="n">
        <v>46</v>
      </c>
      <c r="K930" s="1" t="s">
        <v>149</v>
      </c>
      <c r="L930" s="1" t="b">
        <f aca="false">FALSE()</f>
        <v>0</v>
      </c>
      <c r="M930" s="1" t="str">
        <f aca="false">VLOOKUP(D930,'Team Reference'!$A:$B,2,FALSE())</f>
        <v>NYJ</v>
      </c>
      <c r="N930" s="1" t="str">
        <f aca="false">VLOOKUP(E930,'Team Reference'!$A:$B,2,FALSE())</f>
        <v>NO</v>
      </c>
      <c r="O930" s="1" t="str">
        <f aca="false">IF(F930&gt;G930,M930,IF(G930&gt;F930,N930,"Tie"))</f>
        <v>NYJ</v>
      </c>
      <c r="P930" s="1" t="n">
        <f aca="false">F930-G930</f>
        <v>6</v>
      </c>
      <c r="Q930" s="1" t="n">
        <f aca="false">F930+G930</f>
        <v>46</v>
      </c>
      <c r="R930" s="1" t="str">
        <f aca="false">IF(H930=M930,"Home",IF(H930=N930,"Away",IF(H930="PICK","Pick","N/A")))</f>
        <v>Away</v>
      </c>
      <c r="S930" s="1" t="n">
        <f aca="false">IF(R930="Home",P930,IF(R930="Away",-P930,""))</f>
        <v>-6</v>
      </c>
      <c r="T930" s="1" t="str">
        <f aca="false">IF(R930="Pick","No Line",IF(S930="","N/A",IF(S930+I930&gt;0,"Favorite Covered",IF(S930+I930&lt;0,"Underdog Covered","Push"))))</f>
        <v>Underdog Covered</v>
      </c>
      <c r="U930" s="1" t="str">
        <f aca="false">IF(Q930&gt;J930,"Over",IF(Q930&lt;J930,"Under","Push"))</f>
        <v>Push</v>
      </c>
    </row>
    <row r="931" customFormat="false" ht="15" hidden="false" customHeight="false" outlineLevel="0" collapsed="false">
      <c r="A931" s="1" t="s">
        <v>373</v>
      </c>
      <c r="B931" s="1" t="n">
        <v>2013</v>
      </c>
      <c r="C931" s="1" t="s">
        <v>198</v>
      </c>
      <c r="D931" s="1" t="s">
        <v>101</v>
      </c>
      <c r="E931" s="1" t="s">
        <v>103</v>
      </c>
      <c r="F931" s="1" t="n">
        <v>20</v>
      </c>
      <c r="G931" s="1" t="n">
        <v>49</v>
      </c>
      <c r="H931" s="1" t="s">
        <v>102</v>
      </c>
      <c r="I931" s="1" t="n">
        <v>-1</v>
      </c>
      <c r="J931" s="1" t="n">
        <v>45.5</v>
      </c>
      <c r="K931" s="1" t="s">
        <v>171</v>
      </c>
      <c r="L931" s="1" t="b">
        <f aca="false">FALSE()</f>
        <v>0</v>
      </c>
      <c r="M931" s="1" t="str">
        <f aca="false">VLOOKUP(D931,'Team Reference'!$A:$B,2,FALSE())</f>
        <v>OAK</v>
      </c>
      <c r="N931" s="1" t="str">
        <f aca="false">VLOOKUP(E931,'Team Reference'!$A:$B,2,FALSE())</f>
        <v>PHI</v>
      </c>
      <c r="O931" s="1" t="str">
        <f aca="false">IF(F931&gt;G931,M931,IF(G931&gt;F931,N931,"Tie"))</f>
        <v>PHI</v>
      </c>
      <c r="P931" s="1" t="n">
        <f aca="false">F931-G931</f>
        <v>-29</v>
      </c>
      <c r="Q931" s="1" t="n">
        <f aca="false">F931+G931</f>
        <v>69</v>
      </c>
      <c r="R931" s="1" t="str">
        <f aca="false">IF(H931=M931,"Home",IF(H931=N931,"Away",IF(H931="PICK","Pick","N/A")))</f>
        <v>Home</v>
      </c>
      <c r="S931" s="1" t="n">
        <f aca="false">IF(R931="Home",P931,IF(R931="Away",-P931,""))</f>
        <v>-29</v>
      </c>
      <c r="T931" s="1" t="str">
        <f aca="false">IF(R931="Pick","No Line",IF(S931="","N/A",IF(S931+I931&gt;0,"Favorite Covered",IF(S931+I931&lt;0,"Underdog Covered","Push"))))</f>
        <v>Underdog Covered</v>
      </c>
      <c r="U931" s="1" t="str">
        <f aca="false">IF(Q931&gt;J931,"Over",IF(Q931&lt;J931,"Under","Push"))</f>
        <v>Over</v>
      </c>
    </row>
    <row r="932" customFormat="false" ht="15" hidden="false" customHeight="false" outlineLevel="0" collapsed="false">
      <c r="A932" s="1" t="s">
        <v>373</v>
      </c>
      <c r="B932" s="1" t="n">
        <v>2013</v>
      </c>
      <c r="C932" s="1" t="s">
        <v>198</v>
      </c>
      <c r="D932" s="1" t="s">
        <v>110</v>
      </c>
      <c r="E932" s="1" t="s">
        <v>113</v>
      </c>
      <c r="F932" s="1" t="n">
        <v>27</v>
      </c>
      <c r="G932" s="1" t="n">
        <v>24</v>
      </c>
      <c r="H932" s="1" t="s">
        <v>111</v>
      </c>
      <c r="I932" s="1" t="n">
        <v>-14.5</v>
      </c>
      <c r="J932" s="1" t="n">
        <v>40.5</v>
      </c>
      <c r="K932" s="1" t="s">
        <v>152</v>
      </c>
      <c r="L932" s="1" t="b">
        <f aca="false">FALSE()</f>
        <v>0</v>
      </c>
      <c r="M932" s="1" t="str">
        <f aca="false">VLOOKUP(D932,'Team Reference'!$A:$B,2,FALSE())</f>
        <v>SEA</v>
      </c>
      <c r="N932" s="1" t="str">
        <f aca="false">VLOOKUP(E932,'Team Reference'!$A:$B,2,FALSE())</f>
        <v>TB</v>
      </c>
      <c r="O932" s="1" t="str">
        <f aca="false">IF(F932&gt;G932,M932,IF(G932&gt;F932,N932,"Tie"))</f>
        <v>SEA</v>
      </c>
      <c r="P932" s="1" t="n">
        <f aca="false">F932-G932</f>
        <v>3</v>
      </c>
      <c r="Q932" s="1" t="n">
        <f aca="false">F932+G932</f>
        <v>51</v>
      </c>
      <c r="R932" s="1" t="str">
        <f aca="false">IF(H932=M932,"Home",IF(H932=N932,"Away",IF(H932="PICK","Pick","N/A")))</f>
        <v>Home</v>
      </c>
      <c r="S932" s="1" t="n">
        <f aca="false">IF(R932="Home",P932,IF(R932="Away",-P932,""))</f>
        <v>3</v>
      </c>
      <c r="T932" s="1" t="str">
        <f aca="false">IF(R932="Pick","No Line",IF(S932="","N/A",IF(S932+I932&gt;0,"Favorite Covered",IF(S932+I932&lt;0,"Underdog Covered","Push"))))</f>
        <v>Underdog Covered</v>
      </c>
      <c r="U932" s="1" t="str">
        <f aca="false">IF(Q932&gt;J932,"Over",IF(Q932&lt;J932,"Under","Push"))</f>
        <v>Over</v>
      </c>
    </row>
    <row r="933" customFormat="false" ht="15" hidden="false" customHeight="false" outlineLevel="0" collapsed="false">
      <c r="A933" s="1" t="s">
        <v>373</v>
      </c>
      <c r="B933" s="1" t="n">
        <v>2013</v>
      </c>
      <c r="C933" s="1" t="s">
        <v>198</v>
      </c>
      <c r="D933" s="1" t="s">
        <v>112</v>
      </c>
      <c r="E933" s="1" t="s">
        <v>115</v>
      </c>
      <c r="F933" s="1" t="n">
        <v>21</v>
      </c>
      <c r="G933" s="1" t="n">
        <v>28</v>
      </c>
      <c r="H933" s="1" t="s">
        <v>116</v>
      </c>
      <c r="I933" s="1" t="n">
        <v>-3</v>
      </c>
      <c r="J933" s="1" t="n">
        <v>40.5</v>
      </c>
      <c r="K933" s="1" t="s">
        <v>153</v>
      </c>
      <c r="L933" s="1" t="b">
        <f aca="false">FALSE()</f>
        <v>0</v>
      </c>
      <c r="M933" s="1" t="str">
        <f aca="false">VLOOKUP(D933,'Team Reference'!$A:$B,2,FALSE())</f>
        <v>LAR</v>
      </c>
      <c r="N933" s="1" t="str">
        <f aca="false">VLOOKUP(E933,'Team Reference'!$A:$B,2,FALSE())</f>
        <v>TEN</v>
      </c>
      <c r="O933" s="1" t="str">
        <f aca="false">IF(F933&gt;G933,M933,IF(G933&gt;F933,N933,"Tie"))</f>
        <v>TEN</v>
      </c>
      <c r="P933" s="1" t="n">
        <f aca="false">F933-G933</f>
        <v>-7</v>
      </c>
      <c r="Q933" s="1" t="n">
        <f aca="false">F933+G933</f>
        <v>49</v>
      </c>
      <c r="R933" s="1" t="str">
        <f aca="false">IF(H933=M933,"Home",IF(H933=N933,"Away",IF(H933="PICK","Pick","N/A")))</f>
        <v>Away</v>
      </c>
      <c r="S933" s="1" t="n">
        <f aca="false">IF(R933="Home",P933,IF(R933="Away",-P933,""))</f>
        <v>7</v>
      </c>
      <c r="T933" s="1" t="str">
        <f aca="false">IF(R933="Pick","No Line",IF(S933="","N/A",IF(S933+I933&gt;0,"Favorite Covered",IF(S933+I933&lt;0,"Underdog Covered","Push"))))</f>
        <v>Favorite Covered</v>
      </c>
      <c r="U933" s="1" t="str">
        <f aca="false">IF(Q933&gt;J933,"Over",IF(Q933&lt;J933,"Under","Push"))</f>
        <v>Over</v>
      </c>
    </row>
    <row r="934" customFormat="false" ht="15" hidden="false" customHeight="false" outlineLevel="0" collapsed="false">
      <c r="A934" s="1" t="s">
        <v>373</v>
      </c>
      <c r="B934" s="1" t="n">
        <v>2013</v>
      </c>
      <c r="C934" s="1" t="s">
        <v>198</v>
      </c>
      <c r="D934" s="1" t="s">
        <v>117</v>
      </c>
      <c r="E934" s="1" t="s">
        <v>107</v>
      </c>
      <c r="F934" s="1" t="n">
        <v>30</v>
      </c>
      <c r="G934" s="1" t="n">
        <v>24</v>
      </c>
      <c r="H934" s="1" t="s">
        <v>200</v>
      </c>
      <c r="I934" s="1" t="n">
        <v>0</v>
      </c>
      <c r="J934" s="1" t="n">
        <v>48.5</v>
      </c>
      <c r="K934" s="1" t="s">
        <v>156</v>
      </c>
      <c r="L934" s="1" t="b">
        <f aca="false">FALSE()</f>
        <v>0</v>
      </c>
      <c r="M934" s="1" t="str">
        <f aca="false">VLOOKUP(D934,'Team Reference'!$A:$B,2,FALSE())</f>
        <v>WAS</v>
      </c>
      <c r="N934" s="1" t="str">
        <f aca="false">VLOOKUP(E934,'Team Reference'!$A:$B,2,FALSE())</f>
        <v>LAC</v>
      </c>
      <c r="O934" s="1" t="str">
        <f aca="false">IF(F934&gt;G934,M934,IF(G934&gt;F934,N934,"Tie"))</f>
        <v>WAS</v>
      </c>
      <c r="P934" s="1" t="n">
        <f aca="false">F934-G934</f>
        <v>6</v>
      </c>
      <c r="Q934" s="1" t="n">
        <f aca="false">F934+G934</f>
        <v>54</v>
      </c>
      <c r="R934" s="1" t="str">
        <f aca="false">IF(H934=M934,"Home",IF(H934=N934,"Away",IF(H934="PICK","Pick","N/A")))</f>
        <v>Pick</v>
      </c>
      <c r="S934" s="1" t="str">
        <f aca="false">IF(R934="Home",P934,IF(R934="Away",-P934,""))</f>
        <v/>
      </c>
      <c r="T934" s="1" t="str">
        <f aca="false">IF(R934="Pick","No Line",IF(S934="","N/A",IF(S934+I934&gt;0,"Favorite Covered",IF(S934+I934&lt;0,"Underdog Covered","Push"))))</f>
        <v>No Line</v>
      </c>
      <c r="U934" s="1" t="str">
        <f aca="false">IF(Q934&gt;J934,"Over",IF(Q934&lt;J934,"Under","Push"))</f>
        <v>Over</v>
      </c>
    </row>
    <row r="935" customFormat="false" ht="15" hidden="false" customHeight="false" outlineLevel="0" collapsed="false">
      <c r="A935" s="1" t="s">
        <v>374</v>
      </c>
      <c r="B935" s="1" t="n">
        <v>2013</v>
      </c>
      <c r="C935" s="1" t="s">
        <v>198</v>
      </c>
      <c r="D935" s="1" t="s">
        <v>75</v>
      </c>
      <c r="E935" s="1" t="s">
        <v>63</v>
      </c>
      <c r="F935" s="1" t="n">
        <v>20</v>
      </c>
      <c r="G935" s="1" t="n">
        <v>27</v>
      </c>
      <c r="H935" s="1" t="s">
        <v>76</v>
      </c>
      <c r="I935" s="1" t="n">
        <v>-9.5</v>
      </c>
      <c r="J935" s="1" t="n">
        <v>50.5</v>
      </c>
      <c r="K935" s="1" t="s">
        <v>168</v>
      </c>
      <c r="L935" s="1" t="b">
        <f aca="false">FALSE()</f>
        <v>0</v>
      </c>
      <c r="M935" s="1" t="str">
        <f aca="false">VLOOKUP(D935,'Team Reference'!$A:$B,2,FALSE())</f>
        <v>GB</v>
      </c>
      <c r="N935" s="1" t="str">
        <f aca="false">VLOOKUP(E935,'Team Reference'!$A:$B,2,FALSE())</f>
        <v>CHI</v>
      </c>
      <c r="O935" s="1" t="str">
        <f aca="false">IF(F935&gt;G935,M935,IF(G935&gt;F935,N935,"Tie"))</f>
        <v>CHI</v>
      </c>
      <c r="P935" s="1" t="n">
        <f aca="false">F935-G935</f>
        <v>-7</v>
      </c>
      <c r="Q935" s="1" t="n">
        <f aca="false">F935+G935</f>
        <v>47</v>
      </c>
      <c r="R935" s="1" t="str">
        <f aca="false">IF(H935=M935,"Home",IF(H935=N935,"Away",IF(H935="PICK","Pick","N/A")))</f>
        <v>Home</v>
      </c>
      <c r="S935" s="1" t="n">
        <f aca="false">IF(R935="Home",P935,IF(R935="Away",-P935,""))</f>
        <v>-7</v>
      </c>
      <c r="T935" s="1" t="str">
        <f aca="false">IF(R935="Pick","No Line",IF(S935="","N/A",IF(S935+I935&gt;0,"Favorite Covered",IF(S935+I935&lt;0,"Underdog Covered","Push"))))</f>
        <v>Underdog Covered</v>
      </c>
      <c r="U935" s="1" t="str">
        <f aca="false">IF(Q935&gt;J935,"Over",IF(Q935&lt;J935,"Under","Push"))</f>
        <v>Under</v>
      </c>
    </row>
    <row r="936" customFormat="false" ht="15" hidden="false" customHeight="false" outlineLevel="0" collapsed="false">
      <c r="A936" s="1" t="s">
        <v>375</v>
      </c>
      <c r="B936" s="1" t="n">
        <v>2013</v>
      </c>
      <c r="C936" s="1" t="s">
        <v>203</v>
      </c>
      <c r="D936" s="1" t="s">
        <v>91</v>
      </c>
      <c r="E936" s="1" t="s">
        <v>117</v>
      </c>
      <c r="F936" s="1" t="n">
        <v>34</v>
      </c>
      <c r="G936" s="1" t="n">
        <v>27</v>
      </c>
      <c r="H936" s="1" t="s">
        <v>118</v>
      </c>
      <c r="I936" s="1" t="n">
        <v>-1</v>
      </c>
      <c r="J936" s="1" t="n">
        <v>48</v>
      </c>
      <c r="K936" s="1" t="s">
        <v>170</v>
      </c>
      <c r="L936" s="1" t="b">
        <f aca="false">FALSE()</f>
        <v>0</v>
      </c>
      <c r="M936" s="1" t="str">
        <f aca="false">VLOOKUP(D936,'Team Reference'!$A:$B,2,FALSE())</f>
        <v>MIN</v>
      </c>
      <c r="N936" s="1" t="str">
        <f aca="false">VLOOKUP(E936,'Team Reference'!$A:$B,2,FALSE())</f>
        <v>WAS</v>
      </c>
      <c r="O936" s="1" t="str">
        <f aca="false">IF(F936&gt;G936,M936,IF(G936&gt;F936,N936,"Tie"))</f>
        <v>MIN</v>
      </c>
      <c r="P936" s="1" t="n">
        <f aca="false">F936-G936</f>
        <v>7</v>
      </c>
      <c r="Q936" s="1" t="n">
        <f aca="false">F936+G936</f>
        <v>61</v>
      </c>
      <c r="R936" s="1" t="str">
        <f aca="false">IF(H936=M936,"Home",IF(H936=N936,"Away",IF(H936="PICK","Pick","N/A")))</f>
        <v>Away</v>
      </c>
      <c r="S936" s="1" t="n">
        <f aca="false">IF(R936="Home",P936,IF(R936="Away",-P936,""))</f>
        <v>-7</v>
      </c>
      <c r="T936" s="1" t="str">
        <f aca="false">IF(R936="Pick","No Line",IF(S936="","N/A",IF(S936+I936&gt;0,"Favorite Covered",IF(S936+I936&lt;0,"Underdog Covered","Push"))))</f>
        <v>Underdog Covered</v>
      </c>
      <c r="U936" s="1" t="str">
        <f aca="false">IF(Q936&gt;J936,"Over",IF(Q936&lt;J936,"Under","Push"))</f>
        <v>Over</v>
      </c>
    </row>
    <row r="937" customFormat="false" ht="15" hidden="false" customHeight="false" outlineLevel="0" collapsed="false">
      <c r="A937" s="1" t="s">
        <v>376</v>
      </c>
      <c r="B937" s="1" t="n">
        <v>2013</v>
      </c>
      <c r="C937" s="1" t="s">
        <v>203</v>
      </c>
      <c r="D937" s="1" t="s">
        <v>53</v>
      </c>
      <c r="E937" s="1" t="s">
        <v>77</v>
      </c>
      <c r="F937" s="1" t="n">
        <v>27</v>
      </c>
      <c r="G937" s="1" t="n">
        <v>24</v>
      </c>
      <c r="H937" s="1" t="s">
        <v>54</v>
      </c>
      <c r="I937" s="1" t="n">
        <v>-3.5</v>
      </c>
      <c r="J937" s="1" t="n">
        <v>42</v>
      </c>
      <c r="K937" s="1" t="s">
        <v>177</v>
      </c>
      <c r="L937" s="1" t="b">
        <f aca="false">FALSE()</f>
        <v>0</v>
      </c>
      <c r="M937" s="1" t="str">
        <f aca="false">VLOOKUP(D937,'Team Reference'!$A:$B,2,FALSE())</f>
        <v>ARI</v>
      </c>
      <c r="N937" s="1" t="str">
        <f aca="false">VLOOKUP(E937,'Team Reference'!$A:$B,2,FALSE())</f>
        <v>HOU</v>
      </c>
      <c r="O937" s="1" t="str">
        <f aca="false">IF(F937&gt;G937,M937,IF(G937&gt;F937,N937,"Tie"))</f>
        <v>ARI</v>
      </c>
      <c r="P937" s="1" t="n">
        <f aca="false">F937-G937</f>
        <v>3</v>
      </c>
      <c r="Q937" s="1" t="n">
        <f aca="false">F937+G937</f>
        <v>51</v>
      </c>
      <c r="R937" s="1" t="str">
        <f aca="false">IF(H937=M937,"Home",IF(H937=N937,"Away",IF(H937="PICK","Pick","N/A")))</f>
        <v>Home</v>
      </c>
      <c r="S937" s="1" t="n">
        <f aca="false">IF(R937="Home",P937,IF(R937="Away",-P937,""))</f>
        <v>3</v>
      </c>
      <c r="T937" s="1" t="str">
        <f aca="false">IF(R937="Pick","No Line",IF(S937="","N/A",IF(S937+I937&gt;0,"Favorite Covered",IF(S937+I937&lt;0,"Underdog Covered","Push"))))</f>
        <v>Underdog Covered</v>
      </c>
      <c r="U937" s="1" t="str">
        <f aca="false">IF(Q937&gt;J937,"Over",IF(Q937&lt;J937,"Under","Push"))</f>
        <v>Over</v>
      </c>
    </row>
    <row r="938" customFormat="false" ht="15" hidden="false" customHeight="false" outlineLevel="0" collapsed="false">
      <c r="A938" s="1" t="s">
        <v>376</v>
      </c>
      <c r="B938" s="1" t="n">
        <v>2013</v>
      </c>
      <c r="C938" s="1" t="s">
        <v>203</v>
      </c>
      <c r="D938" s="1" t="s">
        <v>55</v>
      </c>
      <c r="E938" s="1" t="s">
        <v>110</v>
      </c>
      <c r="F938" s="1" t="n">
        <v>10</v>
      </c>
      <c r="G938" s="1" t="n">
        <v>33</v>
      </c>
      <c r="H938" s="1" t="s">
        <v>111</v>
      </c>
      <c r="I938" s="1" t="n">
        <v>-3</v>
      </c>
      <c r="J938" s="1" t="n">
        <v>47</v>
      </c>
      <c r="K938" s="1" t="s">
        <v>161</v>
      </c>
      <c r="L938" s="1" t="b">
        <f aca="false">FALSE()</f>
        <v>0</v>
      </c>
      <c r="M938" s="1" t="str">
        <f aca="false">VLOOKUP(D938,'Team Reference'!$A:$B,2,FALSE())</f>
        <v>ATL</v>
      </c>
      <c r="N938" s="1" t="str">
        <f aca="false">VLOOKUP(E938,'Team Reference'!$A:$B,2,FALSE())</f>
        <v>SEA</v>
      </c>
      <c r="O938" s="1" t="str">
        <f aca="false">IF(F938&gt;G938,M938,IF(G938&gt;F938,N938,"Tie"))</f>
        <v>SEA</v>
      </c>
      <c r="P938" s="1" t="n">
        <f aca="false">F938-G938</f>
        <v>-23</v>
      </c>
      <c r="Q938" s="1" t="n">
        <f aca="false">F938+G938</f>
        <v>43</v>
      </c>
      <c r="R938" s="1" t="str">
        <f aca="false">IF(H938=M938,"Home",IF(H938=N938,"Away",IF(H938="PICK","Pick","N/A")))</f>
        <v>Away</v>
      </c>
      <c r="S938" s="1" t="n">
        <f aca="false">IF(R938="Home",P938,IF(R938="Away",-P938,""))</f>
        <v>23</v>
      </c>
      <c r="T938" s="1" t="str">
        <f aca="false">IF(R938="Pick","No Line",IF(S938="","N/A",IF(S938+I938&gt;0,"Favorite Covered",IF(S938+I938&lt;0,"Underdog Covered","Push"))))</f>
        <v>Favorite Covered</v>
      </c>
      <c r="U938" s="1" t="str">
        <f aca="false">IF(Q938&gt;J938,"Over",IF(Q938&lt;J938,"Under","Push"))</f>
        <v>Under</v>
      </c>
    </row>
    <row r="939" customFormat="false" ht="15" hidden="false" customHeight="false" outlineLevel="0" collapsed="false">
      <c r="A939" s="1" t="s">
        <v>376</v>
      </c>
      <c r="B939" s="1" t="n">
        <v>2013</v>
      </c>
      <c r="C939" s="1" t="s">
        <v>203</v>
      </c>
      <c r="D939" s="1" t="s">
        <v>57</v>
      </c>
      <c r="E939" s="1" t="s">
        <v>65</v>
      </c>
      <c r="F939" s="1" t="n">
        <v>20</v>
      </c>
      <c r="G939" s="1" t="n">
        <v>17</v>
      </c>
      <c r="H939" s="1" t="s">
        <v>58</v>
      </c>
      <c r="I939" s="1" t="n">
        <v>-2</v>
      </c>
      <c r="J939" s="1" t="n">
        <v>43.5</v>
      </c>
      <c r="K939" s="1" t="s">
        <v>178</v>
      </c>
      <c r="L939" s="1" t="b">
        <f aca="false">FALSE()</f>
        <v>0</v>
      </c>
      <c r="M939" s="1" t="str">
        <f aca="false">VLOOKUP(D939,'Team Reference'!$A:$B,2,FALSE())</f>
        <v>BAL</v>
      </c>
      <c r="N939" s="1" t="str">
        <f aca="false">VLOOKUP(E939,'Team Reference'!$A:$B,2,FALSE())</f>
        <v>CIN</v>
      </c>
      <c r="O939" s="1" t="str">
        <f aca="false">IF(F939&gt;G939,M939,IF(G939&gt;F939,N939,"Tie"))</f>
        <v>BAL</v>
      </c>
      <c r="P939" s="1" t="n">
        <f aca="false">F939-G939</f>
        <v>3</v>
      </c>
      <c r="Q939" s="1" t="n">
        <f aca="false">F939+G939</f>
        <v>37</v>
      </c>
      <c r="R939" s="1" t="str">
        <f aca="false">IF(H939=M939,"Home",IF(H939=N939,"Away",IF(H939="PICK","Pick","N/A")))</f>
        <v>Home</v>
      </c>
      <c r="S939" s="1" t="n">
        <f aca="false">IF(R939="Home",P939,IF(R939="Away",-P939,""))</f>
        <v>3</v>
      </c>
      <c r="T939" s="1" t="str">
        <f aca="false">IF(R939="Pick","No Line",IF(S939="","N/A",IF(S939+I939&gt;0,"Favorite Covered",IF(S939+I939&lt;0,"Underdog Covered","Push"))))</f>
        <v>Favorite Covered</v>
      </c>
      <c r="U939" s="1" t="str">
        <f aca="false">IF(Q939&gt;J939,"Over",IF(Q939&lt;J939,"Under","Push"))</f>
        <v>Under</v>
      </c>
    </row>
    <row r="940" customFormat="false" ht="15" hidden="false" customHeight="false" outlineLevel="0" collapsed="false">
      <c r="A940" s="1" t="s">
        <v>376</v>
      </c>
      <c r="B940" s="1" t="n">
        <v>2013</v>
      </c>
      <c r="C940" s="1" t="s">
        <v>203</v>
      </c>
      <c r="D940" s="1" t="s">
        <v>63</v>
      </c>
      <c r="E940" s="1" t="s">
        <v>73</v>
      </c>
      <c r="F940" s="1" t="n">
        <v>19</v>
      </c>
      <c r="G940" s="1" t="n">
        <v>21</v>
      </c>
      <c r="H940" s="1" t="s">
        <v>74</v>
      </c>
      <c r="I940" s="1" t="n">
        <v>-1.5</v>
      </c>
      <c r="J940" s="1" t="n">
        <v>52</v>
      </c>
      <c r="K940" s="1" t="s">
        <v>145</v>
      </c>
      <c r="L940" s="1" t="b">
        <f aca="false">FALSE()</f>
        <v>0</v>
      </c>
      <c r="M940" s="1" t="str">
        <f aca="false">VLOOKUP(D940,'Team Reference'!$A:$B,2,FALSE())</f>
        <v>CHI</v>
      </c>
      <c r="N940" s="1" t="str">
        <f aca="false">VLOOKUP(E940,'Team Reference'!$A:$B,2,FALSE())</f>
        <v>DET</v>
      </c>
      <c r="O940" s="1" t="str">
        <f aca="false">IF(F940&gt;G940,M940,IF(G940&gt;F940,N940,"Tie"))</f>
        <v>DET</v>
      </c>
      <c r="P940" s="1" t="n">
        <f aca="false">F940-G940</f>
        <v>-2</v>
      </c>
      <c r="Q940" s="1" t="n">
        <f aca="false">F940+G940</f>
        <v>40</v>
      </c>
      <c r="R940" s="1" t="str">
        <f aca="false">IF(H940=M940,"Home",IF(H940=N940,"Away",IF(H940="PICK","Pick","N/A")))</f>
        <v>Away</v>
      </c>
      <c r="S940" s="1" t="n">
        <f aca="false">IF(R940="Home",P940,IF(R940="Away",-P940,""))</f>
        <v>2</v>
      </c>
      <c r="T940" s="1" t="str">
        <f aca="false">IF(R940="Pick","No Line",IF(S940="","N/A",IF(S940+I940&gt;0,"Favorite Covered",IF(S940+I940&lt;0,"Underdog Covered","Push"))))</f>
        <v>Favorite Covered</v>
      </c>
      <c r="U940" s="1" t="str">
        <f aca="false">IF(Q940&gt;J940,"Over",IF(Q940&lt;J940,"Under","Push"))</f>
        <v>Under</v>
      </c>
    </row>
    <row r="941" customFormat="false" ht="15" hidden="false" customHeight="false" outlineLevel="0" collapsed="false">
      <c r="A941" s="1" t="s">
        <v>376</v>
      </c>
      <c r="B941" s="1" t="n">
        <v>2013</v>
      </c>
      <c r="C941" s="1" t="s">
        <v>203</v>
      </c>
      <c r="D941" s="1" t="s">
        <v>75</v>
      </c>
      <c r="E941" s="1" t="s">
        <v>103</v>
      </c>
      <c r="F941" s="1" t="n">
        <v>13</v>
      </c>
      <c r="G941" s="1" t="n">
        <v>27</v>
      </c>
      <c r="H941" s="1" t="s">
        <v>104</v>
      </c>
      <c r="I941" s="1" t="n">
        <v>-1</v>
      </c>
      <c r="J941" s="1" t="n">
        <v>47</v>
      </c>
      <c r="K941" s="1" t="s">
        <v>168</v>
      </c>
      <c r="L941" s="1" t="b">
        <f aca="false">FALSE()</f>
        <v>0</v>
      </c>
      <c r="M941" s="1" t="str">
        <f aca="false">VLOOKUP(D941,'Team Reference'!$A:$B,2,FALSE())</f>
        <v>GB</v>
      </c>
      <c r="N941" s="1" t="str">
        <f aca="false">VLOOKUP(E941,'Team Reference'!$A:$B,2,FALSE())</f>
        <v>PHI</v>
      </c>
      <c r="O941" s="1" t="str">
        <f aca="false">IF(F941&gt;G941,M941,IF(G941&gt;F941,N941,"Tie"))</f>
        <v>PHI</v>
      </c>
      <c r="P941" s="1" t="n">
        <f aca="false">F941-G941</f>
        <v>-14</v>
      </c>
      <c r="Q941" s="1" t="n">
        <f aca="false">F941+G941</f>
        <v>40</v>
      </c>
      <c r="R941" s="1" t="str">
        <f aca="false">IF(H941=M941,"Home",IF(H941=N941,"Away",IF(H941="PICK","Pick","N/A")))</f>
        <v>Away</v>
      </c>
      <c r="S941" s="1" t="n">
        <f aca="false">IF(R941="Home",P941,IF(R941="Away",-P941,""))</f>
        <v>14</v>
      </c>
      <c r="T941" s="1" t="str">
        <f aca="false">IF(R941="Pick","No Line",IF(S941="","N/A",IF(S941+I941&gt;0,"Favorite Covered",IF(S941+I941&lt;0,"Underdog Covered","Push"))))</f>
        <v>Favorite Covered</v>
      </c>
      <c r="U941" s="1" t="str">
        <f aca="false">IF(Q941&gt;J941,"Over",IF(Q941&lt;J941,"Under","Push"))</f>
        <v>Under</v>
      </c>
    </row>
    <row r="942" customFormat="false" ht="15" hidden="false" customHeight="false" outlineLevel="0" collapsed="false">
      <c r="A942" s="1" t="s">
        <v>376</v>
      </c>
      <c r="B942" s="1" t="n">
        <v>2013</v>
      </c>
      <c r="C942" s="1" t="s">
        <v>203</v>
      </c>
      <c r="D942" s="1" t="s">
        <v>79</v>
      </c>
      <c r="E942" s="1" t="s">
        <v>112</v>
      </c>
      <c r="F942" s="1" t="n">
        <v>8</v>
      </c>
      <c r="G942" s="1" t="n">
        <v>38</v>
      </c>
      <c r="H942" s="1" t="s">
        <v>80</v>
      </c>
      <c r="I942" s="1" t="n">
        <v>-7</v>
      </c>
      <c r="J942" s="1" t="n">
        <v>43</v>
      </c>
      <c r="K942" s="1" t="s">
        <v>169</v>
      </c>
      <c r="L942" s="1" t="b">
        <f aca="false">FALSE()</f>
        <v>0</v>
      </c>
      <c r="M942" s="1" t="str">
        <f aca="false">VLOOKUP(D942,'Team Reference'!$A:$B,2,FALSE())</f>
        <v>IND</v>
      </c>
      <c r="N942" s="1" t="str">
        <f aca="false">VLOOKUP(E942,'Team Reference'!$A:$B,2,FALSE())</f>
        <v>LAR</v>
      </c>
      <c r="O942" s="1" t="str">
        <f aca="false">IF(F942&gt;G942,M942,IF(G942&gt;F942,N942,"Tie"))</f>
        <v>LAR</v>
      </c>
      <c r="P942" s="1" t="n">
        <f aca="false">F942-G942</f>
        <v>-30</v>
      </c>
      <c r="Q942" s="1" t="n">
        <f aca="false">F942+G942</f>
        <v>46</v>
      </c>
      <c r="R942" s="1" t="str">
        <f aca="false">IF(H942=M942,"Home",IF(H942=N942,"Away",IF(H942="PICK","Pick","N/A")))</f>
        <v>Home</v>
      </c>
      <c r="S942" s="1" t="n">
        <f aca="false">IF(R942="Home",P942,IF(R942="Away",-P942,""))</f>
        <v>-30</v>
      </c>
      <c r="T942" s="1" t="str">
        <f aca="false">IF(R942="Pick","No Line",IF(S942="","N/A",IF(S942+I942&gt;0,"Favorite Covered",IF(S942+I942&lt;0,"Underdog Covered","Push"))))</f>
        <v>Underdog Covered</v>
      </c>
      <c r="U942" s="1" t="str">
        <f aca="false">IF(Q942&gt;J942,"Over",IF(Q942&lt;J942,"Under","Push"))</f>
        <v>Over</v>
      </c>
    </row>
    <row r="943" customFormat="false" ht="15" hidden="false" customHeight="false" outlineLevel="0" collapsed="false">
      <c r="A943" s="1" t="s">
        <v>376</v>
      </c>
      <c r="B943" s="1" t="n">
        <v>2013</v>
      </c>
      <c r="C943" s="1" t="s">
        <v>203</v>
      </c>
      <c r="D943" s="1" t="s">
        <v>95</v>
      </c>
      <c r="E943" s="1" t="s">
        <v>69</v>
      </c>
      <c r="F943" s="1" t="n">
        <v>49</v>
      </c>
      <c r="G943" s="1" t="n">
        <v>17</v>
      </c>
      <c r="H943" s="1" t="s">
        <v>96</v>
      </c>
      <c r="I943" s="1" t="n">
        <v>-5.5</v>
      </c>
      <c r="J943" s="1" t="n">
        <v>53.5</v>
      </c>
      <c r="K943" s="1" t="s">
        <v>142</v>
      </c>
      <c r="L943" s="1" t="b">
        <f aca="false">FALSE()</f>
        <v>0</v>
      </c>
      <c r="M943" s="1" t="str">
        <f aca="false">VLOOKUP(D943,'Team Reference'!$A:$B,2,FALSE())</f>
        <v>NO</v>
      </c>
      <c r="N943" s="1" t="str">
        <f aca="false">VLOOKUP(E943,'Team Reference'!$A:$B,2,FALSE())</f>
        <v>DAL</v>
      </c>
      <c r="O943" s="1" t="str">
        <f aca="false">IF(F943&gt;G943,M943,IF(G943&gt;F943,N943,"Tie"))</f>
        <v>NO</v>
      </c>
      <c r="P943" s="1" t="n">
        <f aca="false">F943-G943</f>
        <v>32</v>
      </c>
      <c r="Q943" s="1" t="n">
        <f aca="false">F943+G943</f>
        <v>66</v>
      </c>
      <c r="R943" s="1" t="str">
        <f aca="false">IF(H943=M943,"Home",IF(H943=N943,"Away",IF(H943="PICK","Pick","N/A")))</f>
        <v>Home</v>
      </c>
      <c r="S943" s="1" t="n">
        <f aca="false">IF(R943="Home",P943,IF(R943="Away",-P943,""))</f>
        <v>32</v>
      </c>
      <c r="T943" s="1" t="str">
        <f aca="false">IF(R943="Pick","No Line",IF(S943="","N/A",IF(S943+I943&gt;0,"Favorite Covered",IF(S943+I943&lt;0,"Underdog Covered","Push"))))</f>
        <v>Favorite Covered</v>
      </c>
      <c r="U943" s="1" t="str">
        <f aca="false">IF(Q943&gt;J943,"Over",IF(Q943&lt;J943,"Under","Push"))</f>
        <v>Over</v>
      </c>
    </row>
    <row r="944" customFormat="false" ht="15" hidden="false" customHeight="false" outlineLevel="0" collapsed="false">
      <c r="A944" s="1" t="s">
        <v>376</v>
      </c>
      <c r="B944" s="1" t="n">
        <v>2013</v>
      </c>
      <c r="C944" s="1" t="s">
        <v>203</v>
      </c>
      <c r="D944" s="1" t="s">
        <v>97</v>
      </c>
      <c r="E944" s="1" t="s">
        <v>101</v>
      </c>
      <c r="F944" s="1" t="n">
        <v>24</v>
      </c>
      <c r="G944" s="1" t="n">
        <v>20</v>
      </c>
      <c r="H944" s="1" t="s">
        <v>98</v>
      </c>
      <c r="I944" s="1" t="n">
        <v>-7</v>
      </c>
      <c r="J944" s="1" t="n">
        <v>41</v>
      </c>
      <c r="K944" s="1" t="s">
        <v>149</v>
      </c>
      <c r="L944" s="1" t="b">
        <f aca="false">FALSE()</f>
        <v>0</v>
      </c>
      <c r="M944" s="1" t="str">
        <f aca="false">VLOOKUP(D944,'Team Reference'!$A:$B,2,FALSE())</f>
        <v>NYG</v>
      </c>
      <c r="N944" s="1" t="str">
        <f aca="false">VLOOKUP(E944,'Team Reference'!$A:$B,2,FALSE())</f>
        <v>OAK</v>
      </c>
      <c r="O944" s="1" t="str">
        <f aca="false">IF(F944&gt;G944,M944,IF(G944&gt;F944,N944,"Tie"))</f>
        <v>NYG</v>
      </c>
      <c r="P944" s="1" t="n">
        <f aca="false">F944-G944</f>
        <v>4</v>
      </c>
      <c r="Q944" s="1" t="n">
        <f aca="false">F944+G944</f>
        <v>44</v>
      </c>
      <c r="R944" s="1" t="str">
        <f aca="false">IF(H944=M944,"Home",IF(H944=N944,"Away",IF(H944="PICK","Pick","N/A")))</f>
        <v>Home</v>
      </c>
      <c r="S944" s="1" t="n">
        <f aca="false">IF(R944="Home",P944,IF(R944="Away",-P944,""))</f>
        <v>4</v>
      </c>
      <c r="T944" s="1" t="str">
        <f aca="false">IF(R944="Pick","No Line",IF(S944="","N/A",IF(S944+I944&gt;0,"Favorite Covered",IF(S944+I944&lt;0,"Underdog Covered","Push"))))</f>
        <v>Underdog Covered</v>
      </c>
      <c r="U944" s="1" t="str">
        <f aca="false">IF(Q944&gt;J944,"Over",IF(Q944&lt;J944,"Under","Push"))</f>
        <v>Over</v>
      </c>
    </row>
    <row r="945" customFormat="false" ht="15" hidden="false" customHeight="false" outlineLevel="0" collapsed="false">
      <c r="A945" s="1" t="s">
        <v>376</v>
      </c>
      <c r="B945" s="1" t="n">
        <v>2013</v>
      </c>
      <c r="C945" s="1" t="s">
        <v>203</v>
      </c>
      <c r="D945" s="1" t="s">
        <v>105</v>
      </c>
      <c r="E945" s="1" t="s">
        <v>59</v>
      </c>
      <c r="F945" s="1" t="n">
        <v>23</v>
      </c>
      <c r="G945" s="1" t="n">
        <v>10</v>
      </c>
      <c r="H945" s="1" t="s">
        <v>106</v>
      </c>
      <c r="I945" s="1" t="n">
        <v>-2.5</v>
      </c>
      <c r="J945" s="1" t="n">
        <v>43</v>
      </c>
      <c r="K945" s="1" t="s">
        <v>151</v>
      </c>
      <c r="L945" s="1" t="b">
        <f aca="false">FALSE()</f>
        <v>0</v>
      </c>
      <c r="M945" s="1" t="str">
        <f aca="false">VLOOKUP(D945,'Team Reference'!$A:$B,2,FALSE())</f>
        <v>PIT</v>
      </c>
      <c r="N945" s="1" t="str">
        <f aca="false">VLOOKUP(E945,'Team Reference'!$A:$B,2,FALSE())</f>
        <v>BUF</v>
      </c>
      <c r="O945" s="1" t="str">
        <f aca="false">IF(F945&gt;G945,M945,IF(G945&gt;F945,N945,"Tie"))</f>
        <v>PIT</v>
      </c>
      <c r="P945" s="1" t="n">
        <f aca="false">F945-G945</f>
        <v>13</v>
      </c>
      <c r="Q945" s="1" t="n">
        <f aca="false">F945+G945</f>
        <v>33</v>
      </c>
      <c r="R945" s="1" t="str">
        <f aca="false">IF(H945=M945,"Home",IF(H945=N945,"Away",IF(H945="PICK","Pick","N/A")))</f>
        <v>Home</v>
      </c>
      <c r="S945" s="1" t="n">
        <f aca="false">IF(R945="Home",P945,IF(R945="Away",-P945,""))</f>
        <v>13</v>
      </c>
      <c r="T945" s="1" t="str">
        <f aca="false">IF(R945="Pick","No Line",IF(S945="","N/A",IF(S945+I945&gt;0,"Favorite Covered",IF(S945+I945&lt;0,"Underdog Covered","Push"))))</f>
        <v>Favorite Covered</v>
      </c>
      <c r="U945" s="1" t="str">
        <f aca="false">IF(Q945&gt;J945,"Over",IF(Q945&lt;J945,"Under","Push"))</f>
        <v>Under</v>
      </c>
    </row>
    <row r="946" customFormat="false" ht="15" hidden="false" customHeight="false" outlineLevel="0" collapsed="false">
      <c r="A946" s="1" t="s">
        <v>376</v>
      </c>
      <c r="B946" s="1" t="n">
        <v>2013</v>
      </c>
      <c r="C946" s="1" t="s">
        <v>203</v>
      </c>
      <c r="D946" s="1" t="s">
        <v>107</v>
      </c>
      <c r="E946" s="1" t="s">
        <v>71</v>
      </c>
      <c r="F946" s="1" t="n">
        <v>20</v>
      </c>
      <c r="G946" s="1" t="n">
        <v>28</v>
      </c>
      <c r="H946" s="1" t="s">
        <v>72</v>
      </c>
      <c r="I946" s="1" t="n">
        <v>-7</v>
      </c>
      <c r="J946" s="1" t="n">
        <v>57</v>
      </c>
      <c r="K946" s="1" t="s">
        <v>172</v>
      </c>
      <c r="L946" s="1" t="b">
        <f aca="false">FALSE()</f>
        <v>0</v>
      </c>
      <c r="M946" s="1" t="str">
        <f aca="false">VLOOKUP(D946,'Team Reference'!$A:$B,2,FALSE())</f>
        <v>LAC</v>
      </c>
      <c r="N946" s="1" t="str">
        <f aca="false">VLOOKUP(E946,'Team Reference'!$A:$B,2,FALSE())</f>
        <v>DEN</v>
      </c>
      <c r="O946" s="1" t="str">
        <f aca="false">IF(F946&gt;G946,M946,IF(G946&gt;F946,N946,"Tie"))</f>
        <v>DEN</v>
      </c>
      <c r="P946" s="1" t="n">
        <f aca="false">F946-G946</f>
        <v>-8</v>
      </c>
      <c r="Q946" s="1" t="n">
        <f aca="false">F946+G946</f>
        <v>48</v>
      </c>
      <c r="R946" s="1" t="str">
        <f aca="false">IF(H946=M946,"Home",IF(H946=N946,"Away",IF(H946="PICK","Pick","N/A")))</f>
        <v>Away</v>
      </c>
      <c r="S946" s="1" t="n">
        <f aca="false">IF(R946="Home",P946,IF(R946="Away",-P946,""))</f>
        <v>8</v>
      </c>
      <c r="T946" s="1" t="str">
        <f aca="false">IF(R946="Pick","No Line",IF(S946="","N/A",IF(S946+I946&gt;0,"Favorite Covered",IF(S946+I946&lt;0,"Underdog Covered","Push"))))</f>
        <v>Favorite Covered</v>
      </c>
      <c r="U946" s="1" t="str">
        <f aca="false">IF(Q946&gt;J946,"Over",IF(Q946&lt;J946,"Under","Push"))</f>
        <v>Under</v>
      </c>
    </row>
    <row r="947" customFormat="false" ht="15" hidden="false" customHeight="false" outlineLevel="0" collapsed="false">
      <c r="A947" s="1" t="s">
        <v>376</v>
      </c>
      <c r="B947" s="1" t="n">
        <v>2013</v>
      </c>
      <c r="C947" s="1" t="s">
        <v>203</v>
      </c>
      <c r="D947" s="1" t="s">
        <v>108</v>
      </c>
      <c r="E947" s="1" t="s">
        <v>61</v>
      </c>
      <c r="F947" s="1" t="n">
        <v>9</v>
      </c>
      <c r="G947" s="1" t="n">
        <v>10</v>
      </c>
      <c r="H947" s="1" t="s">
        <v>109</v>
      </c>
      <c r="I947" s="1" t="n">
        <v>-5.5</v>
      </c>
      <c r="J947" s="1" t="n">
        <v>42.5</v>
      </c>
      <c r="K947" s="1" t="s">
        <v>174</v>
      </c>
      <c r="L947" s="1" t="b">
        <f aca="false">FALSE()</f>
        <v>0</v>
      </c>
      <c r="M947" s="1" t="str">
        <f aca="false">VLOOKUP(D947,'Team Reference'!$A:$B,2,FALSE())</f>
        <v>SF</v>
      </c>
      <c r="N947" s="1" t="str">
        <f aca="false">VLOOKUP(E947,'Team Reference'!$A:$B,2,FALSE())</f>
        <v>CAR</v>
      </c>
      <c r="O947" s="1" t="str">
        <f aca="false">IF(F947&gt;G947,M947,IF(G947&gt;F947,N947,"Tie"))</f>
        <v>CAR</v>
      </c>
      <c r="P947" s="1" t="n">
        <f aca="false">F947-G947</f>
        <v>-1</v>
      </c>
      <c r="Q947" s="1" t="n">
        <f aca="false">F947+G947</f>
        <v>19</v>
      </c>
      <c r="R947" s="1" t="str">
        <f aca="false">IF(H947=M947,"Home",IF(H947=N947,"Away",IF(H947="PICK","Pick","N/A")))</f>
        <v>Home</v>
      </c>
      <c r="S947" s="1" t="n">
        <f aca="false">IF(R947="Home",P947,IF(R947="Away",-P947,""))</f>
        <v>-1</v>
      </c>
      <c r="T947" s="1" t="str">
        <f aca="false">IF(R947="Pick","No Line",IF(S947="","N/A",IF(S947+I947&gt;0,"Favorite Covered",IF(S947+I947&lt;0,"Underdog Covered","Push"))))</f>
        <v>Underdog Covered</v>
      </c>
      <c r="U947" s="1" t="str">
        <f aca="false">IF(Q947&gt;J947,"Over",IF(Q947&lt;J947,"Under","Push"))</f>
        <v>Under</v>
      </c>
    </row>
    <row r="948" customFormat="false" ht="15" hidden="false" customHeight="false" outlineLevel="0" collapsed="false">
      <c r="A948" s="1" t="s">
        <v>376</v>
      </c>
      <c r="B948" s="1" t="n">
        <v>2013</v>
      </c>
      <c r="C948" s="1" t="s">
        <v>203</v>
      </c>
      <c r="D948" s="1" t="s">
        <v>115</v>
      </c>
      <c r="E948" s="1" t="s">
        <v>81</v>
      </c>
      <c r="F948" s="1" t="n">
        <v>27</v>
      </c>
      <c r="G948" s="1" t="n">
        <v>29</v>
      </c>
      <c r="H948" s="1" t="s">
        <v>116</v>
      </c>
      <c r="I948" s="1" t="n">
        <v>-11.5</v>
      </c>
      <c r="J948" s="1" t="n">
        <v>42</v>
      </c>
      <c r="K948" s="1" t="s">
        <v>155</v>
      </c>
      <c r="L948" s="1" t="b">
        <f aca="false">FALSE()</f>
        <v>0</v>
      </c>
      <c r="M948" s="1" t="str">
        <f aca="false">VLOOKUP(D948,'Team Reference'!$A:$B,2,FALSE())</f>
        <v>TEN</v>
      </c>
      <c r="N948" s="1" t="str">
        <f aca="false">VLOOKUP(E948,'Team Reference'!$A:$B,2,FALSE())</f>
        <v>JAX</v>
      </c>
      <c r="O948" s="1" t="str">
        <f aca="false">IF(F948&gt;G948,M948,IF(G948&gt;F948,N948,"Tie"))</f>
        <v>JAX</v>
      </c>
      <c r="P948" s="1" t="n">
        <f aca="false">F948-G948</f>
        <v>-2</v>
      </c>
      <c r="Q948" s="1" t="n">
        <f aca="false">F948+G948</f>
        <v>56</v>
      </c>
      <c r="R948" s="1" t="str">
        <f aca="false">IF(H948=M948,"Home",IF(H948=N948,"Away",IF(H948="PICK","Pick","N/A")))</f>
        <v>Home</v>
      </c>
      <c r="S948" s="1" t="n">
        <f aca="false">IF(R948="Home",P948,IF(R948="Away",-P948,""))</f>
        <v>-2</v>
      </c>
      <c r="T948" s="1" t="str">
        <f aca="false">IF(R948="Pick","No Line",IF(S948="","N/A",IF(S948+I948&gt;0,"Favorite Covered",IF(S948+I948&lt;0,"Underdog Covered","Push"))))</f>
        <v>Underdog Covered</v>
      </c>
      <c r="U948" s="1" t="str">
        <f aca="false">IF(Q948&gt;J948,"Over",IF(Q948&lt;J948,"Under","Push"))</f>
        <v>Over</v>
      </c>
    </row>
    <row r="949" customFormat="false" ht="15" hidden="false" customHeight="false" outlineLevel="0" collapsed="false">
      <c r="A949" s="1" t="s">
        <v>377</v>
      </c>
      <c r="B949" s="1" t="n">
        <v>2013</v>
      </c>
      <c r="C949" s="1" t="s">
        <v>203</v>
      </c>
      <c r="D949" s="1" t="s">
        <v>113</v>
      </c>
      <c r="E949" s="1" t="s">
        <v>89</v>
      </c>
      <c r="F949" s="1" t="n">
        <v>22</v>
      </c>
      <c r="G949" s="1" t="n">
        <v>19</v>
      </c>
      <c r="H949" s="1" t="s">
        <v>90</v>
      </c>
      <c r="I949" s="1" t="n">
        <v>-2.5</v>
      </c>
      <c r="J949" s="1" t="n">
        <v>39.5</v>
      </c>
      <c r="K949" s="1" t="s">
        <v>154</v>
      </c>
      <c r="L949" s="1" t="b">
        <f aca="false">FALSE()</f>
        <v>0</v>
      </c>
      <c r="M949" s="1" t="str">
        <f aca="false">VLOOKUP(D949,'Team Reference'!$A:$B,2,FALSE())</f>
        <v>TB</v>
      </c>
      <c r="N949" s="1" t="str">
        <f aca="false">VLOOKUP(E949,'Team Reference'!$A:$B,2,FALSE())</f>
        <v>MIA</v>
      </c>
      <c r="O949" s="1" t="str">
        <f aca="false">IF(F949&gt;G949,M949,IF(G949&gt;F949,N949,"Tie"))</f>
        <v>TB</v>
      </c>
      <c r="P949" s="1" t="n">
        <f aca="false">F949-G949</f>
        <v>3</v>
      </c>
      <c r="Q949" s="1" t="n">
        <f aca="false">F949+G949</f>
        <v>41</v>
      </c>
      <c r="R949" s="1" t="str">
        <f aca="false">IF(H949=M949,"Home",IF(H949=N949,"Away",IF(H949="PICK","Pick","N/A")))</f>
        <v>Away</v>
      </c>
      <c r="S949" s="1" t="n">
        <f aca="false">IF(R949="Home",P949,IF(R949="Away",-P949,""))</f>
        <v>-3</v>
      </c>
      <c r="T949" s="1" t="str">
        <f aca="false">IF(R949="Pick","No Line",IF(S949="","N/A",IF(S949+I949&gt;0,"Favorite Covered",IF(S949+I949&lt;0,"Underdog Covered","Push"))))</f>
        <v>Underdog Covered</v>
      </c>
      <c r="U949" s="1" t="str">
        <f aca="false">IF(Q949&gt;J949,"Over",IF(Q949&lt;J949,"Under","Push"))</f>
        <v>Over</v>
      </c>
    </row>
    <row r="950" customFormat="false" ht="15" hidden="false" customHeight="false" outlineLevel="0" collapsed="false">
      <c r="A950" s="1" t="s">
        <v>378</v>
      </c>
      <c r="B950" s="1" t="n">
        <v>2013</v>
      </c>
      <c r="C950" s="1" t="s">
        <v>207</v>
      </c>
      <c r="D950" s="1" t="s">
        <v>115</v>
      </c>
      <c r="E950" s="1" t="s">
        <v>79</v>
      </c>
      <c r="F950" s="1" t="n">
        <v>27</v>
      </c>
      <c r="G950" s="1" t="n">
        <v>30</v>
      </c>
      <c r="H950" s="1" t="s">
        <v>80</v>
      </c>
      <c r="I950" s="1" t="n">
        <v>-3</v>
      </c>
      <c r="J950" s="1" t="n">
        <v>42</v>
      </c>
      <c r="K950" s="1" t="s">
        <v>155</v>
      </c>
      <c r="L950" s="1" t="b">
        <f aca="false">FALSE()</f>
        <v>0</v>
      </c>
      <c r="M950" s="1" t="str">
        <f aca="false">VLOOKUP(D950,'Team Reference'!$A:$B,2,FALSE())</f>
        <v>TEN</v>
      </c>
      <c r="N950" s="1" t="str">
        <f aca="false">VLOOKUP(E950,'Team Reference'!$A:$B,2,FALSE())</f>
        <v>IND</v>
      </c>
      <c r="O950" s="1" t="str">
        <f aca="false">IF(F950&gt;G950,M950,IF(G950&gt;F950,N950,"Tie"))</f>
        <v>IND</v>
      </c>
      <c r="P950" s="1" t="n">
        <f aca="false">F950-G950</f>
        <v>-3</v>
      </c>
      <c r="Q950" s="1" t="n">
        <f aca="false">F950+G950</f>
        <v>57</v>
      </c>
      <c r="R950" s="1" t="str">
        <f aca="false">IF(H950=M950,"Home",IF(H950=N950,"Away",IF(H950="PICK","Pick","N/A")))</f>
        <v>Away</v>
      </c>
      <c r="S950" s="1" t="n">
        <f aca="false">IF(R950="Home",P950,IF(R950="Away",-P950,""))</f>
        <v>3</v>
      </c>
      <c r="T950" s="1" t="str">
        <f aca="false">IF(R950="Pick","No Line",IF(S950="","N/A",IF(S950+I950&gt;0,"Favorite Covered",IF(S950+I950&lt;0,"Underdog Covered","Push"))))</f>
        <v>Push</v>
      </c>
      <c r="U950" s="1" t="str">
        <f aca="false">IF(Q950&gt;J950,"Over",IF(Q950&lt;J950,"Under","Push"))</f>
        <v>Over</v>
      </c>
    </row>
    <row r="951" customFormat="false" ht="15" hidden="false" customHeight="false" outlineLevel="0" collapsed="false">
      <c r="A951" s="1" t="s">
        <v>379</v>
      </c>
      <c r="B951" s="1" t="n">
        <v>2013</v>
      </c>
      <c r="C951" s="1" t="s">
        <v>207</v>
      </c>
      <c r="D951" s="1" t="s">
        <v>59</v>
      </c>
      <c r="E951" s="1" t="s">
        <v>99</v>
      </c>
      <c r="F951" s="1" t="n">
        <v>37</v>
      </c>
      <c r="G951" s="1" t="n">
        <v>14</v>
      </c>
      <c r="H951" s="1" t="s">
        <v>100</v>
      </c>
      <c r="I951" s="1" t="n">
        <v>-2</v>
      </c>
      <c r="J951" s="1" t="n">
        <v>39.5</v>
      </c>
      <c r="K951" s="1" t="s">
        <v>144</v>
      </c>
      <c r="L951" s="1" t="b">
        <f aca="false">FALSE()</f>
        <v>0</v>
      </c>
      <c r="M951" s="1" t="str">
        <f aca="false">VLOOKUP(D951,'Team Reference'!$A:$B,2,FALSE())</f>
        <v>BUF</v>
      </c>
      <c r="N951" s="1" t="str">
        <f aca="false">VLOOKUP(E951,'Team Reference'!$A:$B,2,FALSE())</f>
        <v>NYJ</v>
      </c>
      <c r="O951" s="1" t="str">
        <f aca="false">IF(F951&gt;G951,M951,IF(G951&gt;F951,N951,"Tie"))</f>
        <v>BUF</v>
      </c>
      <c r="P951" s="1" t="n">
        <f aca="false">F951-G951</f>
        <v>23</v>
      </c>
      <c r="Q951" s="1" t="n">
        <f aca="false">F951+G951</f>
        <v>51</v>
      </c>
      <c r="R951" s="1" t="str">
        <f aca="false">IF(H951=M951,"Home",IF(H951=N951,"Away",IF(H951="PICK","Pick","N/A")))</f>
        <v>Away</v>
      </c>
      <c r="S951" s="1" t="n">
        <f aca="false">IF(R951="Home",P951,IF(R951="Away",-P951,""))</f>
        <v>-23</v>
      </c>
      <c r="T951" s="1" t="str">
        <f aca="false">IF(R951="Pick","No Line",IF(S951="","N/A",IF(S951+I951&gt;0,"Favorite Covered",IF(S951+I951&lt;0,"Underdog Covered","Push"))))</f>
        <v>Underdog Covered</v>
      </c>
      <c r="U951" s="1" t="str">
        <f aca="false">IF(Q951&gt;J951,"Over",IF(Q951&lt;J951,"Under","Push"))</f>
        <v>Over</v>
      </c>
    </row>
    <row r="952" customFormat="false" ht="15" hidden="false" customHeight="false" outlineLevel="0" collapsed="false">
      <c r="A952" s="1" t="s">
        <v>379</v>
      </c>
      <c r="B952" s="1" t="n">
        <v>2013</v>
      </c>
      <c r="C952" s="1" t="s">
        <v>207</v>
      </c>
      <c r="D952" s="1" t="s">
        <v>63</v>
      </c>
      <c r="E952" s="1" t="s">
        <v>57</v>
      </c>
      <c r="F952" s="1" t="n">
        <v>23</v>
      </c>
      <c r="G952" s="1" t="n">
        <v>20</v>
      </c>
      <c r="H952" s="1" t="s">
        <v>64</v>
      </c>
      <c r="I952" s="1" t="n">
        <v>-3.5</v>
      </c>
      <c r="J952" s="1" t="n">
        <v>41</v>
      </c>
      <c r="K952" s="1" t="s">
        <v>145</v>
      </c>
      <c r="L952" s="1" t="b">
        <f aca="false">FALSE()</f>
        <v>0</v>
      </c>
      <c r="M952" s="1" t="str">
        <f aca="false">VLOOKUP(D952,'Team Reference'!$A:$B,2,FALSE())</f>
        <v>CHI</v>
      </c>
      <c r="N952" s="1" t="str">
        <f aca="false">VLOOKUP(E952,'Team Reference'!$A:$B,2,FALSE())</f>
        <v>BAL</v>
      </c>
      <c r="O952" s="1" t="str">
        <f aca="false">IF(F952&gt;G952,M952,IF(G952&gt;F952,N952,"Tie"))</f>
        <v>CHI</v>
      </c>
      <c r="P952" s="1" t="n">
        <f aca="false">F952-G952</f>
        <v>3</v>
      </c>
      <c r="Q952" s="1" t="n">
        <f aca="false">F952+G952</f>
        <v>43</v>
      </c>
      <c r="R952" s="1" t="str">
        <f aca="false">IF(H952=M952,"Home",IF(H952=N952,"Away",IF(H952="PICK","Pick","N/A")))</f>
        <v>Home</v>
      </c>
      <c r="S952" s="1" t="n">
        <f aca="false">IF(R952="Home",P952,IF(R952="Away",-P952,""))</f>
        <v>3</v>
      </c>
      <c r="T952" s="1" t="str">
        <f aca="false">IF(R952="Pick","No Line",IF(S952="","N/A",IF(S952+I952&gt;0,"Favorite Covered",IF(S952+I952&lt;0,"Underdog Covered","Push"))))</f>
        <v>Underdog Covered</v>
      </c>
      <c r="U952" s="1" t="str">
        <f aca="false">IF(Q952&gt;J952,"Over",IF(Q952&lt;J952,"Under","Push"))</f>
        <v>Over</v>
      </c>
    </row>
    <row r="953" customFormat="false" ht="15" hidden="false" customHeight="false" outlineLevel="0" collapsed="false">
      <c r="A953" s="1" t="s">
        <v>379</v>
      </c>
      <c r="B953" s="1" t="n">
        <v>2013</v>
      </c>
      <c r="C953" s="1" t="s">
        <v>207</v>
      </c>
      <c r="D953" s="1" t="s">
        <v>65</v>
      </c>
      <c r="E953" s="1" t="s">
        <v>67</v>
      </c>
      <c r="F953" s="1" t="n">
        <v>41</v>
      </c>
      <c r="G953" s="1" t="n">
        <v>20</v>
      </c>
      <c r="H953" s="1" t="s">
        <v>66</v>
      </c>
      <c r="I953" s="1" t="n">
        <v>-4.5</v>
      </c>
      <c r="J953" s="1" t="n">
        <v>40</v>
      </c>
      <c r="K953" s="1" t="s">
        <v>163</v>
      </c>
      <c r="L953" s="1" t="b">
        <f aca="false">FALSE()</f>
        <v>0</v>
      </c>
      <c r="M953" s="1" t="str">
        <f aca="false">VLOOKUP(D953,'Team Reference'!$A:$B,2,FALSE())</f>
        <v>CIN</v>
      </c>
      <c r="N953" s="1" t="str">
        <f aca="false">VLOOKUP(E953,'Team Reference'!$A:$B,2,FALSE())</f>
        <v>CLE</v>
      </c>
      <c r="O953" s="1" t="str">
        <f aca="false">IF(F953&gt;G953,M953,IF(G953&gt;F953,N953,"Tie"))</f>
        <v>CIN</v>
      </c>
      <c r="P953" s="1" t="n">
        <f aca="false">F953-G953</f>
        <v>21</v>
      </c>
      <c r="Q953" s="1" t="n">
        <f aca="false">F953+G953</f>
        <v>61</v>
      </c>
      <c r="R953" s="1" t="str">
        <f aca="false">IF(H953=M953,"Home",IF(H953=N953,"Away",IF(H953="PICK","Pick","N/A")))</f>
        <v>Home</v>
      </c>
      <c r="S953" s="1" t="n">
        <f aca="false">IF(R953="Home",P953,IF(R953="Away",-P953,""))</f>
        <v>21</v>
      </c>
      <c r="T953" s="1" t="str">
        <f aca="false">IF(R953="Pick","No Line",IF(S953="","N/A",IF(S953+I953&gt;0,"Favorite Covered",IF(S953+I953&lt;0,"Underdog Covered","Push"))))</f>
        <v>Favorite Covered</v>
      </c>
      <c r="U953" s="1" t="str">
        <f aca="false">IF(Q953&gt;J953,"Over",IF(Q953&lt;J953,"Under","Push"))</f>
        <v>Over</v>
      </c>
    </row>
    <row r="954" customFormat="false" ht="15" hidden="false" customHeight="false" outlineLevel="0" collapsed="false">
      <c r="A954" s="1" t="s">
        <v>379</v>
      </c>
      <c r="B954" s="1" t="n">
        <v>2013</v>
      </c>
      <c r="C954" s="1" t="s">
        <v>207</v>
      </c>
      <c r="D954" s="1" t="s">
        <v>71</v>
      </c>
      <c r="E954" s="1" t="s">
        <v>83</v>
      </c>
      <c r="F954" s="1" t="n">
        <v>27</v>
      </c>
      <c r="G954" s="1" t="n">
        <v>17</v>
      </c>
      <c r="H954" s="1" t="s">
        <v>72</v>
      </c>
      <c r="I954" s="1" t="n">
        <v>-7.5</v>
      </c>
      <c r="J954" s="1" t="n">
        <v>49</v>
      </c>
      <c r="K954" s="1" t="s">
        <v>166</v>
      </c>
      <c r="L954" s="1" t="b">
        <f aca="false">FALSE()</f>
        <v>0</v>
      </c>
      <c r="M954" s="1" t="str">
        <f aca="false">VLOOKUP(D954,'Team Reference'!$A:$B,2,FALSE())</f>
        <v>DEN</v>
      </c>
      <c r="N954" s="1" t="str">
        <f aca="false">VLOOKUP(E954,'Team Reference'!$A:$B,2,FALSE())</f>
        <v>KC</v>
      </c>
      <c r="O954" s="1" t="str">
        <f aca="false">IF(F954&gt;G954,M954,IF(G954&gt;F954,N954,"Tie"))</f>
        <v>DEN</v>
      </c>
      <c r="P954" s="1" t="n">
        <f aca="false">F954-G954</f>
        <v>10</v>
      </c>
      <c r="Q954" s="1" t="n">
        <f aca="false">F954+G954</f>
        <v>44</v>
      </c>
      <c r="R954" s="1" t="str">
        <f aca="false">IF(H954=M954,"Home",IF(H954=N954,"Away",IF(H954="PICK","Pick","N/A")))</f>
        <v>Home</v>
      </c>
      <c r="S954" s="1" t="n">
        <f aca="false">IF(R954="Home",P954,IF(R954="Away",-P954,""))</f>
        <v>10</v>
      </c>
      <c r="T954" s="1" t="str">
        <f aca="false">IF(R954="Pick","No Line",IF(S954="","N/A",IF(S954+I954&gt;0,"Favorite Covered",IF(S954+I954&lt;0,"Underdog Covered","Push"))))</f>
        <v>Favorite Covered</v>
      </c>
      <c r="U954" s="1" t="str">
        <f aca="false">IF(Q954&gt;J954,"Over",IF(Q954&lt;J954,"Under","Push"))</f>
        <v>Under</v>
      </c>
    </row>
    <row r="955" customFormat="false" ht="15" hidden="false" customHeight="false" outlineLevel="0" collapsed="false">
      <c r="A955" s="1" t="s">
        <v>379</v>
      </c>
      <c r="B955" s="1" t="n">
        <v>2013</v>
      </c>
      <c r="C955" s="1" t="s">
        <v>207</v>
      </c>
      <c r="D955" s="1" t="s">
        <v>77</v>
      </c>
      <c r="E955" s="1" t="s">
        <v>101</v>
      </c>
      <c r="F955" s="1" t="n">
        <v>23</v>
      </c>
      <c r="G955" s="1" t="n">
        <v>28</v>
      </c>
      <c r="H955" s="1" t="s">
        <v>78</v>
      </c>
      <c r="I955" s="1" t="n">
        <v>-10.5</v>
      </c>
      <c r="J955" s="1" t="n">
        <v>40.5</v>
      </c>
      <c r="K955" s="1" t="s">
        <v>146</v>
      </c>
      <c r="L955" s="1" t="b">
        <f aca="false">FALSE()</f>
        <v>0</v>
      </c>
      <c r="M955" s="1" t="str">
        <f aca="false">VLOOKUP(D955,'Team Reference'!$A:$B,2,FALSE())</f>
        <v>HOU</v>
      </c>
      <c r="N955" s="1" t="str">
        <f aca="false">VLOOKUP(E955,'Team Reference'!$A:$B,2,FALSE())</f>
        <v>OAK</v>
      </c>
      <c r="O955" s="1" t="str">
        <f aca="false">IF(F955&gt;G955,M955,IF(G955&gt;F955,N955,"Tie"))</f>
        <v>OAK</v>
      </c>
      <c r="P955" s="1" t="n">
        <f aca="false">F955-G955</f>
        <v>-5</v>
      </c>
      <c r="Q955" s="1" t="n">
        <f aca="false">F955+G955</f>
        <v>51</v>
      </c>
      <c r="R955" s="1" t="str">
        <f aca="false">IF(H955=M955,"Home",IF(H955=N955,"Away",IF(H955="PICK","Pick","N/A")))</f>
        <v>Home</v>
      </c>
      <c r="S955" s="1" t="n">
        <f aca="false">IF(R955="Home",P955,IF(R955="Away",-P955,""))</f>
        <v>-5</v>
      </c>
      <c r="T955" s="1" t="str">
        <f aca="false">IF(R955="Pick","No Line",IF(S955="","N/A",IF(S955+I955&gt;0,"Favorite Covered",IF(S955+I955&lt;0,"Underdog Covered","Push"))))</f>
        <v>Underdog Covered</v>
      </c>
      <c r="U955" s="1" t="str">
        <f aca="false">IF(Q955&gt;J955,"Over",IF(Q955&lt;J955,"Under","Push"))</f>
        <v>Over</v>
      </c>
    </row>
    <row r="956" customFormat="false" ht="15" hidden="false" customHeight="false" outlineLevel="0" collapsed="false">
      <c r="A956" s="1" t="s">
        <v>379</v>
      </c>
      <c r="B956" s="1" t="n">
        <v>2013</v>
      </c>
      <c r="C956" s="1" t="s">
        <v>207</v>
      </c>
      <c r="D956" s="1" t="s">
        <v>81</v>
      </c>
      <c r="E956" s="1" t="s">
        <v>53</v>
      </c>
      <c r="F956" s="1" t="n">
        <v>14</v>
      </c>
      <c r="G956" s="1" t="n">
        <v>27</v>
      </c>
      <c r="H956" s="1" t="s">
        <v>54</v>
      </c>
      <c r="I956" s="1" t="n">
        <v>-9</v>
      </c>
      <c r="J956" s="1" t="n">
        <v>40.5</v>
      </c>
      <c r="K956" s="1" t="s">
        <v>147</v>
      </c>
      <c r="L956" s="1" t="b">
        <f aca="false">FALSE()</f>
        <v>0</v>
      </c>
      <c r="M956" s="1" t="str">
        <f aca="false">VLOOKUP(D956,'Team Reference'!$A:$B,2,FALSE())</f>
        <v>JAX</v>
      </c>
      <c r="N956" s="1" t="str">
        <f aca="false">VLOOKUP(E956,'Team Reference'!$A:$B,2,FALSE())</f>
        <v>ARI</v>
      </c>
      <c r="O956" s="1" t="str">
        <f aca="false">IF(F956&gt;G956,M956,IF(G956&gt;F956,N956,"Tie"))</f>
        <v>ARI</v>
      </c>
      <c r="P956" s="1" t="n">
        <f aca="false">F956-G956</f>
        <v>-13</v>
      </c>
      <c r="Q956" s="1" t="n">
        <f aca="false">F956+G956</f>
        <v>41</v>
      </c>
      <c r="R956" s="1" t="str">
        <f aca="false">IF(H956=M956,"Home",IF(H956=N956,"Away",IF(H956="PICK","Pick","N/A")))</f>
        <v>Away</v>
      </c>
      <c r="S956" s="1" t="n">
        <f aca="false">IF(R956="Home",P956,IF(R956="Away",-P956,""))</f>
        <v>13</v>
      </c>
      <c r="T956" s="1" t="str">
        <f aca="false">IF(R956="Pick","No Line",IF(S956="","N/A",IF(S956+I956&gt;0,"Favorite Covered",IF(S956+I956&lt;0,"Underdog Covered","Push"))))</f>
        <v>Favorite Covered</v>
      </c>
      <c r="U956" s="1" t="str">
        <f aca="false">IF(Q956&gt;J956,"Over",IF(Q956&lt;J956,"Under","Push"))</f>
        <v>Over</v>
      </c>
    </row>
    <row r="957" customFormat="false" ht="15" hidden="false" customHeight="false" outlineLevel="0" collapsed="false">
      <c r="A957" s="1" t="s">
        <v>379</v>
      </c>
      <c r="B957" s="1" t="n">
        <v>2013</v>
      </c>
      <c r="C957" s="1" t="s">
        <v>207</v>
      </c>
      <c r="D957" s="1" t="s">
        <v>89</v>
      </c>
      <c r="E957" s="1" t="s">
        <v>107</v>
      </c>
      <c r="F957" s="1" t="n">
        <v>20</v>
      </c>
      <c r="G957" s="1" t="n">
        <v>16</v>
      </c>
      <c r="H957" s="1" t="s">
        <v>86</v>
      </c>
      <c r="I957" s="1" t="n">
        <v>-3</v>
      </c>
      <c r="J957" s="1" t="n">
        <v>44.5</v>
      </c>
      <c r="K957" s="1" t="s">
        <v>179</v>
      </c>
      <c r="L957" s="1" t="b">
        <f aca="false">FALSE()</f>
        <v>0</v>
      </c>
      <c r="M957" s="1" t="str">
        <f aca="false">VLOOKUP(D957,'Team Reference'!$A:$B,2,FALSE())</f>
        <v>MIA</v>
      </c>
      <c r="N957" s="1" t="str">
        <f aca="false">VLOOKUP(E957,'Team Reference'!$A:$B,2,FALSE())</f>
        <v>LAC</v>
      </c>
      <c r="O957" s="1" t="str">
        <f aca="false">IF(F957&gt;G957,M957,IF(G957&gt;F957,N957,"Tie"))</f>
        <v>MIA</v>
      </c>
      <c r="P957" s="1" t="n">
        <f aca="false">F957-G957</f>
        <v>4</v>
      </c>
      <c r="Q957" s="1" t="n">
        <f aca="false">F957+G957</f>
        <v>36</v>
      </c>
      <c r="R957" s="1" t="str">
        <f aca="false">IF(H957=M957,"Home",IF(H957=N957,"Away",IF(H957="PICK","Pick","N/A")))</f>
        <v>Away</v>
      </c>
      <c r="S957" s="1" t="n">
        <f aca="false">IF(R957="Home",P957,IF(R957="Away",-P957,""))</f>
        <v>-4</v>
      </c>
      <c r="T957" s="1" t="str">
        <f aca="false">IF(R957="Pick","No Line",IF(S957="","N/A",IF(S957+I957&gt;0,"Favorite Covered",IF(S957+I957&lt;0,"Underdog Covered","Push"))))</f>
        <v>Underdog Covered</v>
      </c>
      <c r="U957" s="1" t="str">
        <f aca="false">IF(Q957&gt;J957,"Over",IF(Q957&lt;J957,"Under","Push"))</f>
        <v>Under</v>
      </c>
    </row>
    <row r="958" customFormat="false" ht="15" hidden="false" customHeight="false" outlineLevel="0" collapsed="false">
      <c r="A958" s="1" t="s">
        <v>379</v>
      </c>
      <c r="B958" s="1" t="n">
        <v>2013</v>
      </c>
      <c r="C958" s="1" t="s">
        <v>207</v>
      </c>
      <c r="D958" s="1" t="s">
        <v>95</v>
      </c>
      <c r="E958" s="1" t="s">
        <v>108</v>
      </c>
      <c r="F958" s="1" t="n">
        <v>23</v>
      </c>
      <c r="G958" s="1" t="n">
        <v>20</v>
      </c>
      <c r="H958" s="1" t="s">
        <v>96</v>
      </c>
      <c r="I958" s="1" t="n">
        <v>-3.5</v>
      </c>
      <c r="J958" s="1" t="n">
        <v>49.5</v>
      </c>
      <c r="K958" s="1" t="s">
        <v>142</v>
      </c>
      <c r="L958" s="1" t="b">
        <f aca="false">FALSE()</f>
        <v>0</v>
      </c>
      <c r="M958" s="1" t="str">
        <f aca="false">VLOOKUP(D958,'Team Reference'!$A:$B,2,FALSE())</f>
        <v>NO</v>
      </c>
      <c r="N958" s="1" t="str">
        <f aca="false">VLOOKUP(E958,'Team Reference'!$A:$B,2,FALSE())</f>
        <v>SF</v>
      </c>
      <c r="O958" s="1" t="str">
        <f aca="false">IF(F958&gt;G958,M958,IF(G958&gt;F958,N958,"Tie"))</f>
        <v>NO</v>
      </c>
      <c r="P958" s="1" t="n">
        <f aca="false">F958-G958</f>
        <v>3</v>
      </c>
      <c r="Q958" s="1" t="n">
        <f aca="false">F958+G958</f>
        <v>43</v>
      </c>
      <c r="R958" s="1" t="str">
        <f aca="false">IF(H958=M958,"Home",IF(H958=N958,"Away",IF(H958="PICK","Pick","N/A")))</f>
        <v>Home</v>
      </c>
      <c r="S958" s="1" t="n">
        <f aca="false">IF(R958="Home",P958,IF(R958="Away",-P958,""))</f>
        <v>3</v>
      </c>
      <c r="T958" s="1" t="str">
        <f aca="false">IF(R958="Pick","No Line",IF(S958="","N/A",IF(S958+I958&gt;0,"Favorite Covered",IF(S958+I958&lt;0,"Underdog Covered","Push"))))</f>
        <v>Underdog Covered</v>
      </c>
      <c r="U958" s="1" t="str">
        <f aca="false">IF(Q958&gt;J958,"Over",IF(Q958&lt;J958,"Under","Push"))</f>
        <v>Under</v>
      </c>
    </row>
    <row r="959" customFormat="false" ht="15" hidden="false" customHeight="false" outlineLevel="0" collapsed="false">
      <c r="A959" s="1" t="s">
        <v>379</v>
      </c>
      <c r="B959" s="1" t="n">
        <v>2013</v>
      </c>
      <c r="C959" s="1" t="s">
        <v>207</v>
      </c>
      <c r="D959" s="1" t="s">
        <v>97</v>
      </c>
      <c r="E959" s="1" t="s">
        <v>75</v>
      </c>
      <c r="F959" s="1" t="n">
        <v>27</v>
      </c>
      <c r="G959" s="1" t="n">
        <v>13</v>
      </c>
      <c r="H959" s="1" t="s">
        <v>98</v>
      </c>
      <c r="I959" s="1" t="n">
        <v>-3</v>
      </c>
      <c r="J959" s="1" t="n">
        <v>40.5</v>
      </c>
      <c r="K959" s="1" t="s">
        <v>149</v>
      </c>
      <c r="L959" s="1" t="b">
        <f aca="false">FALSE()</f>
        <v>0</v>
      </c>
      <c r="M959" s="1" t="str">
        <f aca="false">VLOOKUP(D959,'Team Reference'!$A:$B,2,FALSE())</f>
        <v>NYG</v>
      </c>
      <c r="N959" s="1" t="str">
        <f aca="false">VLOOKUP(E959,'Team Reference'!$A:$B,2,FALSE())</f>
        <v>GB</v>
      </c>
      <c r="O959" s="1" t="str">
        <f aca="false">IF(F959&gt;G959,M959,IF(G959&gt;F959,N959,"Tie"))</f>
        <v>NYG</v>
      </c>
      <c r="P959" s="1" t="n">
        <f aca="false">F959-G959</f>
        <v>14</v>
      </c>
      <c r="Q959" s="1" t="n">
        <f aca="false">F959+G959</f>
        <v>40</v>
      </c>
      <c r="R959" s="1" t="str">
        <f aca="false">IF(H959=M959,"Home",IF(H959=N959,"Away",IF(H959="PICK","Pick","N/A")))</f>
        <v>Home</v>
      </c>
      <c r="S959" s="1" t="n">
        <f aca="false">IF(R959="Home",P959,IF(R959="Away",-P959,""))</f>
        <v>14</v>
      </c>
      <c r="T959" s="1" t="str">
        <f aca="false">IF(R959="Pick","No Line",IF(S959="","N/A",IF(S959+I959&gt;0,"Favorite Covered",IF(S959+I959&lt;0,"Underdog Covered","Push"))))</f>
        <v>Favorite Covered</v>
      </c>
      <c r="U959" s="1" t="str">
        <f aca="false">IF(Q959&gt;J959,"Over",IF(Q959&lt;J959,"Under","Push"))</f>
        <v>Under</v>
      </c>
    </row>
    <row r="960" customFormat="false" ht="15" hidden="false" customHeight="false" outlineLevel="0" collapsed="false">
      <c r="A960" s="1" t="s">
        <v>379</v>
      </c>
      <c r="B960" s="1" t="n">
        <v>2013</v>
      </c>
      <c r="C960" s="1" t="s">
        <v>207</v>
      </c>
      <c r="D960" s="1" t="s">
        <v>103</v>
      </c>
      <c r="E960" s="1" t="s">
        <v>117</v>
      </c>
      <c r="F960" s="1" t="n">
        <v>24</v>
      </c>
      <c r="G960" s="1" t="n">
        <v>16</v>
      </c>
      <c r="H960" s="1" t="s">
        <v>104</v>
      </c>
      <c r="I960" s="1" t="n">
        <v>-4</v>
      </c>
      <c r="J960" s="1" t="n">
        <v>54</v>
      </c>
      <c r="K960" s="1" t="s">
        <v>150</v>
      </c>
      <c r="L960" s="1" t="b">
        <f aca="false">FALSE()</f>
        <v>0</v>
      </c>
      <c r="M960" s="1" t="str">
        <f aca="false">VLOOKUP(D960,'Team Reference'!$A:$B,2,FALSE())</f>
        <v>PHI</v>
      </c>
      <c r="N960" s="1" t="str">
        <f aca="false">VLOOKUP(E960,'Team Reference'!$A:$B,2,FALSE())</f>
        <v>WAS</v>
      </c>
      <c r="O960" s="1" t="str">
        <f aca="false">IF(F960&gt;G960,M960,IF(G960&gt;F960,N960,"Tie"))</f>
        <v>PHI</v>
      </c>
      <c r="P960" s="1" t="n">
        <f aca="false">F960-G960</f>
        <v>8</v>
      </c>
      <c r="Q960" s="1" t="n">
        <f aca="false">F960+G960</f>
        <v>40</v>
      </c>
      <c r="R960" s="1" t="str">
        <f aca="false">IF(H960=M960,"Home",IF(H960=N960,"Away",IF(H960="PICK","Pick","N/A")))</f>
        <v>Home</v>
      </c>
      <c r="S960" s="1" t="n">
        <f aca="false">IF(R960="Home",P960,IF(R960="Away",-P960,""))</f>
        <v>8</v>
      </c>
      <c r="T960" s="1" t="str">
        <f aca="false">IF(R960="Pick","No Line",IF(S960="","N/A",IF(S960+I960&gt;0,"Favorite Covered",IF(S960+I960&lt;0,"Underdog Covered","Push"))))</f>
        <v>Favorite Covered</v>
      </c>
      <c r="U960" s="1" t="str">
        <f aca="false">IF(Q960&gt;J960,"Over",IF(Q960&lt;J960,"Under","Push"))</f>
        <v>Under</v>
      </c>
    </row>
    <row r="961" customFormat="false" ht="15" hidden="false" customHeight="false" outlineLevel="0" collapsed="false">
      <c r="A961" s="1" t="s">
        <v>379</v>
      </c>
      <c r="B961" s="1" t="n">
        <v>2013</v>
      </c>
      <c r="C961" s="1" t="s">
        <v>207</v>
      </c>
      <c r="D961" s="1" t="s">
        <v>105</v>
      </c>
      <c r="E961" s="1" t="s">
        <v>73</v>
      </c>
      <c r="F961" s="1" t="n">
        <v>37</v>
      </c>
      <c r="G961" s="1" t="n">
        <v>27</v>
      </c>
      <c r="H961" s="1" t="s">
        <v>74</v>
      </c>
      <c r="I961" s="1" t="n">
        <v>-3</v>
      </c>
      <c r="J961" s="1" t="n">
        <v>45</v>
      </c>
      <c r="K961" s="1" t="s">
        <v>151</v>
      </c>
      <c r="L961" s="1" t="b">
        <f aca="false">FALSE()</f>
        <v>0</v>
      </c>
      <c r="M961" s="1" t="str">
        <f aca="false">VLOOKUP(D961,'Team Reference'!$A:$B,2,FALSE())</f>
        <v>PIT</v>
      </c>
      <c r="N961" s="1" t="str">
        <f aca="false">VLOOKUP(E961,'Team Reference'!$A:$B,2,FALSE())</f>
        <v>DET</v>
      </c>
      <c r="O961" s="1" t="str">
        <f aca="false">IF(F961&gt;G961,M961,IF(G961&gt;F961,N961,"Tie"))</f>
        <v>PIT</v>
      </c>
      <c r="P961" s="1" t="n">
        <f aca="false">F961-G961</f>
        <v>10</v>
      </c>
      <c r="Q961" s="1" t="n">
        <f aca="false">F961+G961</f>
        <v>64</v>
      </c>
      <c r="R961" s="1" t="str">
        <f aca="false">IF(H961=M961,"Home",IF(H961=N961,"Away",IF(H961="PICK","Pick","N/A")))</f>
        <v>Away</v>
      </c>
      <c r="S961" s="1" t="n">
        <f aca="false">IF(R961="Home",P961,IF(R961="Away",-P961,""))</f>
        <v>-10</v>
      </c>
      <c r="T961" s="1" t="str">
        <f aca="false">IF(R961="Pick","No Line",IF(S961="","N/A",IF(S961+I961&gt;0,"Favorite Covered",IF(S961+I961&lt;0,"Underdog Covered","Push"))))</f>
        <v>Underdog Covered</v>
      </c>
      <c r="U961" s="1" t="str">
        <f aca="false">IF(Q961&gt;J961,"Over",IF(Q961&lt;J961,"Under","Push"))</f>
        <v>Over</v>
      </c>
    </row>
    <row r="962" customFormat="false" ht="15" hidden="false" customHeight="false" outlineLevel="0" collapsed="false">
      <c r="A962" s="1" t="s">
        <v>379</v>
      </c>
      <c r="B962" s="1" t="n">
        <v>2013</v>
      </c>
      <c r="C962" s="1" t="s">
        <v>207</v>
      </c>
      <c r="D962" s="1" t="s">
        <v>110</v>
      </c>
      <c r="E962" s="1" t="s">
        <v>91</v>
      </c>
      <c r="F962" s="1" t="n">
        <v>41</v>
      </c>
      <c r="G962" s="1" t="n">
        <v>20</v>
      </c>
      <c r="H962" s="1" t="s">
        <v>111</v>
      </c>
      <c r="I962" s="1" t="n">
        <v>-13</v>
      </c>
      <c r="J962" s="1" t="n">
        <v>45</v>
      </c>
      <c r="K962" s="1" t="s">
        <v>152</v>
      </c>
      <c r="L962" s="1" t="b">
        <f aca="false">FALSE()</f>
        <v>0</v>
      </c>
      <c r="M962" s="1" t="str">
        <f aca="false">VLOOKUP(D962,'Team Reference'!$A:$B,2,FALSE())</f>
        <v>SEA</v>
      </c>
      <c r="N962" s="1" t="str">
        <f aca="false">VLOOKUP(E962,'Team Reference'!$A:$B,2,FALSE())</f>
        <v>MIN</v>
      </c>
      <c r="O962" s="1" t="str">
        <f aca="false">IF(F962&gt;G962,M962,IF(G962&gt;F962,N962,"Tie"))</f>
        <v>SEA</v>
      </c>
      <c r="P962" s="1" t="n">
        <f aca="false">F962-G962</f>
        <v>21</v>
      </c>
      <c r="Q962" s="1" t="n">
        <f aca="false">F962+G962</f>
        <v>61</v>
      </c>
      <c r="R962" s="1" t="str">
        <f aca="false">IF(H962=M962,"Home",IF(H962=N962,"Away",IF(H962="PICK","Pick","N/A")))</f>
        <v>Home</v>
      </c>
      <c r="S962" s="1" t="n">
        <f aca="false">IF(R962="Home",P962,IF(R962="Away",-P962,""))</f>
        <v>21</v>
      </c>
      <c r="T962" s="1" t="str">
        <f aca="false">IF(R962="Pick","No Line",IF(S962="","N/A",IF(S962+I962&gt;0,"Favorite Covered",IF(S962+I962&lt;0,"Underdog Covered","Push"))))</f>
        <v>Favorite Covered</v>
      </c>
      <c r="U962" s="1" t="str">
        <f aca="false">IF(Q962&gt;J962,"Over",IF(Q962&lt;J962,"Under","Push"))</f>
        <v>Over</v>
      </c>
    </row>
    <row r="963" customFormat="false" ht="15" hidden="false" customHeight="false" outlineLevel="0" collapsed="false">
      <c r="A963" s="1" t="s">
        <v>379</v>
      </c>
      <c r="B963" s="1" t="n">
        <v>2013</v>
      </c>
      <c r="C963" s="1" t="s">
        <v>207</v>
      </c>
      <c r="D963" s="1" t="s">
        <v>113</v>
      </c>
      <c r="E963" s="1" t="s">
        <v>55</v>
      </c>
      <c r="F963" s="1" t="n">
        <v>41</v>
      </c>
      <c r="G963" s="1" t="n">
        <v>28</v>
      </c>
      <c r="H963" s="1" t="s">
        <v>114</v>
      </c>
      <c r="I963" s="1" t="n">
        <v>-2</v>
      </c>
      <c r="J963" s="1" t="n">
        <v>43.5</v>
      </c>
      <c r="K963" s="1" t="s">
        <v>154</v>
      </c>
      <c r="L963" s="1" t="b">
        <f aca="false">FALSE()</f>
        <v>0</v>
      </c>
      <c r="M963" s="1" t="str">
        <f aca="false">VLOOKUP(D963,'Team Reference'!$A:$B,2,FALSE())</f>
        <v>TB</v>
      </c>
      <c r="N963" s="1" t="str">
        <f aca="false">VLOOKUP(E963,'Team Reference'!$A:$B,2,FALSE())</f>
        <v>ATL</v>
      </c>
      <c r="O963" s="1" t="str">
        <f aca="false">IF(F963&gt;G963,M963,IF(G963&gt;F963,N963,"Tie"))</f>
        <v>TB</v>
      </c>
      <c r="P963" s="1" t="n">
        <f aca="false">F963-G963</f>
        <v>13</v>
      </c>
      <c r="Q963" s="1" t="n">
        <f aca="false">F963+G963</f>
        <v>69</v>
      </c>
      <c r="R963" s="1" t="str">
        <f aca="false">IF(H963=M963,"Home",IF(H963=N963,"Away",IF(H963="PICK","Pick","N/A")))</f>
        <v>Home</v>
      </c>
      <c r="S963" s="1" t="n">
        <f aca="false">IF(R963="Home",P963,IF(R963="Away",-P963,""))</f>
        <v>13</v>
      </c>
      <c r="T963" s="1" t="str">
        <f aca="false">IF(R963="Pick","No Line",IF(S963="","N/A",IF(S963+I963&gt;0,"Favorite Covered",IF(S963+I963&lt;0,"Underdog Covered","Push"))))</f>
        <v>Favorite Covered</v>
      </c>
      <c r="U963" s="1" t="str">
        <f aca="false">IF(Q963&gt;J963,"Over",IF(Q963&lt;J963,"Under","Push"))</f>
        <v>Over</v>
      </c>
    </row>
    <row r="964" customFormat="false" ht="15" hidden="false" customHeight="false" outlineLevel="0" collapsed="false">
      <c r="A964" s="1" t="s">
        <v>380</v>
      </c>
      <c r="B964" s="1" t="n">
        <v>2013</v>
      </c>
      <c r="C964" s="1" t="s">
        <v>207</v>
      </c>
      <c r="D964" s="1" t="s">
        <v>61</v>
      </c>
      <c r="E964" s="1" t="s">
        <v>93</v>
      </c>
      <c r="F964" s="1" t="n">
        <v>24</v>
      </c>
      <c r="G964" s="1" t="n">
        <v>20</v>
      </c>
      <c r="H964" s="1" t="s">
        <v>62</v>
      </c>
      <c r="I964" s="1" t="n">
        <v>-3</v>
      </c>
      <c r="J964" s="1" t="n">
        <v>45.5</v>
      </c>
      <c r="K964" s="1" t="s">
        <v>162</v>
      </c>
      <c r="L964" s="1" t="b">
        <f aca="false">FALSE()</f>
        <v>0</v>
      </c>
      <c r="M964" s="1" t="str">
        <f aca="false">VLOOKUP(D964,'Team Reference'!$A:$B,2,FALSE())</f>
        <v>CAR</v>
      </c>
      <c r="N964" s="1" t="str">
        <f aca="false">VLOOKUP(E964,'Team Reference'!$A:$B,2,FALSE())</f>
        <v>NE</v>
      </c>
      <c r="O964" s="1" t="str">
        <f aca="false">IF(F964&gt;G964,M964,IF(G964&gt;F964,N964,"Tie"))</f>
        <v>CAR</v>
      </c>
      <c r="P964" s="1" t="n">
        <f aca="false">F964-G964</f>
        <v>4</v>
      </c>
      <c r="Q964" s="1" t="n">
        <f aca="false">F964+G964</f>
        <v>44</v>
      </c>
      <c r="R964" s="1" t="str">
        <f aca="false">IF(H964=M964,"Home",IF(H964=N964,"Away",IF(H964="PICK","Pick","N/A")))</f>
        <v>Home</v>
      </c>
      <c r="S964" s="1" t="n">
        <f aca="false">IF(R964="Home",P964,IF(R964="Away",-P964,""))</f>
        <v>4</v>
      </c>
      <c r="T964" s="1" t="str">
        <f aca="false">IF(R964="Pick","No Line",IF(S964="","N/A",IF(S964+I964&gt;0,"Favorite Covered",IF(S964+I964&lt;0,"Underdog Covered","Push"))))</f>
        <v>Favorite Covered</v>
      </c>
      <c r="U964" s="1" t="str">
        <f aca="false">IF(Q964&gt;J964,"Over",IF(Q964&lt;J964,"Under","Push"))</f>
        <v>Under</v>
      </c>
    </row>
    <row r="965" customFormat="false" ht="15" hidden="false" customHeight="false" outlineLevel="0" collapsed="false">
      <c r="A965" s="1" t="s">
        <v>381</v>
      </c>
      <c r="B965" s="1" t="n">
        <v>2013</v>
      </c>
      <c r="C965" s="1" t="s">
        <v>211</v>
      </c>
      <c r="D965" s="1" t="s">
        <v>55</v>
      </c>
      <c r="E965" s="1" t="s">
        <v>95</v>
      </c>
      <c r="F965" s="1" t="n">
        <v>13</v>
      </c>
      <c r="G965" s="1" t="n">
        <v>17</v>
      </c>
      <c r="H965" s="1" t="s">
        <v>96</v>
      </c>
      <c r="I965" s="1" t="n">
        <v>-7</v>
      </c>
      <c r="J965" s="1" t="n">
        <v>52.5</v>
      </c>
      <c r="K965" s="1" t="s">
        <v>161</v>
      </c>
      <c r="L965" s="1" t="b">
        <f aca="false">FALSE()</f>
        <v>0</v>
      </c>
      <c r="M965" s="1" t="str">
        <f aca="false">VLOOKUP(D965,'Team Reference'!$A:$B,2,FALSE())</f>
        <v>ATL</v>
      </c>
      <c r="N965" s="1" t="str">
        <f aca="false">VLOOKUP(E965,'Team Reference'!$A:$B,2,FALSE())</f>
        <v>NO</v>
      </c>
      <c r="O965" s="1" t="str">
        <f aca="false">IF(F965&gt;G965,M965,IF(G965&gt;F965,N965,"Tie"))</f>
        <v>NO</v>
      </c>
      <c r="P965" s="1" t="n">
        <f aca="false">F965-G965</f>
        <v>-4</v>
      </c>
      <c r="Q965" s="1" t="n">
        <f aca="false">F965+G965</f>
        <v>30</v>
      </c>
      <c r="R965" s="1" t="str">
        <f aca="false">IF(H965=M965,"Home",IF(H965=N965,"Away",IF(H965="PICK","Pick","N/A")))</f>
        <v>Away</v>
      </c>
      <c r="S965" s="1" t="n">
        <f aca="false">IF(R965="Home",P965,IF(R965="Away",-P965,""))</f>
        <v>4</v>
      </c>
      <c r="T965" s="1" t="str">
        <f aca="false">IF(R965="Pick","No Line",IF(S965="","N/A",IF(S965+I965&gt;0,"Favorite Covered",IF(S965+I965&lt;0,"Underdog Covered","Push"))))</f>
        <v>Underdog Covered</v>
      </c>
      <c r="U965" s="1" t="str">
        <f aca="false">IF(Q965&gt;J965,"Over",IF(Q965&lt;J965,"Under","Push"))</f>
        <v>Under</v>
      </c>
    </row>
    <row r="966" customFormat="false" ht="15" hidden="false" customHeight="false" outlineLevel="0" collapsed="false">
      <c r="A966" s="1" t="s">
        <v>382</v>
      </c>
      <c r="B966" s="1" t="n">
        <v>2013</v>
      </c>
      <c r="C966" s="1" t="s">
        <v>211</v>
      </c>
      <c r="D966" s="1" t="s">
        <v>53</v>
      </c>
      <c r="E966" s="1" t="s">
        <v>79</v>
      </c>
      <c r="F966" s="1" t="n">
        <v>40</v>
      </c>
      <c r="G966" s="1" t="n">
        <v>11</v>
      </c>
      <c r="H966" s="1" t="s">
        <v>54</v>
      </c>
      <c r="I966" s="1" t="n">
        <v>-3</v>
      </c>
      <c r="J966" s="1" t="n">
        <v>44.5</v>
      </c>
      <c r="K966" s="1" t="s">
        <v>177</v>
      </c>
      <c r="L966" s="1" t="b">
        <f aca="false">FALSE()</f>
        <v>0</v>
      </c>
      <c r="M966" s="1" t="str">
        <f aca="false">VLOOKUP(D966,'Team Reference'!$A:$B,2,FALSE())</f>
        <v>ARI</v>
      </c>
      <c r="N966" s="1" t="str">
        <f aca="false">VLOOKUP(E966,'Team Reference'!$A:$B,2,FALSE())</f>
        <v>IND</v>
      </c>
      <c r="O966" s="1" t="str">
        <f aca="false">IF(F966&gt;G966,M966,IF(G966&gt;F966,N966,"Tie"))</f>
        <v>ARI</v>
      </c>
      <c r="P966" s="1" t="n">
        <f aca="false">F966-G966</f>
        <v>29</v>
      </c>
      <c r="Q966" s="1" t="n">
        <f aca="false">F966+G966</f>
        <v>51</v>
      </c>
      <c r="R966" s="1" t="str">
        <f aca="false">IF(H966=M966,"Home",IF(H966=N966,"Away",IF(H966="PICK","Pick","N/A")))</f>
        <v>Home</v>
      </c>
      <c r="S966" s="1" t="n">
        <f aca="false">IF(R966="Home",P966,IF(R966="Away",-P966,""))</f>
        <v>29</v>
      </c>
      <c r="T966" s="1" t="str">
        <f aca="false">IF(R966="Pick","No Line",IF(S966="","N/A",IF(S966+I966&gt;0,"Favorite Covered",IF(S966+I966&lt;0,"Underdog Covered","Push"))))</f>
        <v>Favorite Covered</v>
      </c>
      <c r="U966" s="1" t="str">
        <f aca="false">IF(Q966&gt;J966,"Over",IF(Q966&lt;J966,"Under","Push"))</f>
        <v>Over</v>
      </c>
    </row>
    <row r="967" customFormat="false" ht="15" hidden="false" customHeight="false" outlineLevel="0" collapsed="false">
      <c r="A967" s="1" t="s">
        <v>382</v>
      </c>
      <c r="B967" s="1" t="n">
        <v>2013</v>
      </c>
      <c r="C967" s="1" t="s">
        <v>211</v>
      </c>
      <c r="D967" s="1" t="s">
        <v>57</v>
      </c>
      <c r="E967" s="1" t="s">
        <v>99</v>
      </c>
      <c r="F967" s="1" t="n">
        <v>19</v>
      </c>
      <c r="G967" s="1" t="n">
        <v>3</v>
      </c>
      <c r="H967" s="1" t="s">
        <v>58</v>
      </c>
      <c r="I967" s="1" t="n">
        <v>-3.5</v>
      </c>
      <c r="J967" s="1" t="n">
        <v>38.5</v>
      </c>
      <c r="K967" s="1" t="s">
        <v>178</v>
      </c>
      <c r="L967" s="1" t="b">
        <f aca="false">FALSE()</f>
        <v>0</v>
      </c>
      <c r="M967" s="1" t="str">
        <f aca="false">VLOOKUP(D967,'Team Reference'!$A:$B,2,FALSE())</f>
        <v>BAL</v>
      </c>
      <c r="N967" s="1" t="str">
        <f aca="false">VLOOKUP(E967,'Team Reference'!$A:$B,2,FALSE())</f>
        <v>NYJ</v>
      </c>
      <c r="O967" s="1" t="str">
        <f aca="false">IF(F967&gt;G967,M967,IF(G967&gt;F967,N967,"Tie"))</f>
        <v>BAL</v>
      </c>
      <c r="P967" s="1" t="n">
        <f aca="false">F967-G967</f>
        <v>16</v>
      </c>
      <c r="Q967" s="1" t="n">
        <f aca="false">F967+G967</f>
        <v>22</v>
      </c>
      <c r="R967" s="1" t="str">
        <f aca="false">IF(H967=M967,"Home",IF(H967=N967,"Away",IF(H967="PICK","Pick","N/A")))</f>
        <v>Home</v>
      </c>
      <c r="S967" s="1" t="n">
        <f aca="false">IF(R967="Home",P967,IF(R967="Away",-P967,""))</f>
        <v>16</v>
      </c>
      <c r="T967" s="1" t="str">
        <f aca="false">IF(R967="Pick","No Line",IF(S967="","N/A",IF(S967+I967&gt;0,"Favorite Covered",IF(S967+I967&lt;0,"Underdog Covered","Push"))))</f>
        <v>Favorite Covered</v>
      </c>
      <c r="U967" s="1" t="str">
        <f aca="false">IF(Q967&gt;J967,"Over",IF(Q967&lt;J967,"Under","Push"))</f>
        <v>Under</v>
      </c>
    </row>
    <row r="968" customFormat="false" ht="15" hidden="false" customHeight="false" outlineLevel="0" collapsed="false">
      <c r="A968" s="1" t="s">
        <v>382</v>
      </c>
      <c r="B968" s="1" t="n">
        <v>2013</v>
      </c>
      <c r="C968" s="1" t="s">
        <v>211</v>
      </c>
      <c r="D968" s="1" t="s">
        <v>67</v>
      </c>
      <c r="E968" s="1" t="s">
        <v>105</v>
      </c>
      <c r="F968" s="1" t="n">
        <v>11</v>
      </c>
      <c r="G968" s="1" t="n">
        <v>27</v>
      </c>
      <c r="H968" s="1" t="s">
        <v>68</v>
      </c>
      <c r="I968" s="1" t="n">
        <v>-2</v>
      </c>
      <c r="J968" s="1" t="n">
        <v>39</v>
      </c>
      <c r="K968" s="1" t="s">
        <v>164</v>
      </c>
      <c r="L968" s="1" t="b">
        <f aca="false">FALSE()</f>
        <v>0</v>
      </c>
      <c r="M968" s="1" t="str">
        <f aca="false">VLOOKUP(D968,'Team Reference'!$A:$B,2,FALSE())</f>
        <v>CLE</v>
      </c>
      <c r="N968" s="1" t="str">
        <f aca="false">VLOOKUP(E968,'Team Reference'!$A:$B,2,FALSE())</f>
        <v>PIT</v>
      </c>
      <c r="O968" s="1" t="str">
        <f aca="false">IF(F968&gt;G968,M968,IF(G968&gt;F968,N968,"Tie"))</f>
        <v>PIT</v>
      </c>
      <c r="P968" s="1" t="n">
        <f aca="false">F968-G968</f>
        <v>-16</v>
      </c>
      <c r="Q968" s="1" t="n">
        <f aca="false">F968+G968</f>
        <v>38</v>
      </c>
      <c r="R968" s="1" t="str">
        <f aca="false">IF(H968=M968,"Home",IF(H968=N968,"Away",IF(H968="PICK","Pick","N/A")))</f>
        <v>Home</v>
      </c>
      <c r="S968" s="1" t="n">
        <f aca="false">IF(R968="Home",P968,IF(R968="Away",-P968,""))</f>
        <v>-16</v>
      </c>
      <c r="T968" s="1" t="str">
        <f aca="false">IF(R968="Pick","No Line",IF(S968="","N/A",IF(S968+I968&gt;0,"Favorite Covered",IF(S968+I968&lt;0,"Underdog Covered","Push"))))</f>
        <v>Underdog Covered</v>
      </c>
      <c r="U968" s="1" t="str">
        <f aca="false">IF(Q968&gt;J968,"Over",IF(Q968&lt;J968,"Under","Push"))</f>
        <v>Under</v>
      </c>
    </row>
    <row r="969" customFormat="false" ht="15" hidden="false" customHeight="false" outlineLevel="0" collapsed="false">
      <c r="A969" s="1" t="s">
        <v>382</v>
      </c>
      <c r="B969" s="1" t="n">
        <v>2013</v>
      </c>
      <c r="C969" s="1" t="s">
        <v>211</v>
      </c>
      <c r="D969" s="1" t="s">
        <v>73</v>
      </c>
      <c r="E969" s="1" t="s">
        <v>113</v>
      </c>
      <c r="F969" s="1" t="n">
        <v>21</v>
      </c>
      <c r="G969" s="1" t="n">
        <v>24</v>
      </c>
      <c r="H969" s="1" t="s">
        <v>74</v>
      </c>
      <c r="I969" s="1" t="n">
        <v>-7</v>
      </c>
      <c r="J969" s="1" t="n">
        <v>48</v>
      </c>
      <c r="K969" s="1" t="s">
        <v>167</v>
      </c>
      <c r="L969" s="1" t="b">
        <f aca="false">FALSE()</f>
        <v>0</v>
      </c>
      <c r="M969" s="1" t="str">
        <f aca="false">VLOOKUP(D969,'Team Reference'!$A:$B,2,FALSE())</f>
        <v>DET</v>
      </c>
      <c r="N969" s="1" t="str">
        <f aca="false">VLOOKUP(E969,'Team Reference'!$A:$B,2,FALSE())</f>
        <v>TB</v>
      </c>
      <c r="O969" s="1" t="str">
        <f aca="false">IF(F969&gt;G969,M969,IF(G969&gt;F969,N969,"Tie"))</f>
        <v>TB</v>
      </c>
      <c r="P969" s="1" t="n">
        <f aca="false">F969-G969</f>
        <v>-3</v>
      </c>
      <c r="Q969" s="1" t="n">
        <f aca="false">F969+G969</f>
        <v>45</v>
      </c>
      <c r="R969" s="1" t="str">
        <f aca="false">IF(H969=M969,"Home",IF(H969=N969,"Away",IF(H969="PICK","Pick","N/A")))</f>
        <v>Home</v>
      </c>
      <c r="S969" s="1" t="n">
        <f aca="false">IF(R969="Home",P969,IF(R969="Away",-P969,""))</f>
        <v>-3</v>
      </c>
      <c r="T969" s="1" t="str">
        <f aca="false">IF(R969="Pick","No Line",IF(S969="","N/A",IF(S969+I969&gt;0,"Favorite Covered",IF(S969+I969&lt;0,"Underdog Covered","Push"))))</f>
        <v>Underdog Covered</v>
      </c>
      <c r="U969" s="1" t="str">
        <f aca="false">IF(Q969&gt;J969,"Over",IF(Q969&lt;J969,"Under","Push"))</f>
        <v>Under</v>
      </c>
    </row>
    <row r="970" customFormat="false" ht="15" hidden="false" customHeight="false" outlineLevel="0" collapsed="false">
      <c r="A970" s="1" t="s">
        <v>382</v>
      </c>
      <c r="B970" s="1" t="n">
        <v>2013</v>
      </c>
      <c r="C970" s="1" t="s">
        <v>211</v>
      </c>
      <c r="D970" s="1" t="s">
        <v>75</v>
      </c>
      <c r="E970" s="1" t="s">
        <v>91</v>
      </c>
      <c r="F970" s="1" t="n">
        <v>26</v>
      </c>
      <c r="G970" s="1" t="n">
        <v>26</v>
      </c>
      <c r="H970" s="1" t="s">
        <v>76</v>
      </c>
      <c r="I970" s="1" t="n">
        <v>-5.5</v>
      </c>
      <c r="J970" s="1" t="n">
        <v>44.5</v>
      </c>
      <c r="K970" s="1" t="s">
        <v>168</v>
      </c>
      <c r="L970" s="1" t="b">
        <f aca="false">FALSE()</f>
        <v>0</v>
      </c>
      <c r="M970" s="1" t="str">
        <f aca="false">VLOOKUP(D970,'Team Reference'!$A:$B,2,FALSE())</f>
        <v>GB</v>
      </c>
      <c r="N970" s="1" t="str">
        <f aca="false">VLOOKUP(E970,'Team Reference'!$A:$B,2,FALSE())</f>
        <v>MIN</v>
      </c>
      <c r="O970" s="1" t="str">
        <f aca="false">IF(F970&gt;G970,M970,IF(G970&gt;F970,N970,"Tie"))</f>
        <v>Tie</v>
      </c>
      <c r="P970" s="1" t="n">
        <f aca="false">F970-G970</f>
        <v>0</v>
      </c>
      <c r="Q970" s="1" t="n">
        <f aca="false">F970+G970</f>
        <v>52</v>
      </c>
      <c r="R970" s="1" t="str">
        <f aca="false">IF(H970=M970,"Home",IF(H970=N970,"Away",IF(H970="PICK","Pick","N/A")))</f>
        <v>Home</v>
      </c>
      <c r="S970" s="1" t="n">
        <f aca="false">IF(R970="Home",P970,IF(R970="Away",-P970,""))</f>
        <v>0</v>
      </c>
      <c r="T970" s="1" t="str">
        <f aca="false">IF(R970="Pick","No Line",IF(S970="","N/A",IF(S970+I970&gt;0,"Favorite Covered",IF(S970+I970&lt;0,"Underdog Covered","Push"))))</f>
        <v>Underdog Covered</v>
      </c>
      <c r="U970" s="1" t="str">
        <f aca="false">IF(Q970&gt;J970,"Over",IF(Q970&lt;J970,"Under","Push"))</f>
        <v>Over</v>
      </c>
    </row>
    <row r="971" customFormat="false" ht="15" hidden="false" customHeight="false" outlineLevel="0" collapsed="false">
      <c r="A971" s="1" t="s">
        <v>382</v>
      </c>
      <c r="B971" s="1" t="n">
        <v>2013</v>
      </c>
      <c r="C971" s="1" t="s">
        <v>211</v>
      </c>
      <c r="D971" s="1" t="s">
        <v>77</v>
      </c>
      <c r="E971" s="1" t="s">
        <v>81</v>
      </c>
      <c r="F971" s="1" t="n">
        <v>6</v>
      </c>
      <c r="G971" s="1" t="n">
        <v>13</v>
      </c>
      <c r="H971" s="1" t="s">
        <v>78</v>
      </c>
      <c r="I971" s="1" t="n">
        <v>-10</v>
      </c>
      <c r="J971" s="1" t="n">
        <v>43.5</v>
      </c>
      <c r="K971" s="1" t="s">
        <v>146</v>
      </c>
      <c r="L971" s="1" t="b">
        <f aca="false">FALSE()</f>
        <v>0</v>
      </c>
      <c r="M971" s="1" t="str">
        <f aca="false">VLOOKUP(D971,'Team Reference'!$A:$B,2,FALSE())</f>
        <v>HOU</v>
      </c>
      <c r="N971" s="1" t="str">
        <f aca="false">VLOOKUP(E971,'Team Reference'!$A:$B,2,FALSE())</f>
        <v>JAX</v>
      </c>
      <c r="O971" s="1" t="str">
        <f aca="false">IF(F971&gt;G971,M971,IF(G971&gt;F971,N971,"Tie"))</f>
        <v>JAX</v>
      </c>
      <c r="P971" s="1" t="n">
        <f aca="false">F971-G971</f>
        <v>-7</v>
      </c>
      <c r="Q971" s="1" t="n">
        <f aca="false">F971+G971</f>
        <v>19</v>
      </c>
      <c r="R971" s="1" t="str">
        <f aca="false">IF(H971=M971,"Home",IF(H971=N971,"Away",IF(H971="PICK","Pick","N/A")))</f>
        <v>Home</v>
      </c>
      <c r="S971" s="1" t="n">
        <f aca="false">IF(R971="Home",P971,IF(R971="Away",-P971,""))</f>
        <v>-7</v>
      </c>
      <c r="T971" s="1" t="str">
        <f aca="false">IF(R971="Pick","No Line",IF(S971="","N/A",IF(S971+I971&gt;0,"Favorite Covered",IF(S971+I971&lt;0,"Underdog Covered","Push"))))</f>
        <v>Underdog Covered</v>
      </c>
      <c r="U971" s="1" t="str">
        <f aca="false">IF(Q971&gt;J971,"Over",IF(Q971&lt;J971,"Under","Push"))</f>
        <v>Under</v>
      </c>
    </row>
    <row r="972" customFormat="false" ht="15" hidden="false" customHeight="false" outlineLevel="0" collapsed="false">
      <c r="A972" s="1" t="s">
        <v>382</v>
      </c>
      <c r="B972" s="1" t="n">
        <v>2013</v>
      </c>
      <c r="C972" s="1" t="s">
        <v>211</v>
      </c>
      <c r="D972" s="1" t="s">
        <v>83</v>
      </c>
      <c r="E972" s="1" t="s">
        <v>107</v>
      </c>
      <c r="F972" s="1" t="n">
        <v>38</v>
      </c>
      <c r="G972" s="1" t="n">
        <v>41</v>
      </c>
      <c r="H972" s="1" t="s">
        <v>84</v>
      </c>
      <c r="I972" s="1" t="n">
        <v>-3</v>
      </c>
      <c r="J972" s="1" t="n">
        <v>42.5</v>
      </c>
      <c r="K972" s="1" t="s">
        <v>158</v>
      </c>
      <c r="L972" s="1" t="b">
        <f aca="false">FALSE()</f>
        <v>0</v>
      </c>
      <c r="M972" s="1" t="str">
        <f aca="false">VLOOKUP(D972,'Team Reference'!$A:$B,2,FALSE())</f>
        <v>KC</v>
      </c>
      <c r="N972" s="1" t="str">
        <f aca="false">VLOOKUP(E972,'Team Reference'!$A:$B,2,FALSE())</f>
        <v>LAC</v>
      </c>
      <c r="O972" s="1" t="str">
        <f aca="false">IF(F972&gt;G972,M972,IF(G972&gt;F972,N972,"Tie"))</f>
        <v>LAC</v>
      </c>
      <c r="P972" s="1" t="n">
        <f aca="false">F972-G972</f>
        <v>-3</v>
      </c>
      <c r="Q972" s="1" t="n">
        <f aca="false">F972+G972</f>
        <v>79</v>
      </c>
      <c r="R972" s="1" t="str">
        <f aca="false">IF(H972=M972,"Home",IF(H972=N972,"Away",IF(H972="PICK","Pick","N/A")))</f>
        <v>Home</v>
      </c>
      <c r="S972" s="1" t="n">
        <f aca="false">IF(R972="Home",P972,IF(R972="Away",-P972,""))</f>
        <v>-3</v>
      </c>
      <c r="T972" s="1" t="str">
        <f aca="false">IF(R972="Pick","No Line",IF(S972="","N/A",IF(S972+I972&gt;0,"Favorite Covered",IF(S972+I972&lt;0,"Underdog Covered","Push"))))</f>
        <v>Underdog Covered</v>
      </c>
      <c r="U972" s="1" t="str">
        <f aca="false">IF(Q972&gt;J972,"Over",IF(Q972&lt;J972,"Under","Push"))</f>
        <v>Over</v>
      </c>
    </row>
    <row r="973" customFormat="false" ht="15" hidden="false" customHeight="false" outlineLevel="0" collapsed="false">
      <c r="A973" s="1" t="s">
        <v>382</v>
      </c>
      <c r="B973" s="1" t="n">
        <v>2013</v>
      </c>
      <c r="C973" s="1" t="s">
        <v>211</v>
      </c>
      <c r="D973" s="1" t="s">
        <v>89</v>
      </c>
      <c r="E973" s="1" t="s">
        <v>61</v>
      </c>
      <c r="F973" s="1" t="n">
        <v>16</v>
      </c>
      <c r="G973" s="1" t="n">
        <v>20</v>
      </c>
      <c r="H973" s="1" t="s">
        <v>62</v>
      </c>
      <c r="I973" s="1" t="n">
        <v>-4</v>
      </c>
      <c r="J973" s="1" t="n">
        <v>40.5</v>
      </c>
      <c r="K973" s="1" t="s">
        <v>179</v>
      </c>
      <c r="L973" s="1" t="b">
        <f aca="false">FALSE()</f>
        <v>0</v>
      </c>
      <c r="M973" s="1" t="str">
        <f aca="false">VLOOKUP(D973,'Team Reference'!$A:$B,2,FALSE())</f>
        <v>MIA</v>
      </c>
      <c r="N973" s="1" t="str">
        <f aca="false">VLOOKUP(E973,'Team Reference'!$A:$B,2,FALSE())</f>
        <v>CAR</v>
      </c>
      <c r="O973" s="1" t="str">
        <f aca="false">IF(F973&gt;G973,M973,IF(G973&gt;F973,N973,"Tie"))</f>
        <v>CAR</v>
      </c>
      <c r="P973" s="1" t="n">
        <f aca="false">F973-G973</f>
        <v>-4</v>
      </c>
      <c r="Q973" s="1" t="n">
        <f aca="false">F973+G973</f>
        <v>36</v>
      </c>
      <c r="R973" s="1" t="str">
        <f aca="false">IF(H973=M973,"Home",IF(H973=N973,"Away",IF(H973="PICK","Pick","N/A")))</f>
        <v>Away</v>
      </c>
      <c r="S973" s="1" t="n">
        <f aca="false">IF(R973="Home",P973,IF(R973="Away",-P973,""))</f>
        <v>4</v>
      </c>
      <c r="T973" s="1" t="str">
        <f aca="false">IF(R973="Pick","No Line",IF(S973="","N/A",IF(S973+I973&gt;0,"Favorite Covered",IF(S973+I973&lt;0,"Underdog Covered","Push"))))</f>
        <v>Push</v>
      </c>
      <c r="U973" s="1" t="str">
        <f aca="false">IF(Q973&gt;J973,"Over",IF(Q973&lt;J973,"Under","Push"))</f>
        <v>Under</v>
      </c>
    </row>
    <row r="974" customFormat="false" ht="15" hidden="false" customHeight="false" outlineLevel="0" collapsed="false">
      <c r="A974" s="1" t="s">
        <v>382</v>
      </c>
      <c r="B974" s="1" t="n">
        <v>2013</v>
      </c>
      <c r="C974" s="1" t="s">
        <v>211</v>
      </c>
      <c r="D974" s="1" t="s">
        <v>93</v>
      </c>
      <c r="E974" s="1" t="s">
        <v>71</v>
      </c>
      <c r="F974" s="1" t="n">
        <v>34</v>
      </c>
      <c r="G974" s="1" t="n">
        <v>31</v>
      </c>
      <c r="H974" s="1" t="s">
        <v>72</v>
      </c>
      <c r="I974" s="1" t="n">
        <v>-2.5</v>
      </c>
      <c r="J974" s="1" t="n">
        <v>53</v>
      </c>
      <c r="K974" s="1" t="s">
        <v>148</v>
      </c>
      <c r="L974" s="1" t="b">
        <f aca="false">FALSE()</f>
        <v>0</v>
      </c>
      <c r="M974" s="1" t="str">
        <f aca="false">VLOOKUP(D974,'Team Reference'!$A:$B,2,FALSE())</f>
        <v>NE</v>
      </c>
      <c r="N974" s="1" t="str">
        <f aca="false">VLOOKUP(E974,'Team Reference'!$A:$B,2,FALSE())</f>
        <v>DEN</v>
      </c>
      <c r="O974" s="1" t="str">
        <f aca="false">IF(F974&gt;G974,M974,IF(G974&gt;F974,N974,"Tie"))</f>
        <v>NE</v>
      </c>
      <c r="P974" s="1" t="n">
        <f aca="false">F974-G974</f>
        <v>3</v>
      </c>
      <c r="Q974" s="1" t="n">
        <f aca="false">F974+G974</f>
        <v>65</v>
      </c>
      <c r="R974" s="1" t="str">
        <f aca="false">IF(H974=M974,"Home",IF(H974=N974,"Away",IF(H974="PICK","Pick","N/A")))</f>
        <v>Away</v>
      </c>
      <c r="S974" s="1" t="n">
        <f aca="false">IF(R974="Home",P974,IF(R974="Away",-P974,""))</f>
        <v>-3</v>
      </c>
      <c r="T974" s="1" t="str">
        <f aca="false">IF(R974="Pick","No Line",IF(S974="","N/A",IF(S974+I974&gt;0,"Favorite Covered",IF(S974+I974&lt;0,"Underdog Covered","Push"))))</f>
        <v>Underdog Covered</v>
      </c>
      <c r="U974" s="1" t="str">
        <f aca="false">IF(Q974&gt;J974,"Over",IF(Q974&lt;J974,"Under","Push"))</f>
        <v>Over</v>
      </c>
    </row>
    <row r="975" customFormat="false" ht="15" hidden="false" customHeight="false" outlineLevel="0" collapsed="false">
      <c r="A975" s="1" t="s">
        <v>382</v>
      </c>
      <c r="B975" s="1" t="n">
        <v>2013</v>
      </c>
      <c r="C975" s="1" t="s">
        <v>211</v>
      </c>
      <c r="D975" s="1" t="s">
        <v>97</v>
      </c>
      <c r="E975" s="1" t="s">
        <v>69</v>
      </c>
      <c r="F975" s="1" t="n">
        <v>21</v>
      </c>
      <c r="G975" s="1" t="n">
        <v>24</v>
      </c>
      <c r="H975" s="1" t="s">
        <v>98</v>
      </c>
      <c r="I975" s="1" t="n">
        <v>-2.5</v>
      </c>
      <c r="J975" s="1" t="n">
        <v>44</v>
      </c>
      <c r="K975" s="1" t="s">
        <v>149</v>
      </c>
      <c r="L975" s="1" t="b">
        <f aca="false">FALSE()</f>
        <v>0</v>
      </c>
      <c r="M975" s="1" t="str">
        <f aca="false">VLOOKUP(D975,'Team Reference'!$A:$B,2,FALSE())</f>
        <v>NYG</v>
      </c>
      <c r="N975" s="1" t="str">
        <f aca="false">VLOOKUP(E975,'Team Reference'!$A:$B,2,FALSE())</f>
        <v>DAL</v>
      </c>
      <c r="O975" s="1" t="str">
        <f aca="false">IF(F975&gt;G975,M975,IF(G975&gt;F975,N975,"Tie"))</f>
        <v>DAL</v>
      </c>
      <c r="P975" s="1" t="n">
        <f aca="false">F975-G975</f>
        <v>-3</v>
      </c>
      <c r="Q975" s="1" t="n">
        <f aca="false">F975+G975</f>
        <v>45</v>
      </c>
      <c r="R975" s="1" t="str">
        <f aca="false">IF(H975=M975,"Home",IF(H975=N975,"Away",IF(H975="PICK","Pick","N/A")))</f>
        <v>Home</v>
      </c>
      <c r="S975" s="1" t="n">
        <f aca="false">IF(R975="Home",P975,IF(R975="Away",-P975,""))</f>
        <v>-3</v>
      </c>
      <c r="T975" s="1" t="str">
        <f aca="false">IF(R975="Pick","No Line",IF(S975="","N/A",IF(S975+I975&gt;0,"Favorite Covered",IF(S975+I975&lt;0,"Underdog Covered","Push"))))</f>
        <v>Underdog Covered</v>
      </c>
      <c r="U975" s="1" t="str">
        <f aca="false">IF(Q975&gt;J975,"Over",IF(Q975&lt;J975,"Under","Push"))</f>
        <v>Over</v>
      </c>
    </row>
    <row r="976" customFormat="false" ht="15" hidden="false" customHeight="false" outlineLevel="0" collapsed="false">
      <c r="A976" s="1" t="s">
        <v>382</v>
      </c>
      <c r="B976" s="1" t="n">
        <v>2013</v>
      </c>
      <c r="C976" s="1" t="s">
        <v>211</v>
      </c>
      <c r="D976" s="1" t="s">
        <v>101</v>
      </c>
      <c r="E976" s="1" t="s">
        <v>115</v>
      </c>
      <c r="F976" s="1" t="n">
        <v>19</v>
      </c>
      <c r="G976" s="1" t="n">
        <v>23</v>
      </c>
      <c r="H976" s="1" t="s">
        <v>116</v>
      </c>
      <c r="I976" s="1" t="n">
        <v>-2</v>
      </c>
      <c r="J976" s="1" t="n">
        <v>42</v>
      </c>
      <c r="K976" s="1" t="s">
        <v>171</v>
      </c>
      <c r="L976" s="1" t="b">
        <f aca="false">FALSE()</f>
        <v>0</v>
      </c>
      <c r="M976" s="1" t="str">
        <f aca="false">VLOOKUP(D976,'Team Reference'!$A:$B,2,FALSE())</f>
        <v>OAK</v>
      </c>
      <c r="N976" s="1" t="str">
        <f aca="false">VLOOKUP(E976,'Team Reference'!$A:$B,2,FALSE())</f>
        <v>TEN</v>
      </c>
      <c r="O976" s="1" t="str">
        <f aca="false">IF(F976&gt;G976,M976,IF(G976&gt;F976,N976,"Tie"))</f>
        <v>TEN</v>
      </c>
      <c r="P976" s="1" t="n">
        <f aca="false">F976-G976</f>
        <v>-4</v>
      </c>
      <c r="Q976" s="1" t="n">
        <f aca="false">F976+G976</f>
        <v>42</v>
      </c>
      <c r="R976" s="1" t="str">
        <f aca="false">IF(H976=M976,"Home",IF(H976=N976,"Away",IF(H976="PICK","Pick","N/A")))</f>
        <v>Away</v>
      </c>
      <c r="S976" s="1" t="n">
        <f aca="false">IF(R976="Home",P976,IF(R976="Away",-P976,""))</f>
        <v>4</v>
      </c>
      <c r="T976" s="1" t="str">
        <f aca="false">IF(R976="Pick","No Line",IF(S976="","N/A",IF(S976+I976&gt;0,"Favorite Covered",IF(S976+I976&lt;0,"Underdog Covered","Push"))))</f>
        <v>Favorite Covered</v>
      </c>
      <c r="U976" s="1" t="str">
        <f aca="false">IF(Q976&gt;J976,"Over",IF(Q976&lt;J976,"Under","Push"))</f>
        <v>Push</v>
      </c>
    </row>
    <row r="977" customFormat="false" ht="15" hidden="false" customHeight="false" outlineLevel="0" collapsed="false">
      <c r="A977" s="1" t="s">
        <v>382</v>
      </c>
      <c r="B977" s="1" t="n">
        <v>2013</v>
      </c>
      <c r="C977" s="1" t="s">
        <v>211</v>
      </c>
      <c r="D977" s="1" t="s">
        <v>112</v>
      </c>
      <c r="E977" s="1" t="s">
        <v>63</v>
      </c>
      <c r="F977" s="1" t="n">
        <v>42</v>
      </c>
      <c r="G977" s="1" t="n">
        <v>21</v>
      </c>
      <c r="H977" s="1" t="s">
        <v>88</v>
      </c>
      <c r="I977" s="1" t="n">
        <v>-1.5</v>
      </c>
      <c r="J977" s="1" t="n">
        <v>45</v>
      </c>
      <c r="K977" s="1" t="s">
        <v>153</v>
      </c>
      <c r="L977" s="1" t="b">
        <f aca="false">FALSE()</f>
        <v>0</v>
      </c>
      <c r="M977" s="1" t="str">
        <f aca="false">VLOOKUP(D977,'Team Reference'!$A:$B,2,FALSE())</f>
        <v>LAR</v>
      </c>
      <c r="N977" s="1" t="str">
        <f aca="false">VLOOKUP(E977,'Team Reference'!$A:$B,2,FALSE())</f>
        <v>CHI</v>
      </c>
      <c r="O977" s="1" t="str">
        <f aca="false">IF(F977&gt;G977,M977,IF(G977&gt;F977,N977,"Tie"))</f>
        <v>LAR</v>
      </c>
      <c r="P977" s="1" t="n">
        <f aca="false">F977-G977</f>
        <v>21</v>
      </c>
      <c r="Q977" s="1" t="n">
        <f aca="false">F977+G977</f>
        <v>63</v>
      </c>
      <c r="R977" s="1" t="str">
        <f aca="false">IF(H977=M977,"Home",IF(H977=N977,"Away",IF(H977="PICK","Pick","N/A")))</f>
        <v>Home</v>
      </c>
      <c r="S977" s="1" t="n">
        <f aca="false">IF(R977="Home",P977,IF(R977="Away",-P977,""))</f>
        <v>21</v>
      </c>
      <c r="T977" s="1" t="str">
        <f aca="false">IF(R977="Pick","No Line",IF(S977="","N/A",IF(S977+I977&gt;0,"Favorite Covered",IF(S977+I977&lt;0,"Underdog Covered","Push"))))</f>
        <v>Favorite Covered</v>
      </c>
      <c r="U977" s="1" t="str">
        <f aca="false">IF(Q977&gt;J977,"Over",IF(Q977&lt;J977,"Under","Push"))</f>
        <v>Over</v>
      </c>
    </row>
    <row r="978" customFormat="false" ht="15" hidden="false" customHeight="false" outlineLevel="0" collapsed="false">
      <c r="A978" s="1" t="s">
        <v>383</v>
      </c>
      <c r="B978" s="1" t="n">
        <v>2013</v>
      </c>
      <c r="C978" s="1" t="s">
        <v>211</v>
      </c>
      <c r="D978" s="1" t="s">
        <v>117</v>
      </c>
      <c r="E978" s="1" t="s">
        <v>108</v>
      </c>
      <c r="F978" s="1" t="n">
        <v>6</v>
      </c>
      <c r="G978" s="1" t="n">
        <v>27</v>
      </c>
      <c r="H978" s="1" t="s">
        <v>109</v>
      </c>
      <c r="I978" s="1" t="n">
        <v>-5</v>
      </c>
      <c r="J978" s="1" t="n">
        <v>47</v>
      </c>
      <c r="K978" s="1" t="s">
        <v>156</v>
      </c>
      <c r="L978" s="1" t="b">
        <f aca="false">FALSE()</f>
        <v>0</v>
      </c>
      <c r="M978" s="1" t="str">
        <f aca="false">VLOOKUP(D978,'Team Reference'!$A:$B,2,FALSE())</f>
        <v>WAS</v>
      </c>
      <c r="N978" s="1" t="str">
        <f aca="false">VLOOKUP(E978,'Team Reference'!$A:$B,2,FALSE())</f>
        <v>SF</v>
      </c>
      <c r="O978" s="1" t="str">
        <f aca="false">IF(F978&gt;G978,M978,IF(G978&gt;F978,N978,"Tie"))</f>
        <v>SF</v>
      </c>
      <c r="P978" s="1" t="n">
        <f aca="false">F978-G978</f>
        <v>-21</v>
      </c>
      <c r="Q978" s="1" t="n">
        <f aca="false">F978+G978</f>
        <v>33</v>
      </c>
      <c r="R978" s="1" t="str">
        <f aca="false">IF(H978=M978,"Home",IF(H978=N978,"Away",IF(H978="PICK","Pick","N/A")))</f>
        <v>Away</v>
      </c>
      <c r="S978" s="1" t="n">
        <f aca="false">IF(R978="Home",P978,IF(R978="Away",-P978,""))</f>
        <v>21</v>
      </c>
      <c r="T978" s="1" t="str">
        <f aca="false">IF(R978="Pick","No Line",IF(S978="","N/A",IF(S978+I978&gt;0,"Favorite Covered",IF(S978+I978&lt;0,"Underdog Covered","Push"))))</f>
        <v>Favorite Covered</v>
      </c>
      <c r="U978" s="1" t="str">
        <f aca="false">IF(Q978&gt;J978,"Over",IF(Q978&lt;J978,"Under","Push"))</f>
        <v>Under</v>
      </c>
    </row>
    <row r="979" customFormat="false" ht="15" hidden="false" customHeight="false" outlineLevel="0" collapsed="false">
      <c r="A979" s="1" t="s">
        <v>384</v>
      </c>
      <c r="B979" s="1" t="n">
        <v>2013</v>
      </c>
      <c r="C979" s="1" t="s">
        <v>215</v>
      </c>
      <c r="D979" s="1" t="s">
        <v>57</v>
      </c>
      <c r="E979" s="1" t="s">
        <v>105</v>
      </c>
      <c r="F979" s="1" t="n">
        <v>22</v>
      </c>
      <c r="G979" s="1" t="n">
        <v>20</v>
      </c>
      <c r="H979" s="1" t="s">
        <v>58</v>
      </c>
      <c r="I979" s="1" t="n">
        <v>-3</v>
      </c>
      <c r="J979" s="1" t="n">
        <v>40.5</v>
      </c>
      <c r="K979" s="1" t="s">
        <v>178</v>
      </c>
      <c r="L979" s="1" t="b">
        <f aca="false">FALSE()</f>
        <v>0</v>
      </c>
      <c r="M979" s="1" t="str">
        <f aca="false">VLOOKUP(D979,'Team Reference'!$A:$B,2,FALSE())</f>
        <v>BAL</v>
      </c>
      <c r="N979" s="1" t="str">
        <f aca="false">VLOOKUP(E979,'Team Reference'!$A:$B,2,FALSE())</f>
        <v>PIT</v>
      </c>
      <c r="O979" s="1" t="str">
        <f aca="false">IF(F979&gt;G979,M979,IF(G979&gt;F979,N979,"Tie"))</f>
        <v>BAL</v>
      </c>
      <c r="P979" s="1" t="n">
        <f aca="false">F979-G979</f>
        <v>2</v>
      </c>
      <c r="Q979" s="1" t="n">
        <f aca="false">F979+G979</f>
        <v>42</v>
      </c>
      <c r="R979" s="1" t="str">
        <f aca="false">IF(H979=M979,"Home",IF(H979=N979,"Away",IF(H979="PICK","Pick","N/A")))</f>
        <v>Home</v>
      </c>
      <c r="S979" s="1" t="n">
        <f aca="false">IF(R979="Home",P979,IF(R979="Away",-P979,""))</f>
        <v>2</v>
      </c>
      <c r="T979" s="1" t="str">
        <f aca="false">IF(R979="Pick","No Line",IF(S979="","N/A",IF(S979+I979&gt;0,"Favorite Covered",IF(S979+I979&lt;0,"Underdog Covered","Push"))))</f>
        <v>Underdog Covered</v>
      </c>
      <c r="U979" s="1" t="str">
        <f aca="false">IF(Q979&gt;J979,"Over",IF(Q979&lt;J979,"Under","Push"))</f>
        <v>Over</v>
      </c>
    </row>
    <row r="980" customFormat="false" ht="15" hidden="false" customHeight="false" outlineLevel="0" collapsed="false">
      <c r="A980" s="1" t="s">
        <v>384</v>
      </c>
      <c r="B980" s="1" t="n">
        <v>2013</v>
      </c>
      <c r="C980" s="1" t="s">
        <v>215</v>
      </c>
      <c r="D980" s="1" t="s">
        <v>69</v>
      </c>
      <c r="E980" s="1" t="s">
        <v>101</v>
      </c>
      <c r="F980" s="1" t="n">
        <v>31</v>
      </c>
      <c r="G980" s="1" t="n">
        <v>24</v>
      </c>
      <c r="H980" s="1" t="s">
        <v>70</v>
      </c>
      <c r="I980" s="1" t="n">
        <v>-8</v>
      </c>
      <c r="J980" s="1" t="n">
        <v>48</v>
      </c>
      <c r="K980" s="1" t="s">
        <v>165</v>
      </c>
      <c r="L980" s="1" t="b">
        <f aca="false">FALSE()</f>
        <v>0</v>
      </c>
      <c r="M980" s="1" t="str">
        <f aca="false">VLOOKUP(D980,'Team Reference'!$A:$B,2,FALSE())</f>
        <v>DAL</v>
      </c>
      <c r="N980" s="1" t="str">
        <f aca="false">VLOOKUP(E980,'Team Reference'!$A:$B,2,FALSE())</f>
        <v>OAK</v>
      </c>
      <c r="O980" s="1" t="str">
        <f aca="false">IF(F980&gt;G980,M980,IF(G980&gt;F980,N980,"Tie"))</f>
        <v>DAL</v>
      </c>
      <c r="P980" s="1" t="n">
        <f aca="false">F980-G980</f>
        <v>7</v>
      </c>
      <c r="Q980" s="1" t="n">
        <f aca="false">F980+G980</f>
        <v>55</v>
      </c>
      <c r="R980" s="1" t="str">
        <f aca="false">IF(H980=M980,"Home",IF(H980=N980,"Away",IF(H980="PICK","Pick","N/A")))</f>
        <v>Home</v>
      </c>
      <c r="S980" s="1" t="n">
        <f aca="false">IF(R980="Home",P980,IF(R980="Away",-P980,""))</f>
        <v>7</v>
      </c>
      <c r="T980" s="1" t="str">
        <f aca="false">IF(R980="Pick","No Line",IF(S980="","N/A",IF(S980+I980&gt;0,"Favorite Covered",IF(S980+I980&lt;0,"Underdog Covered","Push"))))</f>
        <v>Underdog Covered</v>
      </c>
      <c r="U980" s="1" t="str">
        <f aca="false">IF(Q980&gt;J980,"Over",IF(Q980&lt;J980,"Under","Push"))</f>
        <v>Over</v>
      </c>
    </row>
    <row r="981" customFormat="false" ht="15" hidden="false" customHeight="false" outlineLevel="0" collapsed="false">
      <c r="A981" s="1" t="s">
        <v>384</v>
      </c>
      <c r="B981" s="1" t="n">
        <v>2013</v>
      </c>
      <c r="C981" s="1" t="s">
        <v>215</v>
      </c>
      <c r="D981" s="1" t="s">
        <v>73</v>
      </c>
      <c r="E981" s="1" t="s">
        <v>75</v>
      </c>
      <c r="F981" s="1" t="n">
        <v>40</v>
      </c>
      <c r="G981" s="1" t="n">
        <v>10</v>
      </c>
      <c r="H981" s="1" t="s">
        <v>74</v>
      </c>
      <c r="I981" s="1" t="n">
        <v>-6</v>
      </c>
      <c r="J981" s="1" t="n">
        <v>48.5</v>
      </c>
      <c r="K981" s="1" t="s">
        <v>167</v>
      </c>
      <c r="L981" s="1" t="b">
        <f aca="false">FALSE()</f>
        <v>0</v>
      </c>
      <c r="M981" s="1" t="str">
        <f aca="false">VLOOKUP(D981,'Team Reference'!$A:$B,2,FALSE())</f>
        <v>DET</v>
      </c>
      <c r="N981" s="1" t="str">
        <f aca="false">VLOOKUP(E981,'Team Reference'!$A:$B,2,FALSE())</f>
        <v>GB</v>
      </c>
      <c r="O981" s="1" t="str">
        <f aca="false">IF(F981&gt;G981,M981,IF(G981&gt;F981,N981,"Tie"))</f>
        <v>DET</v>
      </c>
      <c r="P981" s="1" t="n">
        <f aca="false">F981-G981</f>
        <v>30</v>
      </c>
      <c r="Q981" s="1" t="n">
        <f aca="false">F981+G981</f>
        <v>50</v>
      </c>
      <c r="R981" s="1" t="str">
        <f aca="false">IF(H981=M981,"Home",IF(H981=N981,"Away",IF(H981="PICK","Pick","N/A")))</f>
        <v>Home</v>
      </c>
      <c r="S981" s="1" t="n">
        <f aca="false">IF(R981="Home",P981,IF(R981="Away",-P981,""))</f>
        <v>30</v>
      </c>
      <c r="T981" s="1" t="str">
        <f aca="false">IF(R981="Pick","No Line",IF(S981="","N/A",IF(S981+I981&gt;0,"Favorite Covered",IF(S981+I981&lt;0,"Underdog Covered","Push"))))</f>
        <v>Favorite Covered</v>
      </c>
      <c r="U981" s="1" t="str">
        <f aca="false">IF(Q981&gt;J981,"Over",IF(Q981&lt;J981,"Under","Push"))</f>
        <v>Over</v>
      </c>
    </row>
    <row r="982" customFormat="false" ht="15" hidden="false" customHeight="false" outlineLevel="0" collapsed="false">
      <c r="A982" s="1" t="s">
        <v>385</v>
      </c>
      <c r="B982" s="1" t="n">
        <v>2013</v>
      </c>
      <c r="C982" s="1" t="s">
        <v>215</v>
      </c>
      <c r="D982" s="1" t="s">
        <v>59</v>
      </c>
      <c r="E982" s="1" t="s">
        <v>55</v>
      </c>
      <c r="F982" s="1" t="n">
        <v>31</v>
      </c>
      <c r="G982" s="1" t="n">
        <v>34</v>
      </c>
      <c r="H982" s="1" t="s">
        <v>60</v>
      </c>
      <c r="I982" s="1" t="n">
        <v>-4.5</v>
      </c>
      <c r="J982" s="1" t="n">
        <v>48.5</v>
      </c>
      <c r="K982" s="1" t="s">
        <v>199</v>
      </c>
      <c r="L982" s="1" t="b">
        <f aca="false">FALSE()</f>
        <v>0</v>
      </c>
      <c r="M982" s="1" t="str">
        <f aca="false">VLOOKUP(D982,'Team Reference'!$A:$B,2,FALSE())</f>
        <v>BUF</v>
      </c>
      <c r="N982" s="1" t="str">
        <f aca="false">VLOOKUP(E982,'Team Reference'!$A:$B,2,FALSE())</f>
        <v>ATL</v>
      </c>
      <c r="O982" s="1" t="str">
        <f aca="false">IF(F982&gt;G982,M982,IF(G982&gt;F982,N982,"Tie"))</f>
        <v>ATL</v>
      </c>
      <c r="P982" s="1" t="n">
        <f aca="false">F982-G982</f>
        <v>-3</v>
      </c>
      <c r="Q982" s="1" t="n">
        <f aca="false">F982+G982</f>
        <v>65</v>
      </c>
      <c r="R982" s="1" t="str">
        <f aca="false">IF(H982=M982,"Home",IF(H982=N982,"Away",IF(H982="PICK","Pick","N/A")))</f>
        <v>Home</v>
      </c>
      <c r="S982" s="1" t="n">
        <f aca="false">IF(R982="Home",P982,IF(R982="Away",-P982,""))</f>
        <v>-3</v>
      </c>
      <c r="T982" s="1" t="str">
        <f aca="false">IF(R982="Pick","No Line",IF(S982="","N/A",IF(S982+I982&gt;0,"Favorite Covered",IF(S982+I982&lt;0,"Underdog Covered","Push"))))</f>
        <v>Underdog Covered</v>
      </c>
      <c r="U982" s="1" t="str">
        <f aca="false">IF(Q982&gt;J982,"Over",IF(Q982&lt;J982,"Under","Push"))</f>
        <v>Over</v>
      </c>
    </row>
    <row r="983" customFormat="false" ht="15" hidden="false" customHeight="false" outlineLevel="0" collapsed="false">
      <c r="A983" s="1" t="s">
        <v>385</v>
      </c>
      <c r="B983" s="1" t="n">
        <v>2013</v>
      </c>
      <c r="C983" s="1" t="s">
        <v>215</v>
      </c>
      <c r="D983" s="1" t="s">
        <v>61</v>
      </c>
      <c r="E983" s="1" t="s">
        <v>113</v>
      </c>
      <c r="F983" s="1" t="n">
        <v>27</v>
      </c>
      <c r="G983" s="1" t="n">
        <v>6</v>
      </c>
      <c r="H983" s="1" t="s">
        <v>62</v>
      </c>
      <c r="I983" s="1" t="n">
        <v>-6.5</v>
      </c>
      <c r="J983" s="1" t="n">
        <v>40.5</v>
      </c>
      <c r="K983" s="1" t="s">
        <v>162</v>
      </c>
      <c r="L983" s="1" t="b">
        <f aca="false">FALSE()</f>
        <v>0</v>
      </c>
      <c r="M983" s="1" t="str">
        <f aca="false">VLOOKUP(D983,'Team Reference'!$A:$B,2,FALSE())</f>
        <v>CAR</v>
      </c>
      <c r="N983" s="1" t="str">
        <f aca="false">VLOOKUP(E983,'Team Reference'!$A:$B,2,FALSE())</f>
        <v>TB</v>
      </c>
      <c r="O983" s="1" t="str">
        <f aca="false">IF(F983&gt;G983,M983,IF(G983&gt;F983,N983,"Tie"))</f>
        <v>CAR</v>
      </c>
      <c r="P983" s="1" t="n">
        <f aca="false">F983-G983</f>
        <v>21</v>
      </c>
      <c r="Q983" s="1" t="n">
        <f aca="false">F983+G983</f>
        <v>33</v>
      </c>
      <c r="R983" s="1" t="str">
        <f aca="false">IF(H983=M983,"Home",IF(H983=N983,"Away",IF(H983="PICK","Pick","N/A")))</f>
        <v>Home</v>
      </c>
      <c r="S983" s="1" t="n">
        <f aca="false">IF(R983="Home",P983,IF(R983="Away",-P983,""))</f>
        <v>21</v>
      </c>
      <c r="T983" s="1" t="str">
        <f aca="false">IF(R983="Pick","No Line",IF(S983="","N/A",IF(S983+I983&gt;0,"Favorite Covered",IF(S983+I983&lt;0,"Underdog Covered","Push"))))</f>
        <v>Favorite Covered</v>
      </c>
      <c r="U983" s="1" t="str">
        <f aca="false">IF(Q983&gt;J983,"Over",IF(Q983&lt;J983,"Under","Push"))</f>
        <v>Under</v>
      </c>
    </row>
    <row r="984" customFormat="false" ht="15" hidden="false" customHeight="false" outlineLevel="0" collapsed="false">
      <c r="A984" s="1" t="s">
        <v>385</v>
      </c>
      <c r="B984" s="1" t="n">
        <v>2013</v>
      </c>
      <c r="C984" s="1" t="s">
        <v>215</v>
      </c>
      <c r="D984" s="1" t="s">
        <v>67</v>
      </c>
      <c r="E984" s="1" t="s">
        <v>81</v>
      </c>
      <c r="F984" s="1" t="n">
        <v>28</v>
      </c>
      <c r="G984" s="1" t="n">
        <v>32</v>
      </c>
      <c r="H984" s="1" t="s">
        <v>68</v>
      </c>
      <c r="I984" s="1" t="n">
        <v>-7.5</v>
      </c>
      <c r="J984" s="1" t="n">
        <v>39</v>
      </c>
      <c r="K984" s="1" t="s">
        <v>164</v>
      </c>
      <c r="L984" s="1" t="b">
        <f aca="false">FALSE()</f>
        <v>0</v>
      </c>
      <c r="M984" s="1" t="str">
        <f aca="false">VLOOKUP(D984,'Team Reference'!$A:$B,2,FALSE())</f>
        <v>CLE</v>
      </c>
      <c r="N984" s="1" t="str">
        <f aca="false">VLOOKUP(E984,'Team Reference'!$A:$B,2,FALSE())</f>
        <v>JAX</v>
      </c>
      <c r="O984" s="1" t="str">
        <f aca="false">IF(F984&gt;G984,M984,IF(G984&gt;F984,N984,"Tie"))</f>
        <v>JAX</v>
      </c>
      <c r="P984" s="1" t="n">
        <f aca="false">F984-G984</f>
        <v>-4</v>
      </c>
      <c r="Q984" s="1" t="n">
        <f aca="false">F984+G984</f>
        <v>60</v>
      </c>
      <c r="R984" s="1" t="str">
        <f aca="false">IF(H984=M984,"Home",IF(H984=N984,"Away",IF(H984="PICK","Pick","N/A")))</f>
        <v>Home</v>
      </c>
      <c r="S984" s="1" t="n">
        <f aca="false">IF(R984="Home",P984,IF(R984="Away",-P984,""))</f>
        <v>-4</v>
      </c>
      <c r="T984" s="1" t="str">
        <f aca="false">IF(R984="Pick","No Line",IF(S984="","N/A",IF(S984+I984&gt;0,"Favorite Covered",IF(S984+I984&lt;0,"Underdog Covered","Push"))))</f>
        <v>Underdog Covered</v>
      </c>
      <c r="U984" s="1" t="str">
        <f aca="false">IF(Q984&gt;J984,"Over",IF(Q984&lt;J984,"Under","Push"))</f>
        <v>Over</v>
      </c>
    </row>
    <row r="985" customFormat="false" ht="15" hidden="false" customHeight="false" outlineLevel="0" collapsed="false">
      <c r="A985" s="1" t="s">
        <v>385</v>
      </c>
      <c r="B985" s="1" t="n">
        <v>2013</v>
      </c>
      <c r="C985" s="1" t="s">
        <v>215</v>
      </c>
      <c r="D985" s="1" t="s">
        <v>77</v>
      </c>
      <c r="E985" s="1" t="s">
        <v>93</v>
      </c>
      <c r="F985" s="1" t="n">
        <v>31</v>
      </c>
      <c r="G985" s="1" t="n">
        <v>34</v>
      </c>
      <c r="H985" s="1" t="s">
        <v>94</v>
      </c>
      <c r="I985" s="1" t="n">
        <v>-6.5</v>
      </c>
      <c r="J985" s="1" t="n">
        <v>47.5</v>
      </c>
      <c r="K985" s="1" t="s">
        <v>146</v>
      </c>
      <c r="L985" s="1" t="b">
        <f aca="false">FALSE()</f>
        <v>0</v>
      </c>
      <c r="M985" s="1" t="str">
        <f aca="false">VLOOKUP(D985,'Team Reference'!$A:$B,2,FALSE())</f>
        <v>HOU</v>
      </c>
      <c r="N985" s="1" t="str">
        <f aca="false">VLOOKUP(E985,'Team Reference'!$A:$B,2,FALSE())</f>
        <v>NE</v>
      </c>
      <c r="O985" s="1" t="str">
        <f aca="false">IF(F985&gt;G985,M985,IF(G985&gt;F985,N985,"Tie"))</f>
        <v>NE</v>
      </c>
      <c r="P985" s="1" t="n">
        <f aca="false">F985-G985</f>
        <v>-3</v>
      </c>
      <c r="Q985" s="1" t="n">
        <f aca="false">F985+G985</f>
        <v>65</v>
      </c>
      <c r="R985" s="1" t="str">
        <f aca="false">IF(H985=M985,"Home",IF(H985=N985,"Away",IF(H985="PICK","Pick","N/A")))</f>
        <v>Away</v>
      </c>
      <c r="S985" s="1" t="n">
        <f aca="false">IF(R985="Home",P985,IF(R985="Away",-P985,""))</f>
        <v>3</v>
      </c>
      <c r="T985" s="1" t="str">
        <f aca="false">IF(R985="Pick","No Line",IF(S985="","N/A",IF(S985+I985&gt;0,"Favorite Covered",IF(S985+I985&lt;0,"Underdog Covered","Push"))))</f>
        <v>Underdog Covered</v>
      </c>
      <c r="U985" s="1" t="str">
        <f aca="false">IF(Q985&gt;J985,"Over",IF(Q985&lt;J985,"Under","Push"))</f>
        <v>Over</v>
      </c>
    </row>
    <row r="986" customFormat="false" ht="15" hidden="false" customHeight="false" outlineLevel="0" collapsed="false">
      <c r="A986" s="1" t="s">
        <v>385</v>
      </c>
      <c r="B986" s="1" t="n">
        <v>2013</v>
      </c>
      <c r="C986" s="1" t="s">
        <v>215</v>
      </c>
      <c r="D986" s="1" t="s">
        <v>79</v>
      </c>
      <c r="E986" s="1" t="s">
        <v>115</v>
      </c>
      <c r="F986" s="1" t="n">
        <v>22</v>
      </c>
      <c r="G986" s="1" t="n">
        <v>14</v>
      </c>
      <c r="H986" s="1" t="s">
        <v>80</v>
      </c>
      <c r="I986" s="1" t="n">
        <v>-3.5</v>
      </c>
      <c r="J986" s="1" t="n">
        <v>46</v>
      </c>
      <c r="K986" s="1" t="s">
        <v>169</v>
      </c>
      <c r="L986" s="1" t="b">
        <f aca="false">FALSE()</f>
        <v>0</v>
      </c>
      <c r="M986" s="1" t="str">
        <f aca="false">VLOOKUP(D986,'Team Reference'!$A:$B,2,FALSE())</f>
        <v>IND</v>
      </c>
      <c r="N986" s="1" t="str">
        <f aca="false">VLOOKUP(E986,'Team Reference'!$A:$B,2,FALSE())</f>
        <v>TEN</v>
      </c>
      <c r="O986" s="1" t="str">
        <f aca="false">IF(F986&gt;G986,M986,IF(G986&gt;F986,N986,"Tie"))</f>
        <v>IND</v>
      </c>
      <c r="P986" s="1" t="n">
        <f aca="false">F986-G986</f>
        <v>8</v>
      </c>
      <c r="Q986" s="1" t="n">
        <f aca="false">F986+G986</f>
        <v>36</v>
      </c>
      <c r="R986" s="1" t="str">
        <f aca="false">IF(H986=M986,"Home",IF(H986=N986,"Away",IF(H986="PICK","Pick","N/A")))</f>
        <v>Home</v>
      </c>
      <c r="S986" s="1" t="n">
        <f aca="false">IF(R986="Home",P986,IF(R986="Away",-P986,""))</f>
        <v>8</v>
      </c>
      <c r="T986" s="1" t="str">
        <f aca="false">IF(R986="Pick","No Line",IF(S986="","N/A",IF(S986+I986&gt;0,"Favorite Covered",IF(S986+I986&lt;0,"Underdog Covered","Push"))))</f>
        <v>Favorite Covered</v>
      </c>
      <c r="U986" s="1" t="str">
        <f aca="false">IF(Q986&gt;J986,"Over",IF(Q986&lt;J986,"Under","Push"))</f>
        <v>Under</v>
      </c>
    </row>
    <row r="987" customFormat="false" ht="15" hidden="false" customHeight="false" outlineLevel="0" collapsed="false">
      <c r="A987" s="1" t="s">
        <v>385</v>
      </c>
      <c r="B987" s="1" t="n">
        <v>2013</v>
      </c>
      <c r="C987" s="1" t="s">
        <v>215</v>
      </c>
      <c r="D987" s="1" t="s">
        <v>83</v>
      </c>
      <c r="E987" s="1" t="s">
        <v>71</v>
      </c>
      <c r="F987" s="1" t="n">
        <v>28</v>
      </c>
      <c r="G987" s="1" t="n">
        <v>35</v>
      </c>
      <c r="H987" s="1" t="s">
        <v>72</v>
      </c>
      <c r="I987" s="1" t="n">
        <v>-6</v>
      </c>
      <c r="J987" s="1" t="n">
        <v>50</v>
      </c>
      <c r="K987" s="1" t="s">
        <v>158</v>
      </c>
      <c r="L987" s="1" t="b">
        <f aca="false">FALSE()</f>
        <v>0</v>
      </c>
      <c r="M987" s="1" t="str">
        <f aca="false">VLOOKUP(D987,'Team Reference'!$A:$B,2,FALSE())</f>
        <v>KC</v>
      </c>
      <c r="N987" s="1" t="str">
        <f aca="false">VLOOKUP(E987,'Team Reference'!$A:$B,2,FALSE())</f>
        <v>DEN</v>
      </c>
      <c r="O987" s="1" t="str">
        <f aca="false">IF(F987&gt;G987,M987,IF(G987&gt;F987,N987,"Tie"))</f>
        <v>DEN</v>
      </c>
      <c r="P987" s="1" t="n">
        <f aca="false">F987-G987</f>
        <v>-7</v>
      </c>
      <c r="Q987" s="1" t="n">
        <f aca="false">F987+G987</f>
        <v>63</v>
      </c>
      <c r="R987" s="1" t="str">
        <f aca="false">IF(H987=M987,"Home",IF(H987=N987,"Away",IF(H987="PICK","Pick","N/A")))</f>
        <v>Away</v>
      </c>
      <c r="S987" s="1" t="n">
        <f aca="false">IF(R987="Home",P987,IF(R987="Away",-P987,""))</f>
        <v>7</v>
      </c>
      <c r="T987" s="1" t="str">
        <f aca="false">IF(R987="Pick","No Line",IF(S987="","N/A",IF(S987+I987&gt;0,"Favorite Covered",IF(S987+I987&lt;0,"Underdog Covered","Push"))))</f>
        <v>Favorite Covered</v>
      </c>
      <c r="U987" s="1" t="str">
        <f aca="false">IF(Q987&gt;J987,"Over",IF(Q987&lt;J987,"Under","Push"))</f>
        <v>Over</v>
      </c>
    </row>
    <row r="988" customFormat="false" ht="15" hidden="false" customHeight="false" outlineLevel="0" collapsed="false">
      <c r="A988" s="1" t="s">
        <v>385</v>
      </c>
      <c r="B988" s="1" t="n">
        <v>2013</v>
      </c>
      <c r="C988" s="1" t="s">
        <v>215</v>
      </c>
      <c r="D988" s="1" t="s">
        <v>91</v>
      </c>
      <c r="E988" s="1" t="s">
        <v>63</v>
      </c>
      <c r="F988" s="1" t="n">
        <v>23</v>
      </c>
      <c r="G988" s="1" t="n">
        <v>20</v>
      </c>
      <c r="H988" s="1" t="s">
        <v>92</v>
      </c>
      <c r="I988" s="1" t="n">
        <v>-1</v>
      </c>
      <c r="J988" s="1" t="n">
        <v>50.5</v>
      </c>
      <c r="K988" s="1" t="s">
        <v>170</v>
      </c>
      <c r="L988" s="1" t="b">
        <f aca="false">FALSE()</f>
        <v>0</v>
      </c>
      <c r="M988" s="1" t="str">
        <f aca="false">VLOOKUP(D988,'Team Reference'!$A:$B,2,FALSE())</f>
        <v>MIN</v>
      </c>
      <c r="N988" s="1" t="str">
        <f aca="false">VLOOKUP(E988,'Team Reference'!$A:$B,2,FALSE())</f>
        <v>CHI</v>
      </c>
      <c r="O988" s="1" t="str">
        <f aca="false">IF(F988&gt;G988,M988,IF(G988&gt;F988,N988,"Tie"))</f>
        <v>MIN</v>
      </c>
      <c r="P988" s="1" t="n">
        <f aca="false">F988-G988</f>
        <v>3</v>
      </c>
      <c r="Q988" s="1" t="n">
        <f aca="false">F988+G988</f>
        <v>43</v>
      </c>
      <c r="R988" s="1" t="str">
        <f aca="false">IF(H988=M988,"Home",IF(H988=N988,"Away",IF(H988="PICK","Pick","N/A")))</f>
        <v>Home</v>
      </c>
      <c r="S988" s="1" t="n">
        <f aca="false">IF(R988="Home",P988,IF(R988="Away",-P988,""))</f>
        <v>3</v>
      </c>
      <c r="T988" s="1" t="str">
        <f aca="false">IF(R988="Pick","No Line",IF(S988="","N/A",IF(S988+I988&gt;0,"Favorite Covered",IF(S988+I988&lt;0,"Underdog Covered","Push"))))</f>
        <v>Favorite Covered</v>
      </c>
      <c r="U988" s="1" t="str">
        <f aca="false">IF(Q988&gt;J988,"Over",IF(Q988&lt;J988,"Under","Push"))</f>
        <v>Under</v>
      </c>
    </row>
    <row r="989" customFormat="false" ht="15" hidden="false" customHeight="false" outlineLevel="0" collapsed="false">
      <c r="A989" s="1" t="s">
        <v>385</v>
      </c>
      <c r="B989" s="1" t="n">
        <v>2013</v>
      </c>
      <c r="C989" s="1" t="s">
        <v>215</v>
      </c>
      <c r="D989" s="1" t="s">
        <v>99</v>
      </c>
      <c r="E989" s="1" t="s">
        <v>89</v>
      </c>
      <c r="F989" s="1" t="n">
        <v>3</v>
      </c>
      <c r="G989" s="1" t="n">
        <v>23</v>
      </c>
      <c r="H989" s="1" t="s">
        <v>100</v>
      </c>
      <c r="I989" s="1" t="n">
        <v>-2</v>
      </c>
      <c r="J989" s="1" t="n">
        <v>40.5</v>
      </c>
      <c r="K989" s="1" t="s">
        <v>149</v>
      </c>
      <c r="L989" s="1" t="b">
        <f aca="false">FALSE()</f>
        <v>0</v>
      </c>
      <c r="M989" s="1" t="str">
        <f aca="false">VLOOKUP(D989,'Team Reference'!$A:$B,2,FALSE())</f>
        <v>NYJ</v>
      </c>
      <c r="N989" s="1" t="str">
        <f aca="false">VLOOKUP(E989,'Team Reference'!$A:$B,2,FALSE())</f>
        <v>MIA</v>
      </c>
      <c r="O989" s="1" t="str">
        <f aca="false">IF(F989&gt;G989,M989,IF(G989&gt;F989,N989,"Tie"))</f>
        <v>MIA</v>
      </c>
      <c r="P989" s="1" t="n">
        <f aca="false">F989-G989</f>
        <v>-20</v>
      </c>
      <c r="Q989" s="1" t="n">
        <f aca="false">F989+G989</f>
        <v>26</v>
      </c>
      <c r="R989" s="1" t="str">
        <f aca="false">IF(H989=M989,"Home",IF(H989=N989,"Away",IF(H989="PICK","Pick","N/A")))</f>
        <v>Home</v>
      </c>
      <c r="S989" s="1" t="n">
        <f aca="false">IF(R989="Home",P989,IF(R989="Away",-P989,""))</f>
        <v>-20</v>
      </c>
      <c r="T989" s="1" t="str">
        <f aca="false">IF(R989="Pick","No Line",IF(S989="","N/A",IF(S989+I989&gt;0,"Favorite Covered",IF(S989+I989&lt;0,"Underdog Covered","Push"))))</f>
        <v>Underdog Covered</v>
      </c>
      <c r="U989" s="1" t="str">
        <f aca="false">IF(Q989&gt;J989,"Over",IF(Q989&lt;J989,"Under","Push"))</f>
        <v>Under</v>
      </c>
    </row>
    <row r="990" customFormat="false" ht="15" hidden="false" customHeight="false" outlineLevel="0" collapsed="false">
      <c r="A990" s="1" t="s">
        <v>385</v>
      </c>
      <c r="B990" s="1" t="n">
        <v>2013</v>
      </c>
      <c r="C990" s="1" t="s">
        <v>215</v>
      </c>
      <c r="D990" s="1" t="s">
        <v>103</v>
      </c>
      <c r="E990" s="1" t="s">
        <v>53</v>
      </c>
      <c r="F990" s="1" t="n">
        <v>24</v>
      </c>
      <c r="G990" s="1" t="n">
        <v>21</v>
      </c>
      <c r="H990" s="1" t="s">
        <v>104</v>
      </c>
      <c r="I990" s="1" t="n">
        <v>-3.5</v>
      </c>
      <c r="J990" s="1" t="n">
        <v>48.5</v>
      </c>
      <c r="K990" s="1" t="s">
        <v>150</v>
      </c>
      <c r="L990" s="1" t="b">
        <f aca="false">FALSE()</f>
        <v>0</v>
      </c>
      <c r="M990" s="1" t="str">
        <f aca="false">VLOOKUP(D990,'Team Reference'!$A:$B,2,FALSE())</f>
        <v>PHI</v>
      </c>
      <c r="N990" s="1" t="str">
        <f aca="false">VLOOKUP(E990,'Team Reference'!$A:$B,2,FALSE())</f>
        <v>ARI</v>
      </c>
      <c r="O990" s="1" t="str">
        <f aca="false">IF(F990&gt;G990,M990,IF(G990&gt;F990,N990,"Tie"))</f>
        <v>PHI</v>
      </c>
      <c r="P990" s="1" t="n">
        <f aca="false">F990-G990</f>
        <v>3</v>
      </c>
      <c r="Q990" s="1" t="n">
        <f aca="false">F990+G990</f>
        <v>45</v>
      </c>
      <c r="R990" s="1" t="str">
        <f aca="false">IF(H990=M990,"Home",IF(H990=N990,"Away",IF(H990="PICK","Pick","N/A")))</f>
        <v>Home</v>
      </c>
      <c r="S990" s="1" t="n">
        <f aca="false">IF(R990="Home",P990,IF(R990="Away",-P990,""))</f>
        <v>3</v>
      </c>
      <c r="T990" s="1" t="str">
        <f aca="false">IF(R990="Pick","No Line",IF(S990="","N/A",IF(S990+I990&gt;0,"Favorite Covered",IF(S990+I990&lt;0,"Underdog Covered","Push"))))</f>
        <v>Underdog Covered</v>
      </c>
      <c r="U990" s="1" t="str">
        <f aca="false">IF(Q990&gt;J990,"Over",IF(Q990&lt;J990,"Under","Push"))</f>
        <v>Under</v>
      </c>
    </row>
    <row r="991" customFormat="false" ht="15" hidden="false" customHeight="false" outlineLevel="0" collapsed="false">
      <c r="A991" s="1" t="s">
        <v>385</v>
      </c>
      <c r="B991" s="1" t="n">
        <v>2013</v>
      </c>
      <c r="C991" s="1" t="s">
        <v>215</v>
      </c>
      <c r="D991" s="1" t="s">
        <v>107</v>
      </c>
      <c r="E991" s="1" t="s">
        <v>65</v>
      </c>
      <c r="F991" s="1" t="n">
        <v>10</v>
      </c>
      <c r="G991" s="1" t="n">
        <v>17</v>
      </c>
      <c r="H991" s="1" t="s">
        <v>66</v>
      </c>
      <c r="I991" s="1" t="n">
        <v>-1.5</v>
      </c>
      <c r="J991" s="1" t="n">
        <v>48.5</v>
      </c>
      <c r="K991" s="1" t="s">
        <v>172</v>
      </c>
      <c r="L991" s="1" t="b">
        <f aca="false">FALSE()</f>
        <v>0</v>
      </c>
      <c r="M991" s="1" t="str">
        <f aca="false">VLOOKUP(D991,'Team Reference'!$A:$B,2,FALSE())</f>
        <v>LAC</v>
      </c>
      <c r="N991" s="1" t="str">
        <f aca="false">VLOOKUP(E991,'Team Reference'!$A:$B,2,FALSE())</f>
        <v>CIN</v>
      </c>
      <c r="O991" s="1" t="str">
        <f aca="false">IF(F991&gt;G991,M991,IF(G991&gt;F991,N991,"Tie"))</f>
        <v>CIN</v>
      </c>
      <c r="P991" s="1" t="n">
        <f aca="false">F991-G991</f>
        <v>-7</v>
      </c>
      <c r="Q991" s="1" t="n">
        <f aca="false">F991+G991</f>
        <v>27</v>
      </c>
      <c r="R991" s="1" t="str">
        <f aca="false">IF(H991=M991,"Home",IF(H991=N991,"Away",IF(H991="PICK","Pick","N/A")))</f>
        <v>Away</v>
      </c>
      <c r="S991" s="1" t="n">
        <f aca="false">IF(R991="Home",P991,IF(R991="Away",-P991,""))</f>
        <v>7</v>
      </c>
      <c r="T991" s="1" t="str">
        <f aca="false">IF(R991="Pick","No Line",IF(S991="","N/A",IF(S991+I991&gt;0,"Favorite Covered",IF(S991+I991&lt;0,"Underdog Covered","Push"))))</f>
        <v>Favorite Covered</v>
      </c>
      <c r="U991" s="1" t="str">
        <f aca="false">IF(Q991&gt;J991,"Over",IF(Q991&lt;J991,"Under","Push"))</f>
        <v>Under</v>
      </c>
    </row>
    <row r="992" customFormat="false" ht="15" hidden="false" customHeight="false" outlineLevel="0" collapsed="false">
      <c r="A992" s="1" t="s">
        <v>385</v>
      </c>
      <c r="B992" s="1" t="n">
        <v>2013</v>
      </c>
      <c r="C992" s="1" t="s">
        <v>215</v>
      </c>
      <c r="D992" s="1" t="s">
        <v>108</v>
      </c>
      <c r="E992" s="1" t="s">
        <v>112</v>
      </c>
      <c r="F992" s="1" t="n">
        <v>23</v>
      </c>
      <c r="G992" s="1" t="n">
        <v>13</v>
      </c>
      <c r="H992" s="1" t="s">
        <v>109</v>
      </c>
      <c r="I992" s="1" t="n">
        <v>-7.5</v>
      </c>
      <c r="J992" s="1" t="n">
        <v>40</v>
      </c>
      <c r="K992" s="1" t="s">
        <v>174</v>
      </c>
      <c r="L992" s="1" t="b">
        <f aca="false">FALSE()</f>
        <v>0</v>
      </c>
      <c r="M992" s="1" t="str">
        <f aca="false">VLOOKUP(D992,'Team Reference'!$A:$B,2,FALSE())</f>
        <v>SF</v>
      </c>
      <c r="N992" s="1" t="str">
        <f aca="false">VLOOKUP(E992,'Team Reference'!$A:$B,2,FALSE())</f>
        <v>LAR</v>
      </c>
      <c r="O992" s="1" t="str">
        <f aca="false">IF(F992&gt;G992,M992,IF(G992&gt;F992,N992,"Tie"))</f>
        <v>SF</v>
      </c>
      <c r="P992" s="1" t="n">
        <f aca="false">F992-G992</f>
        <v>10</v>
      </c>
      <c r="Q992" s="1" t="n">
        <f aca="false">F992+G992</f>
        <v>36</v>
      </c>
      <c r="R992" s="1" t="str">
        <f aca="false">IF(H992=M992,"Home",IF(H992=N992,"Away",IF(H992="PICK","Pick","N/A")))</f>
        <v>Home</v>
      </c>
      <c r="S992" s="1" t="n">
        <f aca="false">IF(R992="Home",P992,IF(R992="Away",-P992,""))</f>
        <v>10</v>
      </c>
      <c r="T992" s="1" t="str">
        <f aca="false">IF(R992="Pick","No Line",IF(S992="","N/A",IF(S992+I992&gt;0,"Favorite Covered",IF(S992+I992&lt;0,"Underdog Covered","Push"))))</f>
        <v>Favorite Covered</v>
      </c>
      <c r="U992" s="1" t="str">
        <f aca="false">IF(Q992&gt;J992,"Over",IF(Q992&lt;J992,"Under","Push"))</f>
        <v>Under</v>
      </c>
    </row>
    <row r="993" customFormat="false" ht="15" hidden="false" customHeight="false" outlineLevel="0" collapsed="false">
      <c r="A993" s="1" t="s">
        <v>385</v>
      </c>
      <c r="B993" s="1" t="n">
        <v>2013</v>
      </c>
      <c r="C993" s="1" t="s">
        <v>215</v>
      </c>
      <c r="D993" s="1" t="s">
        <v>117</v>
      </c>
      <c r="E993" s="1" t="s">
        <v>97</v>
      </c>
      <c r="F993" s="1" t="n">
        <v>17</v>
      </c>
      <c r="G993" s="1" t="n">
        <v>24</v>
      </c>
      <c r="H993" s="1" t="s">
        <v>118</v>
      </c>
      <c r="I993" s="1" t="n">
        <v>-1</v>
      </c>
      <c r="J993" s="1" t="n">
        <v>44.5</v>
      </c>
      <c r="K993" s="1" t="s">
        <v>156</v>
      </c>
      <c r="L993" s="1" t="b">
        <f aca="false">FALSE()</f>
        <v>0</v>
      </c>
      <c r="M993" s="1" t="str">
        <f aca="false">VLOOKUP(D993,'Team Reference'!$A:$B,2,FALSE())</f>
        <v>WAS</v>
      </c>
      <c r="N993" s="1" t="str">
        <f aca="false">VLOOKUP(E993,'Team Reference'!$A:$B,2,FALSE())</f>
        <v>NYG</v>
      </c>
      <c r="O993" s="1" t="str">
        <f aca="false">IF(F993&gt;G993,M993,IF(G993&gt;F993,N993,"Tie"))</f>
        <v>NYG</v>
      </c>
      <c r="P993" s="1" t="n">
        <f aca="false">F993-G993</f>
        <v>-7</v>
      </c>
      <c r="Q993" s="1" t="n">
        <f aca="false">F993+G993</f>
        <v>41</v>
      </c>
      <c r="R993" s="1" t="str">
        <f aca="false">IF(H993=M993,"Home",IF(H993=N993,"Away",IF(H993="PICK","Pick","N/A")))</f>
        <v>Home</v>
      </c>
      <c r="S993" s="1" t="n">
        <f aca="false">IF(R993="Home",P993,IF(R993="Away",-P993,""))</f>
        <v>-7</v>
      </c>
      <c r="T993" s="1" t="str">
        <f aca="false">IF(R993="Pick","No Line",IF(S993="","N/A",IF(S993+I993&gt;0,"Favorite Covered",IF(S993+I993&lt;0,"Underdog Covered","Push"))))</f>
        <v>Underdog Covered</v>
      </c>
      <c r="U993" s="1" t="str">
        <f aca="false">IF(Q993&gt;J993,"Over",IF(Q993&lt;J993,"Under","Push"))</f>
        <v>Under</v>
      </c>
    </row>
    <row r="994" customFormat="false" ht="15" hidden="false" customHeight="false" outlineLevel="0" collapsed="false">
      <c r="A994" s="1" t="s">
        <v>386</v>
      </c>
      <c r="B994" s="1" t="n">
        <v>2013</v>
      </c>
      <c r="C994" s="1" t="s">
        <v>215</v>
      </c>
      <c r="D994" s="1" t="s">
        <v>110</v>
      </c>
      <c r="E994" s="1" t="s">
        <v>95</v>
      </c>
      <c r="F994" s="1" t="n">
        <v>34</v>
      </c>
      <c r="G994" s="1" t="n">
        <v>7</v>
      </c>
      <c r="H994" s="1" t="s">
        <v>111</v>
      </c>
      <c r="I994" s="1" t="n">
        <v>-5</v>
      </c>
      <c r="J994" s="1" t="n">
        <v>47.5</v>
      </c>
      <c r="K994" s="1" t="s">
        <v>152</v>
      </c>
      <c r="L994" s="1" t="b">
        <f aca="false">FALSE()</f>
        <v>0</v>
      </c>
      <c r="M994" s="1" t="str">
        <f aca="false">VLOOKUP(D994,'Team Reference'!$A:$B,2,FALSE())</f>
        <v>SEA</v>
      </c>
      <c r="N994" s="1" t="str">
        <f aca="false">VLOOKUP(E994,'Team Reference'!$A:$B,2,FALSE())</f>
        <v>NO</v>
      </c>
      <c r="O994" s="1" t="str">
        <f aca="false">IF(F994&gt;G994,M994,IF(G994&gt;F994,N994,"Tie"))</f>
        <v>SEA</v>
      </c>
      <c r="P994" s="1" t="n">
        <f aca="false">F994-G994</f>
        <v>27</v>
      </c>
      <c r="Q994" s="1" t="n">
        <f aca="false">F994+G994</f>
        <v>41</v>
      </c>
      <c r="R994" s="1" t="str">
        <f aca="false">IF(H994=M994,"Home",IF(H994=N994,"Away",IF(H994="PICK","Pick","N/A")))</f>
        <v>Home</v>
      </c>
      <c r="S994" s="1" t="n">
        <f aca="false">IF(R994="Home",P994,IF(R994="Away",-P994,""))</f>
        <v>27</v>
      </c>
      <c r="T994" s="1" t="str">
        <f aca="false">IF(R994="Pick","No Line",IF(S994="","N/A",IF(S994+I994&gt;0,"Favorite Covered",IF(S994+I994&lt;0,"Underdog Covered","Push"))))</f>
        <v>Favorite Covered</v>
      </c>
      <c r="U994" s="1" t="str">
        <f aca="false">IF(Q994&gt;J994,"Over",IF(Q994&lt;J994,"Under","Push"))</f>
        <v>Under</v>
      </c>
    </row>
    <row r="995" customFormat="false" ht="15" hidden="false" customHeight="false" outlineLevel="0" collapsed="false">
      <c r="A995" s="1" t="s">
        <v>387</v>
      </c>
      <c r="B995" s="1" t="n">
        <v>2013</v>
      </c>
      <c r="C995" s="1" t="s">
        <v>219</v>
      </c>
      <c r="D995" s="1" t="s">
        <v>81</v>
      </c>
      <c r="E995" s="1" t="s">
        <v>77</v>
      </c>
      <c r="F995" s="1" t="n">
        <v>27</v>
      </c>
      <c r="G995" s="1" t="n">
        <v>20</v>
      </c>
      <c r="H995" s="1" t="s">
        <v>78</v>
      </c>
      <c r="I995" s="1" t="n">
        <v>-3.5</v>
      </c>
      <c r="J995" s="1" t="n">
        <v>43</v>
      </c>
      <c r="K995" s="1" t="s">
        <v>147</v>
      </c>
      <c r="L995" s="1" t="b">
        <f aca="false">FALSE()</f>
        <v>0</v>
      </c>
      <c r="M995" s="1" t="str">
        <f aca="false">VLOOKUP(D995,'Team Reference'!$A:$B,2,FALSE())</f>
        <v>JAX</v>
      </c>
      <c r="N995" s="1" t="str">
        <f aca="false">VLOOKUP(E995,'Team Reference'!$A:$B,2,FALSE())</f>
        <v>HOU</v>
      </c>
      <c r="O995" s="1" t="str">
        <f aca="false">IF(F995&gt;G995,M995,IF(G995&gt;F995,N995,"Tie"))</f>
        <v>JAX</v>
      </c>
      <c r="P995" s="1" t="n">
        <f aca="false">F995-G995</f>
        <v>7</v>
      </c>
      <c r="Q995" s="1" t="n">
        <f aca="false">F995+G995</f>
        <v>47</v>
      </c>
      <c r="R995" s="1" t="str">
        <f aca="false">IF(H995=M995,"Home",IF(H995=N995,"Away",IF(H995="PICK","Pick","N/A")))</f>
        <v>Away</v>
      </c>
      <c r="S995" s="1" t="n">
        <f aca="false">IF(R995="Home",P995,IF(R995="Away",-P995,""))</f>
        <v>-7</v>
      </c>
      <c r="T995" s="1" t="str">
        <f aca="false">IF(R995="Pick","No Line",IF(S995="","N/A",IF(S995+I995&gt;0,"Favorite Covered",IF(S995+I995&lt;0,"Underdog Covered","Push"))))</f>
        <v>Underdog Covered</v>
      </c>
      <c r="U995" s="1" t="str">
        <f aca="false">IF(Q995&gt;J995,"Over",IF(Q995&lt;J995,"Under","Push"))</f>
        <v>Over</v>
      </c>
    </row>
    <row r="996" customFormat="false" ht="15" hidden="false" customHeight="false" outlineLevel="0" collapsed="false">
      <c r="A996" s="1" t="s">
        <v>388</v>
      </c>
      <c r="B996" s="1" t="n">
        <v>2013</v>
      </c>
      <c r="C996" s="1" t="s">
        <v>219</v>
      </c>
      <c r="D996" s="1" t="s">
        <v>53</v>
      </c>
      <c r="E996" s="1" t="s">
        <v>112</v>
      </c>
      <c r="F996" s="1" t="n">
        <v>30</v>
      </c>
      <c r="G996" s="1" t="n">
        <v>10</v>
      </c>
      <c r="H996" s="1" t="s">
        <v>54</v>
      </c>
      <c r="I996" s="1" t="n">
        <v>-4.5</v>
      </c>
      <c r="J996" s="1" t="n">
        <v>41</v>
      </c>
      <c r="K996" s="1" t="s">
        <v>177</v>
      </c>
      <c r="L996" s="1" t="b">
        <f aca="false">FALSE()</f>
        <v>0</v>
      </c>
      <c r="M996" s="1" t="str">
        <f aca="false">VLOOKUP(D996,'Team Reference'!$A:$B,2,FALSE())</f>
        <v>ARI</v>
      </c>
      <c r="N996" s="1" t="str">
        <f aca="false">VLOOKUP(E996,'Team Reference'!$A:$B,2,FALSE())</f>
        <v>LAR</v>
      </c>
      <c r="O996" s="1" t="str">
        <f aca="false">IF(F996&gt;G996,M996,IF(G996&gt;F996,N996,"Tie"))</f>
        <v>ARI</v>
      </c>
      <c r="P996" s="1" t="n">
        <f aca="false">F996-G996</f>
        <v>20</v>
      </c>
      <c r="Q996" s="1" t="n">
        <f aca="false">F996+G996</f>
        <v>40</v>
      </c>
      <c r="R996" s="1" t="str">
        <f aca="false">IF(H996=M996,"Home",IF(H996=N996,"Away",IF(H996="PICK","Pick","N/A")))</f>
        <v>Home</v>
      </c>
      <c r="S996" s="1" t="n">
        <f aca="false">IF(R996="Home",P996,IF(R996="Away",-P996,""))</f>
        <v>20</v>
      </c>
      <c r="T996" s="1" t="str">
        <f aca="false">IF(R996="Pick","No Line",IF(S996="","N/A",IF(S996+I996&gt;0,"Favorite Covered",IF(S996+I996&lt;0,"Underdog Covered","Push"))))</f>
        <v>Favorite Covered</v>
      </c>
      <c r="U996" s="1" t="str">
        <f aca="false">IF(Q996&gt;J996,"Over",IF(Q996&lt;J996,"Under","Push"))</f>
        <v>Under</v>
      </c>
    </row>
    <row r="997" customFormat="false" ht="15" hidden="false" customHeight="false" outlineLevel="0" collapsed="false">
      <c r="A997" s="1" t="s">
        <v>388</v>
      </c>
      <c r="B997" s="1" t="n">
        <v>2013</v>
      </c>
      <c r="C997" s="1" t="s">
        <v>219</v>
      </c>
      <c r="D997" s="1" t="s">
        <v>57</v>
      </c>
      <c r="E997" s="1" t="s">
        <v>91</v>
      </c>
      <c r="F997" s="1" t="n">
        <v>29</v>
      </c>
      <c r="G997" s="1" t="n">
        <v>26</v>
      </c>
      <c r="H997" s="1" t="s">
        <v>58</v>
      </c>
      <c r="I997" s="1" t="n">
        <v>-6</v>
      </c>
      <c r="J997" s="1" t="n">
        <v>41.5</v>
      </c>
      <c r="K997" s="1" t="s">
        <v>178</v>
      </c>
      <c r="L997" s="1" t="b">
        <f aca="false">FALSE()</f>
        <v>0</v>
      </c>
      <c r="M997" s="1" t="str">
        <f aca="false">VLOOKUP(D997,'Team Reference'!$A:$B,2,FALSE())</f>
        <v>BAL</v>
      </c>
      <c r="N997" s="1" t="str">
        <f aca="false">VLOOKUP(E997,'Team Reference'!$A:$B,2,FALSE())</f>
        <v>MIN</v>
      </c>
      <c r="O997" s="1" t="str">
        <f aca="false">IF(F997&gt;G997,M997,IF(G997&gt;F997,N997,"Tie"))</f>
        <v>BAL</v>
      </c>
      <c r="P997" s="1" t="n">
        <f aca="false">F997-G997</f>
        <v>3</v>
      </c>
      <c r="Q997" s="1" t="n">
        <f aca="false">F997+G997</f>
        <v>55</v>
      </c>
      <c r="R997" s="1" t="str">
        <f aca="false">IF(H997=M997,"Home",IF(H997=N997,"Away",IF(H997="PICK","Pick","N/A")))</f>
        <v>Home</v>
      </c>
      <c r="S997" s="1" t="n">
        <f aca="false">IF(R997="Home",P997,IF(R997="Away",-P997,""))</f>
        <v>3</v>
      </c>
      <c r="T997" s="1" t="str">
        <f aca="false">IF(R997="Pick","No Line",IF(S997="","N/A",IF(S997+I997&gt;0,"Favorite Covered",IF(S997+I997&lt;0,"Underdog Covered","Push"))))</f>
        <v>Underdog Covered</v>
      </c>
      <c r="U997" s="1" t="str">
        <f aca="false">IF(Q997&gt;J997,"Over",IF(Q997&lt;J997,"Under","Push"))</f>
        <v>Over</v>
      </c>
    </row>
    <row r="998" customFormat="false" ht="15" hidden="false" customHeight="false" outlineLevel="0" collapsed="false">
      <c r="A998" s="1" t="s">
        <v>388</v>
      </c>
      <c r="B998" s="1" t="n">
        <v>2013</v>
      </c>
      <c r="C998" s="1" t="s">
        <v>219</v>
      </c>
      <c r="D998" s="1" t="s">
        <v>65</v>
      </c>
      <c r="E998" s="1" t="s">
        <v>79</v>
      </c>
      <c r="F998" s="1" t="n">
        <v>42</v>
      </c>
      <c r="G998" s="1" t="n">
        <v>28</v>
      </c>
      <c r="H998" s="1" t="s">
        <v>66</v>
      </c>
      <c r="I998" s="1" t="n">
        <v>-7</v>
      </c>
      <c r="J998" s="1" t="n">
        <v>43.5</v>
      </c>
      <c r="K998" s="1" t="s">
        <v>163</v>
      </c>
      <c r="L998" s="1" t="b">
        <f aca="false">FALSE()</f>
        <v>0</v>
      </c>
      <c r="M998" s="1" t="str">
        <f aca="false">VLOOKUP(D998,'Team Reference'!$A:$B,2,FALSE())</f>
        <v>CIN</v>
      </c>
      <c r="N998" s="1" t="str">
        <f aca="false">VLOOKUP(E998,'Team Reference'!$A:$B,2,FALSE())</f>
        <v>IND</v>
      </c>
      <c r="O998" s="1" t="str">
        <f aca="false">IF(F998&gt;G998,M998,IF(G998&gt;F998,N998,"Tie"))</f>
        <v>CIN</v>
      </c>
      <c r="P998" s="1" t="n">
        <f aca="false">F998-G998</f>
        <v>14</v>
      </c>
      <c r="Q998" s="1" t="n">
        <f aca="false">F998+G998</f>
        <v>70</v>
      </c>
      <c r="R998" s="1" t="str">
        <f aca="false">IF(H998=M998,"Home",IF(H998=N998,"Away",IF(H998="PICK","Pick","N/A")))</f>
        <v>Home</v>
      </c>
      <c r="S998" s="1" t="n">
        <f aca="false">IF(R998="Home",P998,IF(R998="Away",-P998,""))</f>
        <v>14</v>
      </c>
      <c r="T998" s="1" t="str">
        <f aca="false">IF(R998="Pick","No Line",IF(S998="","N/A",IF(S998+I998&gt;0,"Favorite Covered",IF(S998+I998&lt;0,"Underdog Covered","Push"))))</f>
        <v>Favorite Covered</v>
      </c>
      <c r="U998" s="1" t="str">
        <f aca="false">IF(Q998&gt;J998,"Over",IF(Q998&lt;J998,"Under","Push"))</f>
        <v>Over</v>
      </c>
    </row>
    <row r="999" customFormat="false" ht="15" hidden="false" customHeight="false" outlineLevel="0" collapsed="false">
      <c r="A999" s="1" t="s">
        <v>388</v>
      </c>
      <c r="B999" s="1" t="n">
        <v>2013</v>
      </c>
      <c r="C999" s="1" t="s">
        <v>219</v>
      </c>
      <c r="D999" s="1" t="s">
        <v>71</v>
      </c>
      <c r="E999" s="1" t="s">
        <v>115</v>
      </c>
      <c r="F999" s="1" t="n">
        <v>51</v>
      </c>
      <c r="G999" s="1" t="n">
        <v>28</v>
      </c>
      <c r="H999" s="1" t="s">
        <v>72</v>
      </c>
      <c r="I999" s="1" t="n">
        <v>-13.5</v>
      </c>
      <c r="J999" s="1" t="n">
        <v>49.5</v>
      </c>
      <c r="K999" s="1" t="s">
        <v>166</v>
      </c>
      <c r="L999" s="1" t="b">
        <f aca="false">FALSE()</f>
        <v>0</v>
      </c>
      <c r="M999" s="1" t="str">
        <f aca="false">VLOOKUP(D999,'Team Reference'!$A:$B,2,FALSE())</f>
        <v>DEN</v>
      </c>
      <c r="N999" s="1" t="str">
        <f aca="false">VLOOKUP(E999,'Team Reference'!$A:$B,2,FALSE())</f>
        <v>TEN</v>
      </c>
      <c r="O999" s="1" t="str">
        <f aca="false">IF(F999&gt;G999,M999,IF(G999&gt;F999,N999,"Tie"))</f>
        <v>DEN</v>
      </c>
      <c r="P999" s="1" t="n">
        <f aca="false">F999-G999</f>
        <v>23</v>
      </c>
      <c r="Q999" s="1" t="n">
        <f aca="false">F999+G999</f>
        <v>79</v>
      </c>
      <c r="R999" s="1" t="str">
        <f aca="false">IF(H999=M999,"Home",IF(H999=N999,"Away",IF(H999="PICK","Pick","N/A")))</f>
        <v>Home</v>
      </c>
      <c r="S999" s="1" t="n">
        <f aca="false">IF(R999="Home",P999,IF(R999="Away",-P999,""))</f>
        <v>23</v>
      </c>
      <c r="T999" s="1" t="str">
        <f aca="false">IF(R999="Pick","No Line",IF(S999="","N/A",IF(S999+I999&gt;0,"Favorite Covered",IF(S999+I999&lt;0,"Underdog Covered","Push"))))</f>
        <v>Favorite Covered</v>
      </c>
      <c r="U999" s="1" t="str">
        <f aca="false">IF(Q999&gt;J999,"Over",IF(Q999&lt;J999,"Under","Push"))</f>
        <v>Over</v>
      </c>
    </row>
    <row r="1000" customFormat="false" ht="15" hidden="false" customHeight="false" outlineLevel="0" collapsed="false">
      <c r="A1000" s="1" t="s">
        <v>388</v>
      </c>
      <c r="B1000" s="1" t="n">
        <v>2013</v>
      </c>
      <c r="C1000" s="1" t="s">
        <v>219</v>
      </c>
      <c r="D1000" s="1" t="s">
        <v>75</v>
      </c>
      <c r="E1000" s="1" t="s">
        <v>55</v>
      </c>
      <c r="F1000" s="1" t="n">
        <v>22</v>
      </c>
      <c r="G1000" s="1" t="n">
        <v>21</v>
      </c>
      <c r="H1000" s="1" t="s">
        <v>76</v>
      </c>
      <c r="I1000" s="1" t="n">
        <v>-3.5</v>
      </c>
      <c r="J1000" s="1" t="n">
        <v>45</v>
      </c>
      <c r="K1000" s="1" t="s">
        <v>168</v>
      </c>
      <c r="L1000" s="1" t="b">
        <f aca="false">FALSE()</f>
        <v>0</v>
      </c>
      <c r="M1000" s="1" t="str">
        <f aca="false">VLOOKUP(D1000,'Team Reference'!$A:$B,2,FALSE())</f>
        <v>GB</v>
      </c>
      <c r="N1000" s="1" t="str">
        <f aca="false">VLOOKUP(E1000,'Team Reference'!$A:$B,2,FALSE())</f>
        <v>ATL</v>
      </c>
      <c r="O1000" s="1" t="str">
        <f aca="false">IF(F1000&gt;G1000,M1000,IF(G1000&gt;F1000,N1000,"Tie"))</f>
        <v>GB</v>
      </c>
      <c r="P1000" s="1" t="n">
        <f aca="false">F1000-G1000</f>
        <v>1</v>
      </c>
      <c r="Q1000" s="1" t="n">
        <f aca="false">F1000+G1000</f>
        <v>43</v>
      </c>
      <c r="R1000" s="1" t="str">
        <f aca="false">IF(H1000=M1000,"Home",IF(H1000=N1000,"Away",IF(H1000="PICK","Pick","N/A")))</f>
        <v>Home</v>
      </c>
      <c r="S1000" s="1" t="n">
        <f aca="false">IF(R1000="Home",P1000,IF(R1000="Away",-P1000,""))</f>
        <v>1</v>
      </c>
      <c r="T1000" s="1" t="str">
        <f aca="false">IF(R1000="Pick","No Line",IF(S1000="","N/A",IF(S1000+I1000&gt;0,"Favorite Covered",IF(S1000+I1000&lt;0,"Underdog Covered","Push"))))</f>
        <v>Underdog Covered</v>
      </c>
      <c r="U1000" s="1" t="str">
        <f aca="false">IF(Q1000&gt;J1000,"Over",IF(Q1000&lt;J1000,"Under","Push"))</f>
        <v>Under</v>
      </c>
    </row>
    <row r="1001" customFormat="false" ht="15" hidden="false" customHeight="false" outlineLevel="0" collapsed="false">
      <c r="A1001" s="1" t="s">
        <v>388</v>
      </c>
      <c r="B1001" s="1" t="n">
        <v>2013</v>
      </c>
      <c r="C1001" s="1" t="s">
        <v>219</v>
      </c>
      <c r="D1001" s="1" t="s">
        <v>93</v>
      </c>
      <c r="E1001" s="1" t="s">
        <v>67</v>
      </c>
      <c r="F1001" s="1" t="n">
        <v>27</v>
      </c>
      <c r="G1001" s="1" t="n">
        <v>26</v>
      </c>
      <c r="H1001" s="1" t="s">
        <v>94</v>
      </c>
      <c r="I1001" s="1" t="n">
        <v>-9.5</v>
      </c>
      <c r="J1001" s="1" t="n">
        <v>47.5</v>
      </c>
      <c r="K1001" s="1" t="s">
        <v>148</v>
      </c>
      <c r="L1001" s="1" t="b">
        <f aca="false">FALSE()</f>
        <v>0</v>
      </c>
      <c r="M1001" s="1" t="str">
        <f aca="false">VLOOKUP(D1001,'Team Reference'!$A:$B,2,FALSE())</f>
        <v>NE</v>
      </c>
      <c r="N1001" s="1" t="str">
        <f aca="false">VLOOKUP(E1001,'Team Reference'!$A:$B,2,FALSE())</f>
        <v>CLE</v>
      </c>
      <c r="O1001" s="1" t="str">
        <f aca="false">IF(F1001&gt;G1001,M1001,IF(G1001&gt;F1001,N1001,"Tie"))</f>
        <v>NE</v>
      </c>
      <c r="P1001" s="1" t="n">
        <f aca="false">F1001-G1001</f>
        <v>1</v>
      </c>
      <c r="Q1001" s="1" t="n">
        <f aca="false">F1001+G1001</f>
        <v>53</v>
      </c>
      <c r="R1001" s="1" t="str">
        <f aca="false">IF(H1001=M1001,"Home",IF(H1001=N1001,"Away",IF(H1001="PICK","Pick","N/A")))</f>
        <v>Home</v>
      </c>
      <c r="S1001" s="1" t="n">
        <f aca="false">IF(R1001="Home",P1001,IF(R1001="Away",-P1001,""))</f>
        <v>1</v>
      </c>
      <c r="T1001" s="1" t="str">
        <f aca="false">IF(R1001="Pick","No Line",IF(S1001="","N/A",IF(S1001+I1001&gt;0,"Favorite Covered",IF(S1001+I1001&lt;0,"Underdog Covered","Push"))))</f>
        <v>Underdog Covered</v>
      </c>
      <c r="U1001" s="1" t="str">
        <f aca="false">IF(Q1001&gt;J1001,"Over",IF(Q1001&lt;J1001,"Under","Push"))</f>
        <v>Over</v>
      </c>
    </row>
    <row r="1002" customFormat="false" ht="15" hidden="false" customHeight="false" outlineLevel="0" collapsed="false">
      <c r="A1002" s="1" t="s">
        <v>388</v>
      </c>
      <c r="B1002" s="1" t="n">
        <v>2013</v>
      </c>
      <c r="C1002" s="1" t="s">
        <v>219</v>
      </c>
      <c r="D1002" s="1" t="s">
        <v>95</v>
      </c>
      <c r="E1002" s="1" t="s">
        <v>61</v>
      </c>
      <c r="F1002" s="1" t="n">
        <v>31</v>
      </c>
      <c r="G1002" s="1" t="n">
        <v>13</v>
      </c>
      <c r="H1002" s="1" t="s">
        <v>96</v>
      </c>
      <c r="I1002" s="1" t="n">
        <v>-3</v>
      </c>
      <c r="J1002" s="1" t="n">
        <v>46.5</v>
      </c>
      <c r="K1002" s="1" t="s">
        <v>142</v>
      </c>
      <c r="L1002" s="1" t="b">
        <f aca="false">FALSE()</f>
        <v>0</v>
      </c>
      <c r="M1002" s="1" t="str">
        <f aca="false">VLOOKUP(D1002,'Team Reference'!$A:$B,2,FALSE())</f>
        <v>NO</v>
      </c>
      <c r="N1002" s="1" t="str">
        <f aca="false">VLOOKUP(E1002,'Team Reference'!$A:$B,2,FALSE())</f>
        <v>CAR</v>
      </c>
      <c r="O1002" s="1" t="str">
        <f aca="false">IF(F1002&gt;G1002,M1002,IF(G1002&gt;F1002,N1002,"Tie"))</f>
        <v>NO</v>
      </c>
      <c r="P1002" s="1" t="n">
        <f aca="false">F1002-G1002</f>
        <v>18</v>
      </c>
      <c r="Q1002" s="1" t="n">
        <f aca="false">F1002+G1002</f>
        <v>44</v>
      </c>
      <c r="R1002" s="1" t="str">
        <f aca="false">IF(H1002=M1002,"Home",IF(H1002=N1002,"Away",IF(H1002="PICK","Pick","N/A")))</f>
        <v>Home</v>
      </c>
      <c r="S1002" s="1" t="n">
        <f aca="false">IF(R1002="Home",P1002,IF(R1002="Away",-P1002,""))</f>
        <v>18</v>
      </c>
      <c r="T1002" s="1" t="str">
        <f aca="false">IF(R1002="Pick","No Line",IF(S1002="","N/A",IF(S1002+I1002&gt;0,"Favorite Covered",IF(S1002+I1002&lt;0,"Underdog Covered","Push"))))</f>
        <v>Favorite Covered</v>
      </c>
      <c r="U1002" s="1" t="str">
        <f aca="false">IF(Q1002&gt;J1002,"Over",IF(Q1002&lt;J1002,"Under","Push"))</f>
        <v>Under</v>
      </c>
    </row>
    <row r="1003" customFormat="false" ht="15" hidden="false" customHeight="false" outlineLevel="0" collapsed="false">
      <c r="A1003" s="1" t="s">
        <v>388</v>
      </c>
      <c r="B1003" s="1" t="n">
        <v>2013</v>
      </c>
      <c r="C1003" s="1" t="s">
        <v>219</v>
      </c>
      <c r="D1003" s="1" t="s">
        <v>99</v>
      </c>
      <c r="E1003" s="1" t="s">
        <v>101</v>
      </c>
      <c r="F1003" s="1" t="n">
        <v>37</v>
      </c>
      <c r="G1003" s="1" t="n">
        <v>27</v>
      </c>
      <c r="H1003" s="1" t="s">
        <v>100</v>
      </c>
      <c r="I1003" s="1" t="n">
        <v>-3</v>
      </c>
      <c r="J1003" s="1" t="n">
        <v>39.5</v>
      </c>
      <c r="K1003" s="1" t="s">
        <v>149</v>
      </c>
      <c r="L1003" s="1" t="b">
        <f aca="false">FALSE()</f>
        <v>0</v>
      </c>
      <c r="M1003" s="1" t="str">
        <f aca="false">VLOOKUP(D1003,'Team Reference'!$A:$B,2,FALSE())</f>
        <v>NYJ</v>
      </c>
      <c r="N1003" s="1" t="str">
        <f aca="false">VLOOKUP(E1003,'Team Reference'!$A:$B,2,FALSE())</f>
        <v>OAK</v>
      </c>
      <c r="O1003" s="1" t="str">
        <f aca="false">IF(F1003&gt;G1003,M1003,IF(G1003&gt;F1003,N1003,"Tie"))</f>
        <v>NYJ</v>
      </c>
      <c r="P1003" s="1" t="n">
        <f aca="false">F1003-G1003</f>
        <v>10</v>
      </c>
      <c r="Q1003" s="1" t="n">
        <f aca="false">F1003+G1003</f>
        <v>64</v>
      </c>
      <c r="R1003" s="1" t="str">
        <f aca="false">IF(H1003=M1003,"Home",IF(H1003=N1003,"Away",IF(H1003="PICK","Pick","N/A")))</f>
        <v>Home</v>
      </c>
      <c r="S1003" s="1" t="n">
        <f aca="false">IF(R1003="Home",P1003,IF(R1003="Away",-P1003,""))</f>
        <v>10</v>
      </c>
      <c r="T1003" s="1" t="str">
        <f aca="false">IF(R1003="Pick","No Line",IF(S1003="","N/A",IF(S1003+I1003&gt;0,"Favorite Covered",IF(S1003+I1003&lt;0,"Underdog Covered","Push"))))</f>
        <v>Favorite Covered</v>
      </c>
      <c r="U1003" s="1" t="str">
        <f aca="false">IF(Q1003&gt;J1003,"Over",IF(Q1003&lt;J1003,"Under","Push"))</f>
        <v>Over</v>
      </c>
    </row>
    <row r="1004" customFormat="false" ht="15" hidden="false" customHeight="false" outlineLevel="0" collapsed="false">
      <c r="A1004" s="1" t="s">
        <v>388</v>
      </c>
      <c r="B1004" s="1" t="n">
        <v>2013</v>
      </c>
      <c r="C1004" s="1" t="s">
        <v>219</v>
      </c>
      <c r="D1004" s="1" t="s">
        <v>103</v>
      </c>
      <c r="E1004" s="1" t="s">
        <v>73</v>
      </c>
      <c r="F1004" s="1" t="n">
        <v>34</v>
      </c>
      <c r="G1004" s="1" t="n">
        <v>20</v>
      </c>
      <c r="H1004" s="1" t="s">
        <v>104</v>
      </c>
      <c r="I1004" s="1" t="n">
        <v>-2</v>
      </c>
      <c r="J1004" s="1" t="n">
        <v>53.5</v>
      </c>
      <c r="K1004" s="1" t="s">
        <v>150</v>
      </c>
      <c r="L1004" s="1" t="b">
        <f aca="false">FALSE()</f>
        <v>0</v>
      </c>
      <c r="M1004" s="1" t="str">
        <f aca="false">VLOOKUP(D1004,'Team Reference'!$A:$B,2,FALSE())</f>
        <v>PHI</v>
      </c>
      <c r="N1004" s="1" t="str">
        <f aca="false">VLOOKUP(E1004,'Team Reference'!$A:$B,2,FALSE())</f>
        <v>DET</v>
      </c>
      <c r="O1004" s="1" t="str">
        <f aca="false">IF(F1004&gt;G1004,M1004,IF(G1004&gt;F1004,N1004,"Tie"))</f>
        <v>PHI</v>
      </c>
      <c r="P1004" s="1" t="n">
        <f aca="false">F1004-G1004</f>
        <v>14</v>
      </c>
      <c r="Q1004" s="1" t="n">
        <f aca="false">F1004+G1004</f>
        <v>54</v>
      </c>
      <c r="R1004" s="1" t="str">
        <f aca="false">IF(H1004=M1004,"Home",IF(H1004=N1004,"Away",IF(H1004="PICK","Pick","N/A")))</f>
        <v>Home</v>
      </c>
      <c r="S1004" s="1" t="n">
        <f aca="false">IF(R1004="Home",P1004,IF(R1004="Away",-P1004,""))</f>
        <v>14</v>
      </c>
      <c r="T1004" s="1" t="str">
        <f aca="false">IF(R1004="Pick","No Line",IF(S1004="","N/A",IF(S1004+I1004&gt;0,"Favorite Covered",IF(S1004+I1004&lt;0,"Underdog Covered","Push"))))</f>
        <v>Favorite Covered</v>
      </c>
      <c r="U1004" s="1" t="str">
        <f aca="false">IF(Q1004&gt;J1004,"Over",IF(Q1004&lt;J1004,"Under","Push"))</f>
        <v>Over</v>
      </c>
    </row>
    <row r="1005" customFormat="false" ht="15" hidden="false" customHeight="false" outlineLevel="0" collapsed="false">
      <c r="A1005" s="1" t="s">
        <v>388</v>
      </c>
      <c r="B1005" s="1" t="n">
        <v>2013</v>
      </c>
      <c r="C1005" s="1" t="s">
        <v>219</v>
      </c>
      <c r="D1005" s="1" t="s">
        <v>105</v>
      </c>
      <c r="E1005" s="1" t="s">
        <v>89</v>
      </c>
      <c r="F1005" s="1" t="n">
        <v>28</v>
      </c>
      <c r="G1005" s="1" t="n">
        <v>34</v>
      </c>
      <c r="H1005" s="1" t="s">
        <v>106</v>
      </c>
      <c r="I1005" s="1" t="n">
        <v>-3</v>
      </c>
      <c r="J1005" s="1" t="n">
        <v>41</v>
      </c>
      <c r="K1005" s="1" t="s">
        <v>151</v>
      </c>
      <c r="L1005" s="1" t="b">
        <f aca="false">FALSE()</f>
        <v>0</v>
      </c>
      <c r="M1005" s="1" t="str">
        <f aca="false">VLOOKUP(D1005,'Team Reference'!$A:$B,2,FALSE())</f>
        <v>PIT</v>
      </c>
      <c r="N1005" s="1" t="str">
        <f aca="false">VLOOKUP(E1005,'Team Reference'!$A:$B,2,FALSE())</f>
        <v>MIA</v>
      </c>
      <c r="O1005" s="1" t="str">
        <f aca="false">IF(F1005&gt;G1005,M1005,IF(G1005&gt;F1005,N1005,"Tie"))</f>
        <v>MIA</v>
      </c>
      <c r="P1005" s="1" t="n">
        <f aca="false">F1005-G1005</f>
        <v>-6</v>
      </c>
      <c r="Q1005" s="1" t="n">
        <f aca="false">F1005+G1005</f>
        <v>62</v>
      </c>
      <c r="R1005" s="1" t="str">
        <f aca="false">IF(H1005=M1005,"Home",IF(H1005=N1005,"Away",IF(H1005="PICK","Pick","N/A")))</f>
        <v>Home</v>
      </c>
      <c r="S1005" s="1" t="n">
        <f aca="false">IF(R1005="Home",P1005,IF(R1005="Away",-P1005,""))</f>
        <v>-6</v>
      </c>
      <c r="T1005" s="1" t="str">
        <f aca="false">IF(R1005="Pick","No Line",IF(S1005="","N/A",IF(S1005+I1005&gt;0,"Favorite Covered",IF(S1005+I1005&lt;0,"Underdog Covered","Push"))))</f>
        <v>Underdog Covered</v>
      </c>
      <c r="U1005" s="1" t="str">
        <f aca="false">IF(Q1005&gt;J1005,"Over",IF(Q1005&lt;J1005,"Under","Push"))</f>
        <v>Over</v>
      </c>
    </row>
    <row r="1006" customFormat="false" ht="15" hidden="false" customHeight="false" outlineLevel="0" collapsed="false">
      <c r="A1006" s="1" t="s">
        <v>388</v>
      </c>
      <c r="B1006" s="1" t="n">
        <v>2013</v>
      </c>
      <c r="C1006" s="1" t="s">
        <v>219</v>
      </c>
      <c r="D1006" s="1" t="s">
        <v>107</v>
      </c>
      <c r="E1006" s="1" t="s">
        <v>97</v>
      </c>
      <c r="F1006" s="1" t="n">
        <v>37</v>
      </c>
      <c r="G1006" s="1" t="n">
        <v>14</v>
      </c>
      <c r="H1006" s="1" t="s">
        <v>86</v>
      </c>
      <c r="I1006" s="1" t="n">
        <v>-4</v>
      </c>
      <c r="J1006" s="1" t="n">
        <v>46.5</v>
      </c>
      <c r="K1006" s="1" t="s">
        <v>172</v>
      </c>
      <c r="L1006" s="1" t="b">
        <f aca="false">FALSE()</f>
        <v>0</v>
      </c>
      <c r="M1006" s="1" t="str">
        <f aca="false">VLOOKUP(D1006,'Team Reference'!$A:$B,2,FALSE())</f>
        <v>LAC</v>
      </c>
      <c r="N1006" s="1" t="str">
        <f aca="false">VLOOKUP(E1006,'Team Reference'!$A:$B,2,FALSE())</f>
        <v>NYG</v>
      </c>
      <c r="O1006" s="1" t="str">
        <f aca="false">IF(F1006&gt;G1006,M1006,IF(G1006&gt;F1006,N1006,"Tie"))</f>
        <v>LAC</v>
      </c>
      <c r="P1006" s="1" t="n">
        <f aca="false">F1006-G1006</f>
        <v>23</v>
      </c>
      <c r="Q1006" s="1" t="n">
        <f aca="false">F1006+G1006</f>
        <v>51</v>
      </c>
      <c r="R1006" s="1" t="str">
        <f aca="false">IF(H1006=M1006,"Home",IF(H1006=N1006,"Away",IF(H1006="PICK","Pick","N/A")))</f>
        <v>Home</v>
      </c>
      <c r="S1006" s="1" t="n">
        <f aca="false">IF(R1006="Home",P1006,IF(R1006="Away",-P1006,""))</f>
        <v>23</v>
      </c>
      <c r="T1006" s="1" t="str">
        <f aca="false">IF(R1006="Pick","No Line",IF(S1006="","N/A",IF(S1006+I1006&gt;0,"Favorite Covered",IF(S1006+I1006&lt;0,"Underdog Covered","Push"))))</f>
        <v>Favorite Covered</v>
      </c>
      <c r="U1006" s="1" t="str">
        <f aca="false">IF(Q1006&gt;J1006,"Over",IF(Q1006&lt;J1006,"Under","Push"))</f>
        <v>Over</v>
      </c>
    </row>
    <row r="1007" customFormat="false" ht="15" hidden="false" customHeight="false" outlineLevel="0" collapsed="false">
      <c r="A1007" s="1" t="s">
        <v>388</v>
      </c>
      <c r="B1007" s="1" t="n">
        <v>2013</v>
      </c>
      <c r="C1007" s="1" t="s">
        <v>219</v>
      </c>
      <c r="D1007" s="1" t="s">
        <v>108</v>
      </c>
      <c r="E1007" s="1" t="s">
        <v>110</v>
      </c>
      <c r="F1007" s="1" t="n">
        <v>19</v>
      </c>
      <c r="G1007" s="1" t="n">
        <v>17</v>
      </c>
      <c r="H1007" s="1" t="s">
        <v>109</v>
      </c>
      <c r="I1007" s="1" t="n">
        <v>-2</v>
      </c>
      <c r="J1007" s="1" t="n">
        <v>41</v>
      </c>
      <c r="K1007" s="1" t="s">
        <v>174</v>
      </c>
      <c r="L1007" s="1" t="b">
        <f aca="false">FALSE()</f>
        <v>0</v>
      </c>
      <c r="M1007" s="1" t="str">
        <f aca="false">VLOOKUP(D1007,'Team Reference'!$A:$B,2,FALSE())</f>
        <v>SF</v>
      </c>
      <c r="N1007" s="1" t="str">
        <f aca="false">VLOOKUP(E1007,'Team Reference'!$A:$B,2,FALSE())</f>
        <v>SEA</v>
      </c>
      <c r="O1007" s="1" t="str">
        <f aca="false">IF(F1007&gt;G1007,M1007,IF(G1007&gt;F1007,N1007,"Tie"))</f>
        <v>SF</v>
      </c>
      <c r="P1007" s="1" t="n">
        <f aca="false">F1007-G1007</f>
        <v>2</v>
      </c>
      <c r="Q1007" s="1" t="n">
        <f aca="false">F1007+G1007</f>
        <v>36</v>
      </c>
      <c r="R1007" s="1" t="str">
        <f aca="false">IF(H1007=M1007,"Home",IF(H1007=N1007,"Away",IF(H1007="PICK","Pick","N/A")))</f>
        <v>Home</v>
      </c>
      <c r="S1007" s="1" t="n">
        <f aca="false">IF(R1007="Home",P1007,IF(R1007="Away",-P1007,""))</f>
        <v>2</v>
      </c>
      <c r="T1007" s="1" t="str">
        <f aca="false">IF(R1007="Pick","No Line",IF(S1007="","N/A",IF(S1007+I1007&gt;0,"Favorite Covered",IF(S1007+I1007&lt;0,"Underdog Covered","Push"))))</f>
        <v>Push</v>
      </c>
      <c r="U1007" s="1" t="str">
        <f aca="false">IF(Q1007&gt;J1007,"Over",IF(Q1007&lt;J1007,"Under","Push"))</f>
        <v>Under</v>
      </c>
    </row>
    <row r="1008" customFormat="false" ht="15" hidden="false" customHeight="false" outlineLevel="0" collapsed="false">
      <c r="A1008" s="1" t="s">
        <v>388</v>
      </c>
      <c r="B1008" s="1" t="n">
        <v>2013</v>
      </c>
      <c r="C1008" s="1" t="s">
        <v>219</v>
      </c>
      <c r="D1008" s="1" t="s">
        <v>113</v>
      </c>
      <c r="E1008" s="1" t="s">
        <v>59</v>
      </c>
      <c r="F1008" s="1" t="n">
        <v>27</v>
      </c>
      <c r="G1008" s="1" t="n">
        <v>6</v>
      </c>
      <c r="H1008" s="1" t="s">
        <v>114</v>
      </c>
      <c r="I1008" s="1" t="n">
        <v>-2.5</v>
      </c>
      <c r="J1008" s="1" t="n">
        <v>42.5</v>
      </c>
      <c r="K1008" s="1" t="s">
        <v>154</v>
      </c>
      <c r="L1008" s="1" t="b">
        <f aca="false">FALSE()</f>
        <v>0</v>
      </c>
      <c r="M1008" s="1" t="str">
        <f aca="false">VLOOKUP(D1008,'Team Reference'!$A:$B,2,FALSE())</f>
        <v>TB</v>
      </c>
      <c r="N1008" s="1" t="str">
        <f aca="false">VLOOKUP(E1008,'Team Reference'!$A:$B,2,FALSE())</f>
        <v>BUF</v>
      </c>
      <c r="O1008" s="1" t="str">
        <f aca="false">IF(F1008&gt;G1008,M1008,IF(G1008&gt;F1008,N1008,"Tie"))</f>
        <v>TB</v>
      </c>
      <c r="P1008" s="1" t="n">
        <f aca="false">F1008-G1008</f>
        <v>21</v>
      </c>
      <c r="Q1008" s="1" t="n">
        <f aca="false">F1008+G1008</f>
        <v>33</v>
      </c>
      <c r="R1008" s="1" t="str">
        <f aca="false">IF(H1008=M1008,"Home",IF(H1008=N1008,"Away",IF(H1008="PICK","Pick","N/A")))</f>
        <v>Home</v>
      </c>
      <c r="S1008" s="1" t="n">
        <f aca="false">IF(R1008="Home",P1008,IF(R1008="Away",-P1008,""))</f>
        <v>21</v>
      </c>
      <c r="T1008" s="1" t="str">
        <f aca="false">IF(R1008="Pick","No Line",IF(S1008="","N/A",IF(S1008+I1008&gt;0,"Favorite Covered",IF(S1008+I1008&lt;0,"Underdog Covered","Push"))))</f>
        <v>Favorite Covered</v>
      </c>
      <c r="U1008" s="1" t="str">
        <f aca="false">IF(Q1008&gt;J1008,"Over",IF(Q1008&lt;J1008,"Under","Push"))</f>
        <v>Under</v>
      </c>
    </row>
    <row r="1009" customFormat="false" ht="15" hidden="false" customHeight="false" outlineLevel="0" collapsed="false">
      <c r="A1009" s="1" t="s">
        <v>388</v>
      </c>
      <c r="B1009" s="1" t="n">
        <v>2013</v>
      </c>
      <c r="C1009" s="1" t="s">
        <v>219</v>
      </c>
      <c r="D1009" s="1" t="s">
        <v>117</v>
      </c>
      <c r="E1009" s="1" t="s">
        <v>83</v>
      </c>
      <c r="F1009" s="1" t="n">
        <v>10</v>
      </c>
      <c r="G1009" s="1" t="n">
        <v>45</v>
      </c>
      <c r="H1009" s="1" t="s">
        <v>84</v>
      </c>
      <c r="I1009" s="1" t="n">
        <v>-3</v>
      </c>
      <c r="J1009" s="1" t="n">
        <v>44.5</v>
      </c>
      <c r="K1009" s="1" t="s">
        <v>156</v>
      </c>
      <c r="L1009" s="1" t="b">
        <f aca="false">FALSE()</f>
        <v>0</v>
      </c>
      <c r="M1009" s="1" t="str">
        <f aca="false">VLOOKUP(D1009,'Team Reference'!$A:$B,2,FALSE())</f>
        <v>WAS</v>
      </c>
      <c r="N1009" s="1" t="str">
        <f aca="false">VLOOKUP(E1009,'Team Reference'!$A:$B,2,FALSE())</f>
        <v>KC</v>
      </c>
      <c r="O1009" s="1" t="str">
        <f aca="false">IF(F1009&gt;G1009,M1009,IF(G1009&gt;F1009,N1009,"Tie"))</f>
        <v>KC</v>
      </c>
      <c r="P1009" s="1" t="n">
        <f aca="false">F1009-G1009</f>
        <v>-35</v>
      </c>
      <c r="Q1009" s="1" t="n">
        <f aca="false">F1009+G1009</f>
        <v>55</v>
      </c>
      <c r="R1009" s="1" t="str">
        <f aca="false">IF(H1009=M1009,"Home",IF(H1009=N1009,"Away",IF(H1009="PICK","Pick","N/A")))</f>
        <v>Away</v>
      </c>
      <c r="S1009" s="1" t="n">
        <f aca="false">IF(R1009="Home",P1009,IF(R1009="Away",-P1009,""))</f>
        <v>35</v>
      </c>
      <c r="T1009" s="1" t="str">
        <f aca="false">IF(R1009="Pick","No Line",IF(S1009="","N/A",IF(S1009+I1009&gt;0,"Favorite Covered",IF(S1009+I1009&lt;0,"Underdog Covered","Push"))))</f>
        <v>Favorite Covered</v>
      </c>
      <c r="U1009" s="1" t="str">
        <f aca="false">IF(Q1009&gt;J1009,"Over",IF(Q1009&lt;J1009,"Under","Push"))</f>
        <v>Over</v>
      </c>
    </row>
    <row r="1010" customFormat="false" ht="15" hidden="false" customHeight="false" outlineLevel="0" collapsed="false">
      <c r="A1010" s="1" t="s">
        <v>389</v>
      </c>
      <c r="B1010" s="1" t="n">
        <v>2013</v>
      </c>
      <c r="C1010" s="1" t="s">
        <v>219</v>
      </c>
      <c r="D1010" s="1" t="s">
        <v>63</v>
      </c>
      <c r="E1010" s="1" t="s">
        <v>69</v>
      </c>
      <c r="F1010" s="1" t="n">
        <v>45</v>
      </c>
      <c r="G1010" s="1" t="n">
        <v>28</v>
      </c>
      <c r="H1010" s="1" t="s">
        <v>64</v>
      </c>
      <c r="I1010" s="1" t="n">
        <v>-1.5</v>
      </c>
      <c r="J1010" s="1" t="n">
        <v>49.5</v>
      </c>
      <c r="K1010" s="1" t="s">
        <v>145</v>
      </c>
      <c r="L1010" s="1" t="b">
        <f aca="false">FALSE()</f>
        <v>0</v>
      </c>
      <c r="M1010" s="1" t="str">
        <f aca="false">VLOOKUP(D1010,'Team Reference'!$A:$B,2,FALSE())</f>
        <v>CHI</v>
      </c>
      <c r="N1010" s="1" t="str">
        <f aca="false">VLOOKUP(E1010,'Team Reference'!$A:$B,2,FALSE())</f>
        <v>DAL</v>
      </c>
      <c r="O1010" s="1" t="str">
        <f aca="false">IF(F1010&gt;G1010,M1010,IF(G1010&gt;F1010,N1010,"Tie"))</f>
        <v>CHI</v>
      </c>
      <c r="P1010" s="1" t="n">
        <f aca="false">F1010-G1010</f>
        <v>17</v>
      </c>
      <c r="Q1010" s="1" t="n">
        <f aca="false">F1010+G1010</f>
        <v>73</v>
      </c>
      <c r="R1010" s="1" t="str">
        <f aca="false">IF(H1010=M1010,"Home",IF(H1010=N1010,"Away",IF(H1010="PICK","Pick","N/A")))</f>
        <v>Home</v>
      </c>
      <c r="S1010" s="1" t="n">
        <f aca="false">IF(R1010="Home",P1010,IF(R1010="Away",-P1010,""))</f>
        <v>17</v>
      </c>
      <c r="T1010" s="1" t="str">
        <f aca="false">IF(R1010="Pick","No Line",IF(S1010="","N/A",IF(S1010+I1010&gt;0,"Favorite Covered",IF(S1010+I1010&lt;0,"Underdog Covered","Push"))))</f>
        <v>Favorite Covered</v>
      </c>
      <c r="U1010" s="1" t="str">
        <f aca="false">IF(Q1010&gt;J1010,"Over",IF(Q1010&lt;J1010,"Under","Push"))</f>
        <v>Over</v>
      </c>
    </row>
    <row r="1011" customFormat="false" ht="15" hidden="false" customHeight="false" outlineLevel="0" collapsed="false">
      <c r="A1011" s="1" t="s">
        <v>390</v>
      </c>
      <c r="B1011" s="1" t="n">
        <v>2013</v>
      </c>
      <c r="C1011" s="1" t="s">
        <v>223</v>
      </c>
      <c r="D1011" s="1" t="s">
        <v>71</v>
      </c>
      <c r="E1011" s="1" t="s">
        <v>107</v>
      </c>
      <c r="F1011" s="1" t="n">
        <v>20</v>
      </c>
      <c r="G1011" s="1" t="n">
        <v>27</v>
      </c>
      <c r="H1011" s="1" t="s">
        <v>72</v>
      </c>
      <c r="I1011" s="1" t="n">
        <v>-9.5</v>
      </c>
      <c r="J1011" s="1" t="n">
        <v>57</v>
      </c>
      <c r="K1011" s="1" t="s">
        <v>166</v>
      </c>
      <c r="L1011" s="1" t="b">
        <f aca="false">FALSE()</f>
        <v>0</v>
      </c>
      <c r="M1011" s="1" t="str">
        <f aca="false">VLOOKUP(D1011,'Team Reference'!$A:$B,2,FALSE())</f>
        <v>DEN</v>
      </c>
      <c r="N1011" s="1" t="str">
        <f aca="false">VLOOKUP(E1011,'Team Reference'!$A:$B,2,FALSE())</f>
        <v>LAC</v>
      </c>
      <c r="O1011" s="1" t="str">
        <f aca="false">IF(F1011&gt;G1011,M1011,IF(G1011&gt;F1011,N1011,"Tie"))</f>
        <v>LAC</v>
      </c>
      <c r="P1011" s="1" t="n">
        <f aca="false">F1011-G1011</f>
        <v>-7</v>
      </c>
      <c r="Q1011" s="1" t="n">
        <f aca="false">F1011+G1011</f>
        <v>47</v>
      </c>
      <c r="R1011" s="1" t="str">
        <f aca="false">IF(H1011=M1011,"Home",IF(H1011=N1011,"Away",IF(H1011="PICK","Pick","N/A")))</f>
        <v>Home</v>
      </c>
      <c r="S1011" s="1" t="n">
        <f aca="false">IF(R1011="Home",P1011,IF(R1011="Away",-P1011,""))</f>
        <v>-7</v>
      </c>
      <c r="T1011" s="1" t="str">
        <f aca="false">IF(R1011="Pick","No Line",IF(S1011="","N/A",IF(S1011+I1011&gt;0,"Favorite Covered",IF(S1011+I1011&lt;0,"Underdog Covered","Push"))))</f>
        <v>Underdog Covered</v>
      </c>
      <c r="U1011" s="1" t="str">
        <f aca="false">IF(Q1011&gt;J1011,"Over",IF(Q1011&lt;J1011,"Under","Push"))</f>
        <v>Under</v>
      </c>
    </row>
    <row r="1012" customFormat="false" ht="15" hidden="false" customHeight="false" outlineLevel="0" collapsed="false">
      <c r="A1012" s="1" t="s">
        <v>391</v>
      </c>
      <c r="B1012" s="1" t="n">
        <v>2013</v>
      </c>
      <c r="C1012" s="1" t="s">
        <v>223</v>
      </c>
      <c r="D1012" s="1" t="s">
        <v>55</v>
      </c>
      <c r="E1012" s="1" t="s">
        <v>117</v>
      </c>
      <c r="F1012" s="1" t="n">
        <v>27</v>
      </c>
      <c r="G1012" s="1" t="n">
        <v>26</v>
      </c>
      <c r="H1012" s="1" t="s">
        <v>56</v>
      </c>
      <c r="I1012" s="1" t="n">
        <v>-5.5</v>
      </c>
      <c r="J1012" s="1" t="n">
        <v>49</v>
      </c>
      <c r="K1012" s="1" t="s">
        <v>161</v>
      </c>
      <c r="L1012" s="1" t="b">
        <f aca="false">FALSE()</f>
        <v>0</v>
      </c>
      <c r="M1012" s="1" t="str">
        <f aca="false">VLOOKUP(D1012,'Team Reference'!$A:$B,2,FALSE())</f>
        <v>ATL</v>
      </c>
      <c r="N1012" s="1" t="str">
        <f aca="false">VLOOKUP(E1012,'Team Reference'!$A:$B,2,FALSE())</f>
        <v>WAS</v>
      </c>
      <c r="O1012" s="1" t="str">
        <f aca="false">IF(F1012&gt;G1012,M1012,IF(G1012&gt;F1012,N1012,"Tie"))</f>
        <v>ATL</v>
      </c>
      <c r="P1012" s="1" t="n">
        <f aca="false">F1012-G1012</f>
        <v>1</v>
      </c>
      <c r="Q1012" s="1" t="n">
        <f aca="false">F1012+G1012</f>
        <v>53</v>
      </c>
      <c r="R1012" s="1" t="str">
        <f aca="false">IF(H1012=M1012,"Home",IF(H1012=N1012,"Away",IF(H1012="PICK","Pick","N/A")))</f>
        <v>Home</v>
      </c>
      <c r="S1012" s="1" t="n">
        <f aca="false">IF(R1012="Home",P1012,IF(R1012="Away",-P1012,""))</f>
        <v>1</v>
      </c>
      <c r="T1012" s="1" t="str">
        <f aca="false">IF(R1012="Pick","No Line",IF(S1012="","N/A",IF(S1012+I1012&gt;0,"Favorite Covered",IF(S1012+I1012&lt;0,"Underdog Covered","Push"))))</f>
        <v>Underdog Covered</v>
      </c>
      <c r="U1012" s="1" t="str">
        <f aca="false">IF(Q1012&gt;J1012,"Over",IF(Q1012&lt;J1012,"Under","Push"))</f>
        <v>Over</v>
      </c>
    </row>
    <row r="1013" customFormat="false" ht="15" hidden="false" customHeight="false" outlineLevel="0" collapsed="false">
      <c r="A1013" s="1" t="s">
        <v>391</v>
      </c>
      <c r="B1013" s="1" t="n">
        <v>2013</v>
      </c>
      <c r="C1013" s="1" t="s">
        <v>223</v>
      </c>
      <c r="D1013" s="1" t="s">
        <v>61</v>
      </c>
      <c r="E1013" s="1" t="s">
        <v>99</v>
      </c>
      <c r="F1013" s="1" t="n">
        <v>30</v>
      </c>
      <c r="G1013" s="1" t="n">
        <v>20</v>
      </c>
      <c r="H1013" s="1" t="s">
        <v>62</v>
      </c>
      <c r="I1013" s="1" t="n">
        <v>-10</v>
      </c>
      <c r="J1013" s="1" t="n">
        <v>40.5</v>
      </c>
      <c r="K1013" s="1" t="s">
        <v>162</v>
      </c>
      <c r="L1013" s="1" t="b">
        <f aca="false">FALSE()</f>
        <v>0</v>
      </c>
      <c r="M1013" s="1" t="str">
        <f aca="false">VLOOKUP(D1013,'Team Reference'!$A:$B,2,FALSE())</f>
        <v>CAR</v>
      </c>
      <c r="N1013" s="1" t="str">
        <f aca="false">VLOOKUP(E1013,'Team Reference'!$A:$B,2,FALSE())</f>
        <v>NYJ</v>
      </c>
      <c r="O1013" s="1" t="str">
        <f aca="false">IF(F1013&gt;G1013,M1013,IF(G1013&gt;F1013,N1013,"Tie"))</f>
        <v>CAR</v>
      </c>
      <c r="P1013" s="1" t="n">
        <f aca="false">F1013-G1013</f>
        <v>10</v>
      </c>
      <c r="Q1013" s="1" t="n">
        <f aca="false">F1013+G1013</f>
        <v>50</v>
      </c>
      <c r="R1013" s="1" t="str">
        <f aca="false">IF(H1013=M1013,"Home",IF(H1013=N1013,"Away",IF(H1013="PICK","Pick","N/A")))</f>
        <v>Home</v>
      </c>
      <c r="S1013" s="1" t="n">
        <f aca="false">IF(R1013="Home",P1013,IF(R1013="Away",-P1013,""))</f>
        <v>10</v>
      </c>
      <c r="T1013" s="1" t="str">
        <f aca="false">IF(R1013="Pick","No Line",IF(S1013="","N/A",IF(S1013+I1013&gt;0,"Favorite Covered",IF(S1013+I1013&lt;0,"Underdog Covered","Push"))))</f>
        <v>Push</v>
      </c>
      <c r="U1013" s="1" t="str">
        <f aca="false">IF(Q1013&gt;J1013,"Over",IF(Q1013&lt;J1013,"Under","Push"))</f>
        <v>Over</v>
      </c>
    </row>
    <row r="1014" customFormat="false" ht="15" hidden="false" customHeight="false" outlineLevel="0" collapsed="false">
      <c r="A1014" s="1" t="s">
        <v>391</v>
      </c>
      <c r="B1014" s="1" t="n">
        <v>2013</v>
      </c>
      <c r="C1014" s="1" t="s">
        <v>223</v>
      </c>
      <c r="D1014" s="1" t="s">
        <v>67</v>
      </c>
      <c r="E1014" s="1" t="s">
        <v>63</v>
      </c>
      <c r="F1014" s="1" t="n">
        <v>31</v>
      </c>
      <c r="G1014" s="1" t="n">
        <v>38</v>
      </c>
      <c r="H1014" s="1" t="s">
        <v>68</v>
      </c>
      <c r="I1014" s="1" t="n">
        <v>-1</v>
      </c>
      <c r="J1014" s="1" t="n">
        <v>44</v>
      </c>
      <c r="K1014" s="1" t="s">
        <v>164</v>
      </c>
      <c r="L1014" s="1" t="b">
        <f aca="false">FALSE()</f>
        <v>0</v>
      </c>
      <c r="M1014" s="1" t="str">
        <f aca="false">VLOOKUP(D1014,'Team Reference'!$A:$B,2,FALSE())</f>
        <v>CLE</v>
      </c>
      <c r="N1014" s="1" t="str">
        <f aca="false">VLOOKUP(E1014,'Team Reference'!$A:$B,2,FALSE())</f>
        <v>CHI</v>
      </c>
      <c r="O1014" s="1" t="str">
        <f aca="false">IF(F1014&gt;G1014,M1014,IF(G1014&gt;F1014,N1014,"Tie"))</f>
        <v>CHI</v>
      </c>
      <c r="P1014" s="1" t="n">
        <f aca="false">F1014-G1014</f>
        <v>-7</v>
      </c>
      <c r="Q1014" s="1" t="n">
        <f aca="false">F1014+G1014</f>
        <v>69</v>
      </c>
      <c r="R1014" s="1" t="str">
        <f aca="false">IF(H1014=M1014,"Home",IF(H1014=N1014,"Away",IF(H1014="PICK","Pick","N/A")))</f>
        <v>Home</v>
      </c>
      <c r="S1014" s="1" t="n">
        <f aca="false">IF(R1014="Home",P1014,IF(R1014="Away",-P1014,""))</f>
        <v>-7</v>
      </c>
      <c r="T1014" s="1" t="str">
        <f aca="false">IF(R1014="Pick","No Line",IF(S1014="","N/A",IF(S1014+I1014&gt;0,"Favorite Covered",IF(S1014+I1014&lt;0,"Underdog Covered","Push"))))</f>
        <v>Underdog Covered</v>
      </c>
      <c r="U1014" s="1" t="str">
        <f aca="false">IF(Q1014&gt;J1014,"Over",IF(Q1014&lt;J1014,"Under","Push"))</f>
        <v>Over</v>
      </c>
    </row>
    <row r="1015" customFormat="false" ht="15" hidden="false" customHeight="false" outlineLevel="0" collapsed="false">
      <c r="A1015" s="1" t="s">
        <v>391</v>
      </c>
      <c r="B1015" s="1" t="n">
        <v>2013</v>
      </c>
      <c r="C1015" s="1" t="s">
        <v>223</v>
      </c>
      <c r="D1015" s="1" t="s">
        <v>69</v>
      </c>
      <c r="E1015" s="1" t="s">
        <v>75</v>
      </c>
      <c r="F1015" s="1" t="n">
        <v>36</v>
      </c>
      <c r="G1015" s="1" t="n">
        <v>37</v>
      </c>
      <c r="H1015" s="1" t="s">
        <v>70</v>
      </c>
      <c r="I1015" s="1" t="n">
        <v>-4</v>
      </c>
      <c r="J1015" s="1" t="n">
        <v>49.5</v>
      </c>
      <c r="K1015" s="1" t="s">
        <v>165</v>
      </c>
      <c r="L1015" s="1" t="b">
        <f aca="false">FALSE()</f>
        <v>0</v>
      </c>
      <c r="M1015" s="1" t="str">
        <f aca="false">VLOOKUP(D1015,'Team Reference'!$A:$B,2,FALSE())</f>
        <v>DAL</v>
      </c>
      <c r="N1015" s="1" t="str">
        <f aca="false">VLOOKUP(E1015,'Team Reference'!$A:$B,2,FALSE())</f>
        <v>GB</v>
      </c>
      <c r="O1015" s="1" t="str">
        <f aca="false">IF(F1015&gt;G1015,M1015,IF(G1015&gt;F1015,N1015,"Tie"))</f>
        <v>GB</v>
      </c>
      <c r="P1015" s="1" t="n">
        <f aca="false">F1015-G1015</f>
        <v>-1</v>
      </c>
      <c r="Q1015" s="1" t="n">
        <f aca="false">F1015+G1015</f>
        <v>73</v>
      </c>
      <c r="R1015" s="1" t="str">
        <f aca="false">IF(H1015=M1015,"Home",IF(H1015=N1015,"Away",IF(H1015="PICK","Pick","N/A")))</f>
        <v>Home</v>
      </c>
      <c r="S1015" s="1" t="n">
        <f aca="false">IF(R1015="Home",P1015,IF(R1015="Away",-P1015,""))</f>
        <v>-1</v>
      </c>
      <c r="T1015" s="1" t="str">
        <f aca="false">IF(R1015="Pick","No Line",IF(S1015="","N/A",IF(S1015+I1015&gt;0,"Favorite Covered",IF(S1015+I1015&lt;0,"Underdog Covered","Push"))))</f>
        <v>Underdog Covered</v>
      </c>
      <c r="U1015" s="1" t="str">
        <f aca="false">IF(Q1015&gt;J1015,"Over",IF(Q1015&lt;J1015,"Under","Push"))</f>
        <v>Over</v>
      </c>
    </row>
    <row r="1016" customFormat="false" ht="15" hidden="false" customHeight="false" outlineLevel="0" collapsed="false">
      <c r="A1016" s="1" t="s">
        <v>391</v>
      </c>
      <c r="B1016" s="1" t="n">
        <v>2013</v>
      </c>
      <c r="C1016" s="1" t="s">
        <v>223</v>
      </c>
      <c r="D1016" s="1" t="s">
        <v>79</v>
      </c>
      <c r="E1016" s="1" t="s">
        <v>77</v>
      </c>
      <c r="F1016" s="1" t="n">
        <v>25</v>
      </c>
      <c r="G1016" s="1" t="n">
        <v>3</v>
      </c>
      <c r="H1016" s="1" t="s">
        <v>80</v>
      </c>
      <c r="I1016" s="1" t="n">
        <v>-6</v>
      </c>
      <c r="J1016" s="1" t="n">
        <v>47</v>
      </c>
      <c r="K1016" s="1" t="s">
        <v>169</v>
      </c>
      <c r="L1016" s="1" t="b">
        <f aca="false">FALSE()</f>
        <v>0</v>
      </c>
      <c r="M1016" s="1" t="str">
        <f aca="false">VLOOKUP(D1016,'Team Reference'!$A:$B,2,FALSE())</f>
        <v>IND</v>
      </c>
      <c r="N1016" s="1" t="str">
        <f aca="false">VLOOKUP(E1016,'Team Reference'!$A:$B,2,FALSE())</f>
        <v>HOU</v>
      </c>
      <c r="O1016" s="1" t="str">
        <f aca="false">IF(F1016&gt;G1016,M1016,IF(G1016&gt;F1016,N1016,"Tie"))</f>
        <v>IND</v>
      </c>
      <c r="P1016" s="1" t="n">
        <f aca="false">F1016-G1016</f>
        <v>22</v>
      </c>
      <c r="Q1016" s="1" t="n">
        <f aca="false">F1016+G1016</f>
        <v>28</v>
      </c>
      <c r="R1016" s="1" t="str">
        <f aca="false">IF(H1016=M1016,"Home",IF(H1016=N1016,"Away",IF(H1016="PICK","Pick","N/A")))</f>
        <v>Home</v>
      </c>
      <c r="S1016" s="1" t="n">
        <f aca="false">IF(R1016="Home",P1016,IF(R1016="Away",-P1016,""))</f>
        <v>22</v>
      </c>
      <c r="T1016" s="1" t="str">
        <f aca="false">IF(R1016="Pick","No Line",IF(S1016="","N/A",IF(S1016+I1016&gt;0,"Favorite Covered",IF(S1016+I1016&lt;0,"Underdog Covered","Push"))))</f>
        <v>Favorite Covered</v>
      </c>
      <c r="U1016" s="1" t="str">
        <f aca="false">IF(Q1016&gt;J1016,"Over",IF(Q1016&lt;J1016,"Under","Push"))</f>
        <v>Under</v>
      </c>
    </row>
    <row r="1017" customFormat="false" ht="15" hidden="false" customHeight="false" outlineLevel="0" collapsed="false">
      <c r="A1017" s="1" t="s">
        <v>391</v>
      </c>
      <c r="B1017" s="1" t="n">
        <v>2013</v>
      </c>
      <c r="C1017" s="1" t="s">
        <v>223</v>
      </c>
      <c r="D1017" s="1" t="s">
        <v>81</v>
      </c>
      <c r="E1017" s="1" t="s">
        <v>59</v>
      </c>
      <c r="F1017" s="1" t="n">
        <v>20</v>
      </c>
      <c r="G1017" s="1" t="n">
        <v>27</v>
      </c>
      <c r="H1017" s="1" t="s">
        <v>60</v>
      </c>
      <c r="I1017" s="1" t="n">
        <v>-4</v>
      </c>
      <c r="J1017" s="1" t="n">
        <v>43.5</v>
      </c>
      <c r="K1017" s="1" t="s">
        <v>147</v>
      </c>
      <c r="L1017" s="1" t="b">
        <f aca="false">FALSE()</f>
        <v>0</v>
      </c>
      <c r="M1017" s="1" t="str">
        <f aca="false">VLOOKUP(D1017,'Team Reference'!$A:$B,2,FALSE())</f>
        <v>JAX</v>
      </c>
      <c r="N1017" s="1" t="str">
        <f aca="false">VLOOKUP(E1017,'Team Reference'!$A:$B,2,FALSE())</f>
        <v>BUF</v>
      </c>
      <c r="O1017" s="1" t="str">
        <f aca="false">IF(F1017&gt;G1017,M1017,IF(G1017&gt;F1017,N1017,"Tie"))</f>
        <v>BUF</v>
      </c>
      <c r="P1017" s="1" t="n">
        <f aca="false">F1017-G1017</f>
        <v>-7</v>
      </c>
      <c r="Q1017" s="1" t="n">
        <f aca="false">F1017+G1017</f>
        <v>47</v>
      </c>
      <c r="R1017" s="1" t="str">
        <f aca="false">IF(H1017=M1017,"Home",IF(H1017=N1017,"Away",IF(H1017="PICK","Pick","N/A")))</f>
        <v>Away</v>
      </c>
      <c r="S1017" s="1" t="n">
        <f aca="false">IF(R1017="Home",P1017,IF(R1017="Away",-P1017,""))</f>
        <v>7</v>
      </c>
      <c r="T1017" s="1" t="str">
        <f aca="false">IF(R1017="Pick","No Line",IF(S1017="","N/A",IF(S1017+I1017&gt;0,"Favorite Covered",IF(S1017+I1017&lt;0,"Underdog Covered","Push"))))</f>
        <v>Favorite Covered</v>
      </c>
      <c r="U1017" s="1" t="str">
        <f aca="false">IF(Q1017&gt;J1017,"Over",IF(Q1017&lt;J1017,"Under","Push"))</f>
        <v>Over</v>
      </c>
    </row>
    <row r="1018" customFormat="false" ht="15" hidden="false" customHeight="false" outlineLevel="0" collapsed="false">
      <c r="A1018" s="1" t="s">
        <v>391</v>
      </c>
      <c r="B1018" s="1" t="n">
        <v>2013</v>
      </c>
      <c r="C1018" s="1" t="s">
        <v>223</v>
      </c>
      <c r="D1018" s="1" t="s">
        <v>89</v>
      </c>
      <c r="E1018" s="1" t="s">
        <v>93</v>
      </c>
      <c r="F1018" s="1" t="n">
        <v>24</v>
      </c>
      <c r="G1018" s="1" t="n">
        <v>20</v>
      </c>
      <c r="H1018" s="1" t="s">
        <v>90</v>
      </c>
      <c r="I1018" s="1" t="n">
        <v>-2.5</v>
      </c>
      <c r="J1018" s="1" t="n">
        <v>46.5</v>
      </c>
      <c r="K1018" s="1" t="s">
        <v>179</v>
      </c>
      <c r="L1018" s="1" t="b">
        <f aca="false">FALSE()</f>
        <v>0</v>
      </c>
      <c r="M1018" s="1" t="str">
        <f aca="false">VLOOKUP(D1018,'Team Reference'!$A:$B,2,FALSE())</f>
        <v>MIA</v>
      </c>
      <c r="N1018" s="1" t="str">
        <f aca="false">VLOOKUP(E1018,'Team Reference'!$A:$B,2,FALSE())</f>
        <v>NE</v>
      </c>
      <c r="O1018" s="1" t="str">
        <f aca="false">IF(F1018&gt;G1018,M1018,IF(G1018&gt;F1018,N1018,"Tie"))</f>
        <v>MIA</v>
      </c>
      <c r="P1018" s="1" t="n">
        <f aca="false">F1018-G1018</f>
        <v>4</v>
      </c>
      <c r="Q1018" s="1" t="n">
        <f aca="false">F1018+G1018</f>
        <v>44</v>
      </c>
      <c r="R1018" s="1" t="str">
        <f aca="false">IF(H1018=M1018,"Home",IF(H1018=N1018,"Away",IF(H1018="PICK","Pick","N/A")))</f>
        <v>Home</v>
      </c>
      <c r="S1018" s="1" t="n">
        <f aca="false">IF(R1018="Home",P1018,IF(R1018="Away",-P1018,""))</f>
        <v>4</v>
      </c>
      <c r="T1018" s="1" t="str">
        <f aca="false">IF(R1018="Pick","No Line",IF(S1018="","N/A",IF(S1018+I1018&gt;0,"Favorite Covered",IF(S1018+I1018&lt;0,"Underdog Covered","Push"))))</f>
        <v>Favorite Covered</v>
      </c>
      <c r="U1018" s="1" t="str">
        <f aca="false">IF(Q1018&gt;J1018,"Over",IF(Q1018&lt;J1018,"Under","Push"))</f>
        <v>Under</v>
      </c>
    </row>
    <row r="1019" customFormat="false" ht="15" hidden="false" customHeight="false" outlineLevel="0" collapsed="false">
      <c r="A1019" s="1" t="s">
        <v>391</v>
      </c>
      <c r="B1019" s="1" t="n">
        <v>2013</v>
      </c>
      <c r="C1019" s="1" t="s">
        <v>223</v>
      </c>
      <c r="D1019" s="1" t="s">
        <v>91</v>
      </c>
      <c r="E1019" s="1" t="s">
        <v>103</v>
      </c>
      <c r="F1019" s="1" t="n">
        <v>48</v>
      </c>
      <c r="G1019" s="1" t="n">
        <v>30</v>
      </c>
      <c r="H1019" s="1" t="s">
        <v>104</v>
      </c>
      <c r="I1019" s="1" t="n">
        <v>-7</v>
      </c>
      <c r="J1019" s="1" t="n">
        <v>53</v>
      </c>
      <c r="K1019" s="1" t="s">
        <v>170</v>
      </c>
      <c r="L1019" s="1" t="b">
        <f aca="false">FALSE()</f>
        <v>0</v>
      </c>
      <c r="M1019" s="1" t="str">
        <f aca="false">VLOOKUP(D1019,'Team Reference'!$A:$B,2,FALSE())</f>
        <v>MIN</v>
      </c>
      <c r="N1019" s="1" t="str">
        <f aca="false">VLOOKUP(E1019,'Team Reference'!$A:$B,2,FALSE())</f>
        <v>PHI</v>
      </c>
      <c r="O1019" s="1" t="str">
        <f aca="false">IF(F1019&gt;G1019,M1019,IF(G1019&gt;F1019,N1019,"Tie"))</f>
        <v>MIN</v>
      </c>
      <c r="P1019" s="1" t="n">
        <f aca="false">F1019-G1019</f>
        <v>18</v>
      </c>
      <c r="Q1019" s="1" t="n">
        <f aca="false">F1019+G1019</f>
        <v>78</v>
      </c>
      <c r="R1019" s="1" t="str">
        <f aca="false">IF(H1019=M1019,"Home",IF(H1019=N1019,"Away",IF(H1019="PICK","Pick","N/A")))</f>
        <v>Away</v>
      </c>
      <c r="S1019" s="1" t="n">
        <f aca="false">IF(R1019="Home",P1019,IF(R1019="Away",-P1019,""))</f>
        <v>-18</v>
      </c>
      <c r="T1019" s="1" t="str">
        <f aca="false">IF(R1019="Pick","No Line",IF(S1019="","N/A",IF(S1019+I1019&gt;0,"Favorite Covered",IF(S1019+I1019&lt;0,"Underdog Covered","Push"))))</f>
        <v>Underdog Covered</v>
      </c>
      <c r="U1019" s="1" t="str">
        <f aca="false">IF(Q1019&gt;J1019,"Over",IF(Q1019&lt;J1019,"Under","Push"))</f>
        <v>Over</v>
      </c>
    </row>
    <row r="1020" customFormat="false" ht="15" hidden="false" customHeight="false" outlineLevel="0" collapsed="false">
      <c r="A1020" s="1" t="s">
        <v>391</v>
      </c>
      <c r="B1020" s="1" t="n">
        <v>2013</v>
      </c>
      <c r="C1020" s="1" t="s">
        <v>223</v>
      </c>
      <c r="D1020" s="1" t="s">
        <v>97</v>
      </c>
      <c r="E1020" s="1" t="s">
        <v>110</v>
      </c>
      <c r="F1020" s="1" t="n">
        <v>0</v>
      </c>
      <c r="G1020" s="1" t="n">
        <v>23</v>
      </c>
      <c r="H1020" s="1" t="s">
        <v>111</v>
      </c>
      <c r="I1020" s="1" t="n">
        <v>-9.5</v>
      </c>
      <c r="J1020" s="1" t="n">
        <v>43</v>
      </c>
      <c r="K1020" s="1" t="s">
        <v>149</v>
      </c>
      <c r="L1020" s="1" t="b">
        <f aca="false">FALSE()</f>
        <v>0</v>
      </c>
      <c r="M1020" s="1" t="str">
        <f aca="false">VLOOKUP(D1020,'Team Reference'!$A:$B,2,FALSE())</f>
        <v>NYG</v>
      </c>
      <c r="N1020" s="1" t="str">
        <f aca="false">VLOOKUP(E1020,'Team Reference'!$A:$B,2,FALSE())</f>
        <v>SEA</v>
      </c>
      <c r="O1020" s="1" t="str">
        <f aca="false">IF(F1020&gt;G1020,M1020,IF(G1020&gt;F1020,N1020,"Tie"))</f>
        <v>SEA</v>
      </c>
      <c r="P1020" s="1" t="n">
        <f aca="false">F1020-G1020</f>
        <v>-23</v>
      </c>
      <c r="Q1020" s="1" t="n">
        <f aca="false">F1020+G1020</f>
        <v>23</v>
      </c>
      <c r="R1020" s="1" t="str">
        <f aca="false">IF(H1020=M1020,"Home",IF(H1020=N1020,"Away",IF(H1020="PICK","Pick","N/A")))</f>
        <v>Away</v>
      </c>
      <c r="S1020" s="1" t="n">
        <f aca="false">IF(R1020="Home",P1020,IF(R1020="Away",-P1020,""))</f>
        <v>23</v>
      </c>
      <c r="T1020" s="1" t="str">
        <f aca="false">IF(R1020="Pick","No Line",IF(S1020="","N/A",IF(S1020+I1020&gt;0,"Favorite Covered",IF(S1020+I1020&lt;0,"Underdog Covered","Push"))))</f>
        <v>Favorite Covered</v>
      </c>
      <c r="U1020" s="1" t="str">
        <f aca="false">IF(Q1020&gt;J1020,"Over",IF(Q1020&lt;J1020,"Under","Push"))</f>
        <v>Under</v>
      </c>
    </row>
    <row r="1021" customFormat="false" ht="15" hidden="false" customHeight="false" outlineLevel="0" collapsed="false">
      <c r="A1021" s="1" t="s">
        <v>391</v>
      </c>
      <c r="B1021" s="1" t="n">
        <v>2013</v>
      </c>
      <c r="C1021" s="1" t="s">
        <v>223</v>
      </c>
      <c r="D1021" s="1" t="s">
        <v>101</v>
      </c>
      <c r="E1021" s="1" t="s">
        <v>83</v>
      </c>
      <c r="F1021" s="1" t="n">
        <v>31</v>
      </c>
      <c r="G1021" s="1" t="n">
        <v>56</v>
      </c>
      <c r="H1021" s="1" t="s">
        <v>84</v>
      </c>
      <c r="I1021" s="1" t="n">
        <v>-6</v>
      </c>
      <c r="J1021" s="1" t="n">
        <v>44.5</v>
      </c>
      <c r="K1021" s="1" t="s">
        <v>171</v>
      </c>
      <c r="L1021" s="1" t="b">
        <f aca="false">FALSE()</f>
        <v>0</v>
      </c>
      <c r="M1021" s="1" t="str">
        <f aca="false">VLOOKUP(D1021,'Team Reference'!$A:$B,2,FALSE())</f>
        <v>OAK</v>
      </c>
      <c r="N1021" s="1" t="str">
        <f aca="false">VLOOKUP(E1021,'Team Reference'!$A:$B,2,FALSE())</f>
        <v>KC</v>
      </c>
      <c r="O1021" s="1" t="str">
        <f aca="false">IF(F1021&gt;G1021,M1021,IF(G1021&gt;F1021,N1021,"Tie"))</f>
        <v>KC</v>
      </c>
      <c r="P1021" s="1" t="n">
        <f aca="false">F1021-G1021</f>
        <v>-25</v>
      </c>
      <c r="Q1021" s="1" t="n">
        <f aca="false">F1021+G1021</f>
        <v>87</v>
      </c>
      <c r="R1021" s="1" t="str">
        <f aca="false">IF(H1021=M1021,"Home",IF(H1021=N1021,"Away",IF(H1021="PICK","Pick","N/A")))</f>
        <v>Away</v>
      </c>
      <c r="S1021" s="1" t="n">
        <f aca="false">IF(R1021="Home",P1021,IF(R1021="Away",-P1021,""))</f>
        <v>25</v>
      </c>
      <c r="T1021" s="1" t="str">
        <f aca="false">IF(R1021="Pick","No Line",IF(S1021="","N/A",IF(S1021+I1021&gt;0,"Favorite Covered",IF(S1021+I1021&lt;0,"Underdog Covered","Push"))))</f>
        <v>Favorite Covered</v>
      </c>
      <c r="U1021" s="1" t="str">
        <f aca="false">IF(Q1021&gt;J1021,"Over",IF(Q1021&lt;J1021,"Under","Push"))</f>
        <v>Over</v>
      </c>
    </row>
    <row r="1022" customFormat="false" ht="15" hidden="false" customHeight="false" outlineLevel="0" collapsed="false">
      <c r="A1022" s="1" t="s">
        <v>391</v>
      </c>
      <c r="B1022" s="1" t="n">
        <v>2013</v>
      </c>
      <c r="C1022" s="1" t="s">
        <v>223</v>
      </c>
      <c r="D1022" s="1" t="s">
        <v>105</v>
      </c>
      <c r="E1022" s="1" t="s">
        <v>65</v>
      </c>
      <c r="F1022" s="1" t="n">
        <v>30</v>
      </c>
      <c r="G1022" s="1" t="n">
        <v>20</v>
      </c>
      <c r="H1022" s="1" t="s">
        <v>66</v>
      </c>
      <c r="I1022" s="1" t="n">
        <v>-1.5</v>
      </c>
      <c r="J1022" s="1" t="n">
        <v>43</v>
      </c>
      <c r="K1022" s="1" t="s">
        <v>151</v>
      </c>
      <c r="L1022" s="1" t="b">
        <f aca="false">FALSE()</f>
        <v>0</v>
      </c>
      <c r="M1022" s="1" t="str">
        <f aca="false">VLOOKUP(D1022,'Team Reference'!$A:$B,2,FALSE())</f>
        <v>PIT</v>
      </c>
      <c r="N1022" s="1" t="str">
        <f aca="false">VLOOKUP(E1022,'Team Reference'!$A:$B,2,FALSE())</f>
        <v>CIN</v>
      </c>
      <c r="O1022" s="1" t="str">
        <f aca="false">IF(F1022&gt;G1022,M1022,IF(G1022&gt;F1022,N1022,"Tie"))</f>
        <v>PIT</v>
      </c>
      <c r="P1022" s="1" t="n">
        <f aca="false">F1022-G1022</f>
        <v>10</v>
      </c>
      <c r="Q1022" s="1" t="n">
        <f aca="false">F1022+G1022</f>
        <v>50</v>
      </c>
      <c r="R1022" s="1" t="str">
        <f aca="false">IF(H1022=M1022,"Home",IF(H1022=N1022,"Away",IF(H1022="PICK","Pick","N/A")))</f>
        <v>Away</v>
      </c>
      <c r="S1022" s="1" t="n">
        <f aca="false">IF(R1022="Home",P1022,IF(R1022="Away",-P1022,""))</f>
        <v>-10</v>
      </c>
      <c r="T1022" s="1" t="str">
        <f aca="false">IF(R1022="Pick","No Line",IF(S1022="","N/A",IF(S1022+I1022&gt;0,"Favorite Covered",IF(S1022+I1022&lt;0,"Underdog Covered","Push"))))</f>
        <v>Underdog Covered</v>
      </c>
      <c r="U1022" s="1" t="str">
        <f aca="false">IF(Q1022&gt;J1022,"Over",IF(Q1022&lt;J1022,"Under","Push"))</f>
        <v>Over</v>
      </c>
    </row>
    <row r="1023" customFormat="false" ht="15" hidden="false" customHeight="false" outlineLevel="0" collapsed="false">
      <c r="A1023" s="1" t="s">
        <v>391</v>
      </c>
      <c r="B1023" s="1" t="n">
        <v>2013</v>
      </c>
      <c r="C1023" s="1" t="s">
        <v>223</v>
      </c>
      <c r="D1023" s="1" t="s">
        <v>112</v>
      </c>
      <c r="E1023" s="1" t="s">
        <v>95</v>
      </c>
      <c r="F1023" s="1" t="n">
        <v>27</v>
      </c>
      <c r="G1023" s="1" t="n">
        <v>16</v>
      </c>
      <c r="H1023" s="1" t="s">
        <v>96</v>
      </c>
      <c r="I1023" s="1" t="n">
        <v>-7</v>
      </c>
      <c r="J1023" s="1" t="n">
        <v>48</v>
      </c>
      <c r="K1023" s="1" t="s">
        <v>153</v>
      </c>
      <c r="L1023" s="1" t="b">
        <f aca="false">FALSE()</f>
        <v>0</v>
      </c>
      <c r="M1023" s="1" t="str">
        <f aca="false">VLOOKUP(D1023,'Team Reference'!$A:$B,2,FALSE())</f>
        <v>LAR</v>
      </c>
      <c r="N1023" s="1" t="str">
        <f aca="false">VLOOKUP(E1023,'Team Reference'!$A:$B,2,FALSE())</f>
        <v>NO</v>
      </c>
      <c r="O1023" s="1" t="str">
        <f aca="false">IF(F1023&gt;G1023,M1023,IF(G1023&gt;F1023,N1023,"Tie"))</f>
        <v>LAR</v>
      </c>
      <c r="P1023" s="1" t="n">
        <f aca="false">F1023-G1023</f>
        <v>11</v>
      </c>
      <c r="Q1023" s="1" t="n">
        <f aca="false">F1023+G1023</f>
        <v>43</v>
      </c>
      <c r="R1023" s="1" t="str">
        <f aca="false">IF(H1023=M1023,"Home",IF(H1023=N1023,"Away",IF(H1023="PICK","Pick","N/A")))</f>
        <v>Away</v>
      </c>
      <c r="S1023" s="1" t="n">
        <f aca="false">IF(R1023="Home",P1023,IF(R1023="Away",-P1023,""))</f>
        <v>-11</v>
      </c>
      <c r="T1023" s="1" t="str">
        <f aca="false">IF(R1023="Pick","No Line",IF(S1023="","N/A",IF(S1023+I1023&gt;0,"Favorite Covered",IF(S1023+I1023&lt;0,"Underdog Covered","Push"))))</f>
        <v>Underdog Covered</v>
      </c>
      <c r="U1023" s="1" t="str">
        <f aca="false">IF(Q1023&gt;J1023,"Over",IF(Q1023&lt;J1023,"Under","Push"))</f>
        <v>Under</v>
      </c>
    </row>
    <row r="1024" customFormat="false" ht="15" hidden="false" customHeight="false" outlineLevel="0" collapsed="false">
      <c r="A1024" s="1" t="s">
        <v>391</v>
      </c>
      <c r="B1024" s="1" t="n">
        <v>2013</v>
      </c>
      <c r="C1024" s="1" t="s">
        <v>223</v>
      </c>
      <c r="D1024" s="1" t="s">
        <v>113</v>
      </c>
      <c r="E1024" s="1" t="s">
        <v>108</v>
      </c>
      <c r="F1024" s="1" t="n">
        <v>14</v>
      </c>
      <c r="G1024" s="1" t="n">
        <v>33</v>
      </c>
      <c r="H1024" s="1" t="s">
        <v>109</v>
      </c>
      <c r="I1024" s="1" t="n">
        <v>-4.5</v>
      </c>
      <c r="J1024" s="1" t="n">
        <v>41</v>
      </c>
      <c r="K1024" s="1" t="s">
        <v>154</v>
      </c>
      <c r="L1024" s="1" t="b">
        <f aca="false">FALSE()</f>
        <v>0</v>
      </c>
      <c r="M1024" s="1" t="str">
        <f aca="false">VLOOKUP(D1024,'Team Reference'!$A:$B,2,FALSE())</f>
        <v>TB</v>
      </c>
      <c r="N1024" s="1" t="str">
        <f aca="false">VLOOKUP(E1024,'Team Reference'!$A:$B,2,FALSE())</f>
        <v>SF</v>
      </c>
      <c r="O1024" s="1" t="str">
        <f aca="false">IF(F1024&gt;G1024,M1024,IF(G1024&gt;F1024,N1024,"Tie"))</f>
        <v>SF</v>
      </c>
      <c r="P1024" s="1" t="n">
        <f aca="false">F1024-G1024</f>
        <v>-19</v>
      </c>
      <c r="Q1024" s="1" t="n">
        <f aca="false">F1024+G1024</f>
        <v>47</v>
      </c>
      <c r="R1024" s="1" t="str">
        <f aca="false">IF(H1024=M1024,"Home",IF(H1024=N1024,"Away",IF(H1024="PICK","Pick","N/A")))</f>
        <v>Away</v>
      </c>
      <c r="S1024" s="1" t="n">
        <f aca="false">IF(R1024="Home",P1024,IF(R1024="Away",-P1024,""))</f>
        <v>19</v>
      </c>
      <c r="T1024" s="1" t="str">
        <f aca="false">IF(R1024="Pick","No Line",IF(S1024="","N/A",IF(S1024+I1024&gt;0,"Favorite Covered",IF(S1024+I1024&lt;0,"Underdog Covered","Push"))))</f>
        <v>Favorite Covered</v>
      </c>
      <c r="U1024" s="1" t="str">
        <f aca="false">IF(Q1024&gt;J1024,"Over",IF(Q1024&lt;J1024,"Under","Push"))</f>
        <v>Over</v>
      </c>
    </row>
    <row r="1025" customFormat="false" ht="15" hidden="false" customHeight="false" outlineLevel="0" collapsed="false">
      <c r="A1025" s="1" t="s">
        <v>391</v>
      </c>
      <c r="B1025" s="1" t="n">
        <v>2013</v>
      </c>
      <c r="C1025" s="1" t="s">
        <v>223</v>
      </c>
      <c r="D1025" s="1" t="s">
        <v>115</v>
      </c>
      <c r="E1025" s="1" t="s">
        <v>53</v>
      </c>
      <c r="F1025" s="1" t="n">
        <v>34</v>
      </c>
      <c r="G1025" s="1" t="n">
        <v>37</v>
      </c>
      <c r="H1025" s="1" t="s">
        <v>54</v>
      </c>
      <c r="I1025" s="1" t="n">
        <v>-3</v>
      </c>
      <c r="J1025" s="1" t="n">
        <v>42.5</v>
      </c>
      <c r="K1025" s="1" t="s">
        <v>155</v>
      </c>
      <c r="L1025" s="1" t="b">
        <f aca="false">FALSE()</f>
        <v>0</v>
      </c>
      <c r="M1025" s="1" t="str">
        <f aca="false">VLOOKUP(D1025,'Team Reference'!$A:$B,2,FALSE())</f>
        <v>TEN</v>
      </c>
      <c r="N1025" s="1" t="str">
        <f aca="false">VLOOKUP(E1025,'Team Reference'!$A:$B,2,FALSE())</f>
        <v>ARI</v>
      </c>
      <c r="O1025" s="1" t="str">
        <f aca="false">IF(F1025&gt;G1025,M1025,IF(G1025&gt;F1025,N1025,"Tie"))</f>
        <v>ARI</v>
      </c>
      <c r="P1025" s="1" t="n">
        <f aca="false">F1025-G1025</f>
        <v>-3</v>
      </c>
      <c r="Q1025" s="1" t="n">
        <f aca="false">F1025+G1025</f>
        <v>71</v>
      </c>
      <c r="R1025" s="1" t="str">
        <f aca="false">IF(H1025=M1025,"Home",IF(H1025=N1025,"Away",IF(H1025="PICK","Pick","N/A")))</f>
        <v>Away</v>
      </c>
      <c r="S1025" s="1" t="n">
        <f aca="false">IF(R1025="Home",P1025,IF(R1025="Away",-P1025,""))</f>
        <v>3</v>
      </c>
      <c r="T1025" s="1" t="str">
        <f aca="false">IF(R1025="Pick","No Line",IF(S1025="","N/A",IF(S1025+I1025&gt;0,"Favorite Covered",IF(S1025+I1025&lt;0,"Underdog Covered","Push"))))</f>
        <v>Push</v>
      </c>
      <c r="U1025" s="1" t="str">
        <f aca="false">IF(Q1025&gt;J1025,"Over",IF(Q1025&lt;J1025,"Under","Push"))</f>
        <v>Over</v>
      </c>
    </row>
    <row r="1026" customFormat="false" ht="15" hidden="false" customHeight="false" outlineLevel="0" collapsed="false">
      <c r="A1026" s="1" t="s">
        <v>392</v>
      </c>
      <c r="B1026" s="1" t="n">
        <v>2013</v>
      </c>
      <c r="C1026" s="1" t="s">
        <v>223</v>
      </c>
      <c r="D1026" s="1" t="s">
        <v>73</v>
      </c>
      <c r="E1026" s="1" t="s">
        <v>57</v>
      </c>
      <c r="F1026" s="1" t="n">
        <v>16</v>
      </c>
      <c r="G1026" s="1" t="n">
        <v>18</v>
      </c>
      <c r="H1026" s="1" t="s">
        <v>74</v>
      </c>
      <c r="I1026" s="1" t="n">
        <v>-5.5</v>
      </c>
      <c r="J1026" s="1" t="n">
        <v>49</v>
      </c>
      <c r="K1026" s="1" t="s">
        <v>167</v>
      </c>
      <c r="L1026" s="1" t="b">
        <f aca="false">FALSE()</f>
        <v>0</v>
      </c>
      <c r="M1026" s="1" t="str">
        <f aca="false">VLOOKUP(D1026,'Team Reference'!$A:$B,2,FALSE())</f>
        <v>DET</v>
      </c>
      <c r="N1026" s="1" t="str">
        <f aca="false">VLOOKUP(E1026,'Team Reference'!$A:$B,2,FALSE())</f>
        <v>BAL</v>
      </c>
      <c r="O1026" s="1" t="str">
        <f aca="false">IF(F1026&gt;G1026,M1026,IF(G1026&gt;F1026,N1026,"Tie"))</f>
        <v>BAL</v>
      </c>
      <c r="P1026" s="1" t="n">
        <f aca="false">F1026-G1026</f>
        <v>-2</v>
      </c>
      <c r="Q1026" s="1" t="n">
        <f aca="false">F1026+G1026</f>
        <v>34</v>
      </c>
      <c r="R1026" s="1" t="str">
        <f aca="false">IF(H1026=M1026,"Home",IF(H1026=N1026,"Away",IF(H1026="PICK","Pick","N/A")))</f>
        <v>Home</v>
      </c>
      <c r="S1026" s="1" t="n">
        <f aca="false">IF(R1026="Home",P1026,IF(R1026="Away",-P1026,""))</f>
        <v>-2</v>
      </c>
      <c r="T1026" s="1" t="str">
        <f aca="false">IF(R1026="Pick","No Line",IF(S1026="","N/A",IF(S1026+I1026&gt;0,"Favorite Covered",IF(S1026+I1026&lt;0,"Underdog Covered","Push"))))</f>
        <v>Underdog Covered</v>
      </c>
      <c r="U1026" s="1" t="str">
        <f aca="false">IF(Q1026&gt;J1026,"Over",IF(Q1026&lt;J1026,"Under","Push"))</f>
        <v>Under</v>
      </c>
    </row>
    <row r="1027" customFormat="false" ht="15" hidden="false" customHeight="false" outlineLevel="0" collapsed="false">
      <c r="A1027" s="1" t="s">
        <v>393</v>
      </c>
      <c r="B1027" s="1" t="n">
        <v>2013</v>
      </c>
      <c r="C1027" s="1" t="s">
        <v>227</v>
      </c>
      <c r="D1027" s="1" t="s">
        <v>57</v>
      </c>
      <c r="E1027" s="1" t="s">
        <v>93</v>
      </c>
      <c r="F1027" s="1" t="n">
        <v>7</v>
      </c>
      <c r="G1027" s="1" t="n">
        <v>41</v>
      </c>
      <c r="H1027" s="1" t="s">
        <v>58</v>
      </c>
      <c r="I1027" s="1" t="n">
        <v>-1.5</v>
      </c>
      <c r="J1027" s="1" t="n">
        <v>44.5</v>
      </c>
      <c r="K1027" s="1" t="s">
        <v>178</v>
      </c>
      <c r="L1027" s="1" t="b">
        <f aca="false">FALSE()</f>
        <v>0</v>
      </c>
      <c r="M1027" s="1" t="str">
        <f aca="false">VLOOKUP(D1027,'Team Reference'!$A:$B,2,FALSE())</f>
        <v>BAL</v>
      </c>
      <c r="N1027" s="1" t="str">
        <f aca="false">VLOOKUP(E1027,'Team Reference'!$A:$B,2,FALSE())</f>
        <v>NE</v>
      </c>
      <c r="O1027" s="1" t="str">
        <f aca="false">IF(F1027&gt;G1027,M1027,IF(G1027&gt;F1027,N1027,"Tie"))</f>
        <v>NE</v>
      </c>
      <c r="P1027" s="1" t="n">
        <f aca="false">F1027-G1027</f>
        <v>-34</v>
      </c>
      <c r="Q1027" s="1" t="n">
        <f aca="false">F1027+G1027</f>
        <v>48</v>
      </c>
      <c r="R1027" s="1" t="str">
        <f aca="false">IF(H1027=M1027,"Home",IF(H1027=N1027,"Away",IF(H1027="PICK","Pick","N/A")))</f>
        <v>Home</v>
      </c>
      <c r="S1027" s="1" t="n">
        <f aca="false">IF(R1027="Home",P1027,IF(R1027="Away",-P1027,""))</f>
        <v>-34</v>
      </c>
      <c r="T1027" s="1" t="str">
        <f aca="false">IF(R1027="Pick","No Line",IF(S1027="","N/A",IF(S1027+I1027&gt;0,"Favorite Covered",IF(S1027+I1027&lt;0,"Underdog Covered","Push"))))</f>
        <v>Underdog Covered</v>
      </c>
      <c r="U1027" s="1" t="str">
        <f aca="false">IF(Q1027&gt;J1027,"Over",IF(Q1027&lt;J1027,"Under","Push"))</f>
        <v>Over</v>
      </c>
    </row>
    <row r="1028" customFormat="false" ht="15" hidden="false" customHeight="false" outlineLevel="0" collapsed="false">
      <c r="A1028" s="1" t="s">
        <v>393</v>
      </c>
      <c r="B1028" s="1" t="n">
        <v>2013</v>
      </c>
      <c r="C1028" s="1" t="s">
        <v>227</v>
      </c>
      <c r="D1028" s="1" t="s">
        <v>59</v>
      </c>
      <c r="E1028" s="1" t="s">
        <v>89</v>
      </c>
      <c r="F1028" s="1" t="n">
        <v>19</v>
      </c>
      <c r="G1028" s="1" t="n">
        <v>0</v>
      </c>
      <c r="H1028" s="1" t="s">
        <v>90</v>
      </c>
      <c r="I1028" s="1" t="n">
        <v>-1.5</v>
      </c>
      <c r="J1028" s="1" t="n">
        <v>42.5</v>
      </c>
      <c r="K1028" s="1" t="s">
        <v>144</v>
      </c>
      <c r="L1028" s="1" t="b">
        <f aca="false">FALSE()</f>
        <v>0</v>
      </c>
      <c r="M1028" s="1" t="str">
        <f aca="false">VLOOKUP(D1028,'Team Reference'!$A:$B,2,FALSE())</f>
        <v>BUF</v>
      </c>
      <c r="N1028" s="1" t="str">
        <f aca="false">VLOOKUP(E1028,'Team Reference'!$A:$B,2,FALSE())</f>
        <v>MIA</v>
      </c>
      <c r="O1028" s="1" t="str">
        <f aca="false">IF(F1028&gt;G1028,M1028,IF(G1028&gt;F1028,N1028,"Tie"))</f>
        <v>BUF</v>
      </c>
      <c r="P1028" s="1" t="n">
        <f aca="false">F1028-G1028</f>
        <v>19</v>
      </c>
      <c r="Q1028" s="1" t="n">
        <f aca="false">F1028+G1028</f>
        <v>19</v>
      </c>
      <c r="R1028" s="1" t="str">
        <f aca="false">IF(H1028=M1028,"Home",IF(H1028=N1028,"Away",IF(H1028="PICK","Pick","N/A")))</f>
        <v>Away</v>
      </c>
      <c r="S1028" s="1" t="n">
        <f aca="false">IF(R1028="Home",P1028,IF(R1028="Away",-P1028,""))</f>
        <v>-19</v>
      </c>
      <c r="T1028" s="1" t="str">
        <f aca="false">IF(R1028="Pick","No Line",IF(S1028="","N/A",IF(S1028+I1028&gt;0,"Favorite Covered",IF(S1028+I1028&lt;0,"Underdog Covered","Push"))))</f>
        <v>Underdog Covered</v>
      </c>
      <c r="U1028" s="1" t="str">
        <f aca="false">IF(Q1028&gt;J1028,"Over",IF(Q1028&lt;J1028,"Under","Push"))</f>
        <v>Under</v>
      </c>
    </row>
    <row r="1029" customFormat="false" ht="15" hidden="false" customHeight="false" outlineLevel="0" collapsed="false">
      <c r="A1029" s="1" t="s">
        <v>393</v>
      </c>
      <c r="B1029" s="1" t="n">
        <v>2013</v>
      </c>
      <c r="C1029" s="1" t="s">
        <v>227</v>
      </c>
      <c r="D1029" s="1" t="s">
        <v>61</v>
      </c>
      <c r="E1029" s="1" t="s">
        <v>95</v>
      </c>
      <c r="F1029" s="1" t="n">
        <v>17</v>
      </c>
      <c r="G1029" s="1" t="n">
        <v>13</v>
      </c>
      <c r="H1029" s="1" t="s">
        <v>62</v>
      </c>
      <c r="I1029" s="1" t="n">
        <v>-3</v>
      </c>
      <c r="J1029" s="1" t="n">
        <v>44.5</v>
      </c>
      <c r="K1029" s="1" t="s">
        <v>162</v>
      </c>
      <c r="L1029" s="1" t="b">
        <f aca="false">FALSE()</f>
        <v>0</v>
      </c>
      <c r="M1029" s="1" t="str">
        <f aca="false">VLOOKUP(D1029,'Team Reference'!$A:$B,2,FALSE())</f>
        <v>CAR</v>
      </c>
      <c r="N1029" s="1" t="str">
        <f aca="false">VLOOKUP(E1029,'Team Reference'!$A:$B,2,FALSE())</f>
        <v>NO</v>
      </c>
      <c r="O1029" s="1" t="str">
        <f aca="false">IF(F1029&gt;G1029,M1029,IF(G1029&gt;F1029,N1029,"Tie"))</f>
        <v>CAR</v>
      </c>
      <c r="P1029" s="1" t="n">
        <f aca="false">F1029-G1029</f>
        <v>4</v>
      </c>
      <c r="Q1029" s="1" t="n">
        <f aca="false">F1029+G1029</f>
        <v>30</v>
      </c>
      <c r="R1029" s="1" t="str">
        <f aca="false">IF(H1029=M1029,"Home",IF(H1029=N1029,"Away",IF(H1029="PICK","Pick","N/A")))</f>
        <v>Home</v>
      </c>
      <c r="S1029" s="1" t="n">
        <f aca="false">IF(R1029="Home",P1029,IF(R1029="Away",-P1029,""))</f>
        <v>4</v>
      </c>
      <c r="T1029" s="1" t="str">
        <f aca="false">IF(R1029="Pick","No Line",IF(S1029="","N/A",IF(S1029+I1029&gt;0,"Favorite Covered",IF(S1029+I1029&lt;0,"Underdog Covered","Push"))))</f>
        <v>Favorite Covered</v>
      </c>
      <c r="U1029" s="1" t="str">
        <f aca="false">IF(Q1029&gt;J1029,"Over",IF(Q1029&lt;J1029,"Under","Push"))</f>
        <v>Under</v>
      </c>
    </row>
    <row r="1030" customFormat="false" ht="15" hidden="false" customHeight="false" outlineLevel="0" collapsed="false">
      <c r="A1030" s="1" t="s">
        <v>393</v>
      </c>
      <c r="B1030" s="1" t="n">
        <v>2013</v>
      </c>
      <c r="C1030" s="1" t="s">
        <v>227</v>
      </c>
      <c r="D1030" s="1" t="s">
        <v>65</v>
      </c>
      <c r="E1030" s="1" t="s">
        <v>91</v>
      </c>
      <c r="F1030" s="1" t="n">
        <v>42</v>
      </c>
      <c r="G1030" s="1" t="n">
        <v>14</v>
      </c>
      <c r="H1030" s="1" t="s">
        <v>66</v>
      </c>
      <c r="I1030" s="1" t="n">
        <v>-7.5</v>
      </c>
      <c r="J1030" s="1" t="n">
        <v>47.5</v>
      </c>
      <c r="K1030" s="1" t="s">
        <v>163</v>
      </c>
      <c r="L1030" s="1" t="b">
        <f aca="false">FALSE()</f>
        <v>0</v>
      </c>
      <c r="M1030" s="1" t="str">
        <f aca="false">VLOOKUP(D1030,'Team Reference'!$A:$B,2,FALSE())</f>
        <v>CIN</v>
      </c>
      <c r="N1030" s="1" t="str">
        <f aca="false">VLOOKUP(E1030,'Team Reference'!$A:$B,2,FALSE())</f>
        <v>MIN</v>
      </c>
      <c r="O1030" s="1" t="str">
        <f aca="false">IF(F1030&gt;G1030,M1030,IF(G1030&gt;F1030,N1030,"Tie"))</f>
        <v>CIN</v>
      </c>
      <c r="P1030" s="1" t="n">
        <f aca="false">F1030-G1030</f>
        <v>28</v>
      </c>
      <c r="Q1030" s="1" t="n">
        <f aca="false">F1030+G1030</f>
        <v>56</v>
      </c>
      <c r="R1030" s="1" t="str">
        <f aca="false">IF(H1030=M1030,"Home",IF(H1030=N1030,"Away",IF(H1030="PICK","Pick","N/A")))</f>
        <v>Home</v>
      </c>
      <c r="S1030" s="1" t="n">
        <f aca="false">IF(R1030="Home",P1030,IF(R1030="Away",-P1030,""))</f>
        <v>28</v>
      </c>
      <c r="T1030" s="1" t="str">
        <f aca="false">IF(R1030="Pick","No Line",IF(S1030="","N/A",IF(S1030+I1030&gt;0,"Favorite Covered",IF(S1030+I1030&lt;0,"Underdog Covered","Push"))))</f>
        <v>Favorite Covered</v>
      </c>
      <c r="U1030" s="1" t="str">
        <f aca="false">IF(Q1030&gt;J1030,"Over",IF(Q1030&lt;J1030,"Under","Push"))</f>
        <v>Over</v>
      </c>
    </row>
    <row r="1031" customFormat="false" ht="15" hidden="false" customHeight="false" outlineLevel="0" collapsed="false">
      <c r="A1031" s="1" t="s">
        <v>393</v>
      </c>
      <c r="B1031" s="1" t="n">
        <v>2013</v>
      </c>
      <c r="C1031" s="1" t="s">
        <v>227</v>
      </c>
      <c r="D1031" s="1" t="s">
        <v>73</v>
      </c>
      <c r="E1031" s="1" t="s">
        <v>97</v>
      </c>
      <c r="F1031" s="1" t="n">
        <v>20</v>
      </c>
      <c r="G1031" s="1" t="n">
        <v>23</v>
      </c>
      <c r="H1031" s="1" t="s">
        <v>74</v>
      </c>
      <c r="I1031" s="1" t="n">
        <v>-9</v>
      </c>
      <c r="J1031" s="1" t="n">
        <v>48.5</v>
      </c>
      <c r="K1031" s="1" t="s">
        <v>167</v>
      </c>
      <c r="L1031" s="1" t="b">
        <f aca="false">FALSE()</f>
        <v>0</v>
      </c>
      <c r="M1031" s="1" t="str">
        <f aca="false">VLOOKUP(D1031,'Team Reference'!$A:$B,2,FALSE())</f>
        <v>DET</v>
      </c>
      <c r="N1031" s="1" t="str">
        <f aca="false">VLOOKUP(E1031,'Team Reference'!$A:$B,2,FALSE())</f>
        <v>NYG</v>
      </c>
      <c r="O1031" s="1" t="str">
        <f aca="false">IF(F1031&gt;G1031,M1031,IF(G1031&gt;F1031,N1031,"Tie"))</f>
        <v>NYG</v>
      </c>
      <c r="P1031" s="1" t="n">
        <f aca="false">F1031-G1031</f>
        <v>-3</v>
      </c>
      <c r="Q1031" s="1" t="n">
        <f aca="false">F1031+G1031</f>
        <v>43</v>
      </c>
      <c r="R1031" s="1" t="str">
        <f aca="false">IF(H1031=M1031,"Home",IF(H1031=N1031,"Away",IF(H1031="PICK","Pick","N/A")))</f>
        <v>Home</v>
      </c>
      <c r="S1031" s="1" t="n">
        <f aca="false">IF(R1031="Home",P1031,IF(R1031="Away",-P1031,""))</f>
        <v>-3</v>
      </c>
      <c r="T1031" s="1" t="str">
        <f aca="false">IF(R1031="Pick","No Line",IF(S1031="","N/A",IF(S1031+I1031&gt;0,"Favorite Covered",IF(S1031+I1031&lt;0,"Underdog Covered","Push"))))</f>
        <v>Underdog Covered</v>
      </c>
      <c r="U1031" s="1" t="str">
        <f aca="false">IF(Q1031&gt;J1031,"Over",IF(Q1031&lt;J1031,"Under","Push"))</f>
        <v>Under</v>
      </c>
    </row>
    <row r="1032" customFormat="false" ht="15" hidden="false" customHeight="false" outlineLevel="0" collapsed="false">
      <c r="A1032" s="1" t="s">
        <v>393</v>
      </c>
      <c r="B1032" s="1" t="n">
        <v>2013</v>
      </c>
      <c r="C1032" s="1" t="s">
        <v>227</v>
      </c>
      <c r="D1032" s="1" t="s">
        <v>75</v>
      </c>
      <c r="E1032" s="1" t="s">
        <v>105</v>
      </c>
      <c r="F1032" s="1" t="n">
        <v>31</v>
      </c>
      <c r="G1032" s="1" t="n">
        <v>38</v>
      </c>
      <c r="H1032" s="1" t="s">
        <v>76</v>
      </c>
      <c r="I1032" s="1" t="n">
        <v>-2</v>
      </c>
      <c r="J1032" s="1" t="n">
        <v>44.5</v>
      </c>
      <c r="K1032" s="1" t="s">
        <v>168</v>
      </c>
      <c r="L1032" s="1" t="b">
        <f aca="false">FALSE()</f>
        <v>0</v>
      </c>
      <c r="M1032" s="1" t="str">
        <f aca="false">VLOOKUP(D1032,'Team Reference'!$A:$B,2,FALSE())</f>
        <v>GB</v>
      </c>
      <c r="N1032" s="1" t="str">
        <f aca="false">VLOOKUP(E1032,'Team Reference'!$A:$B,2,FALSE())</f>
        <v>PIT</v>
      </c>
      <c r="O1032" s="1" t="str">
        <f aca="false">IF(F1032&gt;G1032,M1032,IF(G1032&gt;F1032,N1032,"Tie"))</f>
        <v>PIT</v>
      </c>
      <c r="P1032" s="1" t="n">
        <f aca="false">F1032-G1032</f>
        <v>-7</v>
      </c>
      <c r="Q1032" s="1" t="n">
        <f aca="false">F1032+G1032</f>
        <v>69</v>
      </c>
      <c r="R1032" s="1" t="str">
        <f aca="false">IF(H1032=M1032,"Home",IF(H1032=N1032,"Away",IF(H1032="PICK","Pick","N/A")))</f>
        <v>Home</v>
      </c>
      <c r="S1032" s="1" t="n">
        <f aca="false">IF(R1032="Home",P1032,IF(R1032="Away",-P1032,""))</f>
        <v>-7</v>
      </c>
      <c r="T1032" s="1" t="str">
        <f aca="false">IF(R1032="Pick","No Line",IF(S1032="","N/A",IF(S1032+I1032&gt;0,"Favorite Covered",IF(S1032+I1032&lt;0,"Underdog Covered","Push"))))</f>
        <v>Underdog Covered</v>
      </c>
      <c r="U1032" s="1" t="str">
        <f aca="false">IF(Q1032&gt;J1032,"Over",IF(Q1032&lt;J1032,"Under","Push"))</f>
        <v>Over</v>
      </c>
    </row>
    <row r="1033" customFormat="false" ht="15" hidden="false" customHeight="false" outlineLevel="0" collapsed="false">
      <c r="A1033" s="1" t="s">
        <v>393</v>
      </c>
      <c r="B1033" s="1" t="n">
        <v>2013</v>
      </c>
      <c r="C1033" s="1" t="s">
        <v>227</v>
      </c>
      <c r="D1033" s="1" t="s">
        <v>77</v>
      </c>
      <c r="E1033" s="1" t="s">
        <v>71</v>
      </c>
      <c r="F1033" s="1" t="n">
        <v>13</v>
      </c>
      <c r="G1033" s="1" t="n">
        <v>37</v>
      </c>
      <c r="H1033" s="1" t="s">
        <v>72</v>
      </c>
      <c r="I1033" s="1" t="n">
        <v>-9.5</v>
      </c>
      <c r="J1033" s="1" t="n">
        <v>53.5</v>
      </c>
      <c r="K1033" s="1" t="s">
        <v>146</v>
      </c>
      <c r="L1033" s="1" t="b">
        <f aca="false">FALSE()</f>
        <v>0</v>
      </c>
      <c r="M1033" s="1" t="str">
        <f aca="false">VLOOKUP(D1033,'Team Reference'!$A:$B,2,FALSE())</f>
        <v>HOU</v>
      </c>
      <c r="N1033" s="1" t="str">
        <f aca="false">VLOOKUP(E1033,'Team Reference'!$A:$B,2,FALSE())</f>
        <v>DEN</v>
      </c>
      <c r="O1033" s="1" t="str">
        <f aca="false">IF(F1033&gt;G1033,M1033,IF(G1033&gt;F1033,N1033,"Tie"))</f>
        <v>DEN</v>
      </c>
      <c r="P1033" s="1" t="n">
        <f aca="false">F1033-G1033</f>
        <v>-24</v>
      </c>
      <c r="Q1033" s="1" t="n">
        <f aca="false">F1033+G1033</f>
        <v>50</v>
      </c>
      <c r="R1033" s="1" t="str">
        <f aca="false">IF(H1033=M1033,"Home",IF(H1033=N1033,"Away",IF(H1033="PICK","Pick","N/A")))</f>
        <v>Away</v>
      </c>
      <c r="S1033" s="1" t="n">
        <f aca="false">IF(R1033="Home",P1033,IF(R1033="Away",-P1033,""))</f>
        <v>24</v>
      </c>
      <c r="T1033" s="1" t="str">
        <f aca="false">IF(R1033="Pick","No Line",IF(S1033="","N/A",IF(S1033+I1033&gt;0,"Favorite Covered",IF(S1033+I1033&lt;0,"Underdog Covered","Push"))))</f>
        <v>Favorite Covered</v>
      </c>
      <c r="U1033" s="1" t="str">
        <f aca="false">IF(Q1033&gt;J1033,"Over",IF(Q1033&lt;J1033,"Under","Push"))</f>
        <v>Under</v>
      </c>
    </row>
    <row r="1034" customFormat="false" ht="15" hidden="false" customHeight="false" outlineLevel="0" collapsed="false">
      <c r="A1034" s="1" t="s">
        <v>393</v>
      </c>
      <c r="B1034" s="1" t="n">
        <v>2013</v>
      </c>
      <c r="C1034" s="1" t="s">
        <v>227</v>
      </c>
      <c r="D1034" s="1" t="s">
        <v>81</v>
      </c>
      <c r="E1034" s="1" t="s">
        <v>115</v>
      </c>
      <c r="F1034" s="1" t="n">
        <v>16</v>
      </c>
      <c r="G1034" s="1" t="n">
        <v>20</v>
      </c>
      <c r="H1034" s="1" t="s">
        <v>116</v>
      </c>
      <c r="I1034" s="1" t="n">
        <v>-4</v>
      </c>
      <c r="J1034" s="1" t="n">
        <v>44</v>
      </c>
      <c r="K1034" s="1" t="s">
        <v>147</v>
      </c>
      <c r="L1034" s="1" t="b">
        <f aca="false">FALSE()</f>
        <v>0</v>
      </c>
      <c r="M1034" s="1" t="str">
        <f aca="false">VLOOKUP(D1034,'Team Reference'!$A:$B,2,FALSE())</f>
        <v>JAX</v>
      </c>
      <c r="N1034" s="1" t="str">
        <f aca="false">VLOOKUP(E1034,'Team Reference'!$A:$B,2,FALSE())</f>
        <v>TEN</v>
      </c>
      <c r="O1034" s="1" t="str">
        <f aca="false">IF(F1034&gt;G1034,M1034,IF(G1034&gt;F1034,N1034,"Tie"))</f>
        <v>TEN</v>
      </c>
      <c r="P1034" s="1" t="n">
        <f aca="false">F1034-G1034</f>
        <v>-4</v>
      </c>
      <c r="Q1034" s="1" t="n">
        <f aca="false">F1034+G1034</f>
        <v>36</v>
      </c>
      <c r="R1034" s="1" t="str">
        <f aca="false">IF(H1034=M1034,"Home",IF(H1034=N1034,"Away",IF(H1034="PICK","Pick","N/A")))</f>
        <v>Away</v>
      </c>
      <c r="S1034" s="1" t="n">
        <f aca="false">IF(R1034="Home",P1034,IF(R1034="Away",-P1034,""))</f>
        <v>4</v>
      </c>
      <c r="T1034" s="1" t="str">
        <f aca="false">IF(R1034="Pick","No Line",IF(S1034="","N/A",IF(S1034+I1034&gt;0,"Favorite Covered",IF(S1034+I1034&lt;0,"Underdog Covered","Push"))))</f>
        <v>Push</v>
      </c>
      <c r="U1034" s="1" t="str">
        <f aca="false">IF(Q1034&gt;J1034,"Over",IF(Q1034&lt;J1034,"Under","Push"))</f>
        <v>Under</v>
      </c>
    </row>
    <row r="1035" customFormat="false" ht="15" hidden="false" customHeight="false" outlineLevel="0" collapsed="false">
      <c r="A1035" s="1" t="s">
        <v>393</v>
      </c>
      <c r="B1035" s="1" t="n">
        <v>2013</v>
      </c>
      <c r="C1035" s="1" t="s">
        <v>227</v>
      </c>
      <c r="D1035" s="1" t="s">
        <v>83</v>
      </c>
      <c r="E1035" s="1" t="s">
        <v>79</v>
      </c>
      <c r="F1035" s="1" t="n">
        <v>7</v>
      </c>
      <c r="G1035" s="1" t="n">
        <v>23</v>
      </c>
      <c r="H1035" s="1" t="s">
        <v>84</v>
      </c>
      <c r="I1035" s="1" t="n">
        <v>-7</v>
      </c>
      <c r="J1035" s="1" t="n">
        <v>46.5</v>
      </c>
      <c r="K1035" s="1" t="s">
        <v>158</v>
      </c>
      <c r="L1035" s="1" t="b">
        <f aca="false">FALSE()</f>
        <v>0</v>
      </c>
      <c r="M1035" s="1" t="str">
        <f aca="false">VLOOKUP(D1035,'Team Reference'!$A:$B,2,FALSE())</f>
        <v>KC</v>
      </c>
      <c r="N1035" s="1" t="str">
        <f aca="false">VLOOKUP(E1035,'Team Reference'!$A:$B,2,FALSE())</f>
        <v>IND</v>
      </c>
      <c r="O1035" s="1" t="str">
        <f aca="false">IF(F1035&gt;G1035,M1035,IF(G1035&gt;F1035,N1035,"Tie"))</f>
        <v>IND</v>
      </c>
      <c r="P1035" s="1" t="n">
        <f aca="false">F1035-G1035</f>
        <v>-16</v>
      </c>
      <c r="Q1035" s="1" t="n">
        <f aca="false">F1035+G1035</f>
        <v>30</v>
      </c>
      <c r="R1035" s="1" t="str">
        <f aca="false">IF(H1035=M1035,"Home",IF(H1035=N1035,"Away",IF(H1035="PICK","Pick","N/A")))</f>
        <v>Home</v>
      </c>
      <c r="S1035" s="1" t="n">
        <f aca="false">IF(R1035="Home",P1035,IF(R1035="Away",-P1035,""))</f>
        <v>-16</v>
      </c>
      <c r="T1035" s="1" t="str">
        <f aca="false">IF(R1035="Pick","No Line",IF(S1035="","N/A",IF(S1035+I1035&gt;0,"Favorite Covered",IF(S1035+I1035&lt;0,"Underdog Covered","Push"))))</f>
        <v>Underdog Covered</v>
      </c>
      <c r="U1035" s="1" t="str">
        <f aca="false">IF(Q1035&gt;J1035,"Over",IF(Q1035&lt;J1035,"Under","Push"))</f>
        <v>Under</v>
      </c>
    </row>
    <row r="1036" customFormat="false" ht="15" hidden="false" customHeight="false" outlineLevel="0" collapsed="false">
      <c r="A1036" s="1" t="s">
        <v>393</v>
      </c>
      <c r="B1036" s="1" t="n">
        <v>2013</v>
      </c>
      <c r="C1036" s="1" t="s">
        <v>227</v>
      </c>
      <c r="D1036" s="1" t="s">
        <v>99</v>
      </c>
      <c r="E1036" s="1" t="s">
        <v>67</v>
      </c>
      <c r="F1036" s="1" t="n">
        <v>24</v>
      </c>
      <c r="G1036" s="1" t="n">
        <v>13</v>
      </c>
      <c r="H1036" s="1" t="s">
        <v>100</v>
      </c>
      <c r="I1036" s="1" t="n">
        <v>-1.5</v>
      </c>
      <c r="J1036" s="1" t="n">
        <v>42</v>
      </c>
      <c r="K1036" s="1" t="s">
        <v>149</v>
      </c>
      <c r="L1036" s="1" t="b">
        <f aca="false">FALSE()</f>
        <v>0</v>
      </c>
      <c r="M1036" s="1" t="str">
        <f aca="false">VLOOKUP(D1036,'Team Reference'!$A:$B,2,FALSE())</f>
        <v>NYJ</v>
      </c>
      <c r="N1036" s="1" t="str">
        <f aca="false">VLOOKUP(E1036,'Team Reference'!$A:$B,2,FALSE())</f>
        <v>CLE</v>
      </c>
      <c r="O1036" s="1" t="str">
        <f aca="false">IF(F1036&gt;G1036,M1036,IF(G1036&gt;F1036,N1036,"Tie"))</f>
        <v>NYJ</v>
      </c>
      <c r="P1036" s="1" t="n">
        <f aca="false">F1036-G1036</f>
        <v>11</v>
      </c>
      <c r="Q1036" s="1" t="n">
        <f aca="false">F1036+G1036</f>
        <v>37</v>
      </c>
      <c r="R1036" s="1" t="str">
        <f aca="false">IF(H1036=M1036,"Home",IF(H1036=N1036,"Away",IF(H1036="PICK","Pick","N/A")))</f>
        <v>Home</v>
      </c>
      <c r="S1036" s="1" t="n">
        <f aca="false">IF(R1036="Home",P1036,IF(R1036="Away",-P1036,""))</f>
        <v>11</v>
      </c>
      <c r="T1036" s="1" t="str">
        <f aca="false">IF(R1036="Pick","No Line",IF(S1036="","N/A",IF(S1036+I1036&gt;0,"Favorite Covered",IF(S1036+I1036&lt;0,"Underdog Covered","Push"))))</f>
        <v>Favorite Covered</v>
      </c>
      <c r="U1036" s="1" t="str">
        <f aca="false">IF(Q1036&gt;J1036,"Over",IF(Q1036&lt;J1036,"Under","Push"))</f>
        <v>Under</v>
      </c>
    </row>
    <row r="1037" customFormat="false" ht="15" hidden="false" customHeight="false" outlineLevel="0" collapsed="false">
      <c r="A1037" s="1" t="s">
        <v>393</v>
      </c>
      <c r="B1037" s="1" t="n">
        <v>2013</v>
      </c>
      <c r="C1037" s="1" t="s">
        <v>227</v>
      </c>
      <c r="D1037" s="1" t="s">
        <v>103</v>
      </c>
      <c r="E1037" s="1" t="s">
        <v>63</v>
      </c>
      <c r="F1037" s="1" t="n">
        <v>54</v>
      </c>
      <c r="G1037" s="1" t="n">
        <v>11</v>
      </c>
      <c r="H1037" s="1" t="s">
        <v>104</v>
      </c>
      <c r="I1037" s="1" t="n">
        <v>-3</v>
      </c>
      <c r="J1037" s="1" t="n">
        <v>55</v>
      </c>
      <c r="K1037" s="1" t="s">
        <v>150</v>
      </c>
      <c r="L1037" s="1" t="b">
        <f aca="false">FALSE()</f>
        <v>0</v>
      </c>
      <c r="M1037" s="1" t="str">
        <f aca="false">VLOOKUP(D1037,'Team Reference'!$A:$B,2,FALSE())</f>
        <v>PHI</v>
      </c>
      <c r="N1037" s="1" t="str">
        <f aca="false">VLOOKUP(E1037,'Team Reference'!$A:$B,2,FALSE())</f>
        <v>CHI</v>
      </c>
      <c r="O1037" s="1" t="str">
        <f aca="false">IF(F1037&gt;G1037,M1037,IF(G1037&gt;F1037,N1037,"Tie"))</f>
        <v>PHI</v>
      </c>
      <c r="P1037" s="1" t="n">
        <f aca="false">F1037-G1037</f>
        <v>43</v>
      </c>
      <c r="Q1037" s="1" t="n">
        <f aca="false">F1037+G1037</f>
        <v>65</v>
      </c>
      <c r="R1037" s="1" t="str">
        <f aca="false">IF(H1037=M1037,"Home",IF(H1037=N1037,"Away",IF(H1037="PICK","Pick","N/A")))</f>
        <v>Home</v>
      </c>
      <c r="S1037" s="1" t="n">
        <f aca="false">IF(R1037="Home",P1037,IF(R1037="Away",-P1037,""))</f>
        <v>43</v>
      </c>
      <c r="T1037" s="1" t="str">
        <f aca="false">IF(R1037="Pick","No Line",IF(S1037="","N/A",IF(S1037+I1037&gt;0,"Favorite Covered",IF(S1037+I1037&lt;0,"Underdog Covered","Push"))))</f>
        <v>Favorite Covered</v>
      </c>
      <c r="U1037" s="1" t="str">
        <f aca="false">IF(Q1037&gt;J1037,"Over",IF(Q1037&lt;J1037,"Under","Push"))</f>
        <v>Over</v>
      </c>
    </row>
    <row r="1038" customFormat="false" ht="15" hidden="false" customHeight="false" outlineLevel="0" collapsed="false">
      <c r="A1038" s="1" t="s">
        <v>393</v>
      </c>
      <c r="B1038" s="1" t="n">
        <v>2013</v>
      </c>
      <c r="C1038" s="1" t="s">
        <v>227</v>
      </c>
      <c r="D1038" s="1" t="s">
        <v>107</v>
      </c>
      <c r="E1038" s="1" t="s">
        <v>101</v>
      </c>
      <c r="F1038" s="1" t="n">
        <v>26</v>
      </c>
      <c r="G1038" s="1" t="n">
        <v>13</v>
      </c>
      <c r="H1038" s="1" t="s">
        <v>86</v>
      </c>
      <c r="I1038" s="1" t="n">
        <v>-9</v>
      </c>
      <c r="J1038" s="1" t="n">
        <v>51</v>
      </c>
      <c r="K1038" s="1" t="s">
        <v>172</v>
      </c>
      <c r="L1038" s="1" t="b">
        <f aca="false">FALSE()</f>
        <v>0</v>
      </c>
      <c r="M1038" s="1" t="str">
        <f aca="false">VLOOKUP(D1038,'Team Reference'!$A:$B,2,FALSE())</f>
        <v>LAC</v>
      </c>
      <c r="N1038" s="1" t="str">
        <f aca="false">VLOOKUP(E1038,'Team Reference'!$A:$B,2,FALSE())</f>
        <v>OAK</v>
      </c>
      <c r="O1038" s="1" t="str">
        <f aca="false">IF(F1038&gt;G1038,M1038,IF(G1038&gt;F1038,N1038,"Tie"))</f>
        <v>LAC</v>
      </c>
      <c r="P1038" s="1" t="n">
        <f aca="false">F1038-G1038</f>
        <v>13</v>
      </c>
      <c r="Q1038" s="1" t="n">
        <f aca="false">F1038+G1038</f>
        <v>39</v>
      </c>
      <c r="R1038" s="1" t="str">
        <f aca="false">IF(H1038=M1038,"Home",IF(H1038=N1038,"Away",IF(H1038="PICK","Pick","N/A")))</f>
        <v>Home</v>
      </c>
      <c r="S1038" s="1" t="n">
        <f aca="false">IF(R1038="Home",P1038,IF(R1038="Away",-P1038,""))</f>
        <v>13</v>
      </c>
      <c r="T1038" s="1" t="str">
        <f aca="false">IF(R1038="Pick","No Line",IF(S1038="","N/A",IF(S1038+I1038&gt;0,"Favorite Covered",IF(S1038+I1038&lt;0,"Underdog Covered","Push"))))</f>
        <v>Favorite Covered</v>
      </c>
      <c r="U1038" s="1" t="str">
        <f aca="false">IF(Q1038&gt;J1038,"Over",IF(Q1038&lt;J1038,"Under","Push"))</f>
        <v>Under</v>
      </c>
    </row>
    <row r="1039" customFormat="false" ht="15" hidden="false" customHeight="false" outlineLevel="0" collapsed="false">
      <c r="A1039" s="1" t="s">
        <v>393</v>
      </c>
      <c r="B1039" s="1" t="n">
        <v>2013</v>
      </c>
      <c r="C1039" s="1" t="s">
        <v>227</v>
      </c>
      <c r="D1039" s="1" t="s">
        <v>110</v>
      </c>
      <c r="E1039" s="1" t="s">
        <v>53</v>
      </c>
      <c r="F1039" s="1" t="n">
        <v>10</v>
      </c>
      <c r="G1039" s="1" t="n">
        <v>17</v>
      </c>
      <c r="H1039" s="1" t="s">
        <v>111</v>
      </c>
      <c r="I1039" s="1" t="n">
        <v>-9</v>
      </c>
      <c r="J1039" s="1" t="n">
        <v>43</v>
      </c>
      <c r="K1039" s="1" t="s">
        <v>152</v>
      </c>
      <c r="L1039" s="1" t="b">
        <f aca="false">FALSE()</f>
        <v>0</v>
      </c>
      <c r="M1039" s="1" t="str">
        <f aca="false">VLOOKUP(D1039,'Team Reference'!$A:$B,2,FALSE())</f>
        <v>SEA</v>
      </c>
      <c r="N1039" s="1" t="str">
        <f aca="false">VLOOKUP(E1039,'Team Reference'!$A:$B,2,FALSE())</f>
        <v>ARI</v>
      </c>
      <c r="O1039" s="1" t="str">
        <f aca="false">IF(F1039&gt;G1039,M1039,IF(G1039&gt;F1039,N1039,"Tie"))</f>
        <v>ARI</v>
      </c>
      <c r="P1039" s="1" t="n">
        <f aca="false">F1039-G1039</f>
        <v>-7</v>
      </c>
      <c r="Q1039" s="1" t="n">
        <f aca="false">F1039+G1039</f>
        <v>27</v>
      </c>
      <c r="R1039" s="1" t="str">
        <f aca="false">IF(H1039=M1039,"Home",IF(H1039=N1039,"Away",IF(H1039="PICK","Pick","N/A")))</f>
        <v>Home</v>
      </c>
      <c r="S1039" s="1" t="n">
        <f aca="false">IF(R1039="Home",P1039,IF(R1039="Away",-P1039,""))</f>
        <v>-7</v>
      </c>
      <c r="T1039" s="1" t="str">
        <f aca="false">IF(R1039="Pick","No Line",IF(S1039="","N/A",IF(S1039+I1039&gt;0,"Favorite Covered",IF(S1039+I1039&lt;0,"Underdog Covered","Push"))))</f>
        <v>Underdog Covered</v>
      </c>
      <c r="U1039" s="1" t="str">
        <f aca="false">IF(Q1039&gt;J1039,"Over",IF(Q1039&lt;J1039,"Under","Push"))</f>
        <v>Under</v>
      </c>
    </row>
    <row r="1040" customFormat="false" ht="15" hidden="false" customHeight="false" outlineLevel="0" collapsed="false">
      <c r="A1040" s="1" t="s">
        <v>393</v>
      </c>
      <c r="B1040" s="1" t="n">
        <v>2013</v>
      </c>
      <c r="C1040" s="1" t="s">
        <v>227</v>
      </c>
      <c r="D1040" s="1" t="s">
        <v>112</v>
      </c>
      <c r="E1040" s="1" t="s">
        <v>113</v>
      </c>
      <c r="F1040" s="1" t="n">
        <v>23</v>
      </c>
      <c r="G1040" s="1" t="n">
        <v>13</v>
      </c>
      <c r="H1040" s="1" t="s">
        <v>88</v>
      </c>
      <c r="I1040" s="1" t="n">
        <v>-3.5</v>
      </c>
      <c r="J1040" s="1" t="n">
        <v>43</v>
      </c>
      <c r="K1040" s="1" t="s">
        <v>153</v>
      </c>
      <c r="L1040" s="1" t="b">
        <f aca="false">FALSE()</f>
        <v>0</v>
      </c>
      <c r="M1040" s="1" t="str">
        <f aca="false">VLOOKUP(D1040,'Team Reference'!$A:$B,2,FALSE())</f>
        <v>LAR</v>
      </c>
      <c r="N1040" s="1" t="str">
        <f aca="false">VLOOKUP(E1040,'Team Reference'!$A:$B,2,FALSE())</f>
        <v>TB</v>
      </c>
      <c r="O1040" s="1" t="str">
        <f aca="false">IF(F1040&gt;G1040,M1040,IF(G1040&gt;F1040,N1040,"Tie"))</f>
        <v>LAR</v>
      </c>
      <c r="P1040" s="1" t="n">
        <f aca="false">F1040-G1040</f>
        <v>10</v>
      </c>
      <c r="Q1040" s="1" t="n">
        <f aca="false">F1040+G1040</f>
        <v>36</v>
      </c>
      <c r="R1040" s="1" t="str">
        <f aca="false">IF(H1040=M1040,"Home",IF(H1040=N1040,"Away",IF(H1040="PICK","Pick","N/A")))</f>
        <v>Home</v>
      </c>
      <c r="S1040" s="1" t="n">
        <f aca="false">IF(R1040="Home",P1040,IF(R1040="Away",-P1040,""))</f>
        <v>10</v>
      </c>
      <c r="T1040" s="1" t="str">
        <f aca="false">IF(R1040="Pick","No Line",IF(S1040="","N/A",IF(S1040+I1040&gt;0,"Favorite Covered",IF(S1040+I1040&lt;0,"Underdog Covered","Push"))))</f>
        <v>Favorite Covered</v>
      </c>
      <c r="U1040" s="1" t="str">
        <f aca="false">IF(Q1040&gt;J1040,"Over",IF(Q1040&lt;J1040,"Under","Push"))</f>
        <v>Under</v>
      </c>
    </row>
    <row r="1041" customFormat="false" ht="15" hidden="false" customHeight="false" outlineLevel="0" collapsed="false">
      <c r="A1041" s="1" t="s">
        <v>393</v>
      </c>
      <c r="B1041" s="1" t="n">
        <v>2013</v>
      </c>
      <c r="C1041" s="1" t="s">
        <v>227</v>
      </c>
      <c r="D1041" s="1" t="s">
        <v>117</v>
      </c>
      <c r="E1041" s="1" t="s">
        <v>69</v>
      </c>
      <c r="F1041" s="1" t="n">
        <v>23</v>
      </c>
      <c r="G1041" s="1" t="n">
        <v>24</v>
      </c>
      <c r="H1041" s="1" t="s">
        <v>70</v>
      </c>
      <c r="I1041" s="1" t="n">
        <v>-2.5</v>
      </c>
      <c r="J1041" s="1" t="n">
        <v>52</v>
      </c>
      <c r="K1041" s="1" t="s">
        <v>156</v>
      </c>
      <c r="L1041" s="1" t="b">
        <f aca="false">FALSE()</f>
        <v>0</v>
      </c>
      <c r="M1041" s="1" t="str">
        <f aca="false">VLOOKUP(D1041,'Team Reference'!$A:$B,2,FALSE())</f>
        <v>WAS</v>
      </c>
      <c r="N1041" s="1" t="str">
        <f aca="false">VLOOKUP(E1041,'Team Reference'!$A:$B,2,FALSE())</f>
        <v>DAL</v>
      </c>
      <c r="O1041" s="1" t="str">
        <f aca="false">IF(F1041&gt;G1041,M1041,IF(G1041&gt;F1041,N1041,"Tie"))</f>
        <v>DAL</v>
      </c>
      <c r="P1041" s="1" t="n">
        <f aca="false">F1041-G1041</f>
        <v>-1</v>
      </c>
      <c r="Q1041" s="1" t="n">
        <f aca="false">F1041+G1041</f>
        <v>47</v>
      </c>
      <c r="R1041" s="1" t="str">
        <f aca="false">IF(H1041=M1041,"Home",IF(H1041=N1041,"Away",IF(H1041="PICK","Pick","N/A")))</f>
        <v>Away</v>
      </c>
      <c r="S1041" s="1" t="n">
        <f aca="false">IF(R1041="Home",P1041,IF(R1041="Away",-P1041,""))</f>
        <v>1</v>
      </c>
      <c r="T1041" s="1" t="str">
        <f aca="false">IF(R1041="Pick","No Line",IF(S1041="","N/A",IF(S1041+I1041&gt;0,"Favorite Covered",IF(S1041+I1041&lt;0,"Underdog Covered","Push"))))</f>
        <v>Underdog Covered</v>
      </c>
      <c r="U1041" s="1" t="str">
        <f aca="false">IF(Q1041&gt;J1041,"Over",IF(Q1041&lt;J1041,"Under","Push"))</f>
        <v>Under</v>
      </c>
    </row>
    <row r="1042" customFormat="false" ht="15" hidden="false" customHeight="false" outlineLevel="0" collapsed="false">
      <c r="A1042" s="1" t="s">
        <v>394</v>
      </c>
      <c r="B1042" s="1" t="n">
        <v>2013</v>
      </c>
      <c r="C1042" s="1" t="s">
        <v>227</v>
      </c>
      <c r="D1042" s="1" t="s">
        <v>108</v>
      </c>
      <c r="E1042" s="1" t="s">
        <v>55</v>
      </c>
      <c r="F1042" s="1" t="n">
        <v>34</v>
      </c>
      <c r="G1042" s="1" t="n">
        <v>24</v>
      </c>
      <c r="H1042" s="1" t="s">
        <v>109</v>
      </c>
      <c r="I1042" s="1" t="n">
        <v>-14.5</v>
      </c>
      <c r="J1042" s="1" t="n">
        <v>46</v>
      </c>
      <c r="K1042" s="1" t="s">
        <v>174</v>
      </c>
      <c r="L1042" s="1" t="b">
        <f aca="false">FALSE()</f>
        <v>0</v>
      </c>
      <c r="M1042" s="1" t="str">
        <f aca="false">VLOOKUP(D1042,'Team Reference'!$A:$B,2,FALSE())</f>
        <v>SF</v>
      </c>
      <c r="N1042" s="1" t="str">
        <f aca="false">VLOOKUP(E1042,'Team Reference'!$A:$B,2,FALSE())</f>
        <v>ATL</v>
      </c>
      <c r="O1042" s="1" t="str">
        <f aca="false">IF(F1042&gt;G1042,M1042,IF(G1042&gt;F1042,N1042,"Tie"))</f>
        <v>SF</v>
      </c>
      <c r="P1042" s="1" t="n">
        <f aca="false">F1042-G1042</f>
        <v>10</v>
      </c>
      <c r="Q1042" s="1" t="n">
        <f aca="false">F1042+G1042</f>
        <v>58</v>
      </c>
      <c r="R1042" s="1" t="str">
        <f aca="false">IF(H1042=M1042,"Home",IF(H1042=N1042,"Away",IF(H1042="PICK","Pick","N/A")))</f>
        <v>Home</v>
      </c>
      <c r="S1042" s="1" t="n">
        <f aca="false">IF(R1042="Home",P1042,IF(R1042="Away",-P1042,""))</f>
        <v>10</v>
      </c>
      <c r="T1042" s="1" t="str">
        <f aca="false">IF(R1042="Pick","No Line",IF(S1042="","N/A",IF(S1042+I1042&gt;0,"Favorite Covered",IF(S1042+I1042&lt;0,"Underdog Covered","Push"))))</f>
        <v>Underdog Covered</v>
      </c>
      <c r="U1042" s="1" t="str">
        <f aca="false">IF(Q1042&gt;J1042,"Over",IF(Q1042&lt;J1042,"Under","Push"))</f>
        <v>Over</v>
      </c>
    </row>
    <row r="1043" customFormat="false" ht="15" hidden="false" customHeight="false" outlineLevel="0" collapsed="false">
      <c r="A1043" s="1" t="s">
        <v>395</v>
      </c>
      <c r="B1043" s="1" t="n">
        <v>2013</v>
      </c>
      <c r="C1043" s="1" t="s">
        <v>233</v>
      </c>
      <c r="D1043" s="1" t="s">
        <v>53</v>
      </c>
      <c r="E1043" s="1" t="s">
        <v>108</v>
      </c>
      <c r="F1043" s="1" t="n">
        <v>20</v>
      </c>
      <c r="G1043" s="1" t="n">
        <v>23</v>
      </c>
      <c r="H1043" s="1" t="s">
        <v>54</v>
      </c>
      <c r="I1043" s="1" t="n">
        <v>-3</v>
      </c>
      <c r="J1043" s="1" t="n">
        <v>41</v>
      </c>
      <c r="K1043" s="1" t="s">
        <v>177</v>
      </c>
      <c r="L1043" s="1" t="b">
        <f aca="false">FALSE()</f>
        <v>0</v>
      </c>
      <c r="M1043" s="1" t="str">
        <f aca="false">VLOOKUP(D1043,'Team Reference'!$A:$B,2,FALSE())</f>
        <v>ARI</v>
      </c>
      <c r="N1043" s="1" t="str">
        <f aca="false">VLOOKUP(E1043,'Team Reference'!$A:$B,2,FALSE())</f>
        <v>SF</v>
      </c>
      <c r="O1043" s="1" t="str">
        <f aca="false">IF(F1043&gt;G1043,M1043,IF(G1043&gt;F1043,N1043,"Tie"))</f>
        <v>SF</v>
      </c>
      <c r="P1043" s="1" t="n">
        <f aca="false">F1043-G1043</f>
        <v>-3</v>
      </c>
      <c r="Q1043" s="1" t="n">
        <f aca="false">F1043+G1043</f>
        <v>43</v>
      </c>
      <c r="R1043" s="1" t="str">
        <f aca="false">IF(H1043=M1043,"Home",IF(H1043=N1043,"Away",IF(H1043="PICK","Pick","N/A")))</f>
        <v>Home</v>
      </c>
      <c r="S1043" s="1" t="n">
        <f aca="false">IF(R1043="Home",P1043,IF(R1043="Away",-P1043,""))</f>
        <v>-3</v>
      </c>
      <c r="T1043" s="1" t="str">
        <f aca="false">IF(R1043="Pick","No Line",IF(S1043="","N/A",IF(S1043+I1043&gt;0,"Favorite Covered",IF(S1043+I1043&lt;0,"Underdog Covered","Push"))))</f>
        <v>Underdog Covered</v>
      </c>
      <c r="U1043" s="1" t="str">
        <f aca="false">IF(Q1043&gt;J1043,"Over",IF(Q1043&lt;J1043,"Under","Push"))</f>
        <v>Over</v>
      </c>
    </row>
    <row r="1044" customFormat="false" ht="15" hidden="false" customHeight="false" outlineLevel="0" collapsed="false">
      <c r="A1044" s="1" t="s">
        <v>395</v>
      </c>
      <c r="B1044" s="1" t="n">
        <v>2013</v>
      </c>
      <c r="C1044" s="1" t="s">
        <v>233</v>
      </c>
      <c r="D1044" s="1" t="s">
        <v>55</v>
      </c>
      <c r="E1044" s="1" t="s">
        <v>61</v>
      </c>
      <c r="F1044" s="1" t="n">
        <v>20</v>
      </c>
      <c r="G1044" s="1" t="n">
        <v>21</v>
      </c>
      <c r="H1044" s="1" t="s">
        <v>62</v>
      </c>
      <c r="I1044" s="1" t="n">
        <v>-5.5</v>
      </c>
      <c r="J1044" s="1" t="n">
        <v>46.5</v>
      </c>
      <c r="K1044" s="1" t="s">
        <v>161</v>
      </c>
      <c r="L1044" s="1" t="b">
        <f aca="false">FALSE()</f>
        <v>0</v>
      </c>
      <c r="M1044" s="1" t="str">
        <f aca="false">VLOOKUP(D1044,'Team Reference'!$A:$B,2,FALSE())</f>
        <v>ATL</v>
      </c>
      <c r="N1044" s="1" t="str">
        <f aca="false">VLOOKUP(E1044,'Team Reference'!$A:$B,2,FALSE())</f>
        <v>CAR</v>
      </c>
      <c r="O1044" s="1" t="str">
        <f aca="false">IF(F1044&gt;G1044,M1044,IF(G1044&gt;F1044,N1044,"Tie"))</f>
        <v>CAR</v>
      </c>
      <c r="P1044" s="1" t="n">
        <f aca="false">F1044-G1044</f>
        <v>-1</v>
      </c>
      <c r="Q1044" s="1" t="n">
        <f aca="false">F1044+G1044</f>
        <v>41</v>
      </c>
      <c r="R1044" s="1" t="str">
        <f aca="false">IF(H1044=M1044,"Home",IF(H1044=N1044,"Away",IF(H1044="PICK","Pick","N/A")))</f>
        <v>Away</v>
      </c>
      <c r="S1044" s="1" t="n">
        <f aca="false">IF(R1044="Home",P1044,IF(R1044="Away",-P1044,""))</f>
        <v>1</v>
      </c>
      <c r="T1044" s="1" t="str">
        <f aca="false">IF(R1044="Pick","No Line",IF(S1044="","N/A",IF(S1044+I1044&gt;0,"Favorite Covered",IF(S1044+I1044&lt;0,"Underdog Covered","Push"))))</f>
        <v>Underdog Covered</v>
      </c>
      <c r="U1044" s="1" t="str">
        <f aca="false">IF(Q1044&gt;J1044,"Over",IF(Q1044&lt;J1044,"Under","Push"))</f>
        <v>Under</v>
      </c>
    </row>
    <row r="1045" customFormat="false" ht="15" hidden="false" customHeight="false" outlineLevel="0" collapsed="false">
      <c r="A1045" s="1" t="s">
        <v>395</v>
      </c>
      <c r="B1045" s="1" t="n">
        <v>2013</v>
      </c>
      <c r="C1045" s="1" t="s">
        <v>233</v>
      </c>
      <c r="D1045" s="1" t="s">
        <v>63</v>
      </c>
      <c r="E1045" s="1" t="s">
        <v>75</v>
      </c>
      <c r="F1045" s="1" t="n">
        <v>28</v>
      </c>
      <c r="G1045" s="1" t="n">
        <v>33</v>
      </c>
      <c r="H1045" s="1" t="s">
        <v>76</v>
      </c>
      <c r="I1045" s="1" t="n">
        <v>-3</v>
      </c>
      <c r="J1045" s="1" t="n">
        <v>51.5</v>
      </c>
      <c r="K1045" s="1" t="s">
        <v>145</v>
      </c>
      <c r="L1045" s="1" t="b">
        <f aca="false">FALSE()</f>
        <v>0</v>
      </c>
      <c r="M1045" s="1" t="str">
        <f aca="false">VLOOKUP(D1045,'Team Reference'!$A:$B,2,FALSE())</f>
        <v>CHI</v>
      </c>
      <c r="N1045" s="1" t="str">
        <f aca="false">VLOOKUP(E1045,'Team Reference'!$A:$B,2,FALSE())</f>
        <v>GB</v>
      </c>
      <c r="O1045" s="1" t="str">
        <f aca="false">IF(F1045&gt;G1045,M1045,IF(G1045&gt;F1045,N1045,"Tie"))</f>
        <v>GB</v>
      </c>
      <c r="P1045" s="1" t="n">
        <f aca="false">F1045-G1045</f>
        <v>-5</v>
      </c>
      <c r="Q1045" s="1" t="n">
        <f aca="false">F1045+G1045</f>
        <v>61</v>
      </c>
      <c r="R1045" s="1" t="str">
        <f aca="false">IF(H1045=M1045,"Home",IF(H1045=N1045,"Away",IF(H1045="PICK","Pick","N/A")))</f>
        <v>Away</v>
      </c>
      <c r="S1045" s="1" t="n">
        <f aca="false">IF(R1045="Home",P1045,IF(R1045="Away",-P1045,""))</f>
        <v>5</v>
      </c>
      <c r="T1045" s="1" t="str">
        <f aca="false">IF(R1045="Pick","No Line",IF(S1045="","N/A",IF(S1045+I1045&gt;0,"Favorite Covered",IF(S1045+I1045&lt;0,"Underdog Covered","Push"))))</f>
        <v>Favorite Covered</v>
      </c>
      <c r="U1045" s="1" t="str">
        <f aca="false">IF(Q1045&gt;J1045,"Over",IF(Q1045&lt;J1045,"Under","Push"))</f>
        <v>Over</v>
      </c>
    </row>
    <row r="1046" customFormat="false" ht="15" hidden="false" customHeight="false" outlineLevel="0" collapsed="false">
      <c r="A1046" s="1" t="s">
        <v>395</v>
      </c>
      <c r="B1046" s="1" t="n">
        <v>2013</v>
      </c>
      <c r="C1046" s="1" t="s">
        <v>233</v>
      </c>
      <c r="D1046" s="1" t="s">
        <v>65</v>
      </c>
      <c r="E1046" s="1" t="s">
        <v>57</v>
      </c>
      <c r="F1046" s="1" t="n">
        <v>34</v>
      </c>
      <c r="G1046" s="1" t="n">
        <v>17</v>
      </c>
      <c r="H1046" s="1" t="s">
        <v>66</v>
      </c>
      <c r="I1046" s="1" t="n">
        <v>-7</v>
      </c>
      <c r="J1046" s="1" t="n">
        <v>42.5</v>
      </c>
      <c r="K1046" s="1" t="s">
        <v>163</v>
      </c>
      <c r="L1046" s="1" t="b">
        <f aca="false">FALSE()</f>
        <v>0</v>
      </c>
      <c r="M1046" s="1" t="str">
        <f aca="false">VLOOKUP(D1046,'Team Reference'!$A:$B,2,FALSE())</f>
        <v>CIN</v>
      </c>
      <c r="N1046" s="1" t="str">
        <f aca="false">VLOOKUP(E1046,'Team Reference'!$A:$B,2,FALSE())</f>
        <v>BAL</v>
      </c>
      <c r="O1046" s="1" t="str">
        <f aca="false">IF(F1046&gt;G1046,M1046,IF(G1046&gt;F1046,N1046,"Tie"))</f>
        <v>CIN</v>
      </c>
      <c r="P1046" s="1" t="n">
        <f aca="false">F1046-G1046</f>
        <v>17</v>
      </c>
      <c r="Q1046" s="1" t="n">
        <f aca="false">F1046+G1046</f>
        <v>51</v>
      </c>
      <c r="R1046" s="1" t="str">
        <f aca="false">IF(H1046=M1046,"Home",IF(H1046=N1046,"Away",IF(H1046="PICK","Pick","N/A")))</f>
        <v>Home</v>
      </c>
      <c r="S1046" s="1" t="n">
        <f aca="false">IF(R1046="Home",P1046,IF(R1046="Away",-P1046,""))</f>
        <v>17</v>
      </c>
      <c r="T1046" s="1" t="str">
        <f aca="false">IF(R1046="Pick","No Line",IF(S1046="","N/A",IF(S1046+I1046&gt;0,"Favorite Covered",IF(S1046+I1046&lt;0,"Underdog Covered","Push"))))</f>
        <v>Favorite Covered</v>
      </c>
      <c r="U1046" s="1" t="str">
        <f aca="false">IF(Q1046&gt;J1046,"Over",IF(Q1046&lt;J1046,"Under","Push"))</f>
        <v>Over</v>
      </c>
    </row>
    <row r="1047" customFormat="false" ht="15" hidden="false" customHeight="false" outlineLevel="0" collapsed="false">
      <c r="A1047" s="1" t="s">
        <v>395</v>
      </c>
      <c r="B1047" s="1" t="n">
        <v>2013</v>
      </c>
      <c r="C1047" s="1" t="s">
        <v>233</v>
      </c>
      <c r="D1047" s="1" t="s">
        <v>69</v>
      </c>
      <c r="E1047" s="1" t="s">
        <v>103</v>
      </c>
      <c r="F1047" s="1" t="n">
        <v>22</v>
      </c>
      <c r="G1047" s="1" t="n">
        <v>24</v>
      </c>
      <c r="H1047" s="1" t="s">
        <v>104</v>
      </c>
      <c r="I1047" s="1" t="n">
        <v>-7</v>
      </c>
      <c r="J1047" s="1" t="n">
        <v>52.5</v>
      </c>
      <c r="K1047" s="1" t="s">
        <v>165</v>
      </c>
      <c r="L1047" s="1" t="b">
        <f aca="false">FALSE()</f>
        <v>0</v>
      </c>
      <c r="M1047" s="1" t="str">
        <f aca="false">VLOOKUP(D1047,'Team Reference'!$A:$B,2,FALSE())</f>
        <v>DAL</v>
      </c>
      <c r="N1047" s="1" t="str">
        <f aca="false">VLOOKUP(E1047,'Team Reference'!$A:$B,2,FALSE())</f>
        <v>PHI</v>
      </c>
      <c r="O1047" s="1" t="str">
        <f aca="false">IF(F1047&gt;G1047,M1047,IF(G1047&gt;F1047,N1047,"Tie"))</f>
        <v>PHI</v>
      </c>
      <c r="P1047" s="1" t="n">
        <f aca="false">F1047-G1047</f>
        <v>-2</v>
      </c>
      <c r="Q1047" s="1" t="n">
        <f aca="false">F1047+G1047</f>
        <v>46</v>
      </c>
      <c r="R1047" s="1" t="str">
        <f aca="false">IF(H1047=M1047,"Home",IF(H1047=N1047,"Away",IF(H1047="PICK","Pick","N/A")))</f>
        <v>Away</v>
      </c>
      <c r="S1047" s="1" t="n">
        <f aca="false">IF(R1047="Home",P1047,IF(R1047="Away",-P1047,""))</f>
        <v>2</v>
      </c>
      <c r="T1047" s="1" t="str">
        <f aca="false">IF(R1047="Pick","No Line",IF(S1047="","N/A",IF(S1047+I1047&gt;0,"Favorite Covered",IF(S1047+I1047&lt;0,"Underdog Covered","Push"))))</f>
        <v>Underdog Covered</v>
      </c>
      <c r="U1047" s="1" t="str">
        <f aca="false">IF(Q1047&gt;J1047,"Over",IF(Q1047&lt;J1047,"Under","Push"))</f>
        <v>Under</v>
      </c>
    </row>
    <row r="1048" customFormat="false" ht="15" hidden="false" customHeight="false" outlineLevel="0" collapsed="false">
      <c r="A1048" s="1" t="s">
        <v>395</v>
      </c>
      <c r="B1048" s="1" t="n">
        <v>2013</v>
      </c>
      <c r="C1048" s="1" t="s">
        <v>233</v>
      </c>
      <c r="D1048" s="1" t="s">
        <v>79</v>
      </c>
      <c r="E1048" s="1" t="s">
        <v>81</v>
      </c>
      <c r="F1048" s="1" t="n">
        <v>30</v>
      </c>
      <c r="G1048" s="1" t="n">
        <v>10</v>
      </c>
      <c r="H1048" s="1" t="s">
        <v>80</v>
      </c>
      <c r="I1048" s="1" t="n">
        <v>-11.5</v>
      </c>
      <c r="J1048" s="1" t="n">
        <v>45</v>
      </c>
      <c r="K1048" s="1" t="s">
        <v>169</v>
      </c>
      <c r="L1048" s="1" t="b">
        <f aca="false">FALSE()</f>
        <v>0</v>
      </c>
      <c r="M1048" s="1" t="str">
        <f aca="false">VLOOKUP(D1048,'Team Reference'!$A:$B,2,FALSE())</f>
        <v>IND</v>
      </c>
      <c r="N1048" s="1" t="str">
        <f aca="false">VLOOKUP(E1048,'Team Reference'!$A:$B,2,FALSE())</f>
        <v>JAX</v>
      </c>
      <c r="O1048" s="1" t="str">
        <f aca="false">IF(F1048&gt;G1048,M1048,IF(G1048&gt;F1048,N1048,"Tie"))</f>
        <v>IND</v>
      </c>
      <c r="P1048" s="1" t="n">
        <f aca="false">F1048-G1048</f>
        <v>20</v>
      </c>
      <c r="Q1048" s="1" t="n">
        <f aca="false">F1048+G1048</f>
        <v>40</v>
      </c>
      <c r="R1048" s="1" t="str">
        <f aca="false">IF(H1048=M1048,"Home",IF(H1048=N1048,"Away",IF(H1048="PICK","Pick","N/A")))</f>
        <v>Home</v>
      </c>
      <c r="S1048" s="1" t="n">
        <f aca="false">IF(R1048="Home",P1048,IF(R1048="Away",-P1048,""))</f>
        <v>20</v>
      </c>
      <c r="T1048" s="1" t="str">
        <f aca="false">IF(R1048="Pick","No Line",IF(S1048="","N/A",IF(S1048+I1048&gt;0,"Favorite Covered",IF(S1048+I1048&lt;0,"Underdog Covered","Push"))))</f>
        <v>Favorite Covered</v>
      </c>
      <c r="U1048" s="1" t="str">
        <f aca="false">IF(Q1048&gt;J1048,"Over",IF(Q1048&lt;J1048,"Under","Push"))</f>
        <v>Under</v>
      </c>
    </row>
    <row r="1049" customFormat="false" ht="15" hidden="false" customHeight="false" outlineLevel="0" collapsed="false">
      <c r="A1049" s="1" t="s">
        <v>395</v>
      </c>
      <c r="B1049" s="1" t="n">
        <v>2013</v>
      </c>
      <c r="C1049" s="1" t="s">
        <v>233</v>
      </c>
      <c r="D1049" s="1" t="s">
        <v>89</v>
      </c>
      <c r="E1049" s="1" t="s">
        <v>99</v>
      </c>
      <c r="F1049" s="1" t="n">
        <v>7</v>
      </c>
      <c r="G1049" s="1" t="n">
        <v>20</v>
      </c>
      <c r="H1049" s="1" t="s">
        <v>90</v>
      </c>
      <c r="I1049" s="1" t="n">
        <v>-7</v>
      </c>
      <c r="J1049" s="1" t="n">
        <v>41</v>
      </c>
      <c r="K1049" s="1" t="s">
        <v>179</v>
      </c>
      <c r="L1049" s="1" t="b">
        <f aca="false">FALSE()</f>
        <v>0</v>
      </c>
      <c r="M1049" s="1" t="str">
        <f aca="false">VLOOKUP(D1049,'Team Reference'!$A:$B,2,FALSE())</f>
        <v>MIA</v>
      </c>
      <c r="N1049" s="1" t="str">
        <f aca="false">VLOOKUP(E1049,'Team Reference'!$A:$B,2,FALSE())</f>
        <v>NYJ</v>
      </c>
      <c r="O1049" s="1" t="str">
        <f aca="false">IF(F1049&gt;G1049,M1049,IF(G1049&gt;F1049,N1049,"Tie"))</f>
        <v>NYJ</v>
      </c>
      <c r="P1049" s="1" t="n">
        <f aca="false">F1049-G1049</f>
        <v>-13</v>
      </c>
      <c r="Q1049" s="1" t="n">
        <f aca="false">F1049+G1049</f>
        <v>27</v>
      </c>
      <c r="R1049" s="1" t="str">
        <f aca="false">IF(H1049=M1049,"Home",IF(H1049=N1049,"Away",IF(H1049="PICK","Pick","N/A")))</f>
        <v>Home</v>
      </c>
      <c r="S1049" s="1" t="n">
        <f aca="false">IF(R1049="Home",P1049,IF(R1049="Away",-P1049,""))</f>
        <v>-13</v>
      </c>
      <c r="T1049" s="1" t="str">
        <f aca="false">IF(R1049="Pick","No Line",IF(S1049="","N/A",IF(S1049+I1049&gt;0,"Favorite Covered",IF(S1049+I1049&lt;0,"Underdog Covered","Push"))))</f>
        <v>Underdog Covered</v>
      </c>
      <c r="U1049" s="1" t="str">
        <f aca="false">IF(Q1049&gt;J1049,"Over",IF(Q1049&lt;J1049,"Under","Push"))</f>
        <v>Under</v>
      </c>
    </row>
    <row r="1050" customFormat="false" ht="15" hidden="false" customHeight="false" outlineLevel="0" collapsed="false">
      <c r="A1050" s="1" t="s">
        <v>395</v>
      </c>
      <c r="B1050" s="1" t="n">
        <v>2013</v>
      </c>
      <c r="C1050" s="1" t="s">
        <v>233</v>
      </c>
      <c r="D1050" s="1" t="s">
        <v>91</v>
      </c>
      <c r="E1050" s="1" t="s">
        <v>73</v>
      </c>
      <c r="F1050" s="1" t="n">
        <v>14</v>
      </c>
      <c r="G1050" s="1" t="n">
        <v>13</v>
      </c>
      <c r="H1050" s="1" t="s">
        <v>74</v>
      </c>
      <c r="I1050" s="1" t="n">
        <v>-2.5</v>
      </c>
      <c r="J1050" s="1" t="n">
        <v>49.5</v>
      </c>
      <c r="K1050" s="1" t="s">
        <v>170</v>
      </c>
      <c r="L1050" s="1" t="b">
        <f aca="false">FALSE()</f>
        <v>0</v>
      </c>
      <c r="M1050" s="1" t="str">
        <f aca="false">VLOOKUP(D1050,'Team Reference'!$A:$B,2,FALSE())</f>
        <v>MIN</v>
      </c>
      <c r="N1050" s="1" t="str">
        <f aca="false">VLOOKUP(E1050,'Team Reference'!$A:$B,2,FALSE())</f>
        <v>DET</v>
      </c>
      <c r="O1050" s="1" t="str">
        <f aca="false">IF(F1050&gt;G1050,M1050,IF(G1050&gt;F1050,N1050,"Tie"))</f>
        <v>MIN</v>
      </c>
      <c r="P1050" s="1" t="n">
        <f aca="false">F1050-G1050</f>
        <v>1</v>
      </c>
      <c r="Q1050" s="1" t="n">
        <f aca="false">F1050+G1050</f>
        <v>27</v>
      </c>
      <c r="R1050" s="1" t="str">
        <f aca="false">IF(H1050=M1050,"Home",IF(H1050=N1050,"Away",IF(H1050="PICK","Pick","N/A")))</f>
        <v>Away</v>
      </c>
      <c r="S1050" s="1" t="n">
        <f aca="false">IF(R1050="Home",P1050,IF(R1050="Away",-P1050,""))</f>
        <v>-1</v>
      </c>
      <c r="T1050" s="1" t="str">
        <f aca="false">IF(R1050="Pick","No Line",IF(S1050="","N/A",IF(S1050+I1050&gt;0,"Favorite Covered",IF(S1050+I1050&lt;0,"Underdog Covered","Push"))))</f>
        <v>Underdog Covered</v>
      </c>
      <c r="U1050" s="1" t="str">
        <f aca="false">IF(Q1050&gt;J1050,"Over",IF(Q1050&lt;J1050,"Under","Push"))</f>
        <v>Under</v>
      </c>
    </row>
    <row r="1051" customFormat="false" ht="15" hidden="false" customHeight="false" outlineLevel="0" collapsed="false">
      <c r="A1051" s="1" t="s">
        <v>395</v>
      </c>
      <c r="B1051" s="1" t="n">
        <v>2013</v>
      </c>
      <c r="C1051" s="1" t="s">
        <v>233</v>
      </c>
      <c r="D1051" s="1" t="s">
        <v>93</v>
      </c>
      <c r="E1051" s="1" t="s">
        <v>59</v>
      </c>
      <c r="F1051" s="1" t="n">
        <v>34</v>
      </c>
      <c r="G1051" s="1" t="n">
        <v>20</v>
      </c>
      <c r="H1051" s="1" t="s">
        <v>94</v>
      </c>
      <c r="I1051" s="1" t="n">
        <v>-7</v>
      </c>
      <c r="J1051" s="1" t="n">
        <v>46</v>
      </c>
      <c r="K1051" s="1" t="s">
        <v>148</v>
      </c>
      <c r="L1051" s="1" t="b">
        <f aca="false">FALSE()</f>
        <v>0</v>
      </c>
      <c r="M1051" s="1" t="str">
        <f aca="false">VLOOKUP(D1051,'Team Reference'!$A:$B,2,FALSE())</f>
        <v>NE</v>
      </c>
      <c r="N1051" s="1" t="str">
        <f aca="false">VLOOKUP(E1051,'Team Reference'!$A:$B,2,FALSE())</f>
        <v>BUF</v>
      </c>
      <c r="O1051" s="1" t="str">
        <f aca="false">IF(F1051&gt;G1051,M1051,IF(G1051&gt;F1051,N1051,"Tie"))</f>
        <v>NE</v>
      </c>
      <c r="P1051" s="1" t="n">
        <f aca="false">F1051-G1051</f>
        <v>14</v>
      </c>
      <c r="Q1051" s="1" t="n">
        <f aca="false">F1051+G1051</f>
        <v>54</v>
      </c>
      <c r="R1051" s="1" t="str">
        <f aca="false">IF(H1051=M1051,"Home",IF(H1051=N1051,"Away",IF(H1051="PICK","Pick","N/A")))</f>
        <v>Home</v>
      </c>
      <c r="S1051" s="1" t="n">
        <f aca="false">IF(R1051="Home",P1051,IF(R1051="Away",-P1051,""))</f>
        <v>14</v>
      </c>
      <c r="T1051" s="1" t="str">
        <f aca="false">IF(R1051="Pick","No Line",IF(S1051="","N/A",IF(S1051+I1051&gt;0,"Favorite Covered",IF(S1051+I1051&lt;0,"Underdog Covered","Push"))))</f>
        <v>Favorite Covered</v>
      </c>
      <c r="U1051" s="1" t="str">
        <f aca="false">IF(Q1051&gt;J1051,"Over",IF(Q1051&lt;J1051,"Under","Push"))</f>
        <v>Over</v>
      </c>
    </row>
    <row r="1052" customFormat="false" ht="15" hidden="false" customHeight="false" outlineLevel="0" collapsed="false">
      <c r="A1052" s="1" t="s">
        <v>395</v>
      </c>
      <c r="B1052" s="1" t="n">
        <v>2013</v>
      </c>
      <c r="C1052" s="1" t="s">
        <v>233</v>
      </c>
      <c r="D1052" s="1" t="s">
        <v>95</v>
      </c>
      <c r="E1052" s="1" t="s">
        <v>113</v>
      </c>
      <c r="F1052" s="1" t="n">
        <v>42</v>
      </c>
      <c r="G1052" s="1" t="n">
        <v>17</v>
      </c>
      <c r="H1052" s="1" t="s">
        <v>96</v>
      </c>
      <c r="I1052" s="1" t="n">
        <v>-10.5</v>
      </c>
      <c r="J1052" s="1" t="n">
        <v>46.5</v>
      </c>
      <c r="K1052" s="1" t="s">
        <v>142</v>
      </c>
      <c r="L1052" s="1" t="b">
        <f aca="false">FALSE()</f>
        <v>0</v>
      </c>
      <c r="M1052" s="1" t="str">
        <f aca="false">VLOOKUP(D1052,'Team Reference'!$A:$B,2,FALSE())</f>
        <v>NO</v>
      </c>
      <c r="N1052" s="1" t="str">
        <f aca="false">VLOOKUP(E1052,'Team Reference'!$A:$B,2,FALSE())</f>
        <v>TB</v>
      </c>
      <c r="O1052" s="1" t="str">
        <f aca="false">IF(F1052&gt;G1052,M1052,IF(G1052&gt;F1052,N1052,"Tie"))</f>
        <v>NO</v>
      </c>
      <c r="P1052" s="1" t="n">
        <f aca="false">F1052-G1052</f>
        <v>25</v>
      </c>
      <c r="Q1052" s="1" t="n">
        <f aca="false">F1052+G1052</f>
        <v>59</v>
      </c>
      <c r="R1052" s="1" t="str">
        <f aca="false">IF(H1052=M1052,"Home",IF(H1052=N1052,"Away",IF(H1052="PICK","Pick","N/A")))</f>
        <v>Home</v>
      </c>
      <c r="S1052" s="1" t="n">
        <f aca="false">IF(R1052="Home",P1052,IF(R1052="Away",-P1052,""))</f>
        <v>25</v>
      </c>
      <c r="T1052" s="1" t="str">
        <f aca="false">IF(R1052="Pick","No Line",IF(S1052="","N/A",IF(S1052+I1052&gt;0,"Favorite Covered",IF(S1052+I1052&lt;0,"Underdog Covered","Push"))))</f>
        <v>Favorite Covered</v>
      </c>
      <c r="U1052" s="1" t="str">
        <f aca="false">IF(Q1052&gt;J1052,"Over",IF(Q1052&lt;J1052,"Under","Push"))</f>
        <v>Over</v>
      </c>
    </row>
    <row r="1053" customFormat="false" ht="15" hidden="false" customHeight="false" outlineLevel="0" collapsed="false">
      <c r="A1053" s="1" t="s">
        <v>395</v>
      </c>
      <c r="B1053" s="1" t="n">
        <v>2013</v>
      </c>
      <c r="C1053" s="1" t="s">
        <v>233</v>
      </c>
      <c r="D1053" s="1" t="s">
        <v>97</v>
      </c>
      <c r="E1053" s="1" t="s">
        <v>117</v>
      </c>
      <c r="F1053" s="1" t="n">
        <v>20</v>
      </c>
      <c r="G1053" s="1" t="n">
        <v>6</v>
      </c>
      <c r="H1053" s="1" t="s">
        <v>98</v>
      </c>
      <c r="I1053" s="1" t="n">
        <v>-3.5</v>
      </c>
      <c r="J1053" s="1" t="n">
        <v>44.5</v>
      </c>
      <c r="K1053" s="1" t="s">
        <v>149</v>
      </c>
      <c r="L1053" s="1" t="b">
        <f aca="false">FALSE()</f>
        <v>0</v>
      </c>
      <c r="M1053" s="1" t="str">
        <f aca="false">VLOOKUP(D1053,'Team Reference'!$A:$B,2,FALSE())</f>
        <v>NYG</v>
      </c>
      <c r="N1053" s="1" t="str">
        <f aca="false">VLOOKUP(E1053,'Team Reference'!$A:$B,2,FALSE())</f>
        <v>WAS</v>
      </c>
      <c r="O1053" s="1" t="str">
        <f aca="false">IF(F1053&gt;G1053,M1053,IF(G1053&gt;F1053,N1053,"Tie"))</f>
        <v>NYG</v>
      </c>
      <c r="P1053" s="1" t="n">
        <f aca="false">F1053-G1053</f>
        <v>14</v>
      </c>
      <c r="Q1053" s="1" t="n">
        <f aca="false">F1053+G1053</f>
        <v>26</v>
      </c>
      <c r="R1053" s="1" t="str">
        <f aca="false">IF(H1053=M1053,"Home",IF(H1053=N1053,"Away",IF(H1053="PICK","Pick","N/A")))</f>
        <v>Home</v>
      </c>
      <c r="S1053" s="1" t="n">
        <f aca="false">IF(R1053="Home",P1053,IF(R1053="Away",-P1053,""))</f>
        <v>14</v>
      </c>
      <c r="T1053" s="1" t="str">
        <f aca="false">IF(R1053="Pick","No Line",IF(S1053="","N/A",IF(S1053+I1053&gt;0,"Favorite Covered",IF(S1053+I1053&lt;0,"Underdog Covered","Push"))))</f>
        <v>Favorite Covered</v>
      </c>
      <c r="U1053" s="1" t="str">
        <f aca="false">IF(Q1053&gt;J1053,"Over",IF(Q1053&lt;J1053,"Under","Push"))</f>
        <v>Under</v>
      </c>
    </row>
    <row r="1054" customFormat="false" ht="15" hidden="false" customHeight="false" outlineLevel="0" collapsed="false">
      <c r="A1054" s="1" t="s">
        <v>395</v>
      </c>
      <c r="B1054" s="1" t="n">
        <v>2013</v>
      </c>
      <c r="C1054" s="1" t="s">
        <v>233</v>
      </c>
      <c r="D1054" s="1" t="s">
        <v>101</v>
      </c>
      <c r="E1054" s="1" t="s">
        <v>71</v>
      </c>
      <c r="F1054" s="1" t="n">
        <v>14</v>
      </c>
      <c r="G1054" s="1" t="n">
        <v>34</v>
      </c>
      <c r="H1054" s="1" t="s">
        <v>72</v>
      </c>
      <c r="I1054" s="1" t="n">
        <v>-10</v>
      </c>
      <c r="J1054" s="1" t="n">
        <v>53.5</v>
      </c>
      <c r="K1054" s="1" t="s">
        <v>171</v>
      </c>
      <c r="L1054" s="1" t="b">
        <f aca="false">FALSE()</f>
        <v>0</v>
      </c>
      <c r="M1054" s="1" t="str">
        <f aca="false">VLOOKUP(D1054,'Team Reference'!$A:$B,2,FALSE())</f>
        <v>OAK</v>
      </c>
      <c r="N1054" s="1" t="str">
        <f aca="false">VLOOKUP(E1054,'Team Reference'!$A:$B,2,FALSE())</f>
        <v>DEN</v>
      </c>
      <c r="O1054" s="1" t="str">
        <f aca="false">IF(F1054&gt;G1054,M1054,IF(G1054&gt;F1054,N1054,"Tie"))</f>
        <v>DEN</v>
      </c>
      <c r="P1054" s="1" t="n">
        <f aca="false">F1054-G1054</f>
        <v>-20</v>
      </c>
      <c r="Q1054" s="1" t="n">
        <f aca="false">F1054+G1054</f>
        <v>48</v>
      </c>
      <c r="R1054" s="1" t="str">
        <f aca="false">IF(H1054=M1054,"Home",IF(H1054=N1054,"Away",IF(H1054="PICK","Pick","N/A")))</f>
        <v>Away</v>
      </c>
      <c r="S1054" s="1" t="n">
        <f aca="false">IF(R1054="Home",P1054,IF(R1054="Away",-P1054,""))</f>
        <v>20</v>
      </c>
      <c r="T1054" s="1" t="str">
        <f aca="false">IF(R1054="Pick","No Line",IF(S1054="","N/A",IF(S1054+I1054&gt;0,"Favorite Covered",IF(S1054+I1054&lt;0,"Underdog Covered","Push"))))</f>
        <v>Favorite Covered</v>
      </c>
      <c r="U1054" s="1" t="str">
        <f aca="false">IF(Q1054&gt;J1054,"Over",IF(Q1054&lt;J1054,"Under","Push"))</f>
        <v>Under</v>
      </c>
    </row>
    <row r="1055" customFormat="false" ht="15" hidden="false" customHeight="false" outlineLevel="0" collapsed="false">
      <c r="A1055" s="1" t="s">
        <v>395</v>
      </c>
      <c r="B1055" s="1" t="n">
        <v>2013</v>
      </c>
      <c r="C1055" s="1" t="s">
        <v>233</v>
      </c>
      <c r="D1055" s="1" t="s">
        <v>105</v>
      </c>
      <c r="E1055" s="1" t="s">
        <v>67</v>
      </c>
      <c r="F1055" s="1" t="n">
        <v>20</v>
      </c>
      <c r="G1055" s="1" t="n">
        <v>7</v>
      </c>
      <c r="H1055" s="1" t="s">
        <v>106</v>
      </c>
      <c r="I1055" s="1" t="n">
        <v>-9.5</v>
      </c>
      <c r="J1055" s="1" t="n">
        <v>44.5</v>
      </c>
      <c r="K1055" s="1" t="s">
        <v>151</v>
      </c>
      <c r="L1055" s="1" t="b">
        <f aca="false">FALSE()</f>
        <v>0</v>
      </c>
      <c r="M1055" s="1" t="str">
        <f aca="false">VLOOKUP(D1055,'Team Reference'!$A:$B,2,FALSE())</f>
        <v>PIT</v>
      </c>
      <c r="N1055" s="1" t="str">
        <f aca="false">VLOOKUP(E1055,'Team Reference'!$A:$B,2,FALSE())</f>
        <v>CLE</v>
      </c>
      <c r="O1055" s="1" t="str">
        <f aca="false">IF(F1055&gt;G1055,M1055,IF(G1055&gt;F1055,N1055,"Tie"))</f>
        <v>PIT</v>
      </c>
      <c r="P1055" s="1" t="n">
        <f aca="false">F1055-G1055</f>
        <v>13</v>
      </c>
      <c r="Q1055" s="1" t="n">
        <f aca="false">F1055+G1055</f>
        <v>27</v>
      </c>
      <c r="R1055" s="1" t="str">
        <f aca="false">IF(H1055=M1055,"Home",IF(H1055=N1055,"Away",IF(H1055="PICK","Pick","N/A")))</f>
        <v>Home</v>
      </c>
      <c r="S1055" s="1" t="n">
        <f aca="false">IF(R1055="Home",P1055,IF(R1055="Away",-P1055,""))</f>
        <v>13</v>
      </c>
      <c r="T1055" s="1" t="str">
        <f aca="false">IF(R1055="Pick","No Line",IF(S1055="","N/A",IF(S1055+I1055&gt;0,"Favorite Covered",IF(S1055+I1055&lt;0,"Underdog Covered","Push"))))</f>
        <v>Favorite Covered</v>
      </c>
      <c r="U1055" s="1" t="str">
        <f aca="false">IF(Q1055&gt;J1055,"Over",IF(Q1055&lt;J1055,"Under","Push"))</f>
        <v>Under</v>
      </c>
    </row>
    <row r="1056" customFormat="false" ht="15" hidden="false" customHeight="false" outlineLevel="0" collapsed="false">
      <c r="A1056" s="1" t="s">
        <v>395</v>
      </c>
      <c r="B1056" s="1" t="n">
        <v>2013</v>
      </c>
      <c r="C1056" s="1" t="s">
        <v>233</v>
      </c>
      <c r="D1056" s="1" t="s">
        <v>107</v>
      </c>
      <c r="E1056" s="1" t="s">
        <v>83</v>
      </c>
      <c r="F1056" s="1" t="n">
        <v>27</v>
      </c>
      <c r="G1056" s="1" t="n">
        <v>24</v>
      </c>
      <c r="H1056" s="1" t="s">
        <v>86</v>
      </c>
      <c r="I1056" s="1" t="n">
        <v>-14.5</v>
      </c>
      <c r="J1056" s="1" t="n">
        <v>45</v>
      </c>
      <c r="K1056" s="1" t="s">
        <v>172</v>
      </c>
      <c r="L1056" s="1" t="b">
        <f aca="false">FALSE()</f>
        <v>0</v>
      </c>
      <c r="M1056" s="1" t="str">
        <f aca="false">VLOOKUP(D1056,'Team Reference'!$A:$B,2,FALSE())</f>
        <v>LAC</v>
      </c>
      <c r="N1056" s="1" t="str">
        <f aca="false">VLOOKUP(E1056,'Team Reference'!$A:$B,2,FALSE())</f>
        <v>KC</v>
      </c>
      <c r="O1056" s="1" t="str">
        <f aca="false">IF(F1056&gt;G1056,M1056,IF(G1056&gt;F1056,N1056,"Tie"))</f>
        <v>LAC</v>
      </c>
      <c r="P1056" s="1" t="n">
        <f aca="false">F1056-G1056</f>
        <v>3</v>
      </c>
      <c r="Q1056" s="1" t="n">
        <f aca="false">F1056+G1056</f>
        <v>51</v>
      </c>
      <c r="R1056" s="1" t="str">
        <f aca="false">IF(H1056=M1056,"Home",IF(H1056=N1056,"Away",IF(H1056="PICK","Pick","N/A")))</f>
        <v>Home</v>
      </c>
      <c r="S1056" s="1" t="n">
        <f aca="false">IF(R1056="Home",P1056,IF(R1056="Away",-P1056,""))</f>
        <v>3</v>
      </c>
      <c r="T1056" s="1" t="str">
        <f aca="false">IF(R1056="Pick","No Line",IF(S1056="","N/A",IF(S1056+I1056&gt;0,"Favorite Covered",IF(S1056+I1056&lt;0,"Underdog Covered","Push"))))</f>
        <v>Underdog Covered</v>
      </c>
      <c r="U1056" s="1" t="str">
        <f aca="false">IF(Q1056&gt;J1056,"Over",IF(Q1056&lt;J1056,"Under","Push"))</f>
        <v>Over</v>
      </c>
    </row>
    <row r="1057" customFormat="false" ht="15" hidden="false" customHeight="false" outlineLevel="0" collapsed="false">
      <c r="A1057" s="1" t="s">
        <v>395</v>
      </c>
      <c r="B1057" s="1" t="n">
        <v>2013</v>
      </c>
      <c r="C1057" s="1" t="s">
        <v>233</v>
      </c>
      <c r="D1057" s="1" t="s">
        <v>110</v>
      </c>
      <c r="E1057" s="1" t="s">
        <v>112</v>
      </c>
      <c r="F1057" s="1" t="n">
        <v>27</v>
      </c>
      <c r="G1057" s="1" t="n">
        <v>9</v>
      </c>
      <c r="H1057" s="1" t="s">
        <v>111</v>
      </c>
      <c r="I1057" s="1" t="n">
        <v>-12.5</v>
      </c>
      <c r="J1057" s="1" t="n">
        <v>41</v>
      </c>
      <c r="K1057" s="1" t="s">
        <v>152</v>
      </c>
      <c r="L1057" s="1" t="b">
        <f aca="false">FALSE()</f>
        <v>0</v>
      </c>
      <c r="M1057" s="1" t="str">
        <f aca="false">VLOOKUP(D1057,'Team Reference'!$A:$B,2,FALSE())</f>
        <v>SEA</v>
      </c>
      <c r="N1057" s="1" t="str">
        <f aca="false">VLOOKUP(E1057,'Team Reference'!$A:$B,2,FALSE())</f>
        <v>LAR</v>
      </c>
      <c r="O1057" s="1" t="str">
        <f aca="false">IF(F1057&gt;G1057,M1057,IF(G1057&gt;F1057,N1057,"Tie"))</f>
        <v>SEA</v>
      </c>
      <c r="P1057" s="1" t="n">
        <f aca="false">F1057-G1057</f>
        <v>18</v>
      </c>
      <c r="Q1057" s="1" t="n">
        <f aca="false">F1057+G1057</f>
        <v>36</v>
      </c>
      <c r="R1057" s="1" t="str">
        <f aca="false">IF(H1057=M1057,"Home",IF(H1057=N1057,"Away",IF(H1057="PICK","Pick","N/A")))</f>
        <v>Home</v>
      </c>
      <c r="S1057" s="1" t="n">
        <f aca="false">IF(R1057="Home",P1057,IF(R1057="Away",-P1057,""))</f>
        <v>18</v>
      </c>
      <c r="T1057" s="1" t="str">
        <f aca="false">IF(R1057="Pick","No Line",IF(S1057="","N/A",IF(S1057+I1057&gt;0,"Favorite Covered",IF(S1057+I1057&lt;0,"Underdog Covered","Push"))))</f>
        <v>Favorite Covered</v>
      </c>
      <c r="U1057" s="1" t="str">
        <f aca="false">IF(Q1057&gt;J1057,"Over",IF(Q1057&lt;J1057,"Under","Push"))</f>
        <v>Under</v>
      </c>
    </row>
    <row r="1058" customFormat="false" ht="15" hidden="false" customHeight="false" outlineLevel="0" collapsed="false">
      <c r="A1058" s="1" t="s">
        <v>395</v>
      </c>
      <c r="B1058" s="1" t="n">
        <v>2013</v>
      </c>
      <c r="C1058" s="1" t="s">
        <v>233</v>
      </c>
      <c r="D1058" s="1" t="s">
        <v>115</v>
      </c>
      <c r="E1058" s="1" t="s">
        <v>77</v>
      </c>
      <c r="F1058" s="1" t="n">
        <v>16</v>
      </c>
      <c r="G1058" s="1" t="n">
        <v>10</v>
      </c>
      <c r="H1058" s="1" t="s">
        <v>116</v>
      </c>
      <c r="I1058" s="1" t="n">
        <v>-6.5</v>
      </c>
      <c r="J1058" s="1" t="n">
        <v>44.5</v>
      </c>
      <c r="K1058" s="1" t="s">
        <v>155</v>
      </c>
      <c r="L1058" s="1" t="b">
        <f aca="false">FALSE()</f>
        <v>0</v>
      </c>
      <c r="M1058" s="1" t="str">
        <f aca="false">VLOOKUP(D1058,'Team Reference'!$A:$B,2,FALSE())</f>
        <v>TEN</v>
      </c>
      <c r="N1058" s="1" t="str">
        <f aca="false">VLOOKUP(E1058,'Team Reference'!$A:$B,2,FALSE())</f>
        <v>HOU</v>
      </c>
      <c r="O1058" s="1" t="str">
        <f aca="false">IF(F1058&gt;G1058,M1058,IF(G1058&gt;F1058,N1058,"Tie"))</f>
        <v>TEN</v>
      </c>
      <c r="P1058" s="1" t="n">
        <f aca="false">F1058-G1058</f>
        <v>6</v>
      </c>
      <c r="Q1058" s="1" t="n">
        <f aca="false">F1058+G1058</f>
        <v>26</v>
      </c>
      <c r="R1058" s="1" t="str">
        <f aca="false">IF(H1058=M1058,"Home",IF(H1058=N1058,"Away",IF(H1058="PICK","Pick","N/A")))</f>
        <v>Home</v>
      </c>
      <c r="S1058" s="1" t="n">
        <f aca="false">IF(R1058="Home",P1058,IF(R1058="Away",-P1058,""))</f>
        <v>6</v>
      </c>
      <c r="T1058" s="1" t="str">
        <f aca="false">IF(R1058="Pick","No Line",IF(S1058="","N/A",IF(S1058+I1058&gt;0,"Favorite Covered",IF(S1058+I1058&lt;0,"Underdog Covered","Push"))))</f>
        <v>Underdog Covered</v>
      </c>
      <c r="U1058" s="1" t="str">
        <f aca="false">IF(Q1058&gt;J1058,"Over",IF(Q1058&lt;J1058,"Under","Push"))</f>
        <v>Under</v>
      </c>
    </row>
    <row r="1059" customFormat="false" ht="15" hidden="false" customHeight="false" outlineLevel="0" collapsed="false">
      <c r="A1059" s="1" t="s">
        <v>396</v>
      </c>
      <c r="B1059" s="1" t="n">
        <v>2013</v>
      </c>
      <c r="C1059" s="1" t="s">
        <v>235</v>
      </c>
      <c r="D1059" s="1" t="s">
        <v>79</v>
      </c>
      <c r="E1059" s="1" t="s">
        <v>83</v>
      </c>
      <c r="F1059" s="1" t="n">
        <v>45</v>
      </c>
      <c r="G1059" s="1" t="n">
        <v>44</v>
      </c>
      <c r="H1059" s="1" t="s">
        <v>84</v>
      </c>
      <c r="I1059" s="1" t="n">
        <v>-2.5</v>
      </c>
      <c r="J1059" s="1" t="n">
        <v>46.5</v>
      </c>
      <c r="L1059" s="1" t="b">
        <f aca="false">TRUE()</f>
        <v>1</v>
      </c>
      <c r="M1059" s="1" t="str">
        <f aca="false">VLOOKUP(D1059,'Team Reference'!$A:$B,2,FALSE())</f>
        <v>IND</v>
      </c>
      <c r="N1059" s="1" t="str">
        <f aca="false">VLOOKUP(E1059,'Team Reference'!$A:$B,2,FALSE())</f>
        <v>KC</v>
      </c>
      <c r="O1059" s="1" t="str">
        <f aca="false">IF(F1059&gt;G1059,M1059,IF(G1059&gt;F1059,N1059,"Tie"))</f>
        <v>IND</v>
      </c>
      <c r="P1059" s="1" t="n">
        <f aca="false">F1059-G1059</f>
        <v>1</v>
      </c>
      <c r="Q1059" s="1" t="n">
        <f aca="false">F1059+G1059</f>
        <v>89</v>
      </c>
      <c r="R1059" s="1" t="str">
        <f aca="false">IF(H1059=M1059,"Home",IF(H1059=N1059,"Away",IF(H1059="PICK","Pick","N/A")))</f>
        <v>Away</v>
      </c>
      <c r="S1059" s="1" t="n">
        <f aca="false">IF(R1059="Home",P1059,IF(R1059="Away",-P1059,""))</f>
        <v>-1</v>
      </c>
      <c r="T1059" s="1" t="str">
        <f aca="false">IF(R1059="Pick","No Line",IF(S1059="","N/A",IF(S1059+I1059&gt;0,"Favorite Covered",IF(S1059+I1059&lt;0,"Underdog Covered","Push"))))</f>
        <v>Underdog Covered</v>
      </c>
      <c r="U1059" s="1" t="str">
        <f aca="false">IF(Q1059&gt;J1059,"Over",IF(Q1059&lt;J1059,"Under","Push"))</f>
        <v>Over</v>
      </c>
    </row>
    <row r="1060" customFormat="false" ht="15" hidden="false" customHeight="false" outlineLevel="0" collapsed="false">
      <c r="A1060" s="1" t="s">
        <v>396</v>
      </c>
      <c r="B1060" s="1" t="n">
        <v>2013</v>
      </c>
      <c r="C1060" s="1" t="s">
        <v>235</v>
      </c>
      <c r="D1060" s="1" t="s">
        <v>103</v>
      </c>
      <c r="E1060" s="1" t="s">
        <v>95</v>
      </c>
      <c r="F1060" s="1" t="n">
        <v>24</v>
      </c>
      <c r="G1060" s="1" t="n">
        <v>26</v>
      </c>
      <c r="H1060" s="1" t="s">
        <v>104</v>
      </c>
      <c r="I1060" s="1" t="n">
        <v>-3</v>
      </c>
      <c r="J1060" s="1" t="n">
        <v>53</v>
      </c>
      <c r="L1060" s="1" t="b">
        <f aca="false">TRUE()</f>
        <v>1</v>
      </c>
      <c r="M1060" s="1" t="str">
        <f aca="false">VLOOKUP(D1060,'Team Reference'!$A:$B,2,FALSE())</f>
        <v>PHI</v>
      </c>
      <c r="N1060" s="1" t="str">
        <f aca="false">VLOOKUP(E1060,'Team Reference'!$A:$B,2,FALSE())</f>
        <v>NO</v>
      </c>
      <c r="O1060" s="1" t="str">
        <f aca="false">IF(F1060&gt;G1060,M1060,IF(G1060&gt;F1060,N1060,"Tie"))</f>
        <v>NO</v>
      </c>
      <c r="P1060" s="1" t="n">
        <f aca="false">F1060-G1060</f>
        <v>-2</v>
      </c>
      <c r="Q1060" s="1" t="n">
        <f aca="false">F1060+G1060</f>
        <v>50</v>
      </c>
      <c r="R1060" s="1" t="str">
        <f aca="false">IF(H1060=M1060,"Home",IF(H1060=N1060,"Away",IF(H1060="PICK","Pick","N/A")))</f>
        <v>Home</v>
      </c>
      <c r="S1060" s="1" t="n">
        <f aca="false">IF(R1060="Home",P1060,IF(R1060="Away",-P1060,""))</f>
        <v>-2</v>
      </c>
      <c r="T1060" s="1" t="str">
        <f aca="false">IF(R1060="Pick","No Line",IF(S1060="","N/A",IF(S1060+I1060&gt;0,"Favorite Covered",IF(S1060+I1060&lt;0,"Underdog Covered","Push"))))</f>
        <v>Underdog Covered</v>
      </c>
      <c r="U1060" s="1" t="str">
        <f aca="false">IF(Q1060&gt;J1060,"Over",IF(Q1060&lt;J1060,"Under","Push"))</f>
        <v>Under</v>
      </c>
    </row>
    <row r="1061" customFormat="false" ht="15" hidden="false" customHeight="false" outlineLevel="0" collapsed="false">
      <c r="A1061" s="1" t="s">
        <v>397</v>
      </c>
      <c r="B1061" s="1" t="n">
        <v>2013</v>
      </c>
      <c r="C1061" s="1" t="s">
        <v>235</v>
      </c>
      <c r="D1061" s="1" t="s">
        <v>65</v>
      </c>
      <c r="E1061" s="1" t="s">
        <v>107</v>
      </c>
      <c r="F1061" s="1" t="n">
        <v>10</v>
      </c>
      <c r="G1061" s="1" t="n">
        <v>27</v>
      </c>
      <c r="H1061" s="1" t="s">
        <v>66</v>
      </c>
      <c r="I1061" s="1" t="n">
        <v>-6</v>
      </c>
      <c r="J1061" s="1" t="n">
        <v>48</v>
      </c>
      <c r="K1061" s="1" t="s">
        <v>163</v>
      </c>
      <c r="L1061" s="1" t="b">
        <f aca="false">TRUE()</f>
        <v>1</v>
      </c>
      <c r="M1061" s="1" t="str">
        <f aca="false">VLOOKUP(D1061,'Team Reference'!$A:$B,2,FALSE())</f>
        <v>CIN</v>
      </c>
      <c r="N1061" s="1" t="str">
        <f aca="false">VLOOKUP(E1061,'Team Reference'!$A:$B,2,FALSE())</f>
        <v>LAC</v>
      </c>
      <c r="O1061" s="1" t="str">
        <f aca="false">IF(F1061&gt;G1061,M1061,IF(G1061&gt;F1061,N1061,"Tie"))</f>
        <v>LAC</v>
      </c>
      <c r="P1061" s="1" t="n">
        <f aca="false">F1061-G1061</f>
        <v>-17</v>
      </c>
      <c r="Q1061" s="1" t="n">
        <f aca="false">F1061+G1061</f>
        <v>37</v>
      </c>
      <c r="R1061" s="1" t="str">
        <f aca="false">IF(H1061=M1061,"Home",IF(H1061=N1061,"Away",IF(H1061="PICK","Pick","N/A")))</f>
        <v>Home</v>
      </c>
      <c r="S1061" s="1" t="n">
        <f aca="false">IF(R1061="Home",P1061,IF(R1061="Away",-P1061,""))</f>
        <v>-17</v>
      </c>
      <c r="T1061" s="1" t="str">
        <f aca="false">IF(R1061="Pick","No Line",IF(S1061="","N/A",IF(S1061+I1061&gt;0,"Favorite Covered",IF(S1061+I1061&lt;0,"Underdog Covered","Push"))))</f>
        <v>Underdog Covered</v>
      </c>
      <c r="U1061" s="1" t="str">
        <f aca="false">IF(Q1061&gt;J1061,"Over",IF(Q1061&lt;J1061,"Under","Push"))</f>
        <v>Under</v>
      </c>
    </row>
    <row r="1062" customFormat="false" ht="15" hidden="false" customHeight="false" outlineLevel="0" collapsed="false">
      <c r="A1062" s="1" t="s">
        <v>397</v>
      </c>
      <c r="B1062" s="1" t="n">
        <v>2013</v>
      </c>
      <c r="C1062" s="1" t="s">
        <v>235</v>
      </c>
      <c r="D1062" s="1" t="s">
        <v>75</v>
      </c>
      <c r="E1062" s="1" t="s">
        <v>108</v>
      </c>
      <c r="F1062" s="1" t="n">
        <v>20</v>
      </c>
      <c r="G1062" s="1" t="n">
        <v>23</v>
      </c>
      <c r="H1062" s="1" t="s">
        <v>109</v>
      </c>
      <c r="I1062" s="1" t="n">
        <v>-3</v>
      </c>
      <c r="J1062" s="1" t="n">
        <v>46</v>
      </c>
      <c r="L1062" s="1" t="b">
        <f aca="false">TRUE()</f>
        <v>1</v>
      </c>
      <c r="M1062" s="1" t="str">
        <f aca="false">VLOOKUP(D1062,'Team Reference'!$A:$B,2,FALSE())</f>
        <v>GB</v>
      </c>
      <c r="N1062" s="1" t="str">
        <f aca="false">VLOOKUP(E1062,'Team Reference'!$A:$B,2,FALSE())</f>
        <v>SF</v>
      </c>
      <c r="O1062" s="1" t="str">
        <f aca="false">IF(F1062&gt;G1062,M1062,IF(G1062&gt;F1062,N1062,"Tie"))</f>
        <v>SF</v>
      </c>
      <c r="P1062" s="1" t="n">
        <f aca="false">F1062-G1062</f>
        <v>-3</v>
      </c>
      <c r="Q1062" s="1" t="n">
        <f aca="false">F1062+G1062</f>
        <v>43</v>
      </c>
      <c r="R1062" s="1" t="str">
        <f aca="false">IF(H1062=M1062,"Home",IF(H1062=N1062,"Away",IF(H1062="PICK","Pick","N/A")))</f>
        <v>Away</v>
      </c>
      <c r="S1062" s="1" t="n">
        <f aca="false">IF(R1062="Home",P1062,IF(R1062="Away",-P1062,""))</f>
        <v>3</v>
      </c>
      <c r="T1062" s="1" t="str">
        <f aca="false">IF(R1062="Pick","No Line",IF(S1062="","N/A",IF(S1062+I1062&gt;0,"Favorite Covered",IF(S1062+I1062&lt;0,"Underdog Covered","Push"))))</f>
        <v>Push</v>
      </c>
      <c r="U1062" s="1" t="str">
        <f aca="false">IF(Q1062&gt;J1062,"Over",IF(Q1062&lt;J1062,"Under","Push"))</f>
        <v>Under</v>
      </c>
    </row>
    <row r="1063" customFormat="false" ht="15" hidden="false" customHeight="false" outlineLevel="0" collapsed="false">
      <c r="A1063" s="1" t="s">
        <v>398</v>
      </c>
      <c r="B1063" s="1" t="n">
        <v>2013</v>
      </c>
      <c r="C1063" s="1" t="s">
        <v>238</v>
      </c>
      <c r="D1063" s="1" t="s">
        <v>93</v>
      </c>
      <c r="E1063" s="1" t="s">
        <v>79</v>
      </c>
      <c r="F1063" s="1" t="n">
        <v>43</v>
      </c>
      <c r="G1063" s="1" t="n">
        <v>22</v>
      </c>
      <c r="H1063" s="1" t="s">
        <v>94</v>
      </c>
      <c r="I1063" s="1" t="n">
        <v>-7</v>
      </c>
      <c r="J1063" s="1" t="n">
        <v>51</v>
      </c>
      <c r="L1063" s="1" t="b">
        <f aca="false">TRUE()</f>
        <v>1</v>
      </c>
      <c r="M1063" s="1" t="str">
        <f aca="false">VLOOKUP(D1063,'Team Reference'!$A:$B,2,FALSE())</f>
        <v>NE</v>
      </c>
      <c r="N1063" s="1" t="str">
        <f aca="false">VLOOKUP(E1063,'Team Reference'!$A:$B,2,FALSE())</f>
        <v>IND</v>
      </c>
      <c r="O1063" s="1" t="str">
        <f aca="false">IF(F1063&gt;G1063,M1063,IF(G1063&gt;F1063,N1063,"Tie"))</f>
        <v>NE</v>
      </c>
      <c r="P1063" s="1" t="n">
        <f aca="false">F1063-G1063</f>
        <v>21</v>
      </c>
      <c r="Q1063" s="1" t="n">
        <f aca="false">F1063+G1063</f>
        <v>65</v>
      </c>
      <c r="R1063" s="1" t="str">
        <f aca="false">IF(H1063=M1063,"Home",IF(H1063=N1063,"Away",IF(H1063="PICK","Pick","N/A")))</f>
        <v>Home</v>
      </c>
      <c r="S1063" s="1" t="n">
        <f aca="false">IF(R1063="Home",P1063,IF(R1063="Away",-P1063,""))</f>
        <v>21</v>
      </c>
      <c r="T1063" s="1" t="str">
        <f aca="false">IF(R1063="Pick","No Line",IF(S1063="","N/A",IF(S1063+I1063&gt;0,"Favorite Covered",IF(S1063+I1063&lt;0,"Underdog Covered","Push"))))</f>
        <v>Favorite Covered</v>
      </c>
      <c r="U1063" s="1" t="str">
        <f aca="false">IF(Q1063&gt;J1063,"Over",IF(Q1063&lt;J1063,"Under","Push"))</f>
        <v>Over</v>
      </c>
    </row>
    <row r="1064" customFormat="false" ht="15" hidden="false" customHeight="false" outlineLevel="0" collapsed="false">
      <c r="A1064" s="1" t="s">
        <v>398</v>
      </c>
      <c r="B1064" s="1" t="n">
        <v>2013</v>
      </c>
      <c r="C1064" s="1" t="s">
        <v>238</v>
      </c>
      <c r="D1064" s="1" t="s">
        <v>110</v>
      </c>
      <c r="E1064" s="1" t="s">
        <v>95</v>
      </c>
      <c r="F1064" s="1" t="n">
        <v>23</v>
      </c>
      <c r="G1064" s="1" t="n">
        <v>15</v>
      </c>
      <c r="H1064" s="1" t="s">
        <v>111</v>
      </c>
      <c r="I1064" s="1" t="n">
        <v>-9</v>
      </c>
      <c r="J1064" s="1" t="n">
        <v>44.5</v>
      </c>
      <c r="L1064" s="1" t="b">
        <f aca="false">TRUE()</f>
        <v>1</v>
      </c>
      <c r="M1064" s="1" t="str">
        <f aca="false">VLOOKUP(D1064,'Team Reference'!$A:$B,2,FALSE())</f>
        <v>SEA</v>
      </c>
      <c r="N1064" s="1" t="str">
        <f aca="false">VLOOKUP(E1064,'Team Reference'!$A:$B,2,FALSE())</f>
        <v>NO</v>
      </c>
      <c r="O1064" s="1" t="str">
        <f aca="false">IF(F1064&gt;G1064,M1064,IF(G1064&gt;F1064,N1064,"Tie"))</f>
        <v>SEA</v>
      </c>
      <c r="P1064" s="1" t="n">
        <f aca="false">F1064-G1064</f>
        <v>8</v>
      </c>
      <c r="Q1064" s="1" t="n">
        <f aca="false">F1064+G1064</f>
        <v>38</v>
      </c>
      <c r="R1064" s="1" t="str">
        <f aca="false">IF(H1064=M1064,"Home",IF(H1064=N1064,"Away",IF(H1064="PICK","Pick","N/A")))</f>
        <v>Home</v>
      </c>
      <c r="S1064" s="1" t="n">
        <f aca="false">IF(R1064="Home",P1064,IF(R1064="Away",-P1064,""))</f>
        <v>8</v>
      </c>
      <c r="T1064" s="1" t="str">
        <f aca="false">IF(R1064="Pick","No Line",IF(S1064="","N/A",IF(S1064+I1064&gt;0,"Favorite Covered",IF(S1064+I1064&lt;0,"Underdog Covered","Push"))))</f>
        <v>Underdog Covered</v>
      </c>
      <c r="U1064" s="1" t="str">
        <f aca="false">IF(Q1064&gt;J1064,"Over",IF(Q1064&lt;J1064,"Under","Push"))</f>
        <v>Under</v>
      </c>
    </row>
    <row r="1065" customFormat="false" ht="15" hidden="false" customHeight="false" outlineLevel="0" collapsed="false">
      <c r="A1065" s="1" t="s">
        <v>399</v>
      </c>
      <c r="B1065" s="1" t="n">
        <v>2013</v>
      </c>
      <c r="C1065" s="1" t="s">
        <v>238</v>
      </c>
      <c r="D1065" s="1" t="s">
        <v>61</v>
      </c>
      <c r="E1065" s="1" t="s">
        <v>108</v>
      </c>
      <c r="F1065" s="1" t="n">
        <v>10</v>
      </c>
      <c r="G1065" s="1" t="n">
        <v>23</v>
      </c>
      <c r="H1065" s="1" t="s">
        <v>109</v>
      </c>
      <c r="I1065" s="1" t="n">
        <v>-1</v>
      </c>
      <c r="J1065" s="1" t="n">
        <v>41.5</v>
      </c>
      <c r="K1065" s="1" t="s">
        <v>162</v>
      </c>
      <c r="L1065" s="1" t="b">
        <f aca="false">TRUE()</f>
        <v>1</v>
      </c>
      <c r="M1065" s="1" t="str">
        <f aca="false">VLOOKUP(D1065,'Team Reference'!$A:$B,2,FALSE())</f>
        <v>CAR</v>
      </c>
      <c r="N1065" s="1" t="str">
        <f aca="false">VLOOKUP(E1065,'Team Reference'!$A:$B,2,FALSE())</f>
        <v>SF</v>
      </c>
      <c r="O1065" s="1" t="str">
        <f aca="false">IF(F1065&gt;G1065,M1065,IF(G1065&gt;F1065,N1065,"Tie"))</f>
        <v>SF</v>
      </c>
      <c r="P1065" s="1" t="n">
        <f aca="false">F1065-G1065</f>
        <v>-13</v>
      </c>
      <c r="Q1065" s="1" t="n">
        <f aca="false">F1065+G1065</f>
        <v>33</v>
      </c>
      <c r="R1065" s="1" t="str">
        <f aca="false">IF(H1065=M1065,"Home",IF(H1065=N1065,"Away",IF(H1065="PICK","Pick","N/A")))</f>
        <v>Away</v>
      </c>
      <c r="S1065" s="1" t="n">
        <f aca="false">IF(R1065="Home",P1065,IF(R1065="Away",-P1065,""))</f>
        <v>13</v>
      </c>
      <c r="T1065" s="1" t="str">
        <f aca="false">IF(R1065="Pick","No Line",IF(S1065="","N/A",IF(S1065+I1065&gt;0,"Favorite Covered",IF(S1065+I1065&lt;0,"Underdog Covered","Push"))))</f>
        <v>Favorite Covered</v>
      </c>
      <c r="U1065" s="1" t="str">
        <f aca="false">IF(Q1065&gt;J1065,"Over",IF(Q1065&lt;J1065,"Under","Push"))</f>
        <v>Under</v>
      </c>
    </row>
    <row r="1066" customFormat="false" ht="15" hidden="false" customHeight="false" outlineLevel="0" collapsed="false">
      <c r="A1066" s="1" t="s">
        <v>399</v>
      </c>
      <c r="B1066" s="1" t="n">
        <v>2013</v>
      </c>
      <c r="C1066" s="1" t="s">
        <v>238</v>
      </c>
      <c r="D1066" s="1" t="s">
        <v>71</v>
      </c>
      <c r="E1066" s="1" t="s">
        <v>107</v>
      </c>
      <c r="F1066" s="1" t="n">
        <v>24</v>
      </c>
      <c r="G1066" s="1" t="n">
        <v>17</v>
      </c>
      <c r="H1066" s="1" t="s">
        <v>72</v>
      </c>
      <c r="I1066" s="1" t="n">
        <v>-7.5</v>
      </c>
      <c r="J1066" s="1" t="n">
        <v>54.5</v>
      </c>
      <c r="L1066" s="1" t="b">
        <f aca="false">TRUE()</f>
        <v>1</v>
      </c>
      <c r="M1066" s="1" t="str">
        <f aca="false">VLOOKUP(D1066,'Team Reference'!$A:$B,2,FALSE())</f>
        <v>DEN</v>
      </c>
      <c r="N1066" s="1" t="str">
        <f aca="false">VLOOKUP(E1066,'Team Reference'!$A:$B,2,FALSE())</f>
        <v>LAC</v>
      </c>
      <c r="O1066" s="1" t="str">
        <f aca="false">IF(F1066&gt;G1066,M1066,IF(G1066&gt;F1066,N1066,"Tie"))</f>
        <v>DEN</v>
      </c>
      <c r="P1066" s="1" t="n">
        <f aca="false">F1066-G1066</f>
        <v>7</v>
      </c>
      <c r="Q1066" s="1" t="n">
        <f aca="false">F1066+G1066</f>
        <v>41</v>
      </c>
      <c r="R1066" s="1" t="str">
        <f aca="false">IF(H1066=M1066,"Home",IF(H1066=N1066,"Away",IF(H1066="PICK","Pick","N/A")))</f>
        <v>Home</v>
      </c>
      <c r="S1066" s="1" t="n">
        <f aca="false">IF(R1066="Home",P1066,IF(R1066="Away",-P1066,""))</f>
        <v>7</v>
      </c>
      <c r="T1066" s="1" t="str">
        <f aca="false">IF(R1066="Pick","No Line",IF(S1066="","N/A",IF(S1066+I1066&gt;0,"Favorite Covered",IF(S1066+I1066&lt;0,"Underdog Covered","Push"))))</f>
        <v>Underdog Covered</v>
      </c>
      <c r="U1066" s="1" t="str">
        <f aca="false">IF(Q1066&gt;J1066,"Over",IF(Q1066&lt;J1066,"Under","Push"))</f>
        <v>Under</v>
      </c>
    </row>
    <row r="1067" customFormat="false" ht="15" hidden="false" customHeight="false" outlineLevel="0" collapsed="false">
      <c r="A1067" s="1" t="s">
        <v>400</v>
      </c>
      <c r="B1067" s="1" t="n">
        <v>2013</v>
      </c>
      <c r="C1067" s="1" t="s">
        <v>241</v>
      </c>
      <c r="D1067" s="1" t="s">
        <v>71</v>
      </c>
      <c r="E1067" s="1" t="s">
        <v>93</v>
      </c>
      <c r="F1067" s="1" t="n">
        <v>26</v>
      </c>
      <c r="G1067" s="1" t="n">
        <v>16</v>
      </c>
      <c r="H1067" s="1" t="s">
        <v>72</v>
      </c>
      <c r="I1067" s="1" t="n">
        <v>-5</v>
      </c>
      <c r="J1067" s="1" t="n">
        <v>57</v>
      </c>
      <c r="L1067" s="1" t="b">
        <f aca="false">TRUE()</f>
        <v>1</v>
      </c>
      <c r="M1067" s="1" t="str">
        <f aca="false">VLOOKUP(D1067,'Team Reference'!$A:$B,2,FALSE())</f>
        <v>DEN</v>
      </c>
      <c r="N1067" s="1" t="str">
        <f aca="false">VLOOKUP(E1067,'Team Reference'!$A:$B,2,FALSE())</f>
        <v>NE</v>
      </c>
      <c r="O1067" s="1" t="str">
        <f aca="false">IF(F1067&gt;G1067,M1067,IF(G1067&gt;F1067,N1067,"Tie"))</f>
        <v>DEN</v>
      </c>
      <c r="P1067" s="1" t="n">
        <f aca="false">F1067-G1067</f>
        <v>10</v>
      </c>
      <c r="Q1067" s="1" t="n">
        <f aca="false">F1067+G1067</f>
        <v>42</v>
      </c>
      <c r="R1067" s="1" t="str">
        <f aca="false">IF(H1067=M1067,"Home",IF(H1067=N1067,"Away",IF(H1067="PICK","Pick","N/A")))</f>
        <v>Home</v>
      </c>
      <c r="S1067" s="1" t="n">
        <f aca="false">IF(R1067="Home",P1067,IF(R1067="Away",-P1067,""))</f>
        <v>10</v>
      </c>
      <c r="T1067" s="1" t="str">
        <f aca="false">IF(R1067="Pick","No Line",IF(S1067="","N/A",IF(S1067+I1067&gt;0,"Favorite Covered",IF(S1067+I1067&lt;0,"Underdog Covered","Push"))))</f>
        <v>Favorite Covered</v>
      </c>
      <c r="U1067" s="1" t="str">
        <f aca="false">IF(Q1067&gt;J1067,"Over",IF(Q1067&lt;J1067,"Under","Push"))</f>
        <v>Under</v>
      </c>
    </row>
    <row r="1068" customFormat="false" ht="15" hidden="false" customHeight="false" outlineLevel="0" collapsed="false">
      <c r="A1068" s="1" t="s">
        <v>400</v>
      </c>
      <c r="B1068" s="1" t="n">
        <v>2013</v>
      </c>
      <c r="C1068" s="1" t="s">
        <v>241</v>
      </c>
      <c r="D1068" s="1" t="s">
        <v>110</v>
      </c>
      <c r="E1068" s="1" t="s">
        <v>108</v>
      </c>
      <c r="F1068" s="1" t="n">
        <v>23</v>
      </c>
      <c r="G1068" s="1" t="n">
        <v>17</v>
      </c>
      <c r="H1068" s="1" t="s">
        <v>111</v>
      </c>
      <c r="I1068" s="1" t="n">
        <v>-4</v>
      </c>
      <c r="J1068" s="1" t="n">
        <v>40.5</v>
      </c>
      <c r="L1068" s="1" t="b">
        <f aca="false">TRUE()</f>
        <v>1</v>
      </c>
      <c r="M1068" s="1" t="str">
        <f aca="false">VLOOKUP(D1068,'Team Reference'!$A:$B,2,FALSE())</f>
        <v>SEA</v>
      </c>
      <c r="N1068" s="1" t="str">
        <f aca="false">VLOOKUP(E1068,'Team Reference'!$A:$B,2,FALSE())</f>
        <v>SF</v>
      </c>
      <c r="O1068" s="1" t="str">
        <f aca="false">IF(F1068&gt;G1068,M1068,IF(G1068&gt;F1068,N1068,"Tie"))</f>
        <v>SEA</v>
      </c>
      <c r="P1068" s="1" t="n">
        <f aca="false">F1068-G1068</f>
        <v>6</v>
      </c>
      <c r="Q1068" s="1" t="n">
        <f aca="false">F1068+G1068</f>
        <v>40</v>
      </c>
      <c r="R1068" s="1" t="str">
        <f aca="false">IF(H1068=M1068,"Home",IF(H1068=N1068,"Away",IF(H1068="PICK","Pick","N/A")))</f>
        <v>Home</v>
      </c>
      <c r="S1068" s="1" t="n">
        <f aca="false">IF(R1068="Home",P1068,IF(R1068="Away",-P1068,""))</f>
        <v>6</v>
      </c>
      <c r="T1068" s="1" t="str">
        <f aca="false">IF(R1068="Pick","No Line",IF(S1068="","N/A",IF(S1068+I1068&gt;0,"Favorite Covered",IF(S1068+I1068&lt;0,"Underdog Covered","Push"))))</f>
        <v>Favorite Covered</v>
      </c>
      <c r="U1068" s="1" t="str">
        <f aca="false">IF(Q1068&gt;J1068,"Over",IF(Q1068&lt;J1068,"Under","Push"))</f>
        <v>Under</v>
      </c>
    </row>
    <row r="1069" customFormat="false" ht="15" hidden="false" customHeight="false" outlineLevel="0" collapsed="false">
      <c r="A1069" s="1" t="s">
        <v>401</v>
      </c>
      <c r="B1069" s="1" t="n">
        <v>2013</v>
      </c>
      <c r="C1069" s="1" t="s">
        <v>243</v>
      </c>
      <c r="D1069" s="1" t="s">
        <v>71</v>
      </c>
      <c r="E1069" s="1" t="s">
        <v>110</v>
      </c>
      <c r="F1069" s="1" t="n">
        <v>8</v>
      </c>
      <c r="G1069" s="1" t="n">
        <v>43</v>
      </c>
      <c r="H1069" s="1" t="s">
        <v>72</v>
      </c>
      <c r="I1069" s="1" t="n">
        <v>-2</v>
      </c>
      <c r="J1069" s="1" t="n">
        <v>47.5</v>
      </c>
      <c r="K1069" s="1" t="s">
        <v>149</v>
      </c>
      <c r="L1069" s="1" t="b">
        <f aca="false">TRUE()</f>
        <v>1</v>
      </c>
      <c r="M1069" s="1" t="str">
        <f aca="false">VLOOKUP(D1069,'Team Reference'!$A:$B,2,FALSE())</f>
        <v>DEN</v>
      </c>
      <c r="N1069" s="1" t="str">
        <f aca="false">VLOOKUP(E1069,'Team Reference'!$A:$B,2,FALSE())</f>
        <v>SEA</v>
      </c>
      <c r="O1069" s="1" t="str">
        <f aca="false">IF(F1069&gt;G1069,M1069,IF(G1069&gt;F1069,N1069,"Tie"))</f>
        <v>SEA</v>
      </c>
      <c r="P1069" s="1" t="n">
        <f aca="false">F1069-G1069</f>
        <v>-35</v>
      </c>
      <c r="Q1069" s="1" t="n">
        <f aca="false">F1069+G1069</f>
        <v>51</v>
      </c>
      <c r="R1069" s="1" t="str">
        <f aca="false">IF(H1069=M1069,"Home",IF(H1069=N1069,"Away",IF(H1069="PICK","Pick","N/A")))</f>
        <v>Home</v>
      </c>
      <c r="S1069" s="1" t="n">
        <f aca="false">IF(R1069="Home",P1069,IF(R1069="Away",-P1069,""))</f>
        <v>-35</v>
      </c>
      <c r="T1069" s="1" t="str">
        <f aca="false">IF(R1069="Pick","No Line",IF(S1069="","N/A",IF(S1069+I1069&gt;0,"Favorite Covered",IF(S1069+I1069&lt;0,"Underdog Covered","Push"))))</f>
        <v>Underdog Covered</v>
      </c>
      <c r="U1069" s="1" t="str">
        <f aca="false">IF(Q1069&gt;J1069,"Over",IF(Q1069&lt;J1069,"Under","Push"))</f>
        <v>Over</v>
      </c>
    </row>
    <row r="1070" customFormat="false" ht="15" hidden="false" customHeight="false" outlineLevel="0" collapsed="false">
      <c r="A1070" s="1" t="s">
        <v>402</v>
      </c>
      <c r="B1070" s="1" t="n">
        <v>2014</v>
      </c>
      <c r="C1070" s="1" t="s">
        <v>141</v>
      </c>
      <c r="D1070" s="1" t="s">
        <v>110</v>
      </c>
      <c r="E1070" s="1" t="s">
        <v>75</v>
      </c>
      <c r="F1070" s="1" t="n">
        <v>36</v>
      </c>
      <c r="G1070" s="1" t="n">
        <v>16</v>
      </c>
      <c r="H1070" s="1" t="s">
        <v>111</v>
      </c>
      <c r="I1070" s="1" t="n">
        <v>-5.5</v>
      </c>
      <c r="J1070" s="1" t="n">
        <v>46.5</v>
      </c>
      <c r="K1070" s="1" t="s">
        <v>152</v>
      </c>
      <c r="L1070" s="1" t="b">
        <f aca="false">FALSE()</f>
        <v>0</v>
      </c>
      <c r="M1070" s="1" t="str">
        <f aca="false">VLOOKUP(D1070,'Team Reference'!$A:$B,2,FALSE())</f>
        <v>SEA</v>
      </c>
      <c r="N1070" s="1" t="str">
        <f aca="false">VLOOKUP(E1070,'Team Reference'!$A:$B,2,FALSE())</f>
        <v>GB</v>
      </c>
      <c r="O1070" s="1" t="str">
        <f aca="false">IF(F1070&gt;G1070,M1070,IF(G1070&gt;F1070,N1070,"Tie"))</f>
        <v>SEA</v>
      </c>
      <c r="P1070" s="1" t="n">
        <f aca="false">F1070-G1070</f>
        <v>20</v>
      </c>
      <c r="Q1070" s="1" t="n">
        <f aca="false">F1070+G1070</f>
        <v>52</v>
      </c>
      <c r="R1070" s="1" t="str">
        <f aca="false">IF(H1070=M1070,"Home",IF(H1070=N1070,"Away",IF(H1070="PICK","Pick","N/A")))</f>
        <v>Home</v>
      </c>
      <c r="S1070" s="1" t="n">
        <f aca="false">IF(R1070="Home",P1070,IF(R1070="Away",-P1070,""))</f>
        <v>20</v>
      </c>
      <c r="T1070" s="1" t="str">
        <f aca="false">IF(R1070="Pick","No Line",IF(S1070="","N/A",IF(S1070+I1070&gt;0,"Favorite Covered",IF(S1070+I1070&lt;0,"Underdog Covered","Push"))))</f>
        <v>Favorite Covered</v>
      </c>
      <c r="U1070" s="1" t="str">
        <f aca="false">IF(Q1070&gt;J1070,"Over",IF(Q1070&lt;J1070,"Under","Push"))</f>
        <v>Over</v>
      </c>
    </row>
    <row r="1071" customFormat="false" ht="15" hidden="false" customHeight="false" outlineLevel="0" collapsed="false">
      <c r="A1071" s="1" t="s">
        <v>403</v>
      </c>
      <c r="B1071" s="1" t="n">
        <v>2014</v>
      </c>
      <c r="C1071" s="1" t="s">
        <v>141</v>
      </c>
      <c r="D1071" s="1" t="s">
        <v>55</v>
      </c>
      <c r="E1071" s="1" t="s">
        <v>95</v>
      </c>
      <c r="F1071" s="1" t="n">
        <v>37</v>
      </c>
      <c r="G1071" s="1" t="n">
        <v>34</v>
      </c>
      <c r="H1071" s="1" t="s">
        <v>96</v>
      </c>
      <c r="I1071" s="1" t="n">
        <v>-3</v>
      </c>
      <c r="J1071" s="1" t="n">
        <v>52</v>
      </c>
      <c r="K1071" s="1" t="s">
        <v>161</v>
      </c>
      <c r="L1071" s="1" t="b">
        <f aca="false">FALSE()</f>
        <v>0</v>
      </c>
      <c r="M1071" s="1" t="str">
        <f aca="false">VLOOKUP(D1071,'Team Reference'!$A:$B,2,FALSE())</f>
        <v>ATL</v>
      </c>
      <c r="N1071" s="1" t="str">
        <f aca="false">VLOOKUP(E1071,'Team Reference'!$A:$B,2,FALSE())</f>
        <v>NO</v>
      </c>
      <c r="O1071" s="1" t="str">
        <f aca="false">IF(F1071&gt;G1071,M1071,IF(G1071&gt;F1071,N1071,"Tie"))</f>
        <v>ATL</v>
      </c>
      <c r="P1071" s="1" t="n">
        <f aca="false">F1071-G1071</f>
        <v>3</v>
      </c>
      <c r="Q1071" s="1" t="n">
        <f aca="false">F1071+G1071</f>
        <v>71</v>
      </c>
      <c r="R1071" s="1" t="str">
        <f aca="false">IF(H1071=M1071,"Home",IF(H1071=N1071,"Away",IF(H1071="PICK","Pick","N/A")))</f>
        <v>Away</v>
      </c>
      <c r="S1071" s="1" t="n">
        <f aca="false">IF(R1071="Home",P1071,IF(R1071="Away",-P1071,""))</f>
        <v>-3</v>
      </c>
      <c r="T1071" s="1" t="str">
        <f aca="false">IF(R1071="Pick","No Line",IF(S1071="","N/A",IF(S1071+I1071&gt;0,"Favorite Covered",IF(S1071+I1071&lt;0,"Underdog Covered","Push"))))</f>
        <v>Underdog Covered</v>
      </c>
      <c r="U1071" s="1" t="str">
        <f aca="false">IF(Q1071&gt;J1071,"Over",IF(Q1071&lt;J1071,"Under","Push"))</f>
        <v>Over</v>
      </c>
    </row>
    <row r="1072" customFormat="false" ht="15" hidden="false" customHeight="false" outlineLevel="0" collapsed="false">
      <c r="A1072" s="1" t="s">
        <v>403</v>
      </c>
      <c r="B1072" s="1" t="n">
        <v>2014</v>
      </c>
      <c r="C1072" s="1" t="s">
        <v>141</v>
      </c>
      <c r="D1072" s="1" t="s">
        <v>57</v>
      </c>
      <c r="E1072" s="1" t="s">
        <v>65</v>
      </c>
      <c r="F1072" s="1" t="n">
        <v>16</v>
      </c>
      <c r="G1072" s="1" t="n">
        <v>23</v>
      </c>
      <c r="H1072" s="1" t="s">
        <v>58</v>
      </c>
      <c r="I1072" s="1" t="n">
        <v>-1.5</v>
      </c>
      <c r="J1072" s="1" t="n">
        <v>42.5</v>
      </c>
      <c r="K1072" s="1" t="s">
        <v>178</v>
      </c>
      <c r="L1072" s="1" t="b">
        <f aca="false">FALSE()</f>
        <v>0</v>
      </c>
      <c r="M1072" s="1" t="str">
        <f aca="false">VLOOKUP(D1072,'Team Reference'!$A:$B,2,FALSE())</f>
        <v>BAL</v>
      </c>
      <c r="N1072" s="1" t="str">
        <f aca="false">VLOOKUP(E1072,'Team Reference'!$A:$B,2,FALSE())</f>
        <v>CIN</v>
      </c>
      <c r="O1072" s="1" t="str">
        <f aca="false">IF(F1072&gt;G1072,M1072,IF(G1072&gt;F1072,N1072,"Tie"))</f>
        <v>CIN</v>
      </c>
      <c r="P1072" s="1" t="n">
        <f aca="false">F1072-G1072</f>
        <v>-7</v>
      </c>
      <c r="Q1072" s="1" t="n">
        <f aca="false">F1072+G1072</f>
        <v>39</v>
      </c>
      <c r="R1072" s="1" t="str">
        <f aca="false">IF(H1072=M1072,"Home",IF(H1072=N1072,"Away",IF(H1072="PICK","Pick","N/A")))</f>
        <v>Home</v>
      </c>
      <c r="S1072" s="1" t="n">
        <f aca="false">IF(R1072="Home",P1072,IF(R1072="Away",-P1072,""))</f>
        <v>-7</v>
      </c>
      <c r="T1072" s="1" t="str">
        <f aca="false">IF(R1072="Pick","No Line",IF(S1072="","N/A",IF(S1072+I1072&gt;0,"Favorite Covered",IF(S1072+I1072&lt;0,"Underdog Covered","Push"))))</f>
        <v>Underdog Covered</v>
      </c>
      <c r="U1072" s="1" t="str">
        <f aca="false">IF(Q1072&gt;J1072,"Over",IF(Q1072&lt;J1072,"Under","Push"))</f>
        <v>Under</v>
      </c>
    </row>
    <row r="1073" customFormat="false" ht="15" hidden="false" customHeight="false" outlineLevel="0" collapsed="false">
      <c r="A1073" s="1" t="s">
        <v>403</v>
      </c>
      <c r="B1073" s="1" t="n">
        <v>2014</v>
      </c>
      <c r="C1073" s="1" t="s">
        <v>141</v>
      </c>
      <c r="D1073" s="1" t="s">
        <v>63</v>
      </c>
      <c r="E1073" s="1" t="s">
        <v>59</v>
      </c>
      <c r="F1073" s="1" t="n">
        <v>20</v>
      </c>
      <c r="G1073" s="1" t="n">
        <v>23</v>
      </c>
      <c r="H1073" s="1" t="s">
        <v>64</v>
      </c>
      <c r="I1073" s="1" t="n">
        <v>-6.5</v>
      </c>
      <c r="J1073" s="1" t="n">
        <v>47</v>
      </c>
      <c r="K1073" s="1" t="s">
        <v>145</v>
      </c>
      <c r="L1073" s="1" t="b">
        <f aca="false">FALSE()</f>
        <v>0</v>
      </c>
      <c r="M1073" s="1" t="str">
        <f aca="false">VLOOKUP(D1073,'Team Reference'!$A:$B,2,FALSE())</f>
        <v>CHI</v>
      </c>
      <c r="N1073" s="1" t="str">
        <f aca="false">VLOOKUP(E1073,'Team Reference'!$A:$B,2,FALSE())</f>
        <v>BUF</v>
      </c>
      <c r="O1073" s="1" t="str">
        <f aca="false">IF(F1073&gt;G1073,M1073,IF(G1073&gt;F1073,N1073,"Tie"))</f>
        <v>BUF</v>
      </c>
      <c r="P1073" s="1" t="n">
        <f aca="false">F1073-G1073</f>
        <v>-3</v>
      </c>
      <c r="Q1073" s="1" t="n">
        <f aca="false">F1073+G1073</f>
        <v>43</v>
      </c>
      <c r="R1073" s="1" t="str">
        <f aca="false">IF(H1073=M1073,"Home",IF(H1073=N1073,"Away",IF(H1073="PICK","Pick","N/A")))</f>
        <v>Home</v>
      </c>
      <c r="S1073" s="1" t="n">
        <f aca="false">IF(R1073="Home",P1073,IF(R1073="Away",-P1073,""))</f>
        <v>-3</v>
      </c>
      <c r="T1073" s="1" t="str">
        <f aca="false">IF(R1073="Pick","No Line",IF(S1073="","N/A",IF(S1073+I1073&gt;0,"Favorite Covered",IF(S1073+I1073&lt;0,"Underdog Covered","Push"))))</f>
        <v>Underdog Covered</v>
      </c>
      <c r="U1073" s="1" t="str">
        <f aca="false">IF(Q1073&gt;J1073,"Over",IF(Q1073&lt;J1073,"Under","Push"))</f>
        <v>Under</v>
      </c>
    </row>
    <row r="1074" customFormat="false" ht="15" hidden="false" customHeight="false" outlineLevel="0" collapsed="false">
      <c r="A1074" s="1" t="s">
        <v>403</v>
      </c>
      <c r="B1074" s="1" t="n">
        <v>2014</v>
      </c>
      <c r="C1074" s="1" t="s">
        <v>141</v>
      </c>
      <c r="D1074" s="1" t="s">
        <v>69</v>
      </c>
      <c r="E1074" s="1" t="s">
        <v>108</v>
      </c>
      <c r="F1074" s="1" t="n">
        <v>17</v>
      </c>
      <c r="G1074" s="1" t="n">
        <v>28</v>
      </c>
      <c r="H1074" s="1" t="s">
        <v>109</v>
      </c>
      <c r="I1074" s="1" t="n">
        <v>-3.5</v>
      </c>
      <c r="J1074" s="1" t="n">
        <v>51</v>
      </c>
      <c r="K1074" s="1" t="s">
        <v>165</v>
      </c>
      <c r="L1074" s="1" t="b">
        <f aca="false">FALSE()</f>
        <v>0</v>
      </c>
      <c r="M1074" s="1" t="str">
        <f aca="false">VLOOKUP(D1074,'Team Reference'!$A:$B,2,FALSE())</f>
        <v>DAL</v>
      </c>
      <c r="N1074" s="1" t="str">
        <f aca="false">VLOOKUP(E1074,'Team Reference'!$A:$B,2,FALSE())</f>
        <v>SF</v>
      </c>
      <c r="O1074" s="1" t="str">
        <f aca="false">IF(F1074&gt;G1074,M1074,IF(G1074&gt;F1074,N1074,"Tie"))</f>
        <v>SF</v>
      </c>
      <c r="P1074" s="1" t="n">
        <f aca="false">F1074-G1074</f>
        <v>-11</v>
      </c>
      <c r="Q1074" s="1" t="n">
        <f aca="false">F1074+G1074</f>
        <v>45</v>
      </c>
      <c r="R1074" s="1" t="str">
        <f aca="false">IF(H1074=M1074,"Home",IF(H1074=N1074,"Away",IF(H1074="PICK","Pick","N/A")))</f>
        <v>Away</v>
      </c>
      <c r="S1074" s="1" t="n">
        <f aca="false">IF(R1074="Home",P1074,IF(R1074="Away",-P1074,""))</f>
        <v>11</v>
      </c>
      <c r="T1074" s="1" t="str">
        <f aca="false">IF(R1074="Pick","No Line",IF(S1074="","N/A",IF(S1074+I1074&gt;0,"Favorite Covered",IF(S1074+I1074&lt;0,"Underdog Covered","Push"))))</f>
        <v>Favorite Covered</v>
      </c>
      <c r="U1074" s="1" t="str">
        <f aca="false">IF(Q1074&gt;J1074,"Over",IF(Q1074&lt;J1074,"Under","Push"))</f>
        <v>Under</v>
      </c>
    </row>
    <row r="1075" customFormat="false" ht="15" hidden="false" customHeight="false" outlineLevel="0" collapsed="false">
      <c r="A1075" s="1" t="s">
        <v>403</v>
      </c>
      <c r="B1075" s="1" t="n">
        <v>2014</v>
      </c>
      <c r="C1075" s="1" t="s">
        <v>141</v>
      </c>
      <c r="D1075" s="1" t="s">
        <v>71</v>
      </c>
      <c r="E1075" s="1" t="s">
        <v>79</v>
      </c>
      <c r="F1075" s="1" t="n">
        <v>31</v>
      </c>
      <c r="G1075" s="1" t="n">
        <v>24</v>
      </c>
      <c r="H1075" s="1" t="s">
        <v>72</v>
      </c>
      <c r="I1075" s="1" t="n">
        <v>-7.5</v>
      </c>
      <c r="J1075" s="1" t="n">
        <v>55</v>
      </c>
      <c r="K1075" s="1" t="s">
        <v>166</v>
      </c>
      <c r="L1075" s="1" t="b">
        <f aca="false">FALSE()</f>
        <v>0</v>
      </c>
      <c r="M1075" s="1" t="str">
        <f aca="false">VLOOKUP(D1075,'Team Reference'!$A:$B,2,FALSE())</f>
        <v>DEN</v>
      </c>
      <c r="N1075" s="1" t="str">
        <f aca="false">VLOOKUP(E1075,'Team Reference'!$A:$B,2,FALSE())</f>
        <v>IND</v>
      </c>
      <c r="O1075" s="1" t="str">
        <f aca="false">IF(F1075&gt;G1075,M1075,IF(G1075&gt;F1075,N1075,"Tie"))</f>
        <v>DEN</v>
      </c>
      <c r="P1075" s="1" t="n">
        <f aca="false">F1075-G1075</f>
        <v>7</v>
      </c>
      <c r="Q1075" s="1" t="n">
        <f aca="false">F1075+G1075</f>
        <v>55</v>
      </c>
      <c r="R1075" s="1" t="str">
        <f aca="false">IF(H1075=M1075,"Home",IF(H1075=N1075,"Away",IF(H1075="PICK","Pick","N/A")))</f>
        <v>Home</v>
      </c>
      <c r="S1075" s="1" t="n">
        <f aca="false">IF(R1075="Home",P1075,IF(R1075="Away",-P1075,""))</f>
        <v>7</v>
      </c>
      <c r="T1075" s="1" t="str">
        <f aca="false">IF(R1075="Pick","No Line",IF(S1075="","N/A",IF(S1075+I1075&gt;0,"Favorite Covered",IF(S1075+I1075&lt;0,"Underdog Covered","Push"))))</f>
        <v>Underdog Covered</v>
      </c>
      <c r="U1075" s="1" t="str">
        <f aca="false">IF(Q1075&gt;J1075,"Over",IF(Q1075&lt;J1075,"Under","Push"))</f>
        <v>Push</v>
      </c>
    </row>
    <row r="1076" customFormat="false" ht="15" hidden="false" customHeight="false" outlineLevel="0" collapsed="false">
      <c r="A1076" s="1" t="s">
        <v>403</v>
      </c>
      <c r="B1076" s="1" t="n">
        <v>2014</v>
      </c>
      <c r="C1076" s="1" t="s">
        <v>141</v>
      </c>
      <c r="D1076" s="1" t="s">
        <v>77</v>
      </c>
      <c r="E1076" s="1" t="s">
        <v>117</v>
      </c>
      <c r="F1076" s="1" t="n">
        <v>17</v>
      </c>
      <c r="G1076" s="1" t="n">
        <v>6</v>
      </c>
      <c r="H1076" s="1" t="s">
        <v>78</v>
      </c>
      <c r="I1076" s="1" t="n">
        <v>-3</v>
      </c>
      <c r="J1076" s="1" t="n">
        <v>44.5</v>
      </c>
      <c r="K1076" s="1" t="s">
        <v>146</v>
      </c>
      <c r="L1076" s="1" t="b">
        <f aca="false">FALSE()</f>
        <v>0</v>
      </c>
      <c r="M1076" s="1" t="str">
        <f aca="false">VLOOKUP(D1076,'Team Reference'!$A:$B,2,FALSE())</f>
        <v>HOU</v>
      </c>
      <c r="N1076" s="1" t="str">
        <f aca="false">VLOOKUP(E1076,'Team Reference'!$A:$B,2,FALSE())</f>
        <v>WAS</v>
      </c>
      <c r="O1076" s="1" t="str">
        <f aca="false">IF(F1076&gt;G1076,M1076,IF(G1076&gt;F1076,N1076,"Tie"))</f>
        <v>HOU</v>
      </c>
      <c r="P1076" s="1" t="n">
        <f aca="false">F1076-G1076</f>
        <v>11</v>
      </c>
      <c r="Q1076" s="1" t="n">
        <f aca="false">F1076+G1076</f>
        <v>23</v>
      </c>
      <c r="R1076" s="1" t="str">
        <f aca="false">IF(H1076=M1076,"Home",IF(H1076=N1076,"Away",IF(H1076="PICK","Pick","N/A")))</f>
        <v>Home</v>
      </c>
      <c r="S1076" s="1" t="n">
        <f aca="false">IF(R1076="Home",P1076,IF(R1076="Away",-P1076,""))</f>
        <v>11</v>
      </c>
      <c r="T1076" s="1" t="str">
        <f aca="false">IF(R1076="Pick","No Line",IF(S1076="","N/A",IF(S1076+I1076&gt;0,"Favorite Covered",IF(S1076+I1076&lt;0,"Underdog Covered","Push"))))</f>
        <v>Favorite Covered</v>
      </c>
      <c r="U1076" s="1" t="str">
        <f aca="false">IF(Q1076&gt;J1076,"Over",IF(Q1076&lt;J1076,"Under","Push"))</f>
        <v>Under</v>
      </c>
    </row>
    <row r="1077" customFormat="false" ht="15" hidden="false" customHeight="false" outlineLevel="0" collapsed="false">
      <c r="A1077" s="1" t="s">
        <v>403</v>
      </c>
      <c r="B1077" s="1" t="n">
        <v>2014</v>
      </c>
      <c r="C1077" s="1" t="s">
        <v>141</v>
      </c>
      <c r="D1077" s="1" t="s">
        <v>83</v>
      </c>
      <c r="E1077" s="1" t="s">
        <v>115</v>
      </c>
      <c r="F1077" s="1" t="n">
        <v>10</v>
      </c>
      <c r="G1077" s="1" t="n">
        <v>26</v>
      </c>
      <c r="H1077" s="1" t="s">
        <v>84</v>
      </c>
      <c r="I1077" s="1" t="n">
        <v>-3</v>
      </c>
      <c r="J1077" s="1" t="n">
        <v>44</v>
      </c>
      <c r="K1077" s="1" t="s">
        <v>158</v>
      </c>
      <c r="L1077" s="1" t="b">
        <f aca="false">FALSE()</f>
        <v>0</v>
      </c>
      <c r="M1077" s="1" t="str">
        <f aca="false">VLOOKUP(D1077,'Team Reference'!$A:$B,2,FALSE())</f>
        <v>KC</v>
      </c>
      <c r="N1077" s="1" t="str">
        <f aca="false">VLOOKUP(E1077,'Team Reference'!$A:$B,2,FALSE())</f>
        <v>TEN</v>
      </c>
      <c r="O1077" s="1" t="str">
        <f aca="false">IF(F1077&gt;G1077,M1077,IF(G1077&gt;F1077,N1077,"Tie"))</f>
        <v>TEN</v>
      </c>
      <c r="P1077" s="1" t="n">
        <f aca="false">F1077-G1077</f>
        <v>-16</v>
      </c>
      <c r="Q1077" s="1" t="n">
        <f aca="false">F1077+G1077</f>
        <v>36</v>
      </c>
      <c r="R1077" s="1" t="str">
        <f aca="false">IF(H1077=M1077,"Home",IF(H1077=N1077,"Away",IF(H1077="PICK","Pick","N/A")))</f>
        <v>Home</v>
      </c>
      <c r="S1077" s="1" t="n">
        <f aca="false">IF(R1077="Home",P1077,IF(R1077="Away",-P1077,""))</f>
        <v>-16</v>
      </c>
      <c r="T1077" s="1" t="str">
        <f aca="false">IF(R1077="Pick","No Line",IF(S1077="","N/A",IF(S1077+I1077&gt;0,"Favorite Covered",IF(S1077+I1077&lt;0,"Underdog Covered","Push"))))</f>
        <v>Underdog Covered</v>
      </c>
      <c r="U1077" s="1" t="str">
        <f aca="false">IF(Q1077&gt;J1077,"Over",IF(Q1077&lt;J1077,"Under","Push"))</f>
        <v>Under</v>
      </c>
    </row>
    <row r="1078" customFormat="false" ht="15" hidden="false" customHeight="false" outlineLevel="0" collapsed="false">
      <c r="A1078" s="1" t="s">
        <v>403</v>
      </c>
      <c r="B1078" s="1" t="n">
        <v>2014</v>
      </c>
      <c r="C1078" s="1" t="s">
        <v>141</v>
      </c>
      <c r="D1078" s="1" t="s">
        <v>89</v>
      </c>
      <c r="E1078" s="1" t="s">
        <v>93</v>
      </c>
      <c r="F1078" s="1" t="n">
        <v>33</v>
      </c>
      <c r="G1078" s="1" t="n">
        <v>20</v>
      </c>
      <c r="H1078" s="1" t="s">
        <v>94</v>
      </c>
      <c r="I1078" s="1" t="n">
        <v>-4</v>
      </c>
      <c r="J1078" s="1" t="n">
        <v>46.5</v>
      </c>
      <c r="K1078" s="1" t="s">
        <v>179</v>
      </c>
      <c r="L1078" s="1" t="b">
        <f aca="false">FALSE()</f>
        <v>0</v>
      </c>
      <c r="M1078" s="1" t="str">
        <f aca="false">VLOOKUP(D1078,'Team Reference'!$A:$B,2,FALSE())</f>
        <v>MIA</v>
      </c>
      <c r="N1078" s="1" t="str">
        <f aca="false">VLOOKUP(E1078,'Team Reference'!$A:$B,2,FALSE())</f>
        <v>NE</v>
      </c>
      <c r="O1078" s="1" t="str">
        <f aca="false">IF(F1078&gt;G1078,M1078,IF(G1078&gt;F1078,N1078,"Tie"))</f>
        <v>MIA</v>
      </c>
      <c r="P1078" s="1" t="n">
        <f aca="false">F1078-G1078</f>
        <v>13</v>
      </c>
      <c r="Q1078" s="1" t="n">
        <f aca="false">F1078+G1078</f>
        <v>53</v>
      </c>
      <c r="R1078" s="1" t="str">
        <f aca="false">IF(H1078=M1078,"Home",IF(H1078=N1078,"Away",IF(H1078="PICK","Pick","N/A")))</f>
        <v>Away</v>
      </c>
      <c r="S1078" s="1" t="n">
        <f aca="false">IF(R1078="Home",P1078,IF(R1078="Away",-P1078,""))</f>
        <v>-13</v>
      </c>
      <c r="T1078" s="1" t="str">
        <f aca="false">IF(R1078="Pick","No Line",IF(S1078="","N/A",IF(S1078+I1078&gt;0,"Favorite Covered",IF(S1078+I1078&lt;0,"Underdog Covered","Push"))))</f>
        <v>Underdog Covered</v>
      </c>
      <c r="U1078" s="1" t="str">
        <f aca="false">IF(Q1078&gt;J1078,"Over",IF(Q1078&lt;J1078,"Under","Push"))</f>
        <v>Over</v>
      </c>
    </row>
    <row r="1079" customFormat="false" ht="15" hidden="false" customHeight="false" outlineLevel="0" collapsed="false">
      <c r="A1079" s="1" t="s">
        <v>403</v>
      </c>
      <c r="B1079" s="1" t="n">
        <v>2014</v>
      </c>
      <c r="C1079" s="1" t="s">
        <v>141</v>
      </c>
      <c r="D1079" s="1" t="s">
        <v>99</v>
      </c>
      <c r="E1079" s="1" t="s">
        <v>101</v>
      </c>
      <c r="F1079" s="1" t="n">
        <v>19</v>
      </c>
      <c r="G1079" s="1" t="n">
        <v>14</v>
      </c>
      <c r="H1079" s="1" t="s">
        <v>100</v>
      </c>
      <c r="I1079" s="1" t="n">
        <v>-5</v>
      </c>
      <c r="J1079" s="1" t="n">
        <v>40.5</v>
      </c>
      <c r="K1079" s="1" t="s">
        <v>149</v>
      </c>
      <c r="L1079" s="1" t="b">
        <f aca="false">FALSE()</f>
        <v>0</v>
      </c>
      <c r="M1079" s="1" t="str">
        <f aca="false">VLOOKUP(D1079,'Team Reference'!$A:$B,2,FALSE())</f>
        <v>NYJ</v>
      </c>
      <c r="N1079" s="1" t="str">
        <f aca="false">VLOOKUP(E1079,'Team Reference'!$A:$B,2,FALSE())</f>
        <v>OAK</v>
      </c>
      <c r="O1079" s="1" t="str">
        <f aca="false">IF(F1079&gt;G1079,M1079,IF(G1079&gt;F1079,N1079,"Tie"))</f>
        <v>NYJ</v>
      </c>
      <c r="P1079" s="1" t="n">
        <f aca="false">F1079-G1079</f>
        <v>5</v>
      </c>
      <c r="Q1079" s="1" t="n">
        <f aca="false">F1079+G1079</f>
        <v>33</v>
      </c>
      <c r="R1079" s="1" t="str">
        <f aca="false">IF(H1079=M1079,"Home",IF(H1079=N1079,"Away",IF(H1079="PICK","Pick","N/A")))</f>
        <v>Home</v>
      </c>
      <c r="S1079" s="1" t="n">
        <f aca="false">IF(R1079="Home",P1079,IF(R1079="Away",-P1079,""))</f>
        <v>5</v>
      </c>
      <c r="T1079" s="1" t="str">
        <f aca="false">IF(R1079="Pick","No Line",IF(S1079="","N/A",IF(S1079+I1079&gt;0,"Favorite Covered",IF(S1079+I1079&lt;0,"Underdog Covered","Push"))))</f>
        <v>Push</v>
      </c>
      <c r="U1079" s="1" t="str">
        <f aca="false">IF(Q1079&gt;J1079,"Over",IF(Q1079&lt;J1079,"Under","Push"))</f>
        <v>Under</v>
      </c>
    </row>
    <row r="1080" customFormat="false" ht="15" hidden="false" customHeight="false" outlineLevel="0" collapsed="false">
      <c r="A1080" s="1" t="s">
        <v>403</v>
      </c>
      <c r="B1080" s="1" t="n">
        <v>2014</v>
      </c>
      <c r="C1080" s="1" t="s">
        <v>141</v>
      </c>
      <c r="D1080" s="1" t="s">
        <v>103</v>
      </c>
      <c r="E1080" s="1" t="s">
        <v>81</v>
      </c>
      <c r="F1080" s="1" t="n">
        <v>34</v>
      </c>
      <c r="G1080" s="1" t="n">
        <v>17</v>
      </c>
      <c r="H1080" s="1" t="s">
        <v>104</v>
      </c>
      <c r="I1080" s="1" t="n">
        <v>-10.5</v>
      </c>
      <c r="J1080" s="1" t="n">
        <v>51.5</v>
      </c>
      <c r="K1080" s="1" t="s">
        <v>150</v>
      </c>
      <c r="L1080" s="1" t="b">
        <f aca="false">FALSE()</f>
        <v>0</v>
      </c>
      <c r="M1080" s="1" t="str">
        <f aca="false">VLOOKUP(D1080,'Team Reference'!$A:$B,2,FALSE())</f>
        <v>PHI</v>
      </c>
      <c r="N1080" s="1" t="str">
        <f aca="false">VLOOKUP(E1080,'Team Reference'!$A:$B,2,FALSE())</f>
        <v>JAX</v>
      </c>
      <c r="O1080" s="1" t="str">
        <f aca="false">IF(F1080&gt;G1080,M1080,IF(G1080&gt;F1080,N1080,"Tie"))</f>
        <v>PHI</v>
      </c>
      <c r="P1080" s="1" t="n">
        <f aca="false">F1080-G1080</f>
        <v>17</v>
      </c>
      <c r="Q1080" s="1" t="n">
        <f aca="false">F1080+G1080</f>
        <v>51</v>
      </c>
      <c r="R1080" s="1" t="str">
        <f aca="false">IF(H1080=M1080,"Home",IF(H1080=N1080,"Away",IF(H1080="PICK","Pick","N/A")))</f>
        <v>Home</v>
      </c>
      <c r="S1080" s="1" t="n">
        <f aca="false">IF(R1080="Home",P1080,IF(R1080="Away",-P1080,""))</f>
        <v>17</v>
      </c>
      <c r="T1080" s="1" t="str">
        <f aca="false">IF(R1080="Pick","No Line",IF(S1080="","N/A",IF(S1080+I1080&gt;0,"Favorite Covered",IF(S1080+I1080&lt;0,"Underdog Covered","Push"))))</f>
        <v>Favorite Covered</v>
      </c>
      <c r="U1080" s="1" t="str">
        <f aca="false">IF(Q1080&gt;J1080,"Over",IF(Q1080&lt;J1080,"Under","Push"))</f>
        <v>Under</v>
      </c>
    </row>
    <row r="1081" customFormat="false" ht="15" hidden="false" customHeight="false" outlineLevel="0" collapsed="false">
      <c r="A1081" s="1" t="s">
        <v>403</v>
      </c>
      <c r="B1081" s="1" t="n">
        <v>2014</v>
      </c>
      <c r="C1081" s="1" t="s">
        <v>141</v>
      </c>
      <c r="D1081" s="1" t="s">
        <v>105</v>
      </c>
      <c r="E1081" s="1" t="s">
        <v>67</v>
      </c>
      <c r="F1081" s="1" t="n">
        <v>30</v>
      </c>
      <c r="G1081" s="1" t="n">
        <v>27</v>
      </c>
      <c r="H1081" s="1" t="s">
        <v>106</v>
      </c>
      <c r="I1081" s="1" t="n">
        <v>-6.5</v>
      </c>
      <c r="J1081" s="1" t="n">
        <v>41</v>
      </c>
      <c r="K1081" s="1" t="s">
        <v>151</v>
      </c>
      <c r="L1081" s="1" t="b">
        <f aca="false">FALSE()</f>
        <v>0</v>
      </c>
      <c r="M1081" s="1" t="str">
        <f aca="false">VLOOKUP(D1081,'Team Reference'!$A:$B,2,FALSE())</f>
        <v>PIT</v>
      </c>
      <c r="N1081" s="1" t="str">
        <f aca="false">VLOOKUP(E1081,'Team Reference'!$A:$B,2,FALSE())</f>
        <v>CLE</v>
      </c>
      <c r="O1081" s="1" t="str">
        <f aca="false">IF(F1081&gt;G1081,M1081,IF(G1081&gt;F1081,N1081,"Tie"))</f>
        <v>PIT</v>
      </c>
      <c r="P1081" s="1" t="n">
        <f aca="false">F1081-G1081</f>
        <v>3</v>
      </c>
      <c r="Q1081" s="1" t="n">
        <f aca="false">F1081+G1081</f>
        <v>57</v>
      </c>
      <c r="R1081" s="1" t="str">
        <f aca="false">IF(H1081=M1081,"Home",IF(H1081=N1081,"Away",IF(H1081="PICK","Pick","N/A")))</f>
        <v>Home</v>
      </c>
      <c r="S1081" s="1" t="n">
        <f aca="false">IF(R1081="Home",P1081,IF(R1081="Away",-P1081,""))</f>
        <v>3</v>
      </c>
      <c r="T1081" s="1" t="str">
        <f aca="false">IF(R1081="Pick","No Line",IF(S1081="","N/A",IF(S1081+I1081&gt;0,"Favorite Covered",IF(S1081+I1081&lt;0,"Underdog Covered","Push"))))</f>
        <v>Underdog Covered</v>
      </c>
      <c r="U1081" s="1" t="str">
        <f aca="false">IF(Q1081&gt;J1081,"Over",IF(Q1081&lt;J1081,"Under","Push"))</f>
        <v>Over</v>
      </c>
    </row>
    <row r="1082" customFormat="false" ht="15" hidden="false" customHeight="false" outlineLevel="0" collapsed="false">
      <c r="A1082" s="1" t="s">
        <v>403</v>
      </c>
      <c r="B1082" s="1" t="n">
        <v>2014</v>
      </c>
      <c r="C1082" s="1" t="s">
        <v>141</v>
      </c>
      <c r="D1082" s="1" t="s">
        <v>112</v>
      </c>
      <c r="E1082" s="1" t="s">
        <v>91</v>
      </c>
      <c r="F1082" s="1" t="n">
        <v>6</v>
      </c>
      <c r="G1082" s="1" t="n">
        <v>34</v>
      </c>
      <c r="H1082" s="1" t="s">
        <v>88</v>
      </c>
      <c r="I1082" s="1" t="n">
        <v>-3</v>
      </c>
      <c r="J1082" s="1" t="n">
        <v>43</v>
      </c>
      <c r="K1082" s="1" t="s">
        <v>153</v>
      </c>
      <c r="L1082" s="1" t="b">
        <f aca="false">FALSE()</f>
        <v>0</v>
      </c>
      <c r="M1082" s="1" t="str">
        <f aca="false">VLOOKUP(D1082,'Team Reference'!$A:$B,2,FALSE())</f>
        <v>LAR</v>
      </c>
      <c r="N1082" s="1" t="str">
        <f aca="false">VLOOKUP(E1082,'Team Reference'!$A:$B,2,FALSE())</f>
        <v>MIN</v>
      </c>
      <c r="O1082" s="1" t="str">
        <f aca="false">IF(F1082&gt;G1082,M1082,IF(G1082&gt;F1082,N1082,"Tie"))</f>
        <v>MIN</v>
      </c>
      <c r="P1082" s="1" t="n">
        <f aca="false">F1082-G1082</f>
        <v>-28</v>
      </c>
      <c r="Q1082" s="1" t="n">
        <f aca="false">F1082+G1082</f>
        <v>40</v>
      </c>
      <c r="R1082" s="1" t="str">
        <f aca="false">IF(H1082=M1082,"Home",IF(H1082=N1082,"Away",IF(H1082="PICK","Pick","N/A")))</f>
        <v>Home</v>
      </c>
      <c r="S1082" s="1" t="n">
        <f aca="false">IF(R1082="Home",P1082,IF(R1082="Away",-P1082,""))</f>
        <v>-28</v>
      </c>
      <c r="T1082" s="1" t="str">
        <f aca="false">IF(R1082="Pick","No Line",IF(S1082="","N/A",IF(S1082+I1082&gt;0,"Favorite Covered",IF(S1082+I1082&lt;0,"Underdog Covered","Push"))))</f>
        <v>Underdog Covered</v>
      </c>
      <c r="U1082" s="1" t="str">
        <f aca="false">IF(Q1082&gt;J1082,"Over",IF(Q1082&lt;J1082,"Under","Push"))</f>
        <v>Under</v>
      </c>
    </row>
    <row r="1083" customFormat="false" ht="15" hidden="false" customHeight="false" outlineLevel="0" collapsed="false">
      <c r="A1083" s="1" t="s">
        <v>403</v>
      </c>
      <c r="B1083" s="1" t="n">
        <v>2014</v>
      </c>
      <c r="C1083" s="1" t="s">
        <v>141</v>
      </c>
      <c r="D1083" s="1" t="s">
        <v>113</v>
      </c>
      <c r="E1083" s="1" t="s">
        <v>61</v>
      </c>
      <c r="F1083" s="1" t="n">
        <v>14</v>
      </c>
      <c r="G1083" s="1" t="n">
        <v>20</v>
      </c>
      <c r="H1083" s="1" t="s">
        <v>114</v>
      </c>
      <c r="I1083" s="1" t="n">
        <v>-3</v>
      </c>
      <c r="J1083" s="1" t="n">
        <v>37.5</v>
      </c>
      <c r="K1083" s="1" t="s">
        <v>154</v>
      </c>
      <c r="L1083" s="1" t="b">
        <f aca="false">FALSE()</f>
        <v>0</v>
      </c>
      <c r="M1083" s="1" t="str">
        <f aca="false">VLOOKUP(D1083,'Team Reference'!$A:$B,2,FALSE())</f>
        <v>TB</v>
      </c>
      <c r="N1083" s="1" t="str">
        <f aca="false">VLOOKUP(E1083,'Team Reference'!$A:$B,2,FALSE())</f>
        <v>CAR</v>
      </c>
      <c r="O1083" s="1" t="str">
        <f aca="false">IF(F1083&gt;G1083,M1083,IF(G1083&gt;F1083,N1083,"Tie"))</f>
        <v>CAR</v>
      </c>
      <c r="P1083" s="1" t="n">
        <f aca="false">F1083-G1083</f>
        <v>-6</v>
      </c>
      <c r="Q1083" s="1" t="n">
        <f aca="false">F1083+G1083</f>
        <v>34</v>
      </c>
      <c r="R1083" s="1" t="str">
        <f aca="false">IF(H1083=M1083,"Home",IF(H1083=N1083,"Away",IF(H1083="PICK","Pick","N/A")))</f>
        <v>Home</v>
      </c>
      <c r="S1083" s="1" t="n">
        <f aca="false">IF(R1083="Home",P1083,IF(R1083="Away",-P1083,""))</f>
        <v>-6</v>
      </c>
      <c r="T1083" s="1" t="str">
        <f aca="false">IF(R1083="Pick","No Line",IF(S1083="","N/A",IF(S1083+I1083&gt;0,"Favorite Covered",IF(S1083+I1083&lt;0,"Underdog Covered","Push"))))</f>
        <v>Underdog Covered</v>
      </c>
      <c r="U1083" s="1" t="str">
        <f aca="false">IF(Q1083&gt;J1083,"Over",IF(Q1083&lt;J1083,"Under","Push"))</f>
        <v>Under</v>
      </c>
    </row>
    <row r="1084" customFormat="false" ht="15" hidden="false" customHeight="false" outlineLevel="0" collapsed="false">
      <c r="A1084" s="1" t="s">
        <v>404</v>
      </c>
      <c r="B1084" s="1" t="n">
        <v>2014</v>
      </c>
      <c r="C1084" s="1" t="s">
        <v>141</v>
      </c>
      <c r="D1084" s="1" t="s">
        <v>53</v>
      </c>
      <c r="E1084" s="1" t="s">
        <v>107</v>
      </c>
      <c r="F1084" s="1" t="n">
        <v>18</v>
      </c>
      <c r="G1084" s="1" t="n">
        <v>17</v>
      </c>
      <c r="H1084" s="1" t="s">
        <v>54</v>
      </c>
      <c r="I1084" s="1" t="n">
        <v>-3</v>
      </c>
      <c r="J1084" s="1" t="n">
        <v>47</v>
      </c>
      <c r="K1084" s="1" t="s">
        <v>177</v>
      </c>
      <c r="L1084" s="1" t="b">
        <f aca="false">FALSE()</f>
        <v>0</v>
      </c>
      <c r="M1084" s="1" t="str">
        <f aca="false">VLOOKUP(D1084,'Team Reference'!$A:$B,2,FALSE())</f>
        <v>ARI</v>
      </c>
      <c r="N1084" s="1" t="str">
        <f aca="false">VLOOKUP(E1084,'Team Reference'!$A:$B,2,FALSE())</f>
        <v>LAC</v>
      </c>
      <c r="O1084" s="1" t="str">
        <f aca="false">IF(F1084&gt;G1084,M1084,IF(G1084&gt;F1084,N1084,"Tie"))</f>
        <v>ARI</v>
      </c>
      <c r="P1084" s="1" t="n">
        <f aca="false">F1084-G1084</f>
        <v>1</v>
      </c>
      <c r="Q1084" s="1" t="n">
        <f aca="false">F1084+G1084</f>
        <v>35</v>
      </c>
      <c r="R1084" s="1" t="str">
        <f aca="false">IF(H1084=M1084,"Home",IF(H1084=N1084,"Away",IF(H1084="PICK","Pick","N/A")))</f>
        <v>Home</v>
      </c>
      <c r="S1084" s="1" t="n">
        <f aca="false">IF(R1084="Home",P1084,IF(R1084="Away",-P1084,""))</f>
        <v>1</v>
      </c>
      <c r="T1084" s="1" t="str">
        <f aca="false">IF(R1084="Pick","No Line",IF(S1084="","N/A",IF(S1084+I1084&gt;0,"Favorite Covered",IF(S1084+I1084&lt;0,"Underdog Covered","Push"))))</f>
        <v>Underdog Covered</v>
      </c>
      <c r="U1084" s="1" t="str">
        <f aca="false">IF(Q1084&gt;J1084,"Over",IF(Q1084&lt;J1084,"Under","Push"))</f>
        <v>Under</v>
      </c>
    </row>
    <row r="1085" customFormat="false" ht="15" hidden="false" customHeight="false" outlineLevel="0" collapsed="false">
      <c r="A1085" s="1" t="s">
        <v>404</v>
      </c>
      <c r="B1085" s="1" t="n">
        <v>2014</v>
      </c>
      <c r="C1085" s="1" t="s">
        <v>141</v>
      </c>
      <c r="D1085" s="1" t="s">
        <v>73</v>
      </c>
      <c r="E1085" s="1" t="s">
        <v>97</v>
      </c>
      <c r="F1085" s="1" t="n">
        <v>35</v>
      </c>
      <c r="G1085" s="1" t="n">
        <v>14</v>
      </c>
      <c r="H1085" s="1" t="s">
        <v>74</v>
      </c>
      <c r="I1085" s="1" t="n">
        <v>-6.5</v>
      </c>
      <c r="J1085" s="1" t="n">
        <v>47</v>
      </c>
      <c r="K1085" s="1" t="s">
        <v>167</v>
      </c>
      <c r="L1085" s="1" t="b">
        <f aca="false">FALSE()</f>
        <v>0</v>
      </c>
      <c r="M1085" s="1" t="str">
        <f aca="false">VLOOKUP(D1085,'Team Reference'!$A:$B,2,FALSE())</f>
        <v>DET</v>
      </c>
      <c r="N1085" s="1" t="str">
        <f aca="false">VLOOKUP(E1085,'Team Reference'!$A:$B,2,FALSE())</f>
        <v>NYG</v>
      </c>
      <c r="O1085" s="1" t="str">
        <f aca="false">IF(F1085&gt;G1085,M1085,IF(G1085&gt;F1085,N1085,"Tie"))</f>
        <v>DET</v>
      </c>
      <c r="P1085" s="1" t="n">
        <f aca="false">F1085-G1085</f>
        <v>21</v>
      </c>
      <c r="Q1085" s="1" t="n">
        <f aca="false">F1085+G1085</f>
        <v>49</v>
      </c>
      <c r="R1085" s="1" t="str">
        <f aca="false">IF(H1085=M1085,"Home",IF(H1085=N1085,"Away",IF(H1085="PICK","Pick","N/A")))</f>
        <v>Home</v>
      </c>
      <c r="S1085" s="1" t="n">
        <f aca="false">IF(R1085="Home",P1085,IF(R1085="Away",-P1085,""))</f>
        <v>21</v>
      </c>
      <c r="T1085" s="1" t="str">
        <f aca="false">IF(R1085="Pick","No Line",IF(S1085="","N/A",IF(S1085+I1085&gt;0,"Favorite Covered",IF(S1085+I1085&lt;0,"Underdog Covered","Push"))))</f>
        <v>Favorite Covered</v>
      </c>
      <c r="U1085" s="1" t="str">
        <f aca="false">IF(Q1085&gt;J1085,"Over",IF(Q1085&lt;J1085,"Under","Push"))</f>
        <v>Over</v>
      </c>
    </row>
    <row r="1086" customFormat="false" ht="15" hidden="false" customHeight="false" outlineLevel="0" collapsed="false">
      <c r="A1086" s="1" t="s">
        <v>405</v>
      </c>
      <c r="B1086" s="1" t="n">
        <v>2014</v>
      </c>
      <c r="C1086" s="1" t="s">
        <v>160</v>
      </c>
      <c r="D1086" s="1" t="s">
        <v>57</v>
      </c>
      <c r="E1086" s="1" t="s">
        <v>105</v>
      </c>
      <c r="F1086" s="1" t="n">
        <v>26</v>
      </c>
      <c r="G1086" s="1" t="n">
        <v>6</v>
      </c>
      <c r="H1086" s="1" t="s">
        <v>106</v>
      </c>
      <c r="I1086" s="1" t="n">
        <v>-2.5</v>
      </c>
      <c r="J1086" s="1" t="n">
        <v>44.5</v>
      </c>
      <c r="K1086" s="1" t="s">
        <v>178</v>
      </c>
      <c r="L1086" s="1" t="b">
        <f aca="false">FALSE()</f>
        <v>0</v>
      </c>
      <c r="M1086" s="1" t="str">
        <f aca="false">VLOOKUP(D1086,'Team Reference'!$A:$B,2,FALSE())</f>
        <v>BAL</v>
      </c>
      <c r="N1086" s="1" t="str">
        <f aca="false">VLOOKUP(E1086,'Team Reference'!$A:$B,2,FALSE())</f>
        <v>PIT</v>
      </c>
      <c r="O1086" s="1" t="str">
        <f aca="false">IF(F1086&gt;G1086,M1086,IF(G1086&gt;F1086,N1086,"Tie"))</f>
        <v>BAL</v>
      </c>
      <c r="P1086" s="1" t="n">
        <f aca="false">F1086-G1086</f>
        <v>20</v>
      </c>
      <c r="Q1086" s="1" t="n">
        <f aca="false">F1086+G1086</f>
        <v>32</v>
      </c>
      <c r="R1086" s="1" t="str">
        <f aca="false">IF(H1086=M1086,"Home",IF(H1086=N1086,"Away",IF(H1086="PICK","Pick","N/A")))</f>
        <v>Away</v>
      </c>
      <c r="S1086" s="1" t="n">
        <f aca="false">IF(R1086="Home",P1086,IF(R1086="Away",-P1086,""))</f>
        <v>-20</v>
      </c>
      <c r="T1086" s="1" t="str">
        <f aca="false">IF(R1086="Pick","No Line",IF(S1086="","N/A",IF(S1086+I1086&gt;0,"Favorite Covered",IF(S1086+I1086&lt;0,"Underdog Covered","Push"))))</f>
        <v>Underdog Covered</v>
      </c>
      <c r="U1086" s="1" t="str">
        <f aca="false">IF(Q1086&gt;J1086,"Over",IF(Q1086&lt;J1086,"Under","Push"))</f>
        <v>Under</v>
      </c>
    </row>
    <row r="1087" customFormat="false" ht="15" hidden="false" customHeight="false" outlineLevel="0" collapsed="false">
      <c r="A1087" s="1" t="s">
        <v>406</v>
      </c>
      <c r="B1087" s="1" t="n">
        <v>2014</v>
      </c>
      <c r="C1087" s="1" t="s">
        <v>160</v>
      </c>
      <c r="D1087" s="1" t="s">
        <v>59</v>
      </c>
      <c r="E1087" s="1" t="s">
        <v>89</v>
      </c>
      <c r="F1087" s="1" t="n">
        <v>29</v>
      </c>
      <c r="G1087" s="1" t="n">
        <v>10</v>
      </c>
      <c r="H1087" s="1" t="s">
        <v>90</v>
      </c>
      <c r="I1087" s="1" t="n">
        <v>-1</v>
      </c>
      <c r="J1087" s="1" t="n">
        <v>43</v>
      </c>
      <c r="K1087" s="1" t="s">
        <v>144</v>
      </c>
      <c r="L1087" s="1" t="b">
        <f aca="false">FALSE()</f>
        <v>0</v>
      </c>
      <c r="M1087" s="1" t="str">
        <f aca="false">VLOOKUP(D1087,'Team Reference'!$A:$B,2,FALSE())</f>
        <v>BUF</v>
      </c>
      <c r="N1087" s="1" t="str">
        <f aca="false">VLOOKUP(E1087,'Team Reference'!$A:$B,2,FALSE())</f>
        <v>MIA</v>
      </c>
      <c r="O1087" s="1" t="str">
        <f aca="false">IF(F1087&gt;G1087,M1087,IF(G1087&gt;F1087,N1087,"Tie"))</f>
        <v>BUF</v>
      </c>
      <c r="P1087" s="1" t="n">
        <f aca="false">F1087-G1087</f>
        <v>19</v>
      </c>
      <c r="Q1087" s="1" t="n">
        <f aca="false">F1087+G1087</f>
        <v>39</v>
      </c>
      <c r="R1087" s="1" t="str">
        <f aca="false">IF(H1087=M1087,"Home",IF(H1087=N1087,"Away",IF(H1087="PICK","Pick","N/A")))</f>
        <v>Away</v>
      </c>
      <c r="S1087" s="1" t="n">
        <f aca="false">IF(R1087="Home",P1087,IF(R1087="Away",-P1087,""))</f>
        <v>-19</v>
      </c>
      <c r="T1087" s="1" t="str">
        <f aca="false">IF(R1087="Pick","No Line",IF(S1087="","N/A",IF(S1087+I1087&gt;0,"Favorite Covered",IF(S1087+I1087&lt;0,"Underdog Covered","Push"))))</f>
        <v>Underdog Covered</v>
      </c>
      <c r="U1087" s="1" t="str">
        <f aca="false">IF(Q1087&gt;J1087,"Over",IF(Q1087&lt;J1087,"Under","Push"))</f>
        <v>Under</v>
      </c>
    </row>
    <row r="1088" customFormat="false" ht="15" hidden="false" customHeight="false" outlineLevel="0" collapsed="false">
      <c r="A1088" s="1" t="s">
        <v>406</v>
      </c>
      <c r="B1088" s="1" t="n">
        <v>2014</v>
      </c>
      <c r="C1088" s="1" t="s">
        <v>160</v>
      </c>
      <c r="D1088" s="1" t="s">
        <v>61</v>
      </c>
      <c r="E1088" s="1" t="s">
        <v>73</v>
      </c>
      <c r="F1088" s="1" t="n">
        <v>24</v>
      </c>
      <c r="G1088" s="1" t="n">
        <v>7</v>
      </c>
      <c r="H1088" s="1" t="s">
        <v>74</v>
      </c>
      <c r="I1088" s="1" t="n">
        <v>-1.5</v>
      </c>
      <c r="J1088" s="1" t="n">
        <v>43.5</v>
      </c>
      <c r="K1088" s="1" t="s">
        <v>162</v>
      </c>
      <c r="L1088" s="1" t="b">
        <f aca="false">FALSE()</f>
        <v>0</v>
      </c>
      <c r="M1088" s="1" t="str">
        <f aca="false">VLOOKUP(D1088,'Team Reference'!$A:$B,2,FALSE())</f>
        <v>CAR</v>
      </c>
      <c r="N1088" s="1" t="str">
        <f aca="false">VLOOKUP(E1088,'Team Reference'!$A:$B,2,FALSE())</f>
        <v>DET</v>
      </c>
      <c r="O1088" s="1" t="str">
        <f aca="false">IF(F1088&gt;G1088,M1088,IF(G1088&gt;F1088,N1088,"Tie"))</f>
        <v>CAR</v>
      </c>
      <c r="P1088" s="1" t="n">
        <f aca="false">F1088-G1088</f>
        <v>17</v>
      </c>
      <c r="Q1088" s="1" t="n">
        <f aca="false">F1088+G1088</f>
        <v>31</v>
      </c>
      <c r="R1088" s="1" t="str">
        <f aca="false">IF(H1088=M1088,"Home",IF(H1088=N1088,"Away",IF(H1088="PICK","Pick","N/A")))</f>
        <v>Away</v>
      </c>
      <c r="S1088" s="1" t="n">
        <f aca="false">IF(R1088="Home",P1088,IF(R1088="Away",-P1088,""))</f>
        <v>-17</v>
      </c>
      <c r="T1088" s="1" t="str">
        <f aca="false">IF(R1088="Pick","No Line",IF(S1088="","N/A",IF(S1088+I1088&gt;0,"Favorite Covered",IF(S1088+I1088&lt;0,"Underdog Covered","Push"))))</f>
        <v>Underdog Covered</v>
      </c>
      <c r="U1088" s="1" t="str">
        <f aca="false">IF(Q1088&gt;J1088,"Over",IF(Q1088&lt;J1088,"Under","Push"))</f>
        <v>Under</v>
      </c>
    </row>
    <row r="1089" customFormat="false" ht="15" hidden="false" customHeight="false" outlineLevel="0" collapsed="false">
      <c r="A1089" s="1" t="s">
        <v>406</v>
      </c>
      <c r="B1089" s="1" t="n">
        <v>2014</v>
      </c>
      <c r="C1089" s="1" t="s">
        <v>160</v>
      </c>
      <c r="D1089" s="1" t="s">
        <v>65</v>
      </c>
      <c r="E1089" s="1" t="s">
        <v>55</v>
      </c>
      <c r="F1089" s="1" t="n">
        <v>24</v>
      </c>
      <c r="G1089" s="1" t="n">
        <v>10</v>
      </c>
      <c r="H1089" s="1" t="s">
        <v>56</v>
      </c>
      <c r="I1089" s="1" t="n">
        <v>-5.5</v>
      </c>
      <c r="J1089" s="1" t="n">
        <v>49</v>
      </c>
      <c r="K1089" s="1" t="s">
        <v>163</v>
      </c>
      <c r="L1089" s="1" t="b">
        <f aca="false">FALSE()</f>
        <v>0</v>
      </c>
      <c r="M1089" s="1" t="str">
        <f aca="false">VLOOKUP(D1089,'Team Reference'!$A:$B,2,FALSE())</f>
        <v>CIN</v>
      </c>
      <c r="N1089" s="1" t="str">
        <f aca="false">VLOOKUP(E1089,'Team Reference'!$A:$B,2,FALSE())</f>
        <v>ATL</v>
      </c>
      <c r="O1089" s="1" t="str">
        <f aca="false">IF(F1089&gt;G1089,M1089,IF(G1089&gt;F1089,N1089,"Tie"))</f>
        <v>CIN</v>
      </c>
      <c r="P1089" s="1" t="n">
        <f aca="false">F1089-G1089</f>
        <v>14</v>
      </c>
      <c r="Q1089" s="1" t="n">
        <f aca="false">F1089+G1089</f>
        <v>34</v>
      </c>
      <c r="R1089" s="1" t="str">
        <f aca="false">IF(H1089=M1089,"Home",IF(H1089=N1089,"Away",IF(H1089="PICK","Pick","N/A")))</f>
        <v>Away</v>
      </c>
      <c r="S1089" s="1" t="n">
        <f aca="false">IF(R1089="Home",P1089,IF(R1089="Away",-P1089,""))</f>
        <v>-14</v>
      </c>
      <c r="T1089" s="1" t="str">
        <f aca="false">IF(R1089="Pick","No Line",IF(S1089="","N/A",IF(S1089+I1089&gt;0,"Favorite Covered",IF(S1089+I1089&lt;0,"Underdog Covered","Push"))))</f>
        <v>Underdog Covered</v>
      </c>
      <c r="U1089" s="1" t="str">
        <f aca="false">IF(Q1089&gt;J1089,"Over",IF(Q1089&lt;J1089,"Under","Push"))</f>
        <v>Under</v>
      </c>
    </row>
    <row r="1090" customFormat="false" ht="15" hidden="false" customHeight="false" outlineLevel="0" collapsed="false">
      <c r="A1090" s="1" t="s">
        <v>406</v>
      </c>
      <c r="B1090" s="1" t="n">
        <v>2014</v>
      </c>
      <c r="C1090" s="1" t="s">
        <v>160</v>
      </c>
      <c r="D1090" s="1" t="s">
        <v>67</v>
      </c>
      <c r="E1090" s="1" t="s">
        <v>95</v>
      </c>
      <c r="F1090" s="1" t="n">
        <v>26</v>
      </c>
      <c r="G1090" s="1" t="n">
        <v>24</v>
      </c>
      <c r="H1090" s="1" t="s">
        <v>96</v>
      </c>
      <c r="I1090" s="1" t="n">
        <v>-6</v>
      </c>
      <c r="J1090" s="1" t="n">
        <v>49.5</v>
      </c>
      <c r="K1090" s="1" t="s">
        <v>164</v>
      </c>
      <c r="L1090" s="1" t="b">
        <f aca="false">FALSE()</f>
        <v>0</v>
      </c>
      <c r="M1090" s="1" t="str">
        <f aca="false">VLOOKUP(D1090,'Team Reference'!$A:$B,2,FALSE())</f>
        <v>CLE</v>
      </c>
      <c r="N1090" s="1" t="str">
        <f aca="false">VLOOKUP(E1090,'Team Reference'!$A:$B,2,FALSE())</f>
        <v>NO</v>
      </c>
      <c r="O1090" s="1" t="str">
        <f aca="false">IF(F1090&gt;G1090,M1090,IF(G1090&gt;F1090,N1090,"Tie"))</f>
        <v>CLE</v>
      </c>
      <c r="P1090" s="1" t="n">
        <f aca="false">F1090-G1090</f>
        <v>2</v>
      </c>
      <c r="Q1090" s="1" t="n">
        <f aca="false">F1090+G1090</f>
        <v>50</v>
      </c>
      <c r="R1090" s="1" t="str">
        <f aca="false">IF(H1090=M1090,"Home",IF(H1090=N1090,"Away",IF(H1090="PICK","Pick","N/A")))</f>
        <v>Away</v>
      </c>
      <c r="S1090" s="1" t="n">
        <f aca="false">IF(R1090="Home",P1090,IF(R1090="Away",-P1090,""))</f>
        <v>-2</v>
      </c>
      <c r="T1090" s="1" t="str">
        <f aca="false">IF(R1090="Pick","No Line",IF(S1090="","N/A",IF(S1090+I1090&gt;0,"Favorite Covered",IF(S1090+I1090&lt;0,"Underdog Covered","Push"))))</f>
        <v>Underdog Covered</v>
      </c>
      <c r="U1090" s="1" t="str">
        <f aca="false">IF(Q1090&gt;J1090,"Over",IF(Q1090&lt;J1090,"Under","Push"))</f>
        <v>Over</v>
      </c>
    </row>
    <row r="1091" customFormat="false" ht="15" hidden="false" customHeight="false" outlineLevel="0" collapsed="false">
      <c r="A1091" s="1" t="s">
        <v>406</v>
      </c>
      <c r="B1091" s="1" t="n">
        <v>2014</v>
      </c>
      <c r="C1091" s="1" t="s">
        <v>160</v>
      </c>
      <c r="D1091" s="1" t="s">
        <v>71</v>
      </c>
      <c r="E1091" s="1" t="s">
        <v>83</v>
      </c>
      <c r="F1091" s="1" t="n">
        <v>24</v>
      </c>
      <c r="G1091" s="1" t="n">
        <v>17</v>
      </c>
      <c r="H1091" s="1" t="s">
        <v>84</v>
      </c>
      <c r="I1091" s="1" t="n">
        <v>-13</v>
      </c>
      <c r="J1091" s="1" t="n">
        <v>49</v>
      </c>
      <c r="K1091" s="1" t="s">
        <v>166</v>
      </c>
      <c r="L1091" s="1" t="b">
        <f aca="false">FALSE()</f>
        <v>0</v>
      </c>
      <c r="M1091" s="1" t="str">
        <f aca="false">VLOOKUP(D1091,'Team Reference'!$A:$B,2,FALSE())</f>
        <v>DEN</v>
      </c>
      <c r="N1091" s="1" t="str">
        <f aca="false">VLOOKUP(E1091,'Team Reference'!$A:$B,2,FALSE())</f>
        <v>KC</v>
      </c>
      <c r="O1091" s="1" t="str">
        <f aca="false">IF(F1091&gt;G1091,M1091,IF(G1091&gt;F1091,N1091,"Tie"))</f>
        <v>DEN</v>
      </c>
      <c r="P1091" s="1" t="n">
        <f aca="false">F1091-G1091</f>
        <v>7</v>
      </c>
      <c r="Q1091" s="1" t="n">
        <f aca="false">F1091+G1091</f>
        <v>41</v>
      </c>
      <c r="R1091" s="1" t="str">
        <f aca="false">IF(H1091=M1091,"Home",IF(H1091=N1091,"Away",IF(H1091="PICK","Pick","N/A")))</f>
        <v>Away</v>
      </c>
      <c r="S1091" s="1" t="n">
        <f aca="false">IF(R1091="Home",P1091,IF(R1091="Away",-P1091,""))</f>
        <v>-7</v>
      </c>
      <c r="T1091" s="1" t="str">
        <f aca="false">IF(R1091="Pick","No Line",IF(S1091="","N/A",IF(S1091+I1091&gt;0,"Favorite Covered",IF(S1091+I1091&lt;0,"Underdog Covered","Push"))))</f>
        <v>Underdog Covered</v>
      </c>
      <c r="U1091" s="1" t="str">
        <f aca="false">IF(Q1091&gt;J1091,"Over",IF(Q1091&lt;J1091,"Under","Push"))</f>
        <v>Under</v>
      </c>
    </row>
    <row r="1092" customFormat="false" ht="15" hidden="false" customHeight="false" outlineLevel="0" collapsed="false">
      <c r="A1092" s="1" t="s">
        <v>406</v>
      </c>
      <c r="B1092" s="1" t="n">
        <v>2014</v>
      </c>
      <c r="C1092" s="1" t="s">
        <v>160</v>
      </c>
      <c r="D1092" s="1" t="s">
        <v>75</v>
      </c>
      <c r="E1092" s="1" t="s">
        <v>99</v>
      </c>
      <c r="F1092" s="1" t="n">
        <v>31</v>
      </c>
      <c r="G1092" s="1" t="n">
        <v>24</v>
      </c>
      <c r="H1092" s="1" t="s">
        <v>100</v>
      </c>
      <c r="I1092" s="1" t="n">
        <v>-7.5</v>
      </c>
      <c r="J1092" s="1" t="n">
        <v>46.5</v>
      </c>
      <c r="K1092" s="1" t="s">
        <v>168</v>
      </c>
      <c r="L1092" s="1" t="b">
        <f aca="false">FALSE()</f>
        <v>0</v>
      </c>
      <c r="M1092" s="1" t="str">
        <f aca="false">VLOOKUP(D1092,'Team Reference'!$A:$B,2,FALSE())</f>
        <v>GB</v>
      </c>
      <c r="N1092" s="1" t="str">
        <f aca="false">VLOOKUP(E1092,'Team Reference'!$A:$B,2,FALSE())</f>
        <v>NYJ</v>
      </c>
      <c r="O1092" s="1" t="str">
        <f aca="false">IF(F1092&gt;G1092,M1092,IF(G1092&gt;F1092,N1092,"Tie"))</f>
        <v>GB</v>
      </c>
      <c r="P1092" s="1" t="n">
        <f aca="false">F1092-G1092</f>
        <v>7</v>
      </c>
      <c r="Q1092" s="1" t="n">
        <f aca="false">F1092+G1092</f>
        <v>55</v>
      </c>
      <c r="R1092" s="1" t="str">
        <f aca="false">IF(H1092=M1092,"Home",IF(H1092=N1092,"Away",IF(H1092="PICK","Pick","N/A")))</f>
        <v>Away</v>
      </c>
      <c r="S1092" s="1" t="n">
        <f aca="false">IF(R1092="Home",P1092,IF(R1092="Away",-P1092,""))</f>
        <v>-7</v>
      </c>
      <c r="T1092" s="1" t="str">
        <f aca="false">IF(R1092="Pick","No Line",IF(S1092="","N/A",IF(S1092+I1092&gt;0,"Favorite Covered",IF(S1092+I1092&lt;0,"Underdog Covered","Push"))))</f>
        <v>Underdog Covered</v>
      </c>
      <c r="U1092" s="1" t="str">
        <f aca="false">IF(Q1092&gt;J1092,"Over",IF(Q1092&lt;J1092,"Under","Push"))</f>
        <v>Over</v>
      </c>
    </row>
    <row r="1093" customFormat="false" ht="15" hidden="false" customHeight="false" outlineLevel="0" collapsed="false">
      <c r="A1093" s="1" t="s">
        <v>406</v>
      </c>
      <c r="B1093" s="1" t="n">
        <v>2014</v>
      </c>
      <c r="C1093" s="1" t="s">
        <v>160</v>
      </c>
      <c r="D1093" s="1" t="s">
        <v>91</v>
      </c>
      <c r="E1093" s="1" t="s">
        <v>93</v>
      </c>
      <c r="F1093" s="1" t="n">
        <v>7</v>
      </c>
      <c r="G1093" s="1" t="n">
        <v>30</v>
      </c>
      <c r="H1093" s="1" t="s">
        <v>94</v>
      </c>
      <c r="I1093" s="1" t="n">
        <v>-3</v>
      </c>
      <c r="J1093" s="1" t="n">
        <v>49</v>
      </c>
      <c r="K1093" s="1" t="s">
        <v>407</v>
      </c>
      <c r="L1093" s="1" t="b">
        <f aca="false">FALSE()</f>
        <v>0</v>
      </c>
      <c r="M1093" s="1" t="str">
        <f aca="false">VLOOKUP(D1093,'Team Reference'!$A:$B,2,FALSE())</f>
        <v>MIN</v>
      </c>
      <c r="N1093" s="1" t="str">
        <f aca="false">VLOOKUP(E1093,'Team Reference'!$A:$B,2,FALSE())</f>
        <v>NE</v>
      </c>
      <c r="O1093" s="1" t="str">
        <f aca="false">IF(F1093&gt;G1093,M1093,IF(G1093&gt;F1093,N1093,"Tie"))</f>
        <v>NE</v>
      </c>
      <c r="P1093" s="1" t="n">
        <f aca="false">F1093-G1093</f>
        <v>-23</v>
      </c>
      <c r="Q1093" s="1" t="n">
        <f aca="false">F1093+G1093</f>
        <v>37</v>
      </c>
      <c r="R1093" s="1" t="str">
        <f aca="false">IF(H1093=M1093,"Home",IF(H1093=N1093,"Away",IF(H1093="PICK","Pick","N/A")))</f>
        <v>Away</v>
      </c>
      <c r="S1093" s="1" t="n">
        <f aca="false">IF(R1093="Home",P1093,IF(R1093="Away",-P1093,""))</f>
        <v>23</v>
      </c>
      <c r="T1093" s="1" t="str">
        <f aca="false">IF(R1093="Pick","No Line",IF(S1093="","N/A",IF(S1093+I1093&gt;0,"Favorite Covered",IF(S1093+I1093&lt;0,"Underdog Covered","Push"))))</f>
        <v>Favorite Covered</v>
      </c>
      <c r="U1093" s="1" t="str">
        <f aca="false">IF(Q1093&gt;J1093,"Over",IF(Q1093&lt;J1093,"Under","Push"))</f>
        <v>Under</v>
      </c>
    </row>
    <row r="1094" customFormat="false" ht="15" hidden="false" customHeight="false" outlineLevel="0" collapsed="false">
      <c r="A1094" s="1" t="s">
        <v>406</v>
      </c>
      <c r="B1094" s="1" t="n">
        <v>2014</v>
      </c>
      <c r="C1094" s="1" t="s">
        <v>160</v>
      </c>
      <c r="D1094" s="1" t="s">
        <v>97</v>
      </c>
      <c r="E1094" s="1" t="s">
        <v>53</v>
      </c>
      <c r="F1094" s="1" t="n">
        <v>14</v>
      </c>
      <c r="G1094" s="1" t="n">
        <v>25</v>
      </c>
      <c r="H1094" s="1" t="s">
        <v>54</v>
      </c>
      <c r="I1094" s="1" t="n">
        <v>-2</v>
      </c>
      <c r="J1094" s="1" t="n">
        <v>41.5</v>
      </c>
      <c r="K1094" s="1" t="s">
        <v>149</v>
      </c>
      <c r="L1094" s="1" t="b">
        <f aca="false">FALSE()</f>
        <v>0</v>
      </c>
      <c r="M1094" s="1" t="str">
        <f aca="false">VLOOKUP(D1094,'Team Reference'!$A:$B,2,FALSE())</f>
        <v>NYG</v>
      </c>
      <c r="N1094" s="1" t="str">
        <f aca="false">VLOOKUP(E1094,'Team Reference'!$A:$B,2,FALSE())</f>
        <v>ARI</v>
      </c>
      <c r="O1094" s="1" t="str">
        <f aca="false">IF(F1094&gt;G1094,M1094,IF(G1094&gt;F1094,N1094,"Tie"))</f>
        <v>ARI</v>
      </c>
      <c r="P1094" s="1" t="n">
        <f aca="false">F1094-G1094</f>
        <v>-11</v>
      </c>
      <c r="Q1094" s="1" t="n">
        <f aca="false">F1094+G1094</f>
        <v>39</v>
      </c>
      <c r="R1094" s="1" t="str">
        <f aca="false">IF(H1094=M1094,"Home",IF(H1094=N1094,"Away",IF(H1094="PICK","Pick","N/A")))</f>
        <v>Away</v>
      </c>
      <c r="S1094" s="1" t="n">
        <f aca="false">IF(R1094="Home",P1094,IF(R1094="Away",-P1094,""))</f>
        <v>11</v>
      </c>
      <c r="T1094" s="1" t="str">
        <f aca="false">IF(R1094="Pick","No Line",IF(S1094="","N/A",IF(S1094+I1094&gt;0,"Favorite Covered",IF(S1094+I1094&lt;0,"Underdog Covered","Push"))))</f>
        <v>Favorite Covered</v>
      </c>
      <c r="U1094" s="1" t="str">
        <f aca="false">IF(Q1094&gt;J1094,"Over",IF(Q1094&lt;J1094,"Under","Push"))</f>
        <v>Under</v>
      </c>
    </row>
    <row r="1095" customFormat="false" ht="15" hidden="false" customHeight="false" outlineLevel="0" collapsed="false">
      <c r="A1095" s="1" t="s">
        <v>406</v>
      </c>
      <c r="B1095" s="1" t="n">
        <v>2014</v>
      </c>
      <c r="C1095" s="1" t="s">
        <v>160</v>
      </c>
      <c r="D1095" s="1" t="s">
        <v>101</v>
      </c>
      <c r="E1095" s="1" t="s">
        <v>77</v>
      </c>
      <c r="F1095" s="1" t="n">
        <v>14</v>
      </c>
      <c r="G1095" s="1" t="n">
        <v>30</v>
      </c>
      <c r="H1095" s="1" t="s">
        <v>78</v>
      </c>
      <c r="I1095" s="1" t="n">
        <v>-7.5</v>
      </c>
      <c r="J1095" s="1" t="n">
        <v>42</v>
      </c>
      <c r="K1095" s="1" t="s">
        <v>171</v>
      </c>
      <c r="L1095" s="1" t="b">
        <f aca="false">FALSE()</f>
        <v>0</v>
      </c>
      <c r="M1095" s="1" t="str">
        <f aca="false">VLOOKUP(D1095,'Team Reference'!$A:$B,2,FALSE())</f>
        <v>OAK</v>
      </c>
      <c r="N1095" s="1" t="str">
        <f aca="false">VLOOKUP(E1095,'Team Reference'!$A:$B,2,FALSE())</f>
        <v>HOU</v>
      </c>
      <c r="O1095" s="1" t="str">
        <f aca="false">IF(F1095&gt;G1095,M1095,IF(G1095&gt;F1095,N1095,"Tie"))</f>
        <v>HOU</v>
      </c>
      <c r="P1095" s="1" t="n">
        <f aca="false">F1095-G1095</f>
        <v>-16</v>
      </c>
      <c r="Q1095" s="1" t="n">
        <f aca="false">F1095+G1095</f>
        <v>44</v>
      </c>
      <c r="R1095" s="1" t="str">
        <f aca="false">IF(H1095=M1095,"Home",IF(H1095=N1095,"Away",IF(H1095="PICK","Pick","N/A")))</f>
        <v>Away</v>
      </c>
      <c r="S1095" s="1" t="n">
        <f aca="false">IF(R1095="Home",P1095,IF(R1095="Away",-P1095,""))</f>
        <v>16</v>
      </c>
      <c r="T1095" s="1" t="str">
        <f aca="false">IF(R1095="Pick","No Line",IF(S1095="","N/A",IF(S1095+I1095&gt;0,"Favorite Covered",IF(S1095+I1095&lt;0,"Underdog Covered","Push"))))</f>
        <v>Favorite Covered</v>
      </c>
      <c r="U1095" s="1" t="str">
        <f aca="false">IF(Q1095&gt;J1095,"Over",IF(Q1095&lt;J1095,"Under","Push"))</f>
        <v>Over</v>
      </c>
    </row>
    <row r="1096" customFormat="false" ht="15" hidden="false" customHeight="false" outlineLevel="0" collapsed="false">
      <c r="A1096" s="1" t="s">
        <v>406</v>
      </c>
      <c r="B1096" s="1" t="n">
        <v>2014</v>
      </c>
      <c r="C1096" s="1" t="s">
        <v>160</v>
      </c>
      <c r="D1096" s="1" t="s">
        <v>107</v>
      </c>
      <c r="E1096" s="1" t="s">
        <v>110</v>
      </c>
      <c r="F1096" s="1" t="n">
        <v>30</v>
      </c>
      <c r="G1096" s="1" t="n">
        <v>21</v>
      </c>
      <c r="H1096" s="1" t="s">
        <v>111</v>
      </c>
      <c r="I1096" s="1" t="n">
        <v>-5</v>
      </c>
      <c r="J1096" s="1" t="n">
        <v>45</v>
      </c>
      <c r="K1096" s="1" t="s">
        <v>172</v>
      </c>
      <c r="L1096" s="1" t="b">
        <f aca="false">FALSE()</f>
        <v>0</v>
      </c>
      <c r="M1096" s="1" t="str">
        <f aca="false">VLOOKUP(D1096,'Team Reference'!$A:$B,2,FALSE())</f>
        <v>LAC</v>
      </c>
      <c r="N1096" s="1" t="str">
        <f aca="false">VLOOKUP(E1096,'Team Reference'!$A:$B,2,FALSE())</f>
        <v>SEA</v>
      </c>
      <c r="O1096" s="1" t="str">
        <f aca="false">IF(F1096&gt;G1096,M1096,IF(G1096&gt;F1096,N1096,"Tie"))</f>
        <v>LAC</v>
      </c>
      <c r="P1096" s="1" t="n">
        <f aca="false">F1096-G1096</f>
        <v>9</v>
      </c>
      <c r="Q1096" s="1" t="n">
        <f aca="false">F1096+G1096</f>
        <v>51</v>
      </c>
      <c r="R1096" s="1" t="str">
        <f aca="false">IF(H1096=M1096,"Home",IF(H1096=N1096,"Away",IF(H1096="PICK","Pick","N/A")))</f>
        <v>Away</v>
      </c>
      <c r="S1096" s="1" t="n">
        <f aca="false">IF(R1096="Home",P1096,IF(R1096="Away",-P1096,""))</f>
        <v>-9</v>
      </c>
      <c r="T1096" s="1" t="str">
        <f aca="false">IF(R1096="Pick","No Line",IF(S1096="","N/A",IF(S1096+I1096&gt;0,"Favorite Covered",IF(S1096+I1096&lt;0,"Underdog Covered","Push"))))</f>
        <v>Underdog Covered</v>
      </c>
      <c r="U1096" s="1" t="str">
        <f aca="false">IF(Q1096&gt;J1096,"Over",IF(Q1096&lt;J1096,"Under","Push"))</f>
        <v>Over</v>
      </c>
    </row>
    <row r="1097" customFormat="false" ht="15" hidden="false" customHeight="false" outlineLevel="0" collapsed="false">
      <c r="A1097" s="1" t="s">
        <v>406</v>
      </c>
      <c r="B1097" s="1" t="n">
        <v>2014</v>
      </c>
      <c r="C1097" s="1" t="s">
        <v>160</v>
      </c>
      <c r="D1097" s="1" t="s">
        <v>108</v>
      </c>
      <c r="E1097" s="1" t="s">
        <v>63</v>
      </c>
      <c r="F1097" s="1" t="n">
        <v>20</v>
      </c>
      <c r="G1097" s="1" t="n">
        <v>28</v>
      </c>
      <c r="H1097" s="1" t="s">
        <v>64</v>
      </c>
      <c r="I1097" s="1" t="n">
        <v>-7</v>
      </c>
      <c r="J1097" s="1" t="n">
        <v>47.5</v>
      </c>
      <c r="K1097" s="1" t="s">
        <v>408</v>
      </c>
      <c r="L1097" s="1" t="b">
        <f aca="false">FALSE()</f>
        <v>0</v>
      </c>
      <c r="M1097" s="1" t="str">
        <f aca="false">VLOOKUP(D1097,'Team Reference'!$A:$B,2,FALSE())</f>
        <v>SF</v>
      </c>
      <c r="N1097" s="1" t="str">
        <f aca="false">VLOOKUP(E1097,'Team Reference'!$A:$B,2,FALSE())</f>
        <v>CHI</v>
      </c>
      <c r="O1097" s="1" t="str">
        <f aca="false">IF(F1097&gt;G1097,M1097,IF(G1097&gt;F1097,N1097,"Tie"))</f>
        <v>CHI</v>
      </c>
      <c r="P1097" s="1" t="n">
        <f aca="false">F1097-G1097</f>
        <v>-8</v>
      </c>
      <c r="Q1097" s="1" t="n">
        <f aca="false">F1097+G1097</f>
        <v>48</v>
      </c>
      <c r="R1097" s="1" t="str">
        <f aca="false">IF(H1097=M1097,"Home",IF(H1097=N1097,"Away",IF(H1097="PICK","Pick","N/A")))</f>
        <v>Away</v>
      </c>
      <c r="S1097" s="1" t="n">
        <f aca="false">IF(R1097="Home",P1097,IF(R1097="Away",-P1097,""))</f>
        <v>8</v>
      </c>
      <c r="T1097" s="1" t="str">
        <f aca="false">IF(R1097="Pick","No Line",IF(S1097="","N/A",IF(S1097+I1097&gt;0,"Favorite Covered",IF(S1097+I1097&lt;0,"Underdog Covered","Push"))))</f>
        <v>Favorite Covered</v>
      </c>
      <c r="U1097" s="1" t="str">
        <f aca="false">IF(Q1097&gt;J1097,"Over",IF(Q1097&lt;J1097,"Under","Push"))</f>
        <v>Over</v>
      </c>
    </row>
    <row r="1098" customFormat="false" ht="15" hidden="false" customHeight="false" outlineLevel="0" collapsed="false">
      <c r="A1098" s="1" t="s">
        <v>406</v>
      </c>
      <c r="B1098" s="1" t="n">
        <v>2014</v>
      </c>
      <c r="C1098" s="1" t="s">
        <v>160</v>
      </c>
      <c r="D1098" s="1" t="s">
        <v>113</v>
      </c>
      <c r="E1098" s="1" t="s">
        <v>112</v>
      </c>
      <c r="F1098" s="1" t="n">
        <v>17</v>
      </c>
      <c r="G1098" s="1" t="n">
        <v>19</v>
      </c>
      <c r="H1098" s="1" t="s">
        <v>88</v>
      </c>
      <c r="I1098" s="1" t="n">
        <v>-4.5</v>
      </c>
      <c r="J1098" s="1" t="n">
        <v>37.5</v>
      </c>
      <c r="K1098" s="1" t="s">
        <v>154</v>
      </c>
      <c r="L1098" s="1" t="b">
        <f aca="false">FALSE()</f>
        <v>0</v>
      </c>
      <c r="M1098" s="1" t="str">
        <f aca="false">VLOOKUP(D1098,'Team Reference'!$A:$B,2,FALSE())</f>
        <v>TB</v>
      </c>
      <c r="N1098" s="1" t="str">
        <f aca="false">VLOOKUP(E1098,'Team Reference'!$A:$B,2,FALSE())</f>
        <v>LAR</v>
      </c>
      <c r="O1098" s="1" t="str">
        <f aca="false">IF(F1098&gt;G1098,M1098,IF(G1098&gt;F1098,N1098,"Tie"))</f>
        <v>LAR</v>
      </c>
      <c r="P1098" s="1" t="n">
        <f aca="false">F1098-G1098</f>
        <v>-2</v>
      </c>
      <c r="Q1098" s="1" t="n">
        <f aca="false">F1098+G1098</f>
        <v>36</v>
      </c>
      <c r="R1098" s="1" t="str">
        <f aca="false">IF(H1098=M1098,"Home",IF(H1098=N1098,"Away",IF(H1098="PICK","Pick","N/A")))</f>
        <v>Away</v>
      </c>
      <c r="S1098" s="1" t="n">
        <f aca="false">IF(R1098="Home",P1098,IF(R1098="Away",-P1098,""))</f>
        <v>2</v>
      </c>
      <c r="T1098" s="1" t="str">
        <f aca="false">IF(R1098="Pick","No Line",IF(S1098="","N/A",IF(S1098+I1098&gt;0,"Favorite Covered",IF(S1098+I1098&lt;0,"Underdog Covered","Push"))))</f>
        <v>Underdog Covered</v>
      </c>
      <c r="U1098" s="1" t="str">
        <f aca="false">IF(Q1098&gt;J1098,"Over",IF(Q1098&lt;J1098,"Under","Push"))</f>
        <v>Under</v>
      </c>
    </row>
    <row r="1099" customFormat="false" ht="15" hidden="false" customHeight="false" outlineLevel="0" collapsed="false">
      <c r="A1099" s="1" t="s">
        <v>406</v>
      </c>
      <c r="B1099" s="1" t="n">
        <v>2014</v>
      </c>
      <c r="C1099" s="1" t="s">
        <v>160</v>
      </c>
      <c r="D1099" s="1" t="s">
        <v>115</v>
      </c>
      <c r="E1099" s="1" t="s">
        <v>69</v>
      </c>
      <c r="F1099" s="1" t="n">
        <v>10</v>
      </c>
      <c r="G1099" s="1" t="n">
        <v>26</v>
      </c>
      <c r="H1099" s="1" t="s">
        <v>70</v>
      </c>
      <c r="I1099" s="1" t="n">
        <v>-3.5</v>
      </c>
      <c r="J1099" s="1" t="n">
        <v>49.5</v>
      </c>
      <c r="K1099" s="1" t="s">
        <v>155</v>
      </c>
      <c r="L1099" s="1" t="b">
        <f aca="false">FALSE()</f>
        <v>0</v>
      </c>
      <c r="M1099" s="1" t="str">
        <f aca="false">VLOOKUP(D1099,'Team Reference'!$A:$B,2,FALSE())</f>
        <v>TEN</v>
      </c>
      <c r="N1099" s="1" t="str">
        <f aca="false">VLOOKUP(E1099,'Team Reference'!$A:$B,2,FALSE())</f>
        <v>DAL</v>
      </c>
      <c r="O1099" s="1" t="str">
        <f aca="false">IF(F1099&gt;G1099,M1099,IF(G1099&gt;F1099,N1099,"Tie"))</f>
        <v>DAL</v>
      </c>
      <c r="P1099" s="1" t="n">
        <f aca="false">F1099-G1099</f>
        <v>-16</v>
      </c>
      <c r="Q1099" s="1" t="n">
        <f aca="false">F1099+G1099</f>
        <v>36</v>
      </c>
      <c r="R1099" s="1" t="str">
        <f aca="false">IF(H1099=M1099,"Home",IF(H1099=N1099,"Away",IF(H1099="PICK","Pick","N/A")))</f>
        <v>Away</v>
      </c>
      <c r="S1099" s="1" t="n">
        <f aca="false">IF(R1099="Home",P1099,IF(R1099="Away",-P1099,""))</f>
        <v>16</v>
      </c>
      <c r="T1099" s="1" t="str">
        <f aca="false">IF(R1099="Pick","No Line",IF(S1099="","N/A",IF(S1099+I1099&gt;0,"Favorite Covered",IF(S1099+I1099&lt;0,"Underdog Covered","Push"))))</f>
        <v>Favorite Covered</v>
      </c>
      <c r="U1099" s="1" t="str">
        <f aca="false">IF(Q1099&gt;J1099,"Over",IF(Q1099&lt;J1099,"Under","Push"))</f>
        <v>Under</v>
      </c>
    </row>
    <row r="1100" customFormat="false" ht="15" hidden="false" customHeight="false" outlineLevel="0" collapsed="false">
      <c r="A1100" s="1" t="s">
        <v>406</v>
      </c>
      <c r="B1100" s="1" t="n">
        <v>2014</v>
      </c>
      <c r="C1100" s="1" t="s">
        <v>160</v>
      </c>
      <c r="D1100" s="1" t="s">
        <v>117</v>
      </c>
      <c r="E1100" s="1" t="s">
        <v>81</v>
      </c>
      <c r="F1100" s="1" t="n">
        <v>41</v>
      </c>
      <c r="G1100" s="1" t="n">
        <v>10</v>
      </c>
      <c r="H1100" s="1" t="s">
        <v>82</v>
      </c>
      <c r="I1100" s="1" t="n">
        <v>-5</v>
      </c>
      <c r="J1100" s="1" t="n">
        <v>43</v>
      </c>
      <c r="K1100" s="1" t="s">
        <v>156</v>
      </c>
      <c r="L1100" s="1" t="b">
        <f aca="false">FALSE()</f>
        <v>0</v>
      </c>
      <c r="M1100" s="1" t="str">
        <f aca="false">VLOOKUP(D1100,'Team Reference'!$A:$B,2,FALSE())</f>
        <v>WAS</v>
      </c>
      <c r="N1100" s="1" t="str">
        <f aca="false">VLOOKUP(E1100,'Team Reference'!$A:$B,2,FALSE())</f>
        <v>JAX</v>
      </c>
      <c r="O1100" s="1" t="str">
        <f aca="false">IF(F1100&gt;G1100,M1100,IF(G1100&gt;F1100,N1100,"Tie"))</f>
        <v>WAS</v>
      </c>
      <c r="P1100" s="1" t="n">
        <f aca="false">F1100-G1100</f>
        <v>31</v>
      </c>
      <c r="Q1100" s="1" t="n">
        <f aca="false">F1100+G1100</f>
        <v>51</v>
      </c>
      <c r="R1100" s="1" t="str">
        <f aca="false">IF(H1100=M1100,"Home",IF(H1100=N1100,"Away",IF(H1100="PICK","Pick","N/A")))</f>
        <v>Away</v>
      </c>
      <c r="S1100" s="1" t="n">
        <f aca="false">IF(R1100="Home",P1100,IF(R1100="Away",-P1100,""))</f>
        <v>-31</v>
      </c>
      <c r="T1100" s="1" t="str">
        <f aca="false">IF(R1100="Pick","No Line",IF(S1100="","N/A",IF(S1100+I1100&gt;0,"Favorite Covered",IF(S1100+I1100&lt;0,"Underdog Covered","Push"))))</f>
        <v>Underdog Covered</v>
      </c>
      <c r="U1100" s="1" t="str">
        <f aca="false">IF(Q1100&gt;J1100,"Over",IF(Q1100&lt;J1100,"Under","Push"))</f>
        <v>Over</v>
      </c>
    </row>
    <row r="1101" customFormat="false" ht="15" hidden="false" customHeight="false" outlineLevel="0" collapsed="false">
      <c r="A1101" s="1" t="s">
        <v>409</v>
      </c>
      <c r="B1101" s="1" t="n">
        <v>2014</v>
      </c>
      <c r="C1101" s="1" t="s">
        <v>160</v>
      </c>
      <c r="D1101" s="1" t="s">
        <v>79</v>
      </c>
      <c r="E1101" s="1" t="s">
        <v>103</v>
      </c>
      <c r="F1101" s="1" t="n">
        <v>27</v>
      </c>
      <c r="G1101" s="1" t="n">
        <v>30</v>
      </c>
      <c r="H1101" s="1" t="s">
        <v>104</v>
      </c>
      <c r="I1101" s="1" t="n">
        <v>-3</v>
      </c>
      <c r="J1101" s="1" t="n">
        <v>54</v>
      </c>
      <c r="K1101" s="1" t="s">
        <v>169</v>
      </c>
      <c r="L1101" s="1" t="b">
        <f aca="false">FALSE()</f>
        <v>0</v>
      </c>
      <c r="M1101" s="1" t="str">
        <f aca="false">VLOOKUP(D1101,'Team Reference'!$A:$B,2,FALSE())</f>
        <v>IND</v>
      </c>
      <c r="N1101" s="1" t="str">
        <f aca="false">VLOOKUP(E1101,'Team Reference'!$A:$B,2,FALSE())</f>
        <v>PHI</v>
      </c>
      <c r="O1101" s="1" t="str">
        <f aca="false">IF(F1101&gt;G1101,M1101,IF(G1101&gt;F1101,N1101,"Tie"))</f>
        <v>PHI</v>
      </c>
      <c r="P1101" s="1" t="n">
        <f aca="false">F1101-G1101</f>
        <v>-3</v>
      </c>
      <c r="Q1101" s="1" t="n">
        <f aca="false">F1101+G1101</f>
        <v>57</v>
      </c>
      <c r="R1101" s="1" t="str">
        <f aca="false">IF(H1101=M1101,"Home",IF(H1101=N1101,"Away",IF(H1101="PICK","Pick","N/A")))</f>
        <v>Away</v>
      </c>
      <c r="S1101" s="1" t="n">
        <f aca="false">IF(R1101="Home",P1101,IF(R1101="Away",-P1101,""))</f>
        <v>3</v>
      </c>
      <c r="T1101" s="1" t="str">
        <f aca="false">IF(R1101="Pick","No Line",IF(S1101="","N/A",IF(S1101+I1101&gt;0,"Favorite Covered",IF(S1101+I1101&lt;0,"Underdog Covered","Push"))))</f>
        <v>Push</v>
      </c>
      <c r="U1101" s="1" t="str">
        <f aca="false">IF(Q1101&gt;J1101,"Over",IF(Q1101&lt;J1101,"Under","Push"))</f>
        <v>Over</v>
      </c>
    </row>
    <row r="1102" customFormat="false" ht="15" hidden="false" customHeight="false" outlineLevel="0" collapsed="false">
      <c r="A1102" s="1" t="s">
        <v>410</v>
      </c>
      <c r="B1102" s="1" t="n">
        <v>2014</v>
      </c>
      <c r="C1102" s="1" t="s">
        <v>176</v>
      </c>
      <c r="D1102" s="1" t="s">
        <v>55</v>
      </c>
      <c r="E1102" s="1" t="s">
        <v>113</v>
      </c>
      <c r="F1102" s="1" t="n">
        <v>56</v>
      </c>
      <c r="G1102" s="1" t="n">
        <v>14</v>
      </c>
      <c r="H1102" s="1" t="s">
        <v>114</v>
      </c>
      <c r="I1102" s="1" t="n">
        <v>-6.5</v>
      </c>
      <c r="J1102" s="1" t="n">
        <v>47</v>
      </c>
      <c r="K1102" s="1" t="s">
        <v>161</v>
      </c>
      <c r="L1102" s="1" t="b">
        <f aca="false">FALSE()</f>
        <v>0</v>
      </c>
      <c r="M1102" s="1" t="str">
        <f aca="false">VLOOKUP(D1102,'Team Reference'!$A:$B,2,FALSE())</f>
        <v>ATL</v>
      </c>
      <c r="N1102" s="1" t="str">
        <f aca="false">VLOOKUP(E1102,'Team Reference'!$A:$B,2,FALSE())</f>
        <v>TB</v>
      </c>
      <c r="O1102" s="1" t="str">
        <f aca="false">IF(F1102&gt;G1102,M1102,IF(G1102&gt;F1102,N1102,"Tie"))</f>
        <v>ATL</v>
      </c>
      <c r="P1102" s="1" t="n">
        <f aca="false">F1102-G1102</f>
        <v>42</v>
      </c>
      <c r="Q1102" s="1" t="n">
        <f aca="false">F1102+G1102</f>
        <v>70</v>
      </c>
      <c r="R1102" s="1" t="str">
        <f aca="false">IF(H1102=M1102,"Home",IF(H1102=N1102,"Away",IF(H1102="PICK","Pick","N/A")))</f>
        <v>Away</v>
      </c>
      <c r="S1102" s="1" t="n">
        <f aca="false">IF(R1102="Home",P1102,IF(R1102="Away",-P1102,""))</f>
        <v>-42</v>
      </c>
      <c r="T1102" s="1" t="str">
        <f aca="false">IF(R1102="Pick","No Line",IF(S1102="","N/A",IF(S1102+I1102&gt;0,"Favorite Covered",IF(S1102+I1102&lt;0,"Underdog Covered","Push"))))</f>
        <v>Underdog Covered</v>
      </c>
      <c r="U1102" s="1" t="str">
        <f aca="false">IF(Q1102&gt;J1102,"Over",IF(Q1102&lt;J1102,"Under","Push"))</f>
        <v>Over</v>
      </c>
    </row>
    <row r="1103" customFormat="false" ht="15" hidden="false" customHeight="false" outlineLevel="0" collapsed="false">
      <c r="A1103" s="1" t="s">
        <v>411</v>
      </c>
      <c r="B1103" s="1" t="n">
        <v>2014</v>
      </c>
      <c r="C1103" s="1" t="s">
        <v>176</v>
      </c>
      <c r="D1103" s="1" t="s">
        <v>53</v>
      </c>
      <c r="E1103" s="1" t="s">
        <v>108</v>
      </c>
      <c r="F1103" s="1" t="n">
        <v>23</v>
      </c>
      <c r="G1103" s="1" t="n">
        <v>14</v>
      </c>
      <c r="H1103" s="1" t="s">
        <v>54</v>
      </c>
      <c r="I1103" s="1" t="n">
        <v>-3</v>
      </c>
      <c r="J1103" s="1" t="n">
        <v>41</v>
      </c>
      <c r="K1103" s="1" t="s">
        <v>177</v>
      </c>
      <c r="L1103" s="1" t="b">
        <f aca="false">FALSE()</f>
        <v>0</v>
      </c>
      <c r="M1103" s="1" t="str">
        <f aca="false">VLOOKUP(D1103,'Team Reference'!$A:$B,2,FALSE())</f>
        <v>ARI</v>
      </c>
      <c r="N1103" s="1" t="str">
        <f aca="false">VLOOKUP(E1103,'Team Reference'!$A:$B,2,FALSE())</f>
        <v>SF</v>
      </c>
      <c r="O1103" s="1" t="str">
        <f aca="false">IF(F1103&gt;G1103,M1103,IF(G1103&gt;F1103,N1103,"Tie"))</f>
        <v>ARI</v>
      </c>
      <c r="P1103" s="1" t="n">
        <f aca="false">F1103-G1103</f>
        <v>9</v>
      </c>
      <c r="Q1103" s="1" t="n">
        <f aca="false">F1103+G1103</f>
        <v>37</v>
      </c>
      <c r="R1103" s="1" t="str">
        <f aca="false">IF(H1103=M1103,"Home",IF(H1103=N1103,"Away",IF(H1103="PICK","Pick","N/A")))</f>
        <v>Home</v>
      </c>
      <c r="S1103" s="1" t="n">
        <f aca="false">IF(R1103="Home",P1103,IF(R1103="Away",-P1103,""))</f>
        <v>9</v>
      </c>
      <c r="T1103" s="1" t="str">
        <f aca="false">IF(R1103="Pick","No Line",IF(S1103="","N/A",IF(S1103+I1103&gt;0,"Favorite Covered",IF(S1103+I1103&lt;0,"Underdog Covered","Push"))))</f>
        <v>Favorite Covered</v>
      </c>
      <c r="U1103" s="1" t="str">
        <f aca="false">IF(Q1103&gt;J1103,"Over",IF(Q1103&lt;J1103,"Under","Push"))</f>
        <v>Under</v>
      </c>
    </row>
    <row r="1104" customFormat="false" ht="15" hidden="false" customHeight="false" outlineLevel="0" collapsed="false">
      <c r="A1104" s="1" t="s">
        <v>411</v>
      </c>
      <c r="B1104" s="1" t="n">
        <v>2014</v>
      </c>
      <c r="C1104" s="1" t="s">
        <v>176</v>
      </c>
      <c r="D1104" s="1" t="s">
        <v>59</v>
      </c>
      <c r="E1104" s="1" t="s">
        <v>107</v>
      </c>
      <c r="F1104" s="1" t="n">
        <v>10</v>
      </c>
      <c r="G1104" s="1" t="n">
        <v>22</v>
      </c>
      <c r="H1104" s="1" t="s">
        <v>86</v>
      </c>
      <c r="I1104" s="1" t="n">
        <v>-2.5</v>
      </c>
      <c r="J1104" s="1" t="n">
        <v>45.5</v>
      </c>
      <c r="K1104" s="1" t="s">
        <v>144</v>
      </c>
      <c r="L1104" s="1" t="b">
        <f aca="false">FALSE()</f>
        <v>0</v>
      </c>
      <c r="M1104" s="1" t="str">
        <f aca="false">VLOOKUP(D1104,'Team Reference'!$A:$B,2,FALSE())</f>
        <v>BUF</v>
      </c>
      <c r="N1104" s="1" t="str">
        <f aca="false">VLOOKUP(E1104,'Team Reference'!$A:$B,2,FALSE())</f>
        <v>LAC</v>
      </c>
      <c r="O1104" s="1" t="str">
        <f aca="false">IF(F1104&gt;G1104,M1104,IF(G1104&gt;F1104,N1104,"Tie"))</f>
        <v>LAC</v>
      </c>
      <c r="P1104" s="1" t="n">
        <f aca="false">F1104-G1104</f>
        <v>-12</v>
      </c>
      <c r="Q1104" s="1" t="n">
        <f aca="false">F1104+G1104</f>
        <v>32</v>
      </c>
      <c r="R1104" s="1" t="str">
        <f aca="false">IF(H1104=M1104,"Home",IF(H1104=N1104,"Away",IF(H1104="PICK","Pick","N/A")))</f>
        <v>Away</v>
      </c>
      <c r="S1104" s="1" t="n">
        <f aca="false">IF(R1104="Home",P1104,IF(R1104="Away",-P1104,""))</f>
        <v>12</v>
      </c>
      <c r="T1104" s="1" t="str">
        <f aca="false">IF(R1104="Pick","No Line",IF(S1104="","N/A",IF(S1104+I1104&gt;0,"Favorite Covered",IF(S1104+I1104&lt;0,"Underdog Covered","Push"))))</f>
        <v>Favorite Covered</v>
      </c>
      <c r="U1104" s="1" t="str">
        <f aca="false">IF(Q1104&gt;J1104,"Over",IF(Q1104&lt;J1104,"Under","Push"))</f>
        <v>Under</v>
      </c>
    </row>
    <row r="1105" customFormat="false" ht="15" hidden="false" customHeight="false" outlineLevel="0" collapsed="false">
      <c r="A1105" s="1" t="s">
        <v>411</v>
      </c>
      <c r="B1105" s="1" t="n">
        <v>2014</v>
      </c>
      <c r="C1105" s="1" t="s">
        <v>176</v>
      </c>
      <c r="D1105" s="1" t="s">
        <v>61</v>
      </c>
      <c r="E1105" s="1" t="s">
        <v>105</v>
      </c>
      <c r="F1105" s="1" t="n">
        <v>19</v>
      </c>
      <c r="G1105" s="1" t="n">
        <v>37</v>
      </c>
      <c r="H1105" s="1" t="s">
        <v>106</v>
      </c>
      <c r="I1105" s="1" t="n">
        <v>-3</v>
      </c>
      <c r="J1105" s="1" t="n">
        <v>42.5</v>
      </c>
      <c r="K1105" s="1" t="s">
        <v>162</v>
      </c>
      <c r="L1105" s="1" t="b">
        <f aca="false">FALSE()</f>
        <v>0</v>
      </c>
      <c r="M1105" s="1" t="str">
        <f aca="false">VLOOKUP(D1105,'Team Reference'!$A:$B,2,FALSE())</f>
        <v>CAR</v>
      </c>
      <c r="N1105" s="1" t="str">
        <f aca="false">VLOOKUP(E1105,'Team Reference'!$A:$B,2,FALSE())</f>
        <v>PIT</v>
      </c>
      <c r="O1105" s="1" t="str">
        <f aca="false">IF(F1105&gt;G1105,M1105,IF(G1105&gt;F1105,N1105,"Tie"))</f>
        <v>PIT</v>
      </c>
      <c r="P1105" s="1" t="n">
        <f aca="false">F1105-G1105</f>
        <v>-18</v>
      </c>
      <c r="Q1105" s="1" t="n">
        <f aca="false">F1105+G1105</f>
        <v>56</v>
      </c>
      <c r="R1105" s="1" t="str">
        <f aca="false">IF(H1105=M1105,"Home",IF(H1105=N1105,"Away",IF(H1105="PICK","Pick","N/A")))</f>
        <v>Away</v>
      </c>
      <c r="S1105" s="1" t="n">
        <f aca="false">IF(R1105="Home",P1105,IF(R1105="Away",-P1105,""))</f>
        <v>18</v>
      </c>
      <c r="T1105" s="1" t="str">
        <f aca="false">IF(R1105="Pick","No Line",IF(S1105="","N/A",IF(S1105+I1105&gt;0,"Favorite Covered",IF(S1105+I1105&lt;0,"Underdog Covered","Push"))))</f>
        <v>Favorite Covered</v>
      </c>
      <c r="U1105" s="1" t="str">
        <f aca="false">IF(Q1105&gt;J1105,"Over",IF(Q1105&lt;J1105,"Under","Push"))</f>
        <v>Over</v>
      </c>
    </row>
    <row r="1106" customFormat="false" ht="15" hidden="false" customHeight="false" outlineLevel="0" collapsed="false">
      <c r="A1106" s="1" t="s">
        <v>411</v>
      </c>
      <c r="B1106" s="1" t="n">
        <v>2014</v>
      </c>
      <c r="C1106" s="1" t="s">
        <v>176</v>
      </c>
      <c r="D1106" s="1" t="s">
        <v>65</v>
      </c>
      <c r="E1106" s="1" t="s">
        <v>115</v>
      </c>
      <c r="F1106" s="1" t="n">
        <v>33</v>
      </c>
      <c r="G1106" s="1" t="n">
        <v>7</v>
      </c>
      <c r="H1106" s="1" t="s">
        <v>116</v>
      </c>
      <c r="I1106" s="1" t="n">
        <v>-6.5</v>
      </c>
      <c r="J1106" s="1" t="n">
        <v>44.5</v>
      </c>
      <c r="K1106" s="1" t="s">
        <v>163</v>
      </c>
      <c r="L1106" s="1" t="b">
        <f aca="false">FALSE()</f>
        <v>0</v>
      </c>
      <c r="M1106" s="1" t="str">
        <f aca="false">VLOOKUP(D1106,'Team Reference'!$A:$B,2,FALSE())</f>
        <v>CIN</v>
      </c>
      <c r="N1106" s="1" t="str">
        <f aca="false">VLOOKUP(E1106,'Team Reference'!$A:$B,2,FALSE())</f>
        <v>TEN</v>
      </c>
      <c r="O1106" s="1" t="str">
        <f aca="false">IF(F1106&gt;G1106,M1106,IF(G1106&gt;F1106,N1106,"Tie"))</f>
        <v>CIN</v>
      </c>
      <c r="P1106" s="1" t="n">
        <f aca="false">F1106-G1106</f>
        <v>26</v>
      </c>
      <c r="Q1106" s="1" t="n">
        <f aca="false">F1106+G1106</f>
        <v>40</v>
      </c>
      <c r="R1106" s="1" t="str">
        <f aca="false">IF(H1106=M1106,"Home",IF(H1106=N1106,"Away",IF(H1106="PICK","Pick","N/A")))</f>
        <v>Away</v>
      </c>
      <c r="S1106" s="1" t="n">
        <f aca="false">IF(R1106="Home",P1106,IF(R1106="Away",-P1106,""))</f>
        <v>-26</v>
      </c>
      <c r="T1106" s="1" t="str">
        <f aca="false">IF(R1106="Pick","No Line",IF(S1106="","N/A",IF(S1106+I1106&gt;0,"Favorite Covered",IF(S1106+I1106&lt;0,"Underdog Covered","Push"))))</f>
        <v>Underdog Covered</v>
      </c>
      <c r="U1106" s="1" t="str">
        <f aca="false">IF(Q1106&gt;J1106,"Over",IF(Q1106&lt;J1106,"Under","Push"))</f>
        <v>Under</v>
      </c>
    </row>
    <row r="1107" customFormat="false" ht="15" hidden="false" customHeight="false" outlineLevel="0" collapsed="false">
      <c r="A1107" s="1" t="s">
        <v>411</v>
      </c>
      <c r="B1107" s="1" t="n">
        <v>2014</v>
      </c>
      <c r="C1107" s="1" t="s">
        <v>176</v>
      </c>
      <c r="D1107" s="1" t="s">
        <v>67</v>
      </c>
      <c r="E1107" s="1" t="s">
        <v>57</v>
      </c>
      <c r="F1107" s="1" t="n">
        <v>21</v>
      </c>
      <c r="G1107" s="1" t="n">
        <v>23</v>
      </c>
      <c r="H1107" s="1" t="s">
        <v>68</v>
      </c>
      <c r="I1107" s="1" t="n">
        <v>-1.5</v>
      </c>
      <c r="J1107" s="1" t="n">
        <v>43</v>
      </c>
      <c r="K1107" s="1" t="s">
        <v>164</v>
      </c>
      <c r="L1107" s="1" t="b">
        <f aca="false">FALSE()</f>
        <v>0</v>
      </c>
      <c r="M1107" s="1" t="str">
        <f aca="false">VLOOKUP(D1107,'Team Reference'!$A:$B,2,FALSE())</f>
        <v>CLE</v>
      </c>
      <c r="N1107" s="1" t="str">
        <f aca="false">VLOOKUP(E1107,'Team Reference'!$A:$B,2,FALSE())</f>
        <v>BAL</v>
      </c>
      <c r="O1107" s="1" t="str">
        <f aca="false">IF(F1107&gt;G1107,M1107,IF(G1107&gt;F1107,N1107,"Tie"))</f>
        <v>BAL</v>
      </c>
      <c r="P1107" s="1" t="n">
        <f aca="false">F1107-G1107</f>
        <v>-2</v>
      </c>
      <c r="Q1107" s="1" t="n">
        <f aca="false">F1107+G1107</f>
        <v>44</v>
      </c>
      <c r="R1107" s="1" t="str">
        <f aca="false">IF(H1107=M1107,"Home",IF(H1107=N1107,"Away",IF(H1107="PICK","Pick","N/A")))</f>
        <v>Home</v>
      </c>
      <c r="S1107" s="1" t="n">
        <f aca="false">IF(R1107="Home",P1107,IF(R1107="Away",-P1107,""))</f>
        <v>-2</v>
      </c>
      <c r="T1107" s="1" t="str">
        <f aca="false">IF(R1107="Pick","No Line",IF(S1107="","N/A",IF(S1107+I1107&gt;0,"Favorite Covered",IF(S1107+I1107&lt;0,"Underdog Covered","Push"))))</f>
        <v>Underdog Covered</v>
      </c>
      <c r="U1107" s="1" t="str">
        <f aca="false">IF(Q1107&gt;J1107,"Over",IF(Q1107&lt;J1107,"Under","Push"))</f>
        <v>Over</v>
      </c>
    </row>
    <row r="1108" customFormat="false" ht="15" hidden="false" customHeight="false" outlineLevel="0" collapsed="false">
      <c r="A1108" s="1" t="s">
        <v>411</v>
      </c>
      <c r="B1108" s="1" t="n">
        <v>2014</v>
      </c>
      <c r="C1108" s="1" t="s">
        <v>176</v>
      </c>
      <c r="D1108" s="1" t="s">
        <v>73</v>
      </c>
      <c r="E1108" s="1" t="s">
        <v>75</v>
      </c>
      <c r="F1108" s="1" t="n">
        <v>19</v>
      </c>
      <c r="G1108" s="1" t="n">
        <v>7</v>
      </c>
      <c r="H1108" s="1" t="s">
        <v>76</v>
      </c>
      <c r="I1108" s="1" t="n">
        <v>-1.5</v>
      </c>
      <c r="J1108" s="1" t="n">
        <v>52</v>
      </c>
      <c r="K1108" s="1" t="s">
        <v>167</v>
      </c>
      <c r="L1108" s="1" t="b">
        <f aca="false">FALSE()</f>
        <v>0</v>
      </c>
      <c r="M1108" s="1" t="str">
        <f aca="false">VLOOKUP(D1108,'Team Reference'!$A:$B,2,FALSE())</f>
        <v>DET</v>
      </c>
      <c r="N1108" s="1" t="str">
        <f aca="false">VLOOKUP(E1108,'Team Reference'!$A:$B,2,FALSE())</f>
        <v>GB</v>
      </c>
      <c r="O1108" s="1" t="str">
        <f aca="false">IF(F1108&gt;G1108,M1108,IF(G1108&gt;F1108,N1108,"Tie"))</f>
        <v>DET</v>
      </c>
      <c r="P1108" s="1" t="n">
        <f aca="false">F1108-G1108</f>
        <v>12</v>
      </c>
      <c r="Q1108" s="1" t="n">
        <f aca="false">F1108+G1108</f>
        <v>26</v>
      </c>
      <c r="R1108" s="1" t="str">
        <f aca="false">IF(H1108=M1108,"Home",IF(H1108=N1108,"Away",IF(H1108="PICK","Pick","N/A")))</f>
        <v>Away</v>
      </c>
      <c r="S1108" s="1" t="n">
        <f aca="false">IF(R1108="Home",P1108,IF(R1108="Away",-P1108,""))</f>
        <v>-12</v>
      </c>
      <c r="T1108" s="1" t="str">
        <f aca="false">IF(R1108="Pick","No Line",IF(S1108="","N/A",IF(S1108+I1108&gt;0,"Favorite Covered",IF(S1108+I1108&lt;0,"Underdog Covered","Push"))))</f>
        <v>Underdog Covered</v>
      </c>
      <c r="U1108" s="1" t="str">
        <f aca="false">IF(Q1108&gt;J1108,"Over",IF(Q1108&lt;J1108,"Under","Push"))</f>
        <v>Under</v>
      </c>
    </row>
    <row r="1109" customFormat="false" ht="15" hidden="false" customHeight="false" outlineLevel="0" collapsed="false">
      <c r="A1109" s="1" t="s">
        <v>411</v>
      </c>
      <c r="B1109" s="1" t="n">
        <v>2014</v>
      </c>
      <c r="C1109" s="1" t="s">
        <v>176</v>
      </c>
      <c r="D1109" s="1" t="s">
        <v>81</v>
      </c>
      <c r="E1109" s="1" t="s">
        <v>79</v>
      </c>
      <c r="F1109" s="1" t="n">
        <v>17</v>
      </c>
      <c r="G1109" s="1" t="n">
        <v>44</v>
      </c>
      <c r="H1109" s="1" t="s">
        <v>82</v>
      </c>
      <c r="I1109" s="1" t="n">
        <v>-6.5</v>
      </c>
      <c r="J1109" s="1" t="n">
        <v>45</v>
      </c>
      <c r="K1109" s="1" t="s">
        <v>147</v>
      </c>
      <c r="L1109" s="1" t="b">
        <f aca="false">FALSE()</f>
        <v>0</v>
      </c>
      <c r="M1109" s="1" t="str">
        <f aca="false">VLOOKUP(D1109,'Team Reference'!$A:$B,2,FALSE())</f>
        <v>JAX</v>
      </c>
      <c r="N1109" s="1" t="str">
        <f aca="false">VLOOKUP(E1109,'Team Reference'!$A:$B,2,FALSE())</f>
        <v>IND</v>
      </c>
      <c r="O1109" s="1" t="str">
        <f aca="false">IF(F1109&gt;G1109,M1109,IF(G1109&gt;F1109,N1109,"Tie"))</f>
        <v>IND</v>
      </c>
      <c r="P1109" s="1" t="n">
        <f aca="false">F1109-G1109</f>
        <v>-27</v>
      </c>
      <c r="Q1109" s="1" t="n">
        <f aca="false">F1109+G1109</f>
        <v>61</v>
      </c>
      <c r="R1109" s="1" t="str">
        <f aca="false">IF(H1109=M1109,"Home",IF(H1109=N1109,"Away",IF(H1109="PICK","Pick","N/A")))</f>
        <v>Home</v>
      </c>
      <c r="S1109" s="1" t="n">
        <f aca="false">IF(R1109="Home",P1109,IF(R1109="Away",-P1109,""))</f>
        <v>-27</v>
      </c>
      <c r="T1109" s="1" t="str">
        <f aca="false">IF(R1109="Pick","No Line",IF(S1109="","N/A",IF(S1109+I1109&gt;0,"Favorite Covered",IF(S1109+I1109&lt;0,"Underdog Covered","Push"))))</f>
        <v>Underdog Covered</v>
      </c>
      <c r="U1109" s="1" t="str">
        <f aca="false">IF(Q1109&gt;J1109,"Over",IF(Q1109&lt;J1109,"Under","Push"))</f>
        <v>Over</v>
      </c>
    </row>
    <row r="1110" customFormat="false" ht="15" hidden="false" customHeight="false" outlineLevel="0" collapsed="false">
      <c r="A1110" s="1" t="s">
        <v>411</v>
      </c>
      <c r="B1110" s="1" t="n">
        <v>2014</v>
      </c>
      <c r="C1110" s="1" t="s">
        <v>176</v>
      </c>
      <c r="D1110" s="1" t="s">
        <v>89</v>
      </c>
      <c r="E1110" s="1" t="s">
        <v>83</v>
      </c>
      <c r="F1110" s="1" t="n">
        <v>15</v>
      </c>
      <c r="G1110" s="1" t="n">
        <v>34</v>
      </c>
      <c r="H1110" s="1" t="s">
        <v>84</v>
      </c>
      <c r="I1110" s="1" t="n">
        <v>-5.5</v>
      </c>
      <c r="J1110" s="1" t="n">
        <v>42.5</v>
      </c>
      <c r="K1110" s="1" t="s">
        <v>179</v>
      </c>
      <c r="L1110" s="1" t="b">
        <f aca="false">FALSE()</f>
        <v>0</v>
      </c>
      <c r="M1110" s="1" t="str">
        <f aca="false">VLOOKUP(D1110,'Team Reference'!$A:$B,2,FALSE())</f>
        <v>MIA</v>
      </c>
      <c r="N1110" s="1" t="str">
        <f aca="false">VLOOKUP(E1110,'Team Reference'!$A:$B,2,FALSE())</f>
        <v>KC</v>
      </c>
      <c r="O1110" s="1" t="str">
        <f aca="false">IF(F1110&gt;G1110,M1110,IF(G1110&gt;F1110,N1110,"Tie"))</f>
        <v>KC</v>
      </c>
      <c r="P1110" s="1" t="n">
        <f aca="false">F1110-G1110</f>
        <v>-19</v>
      </c>
      <c r="Q1110" s="1" t="n">
        <f aca="false">F1110+G1110</f>
        <v>49</v>
      </c>
      <c r="R1110" s="1" t="str">
        <f aca="false">IF(H1110=M1110,"Home",IF(H1110=N1110,"Away",IF(H1110="PICK","Pick","N/A")))</f>
        <v>Away</v>
      </c>
      <c r="S1110" s="1" t="n">
        <f aca="false">IF(R1110="Home",P1110,IF(R1110="Away",-P1110,""))</f>
        <v>19</v>
      </c>
      <c r="T1110" s="1" t="str">
        <f aca="false">IF(R1110="Pick","No Line",IF(S1110="","N/A",IF(S1110+I1110&gt;0,"Favorite Covered",IF(S1110+I1110&lt;0,"Underdog Covered","Push"))))</f>
        <v>Favorite Covered</v>
      </c>
      <c r="U1110" s="1" t="str">
        <f aca="false">IF(Q1110&gt;J1110,"Over",IF(Q1110&lt;J1110,"Under","Push"))</f>
        <v>Over</v>
      </c>
    </row>
    <row r="1111" customFormat="false" ht="15" hidden="false" customHeight="false" outlineLevel="0" collapsed="false">
      <c r="A1111" s="1" t="s">
        <v>411</v>
      </c>
      <c r="B1111" s="1" t="n">
        <v>2014</v>
      </c>
      <c r="C1111" s="1" t="s">
        <v>176</v>
      </c>
      <c r="D1111" s="1" t="s">
        <v>93</v>
      </c>
      <c r="E1111" s="1" t="s">
        <v>101</v>
      </c>
      <c r="F1111" s="1" t="n">
        <v>16</v>
      </c>
      <c r="G1111" s="1" t="n">
        <v>9</v>
      </c>
      <c r="H1111" s="1" t="s">
        <v>102</v>
      </c>
      <c r="I1111" s="1" t="n">
        <v>-14</v>
      </c>
      <c r="J1111" s="1" t="n">
        <v>47</v>
      </c>
      <c r="K1111" s="1" t="s">
        <v>148</v>
      </c>
      <c r="L1111" s="1" t="b">
        <f aca="false">FALSE()</f>
        <v>0</v>
      </c>
      <c r="M1111" s="1" t="str">
        <f aca="false">VLOOKUP(D1111,'Team Reference'!$A:$B,2,FALSE())</f>
        <v>NE</v>
      </c>
      <c r="N1111" s="1" t="str">
        <f aca="false">VLOOKUP(E1111,'Team Reference'!$A:$B,2,FALSE())</f>
        <v>OAK</v>
      </c>
      <c r="O1111" s="1" t="str">
        <f aca="false">IF(F1111&gt;G1111,M1111,IF(G1111&gt;F1111,N1111,"Tie"))</f>
        <v>NE</v>
      </c>
      <c r="P1111" s="1" t="n">
        <f aca="false">F1111-G1111</f>
        <v>7</v>
      </c>
      <c r="Q1111" s="1" t="n">
        <f aca="false">F1111+G1111</f>
        <v>25</v>
      </c>
      <c r="R1111" s="1" t="str">
        <f aca="false">IF(H1111=M1111,"Home",IF(H1111=N1111,"Away",IF(H1111="PICK","Pick","N/A")))</f>
        <v>Away</v>
      </c>
      <c r="S1111" s="1" t="n">
        <f aca="false">IF(R1111="Home",P1111,IF(R1111="Away",-P1111,""))</f>
        <v>-7</v>
      </c>
      <c r="T1111" s="1" t="str">
        <f aca="false">IF(R1111="Pick","No Line",IF(S1111="","N/A",IF(S1111+I1111&gt;0,"Favorite Covered",IF(S1111+I1111&lt;0,"Underdog Covered","Push"))))</f>
        <v>Underdog Covered</v>
      </c>
      <c r="U1111" s="1" t="str">
        <f aca="false">IF(Q1111&gt;J1111,"Over",IF(Q1111&lt;J1111,"Under","Push"))</f>
        <v>Under</v>
      </c>
    </row>
    <row r="1112" customFormat="false" ht="15" hidden="false" customHeight="false" outlineLevel="0" collapsed="false">
      <c r="A1112" s="1" t="s">
        <v>411</v>
      </c>
      <c r="B1112" s="1" t="n">
        <v>2014</v>
      </c>
      <c r="C1112" s="1" t="s">
        <v>176</v>
      </c>
      <c r="D1112" s="1" t="s">
        <v>95</v>
      </c>
      <c r="E1112" s="1" t="s">
        <v>91</v>
      </c>
      <c r="F1112" s="1" t="n">
        <v>20</v>
      </c>
      <c r="G1112" s="1" t="n">
        <v>9</v>
      </c>
      <c r="H1112" s="1" t="s">
        <v>92</v>
      </c>
      <c r="I1112" s="1" t="n">
        <v>-10</v>
      </c>
      <c r="J1112" s="1" t="n">
        <v>49.5</v>
      </c>
      <c r="K1112" s="1" t="s">
        <v>142</v>
      </c>
      <c r="L1112" s="1" t="b">
        <f aca="false">FALSE()</f>
        <v>0</v>
      </c>
      <c r="M1112" s="1" t="str">
        <f aca="false">VLOOKUP(D1112,'Team Reference'!$A:$B,2,FALSE())</f>
        <v>NO</v>
      </c>
      <c r="N1112" s="1" t="str">
        <f aca="false">VLOOKUP(E1112,'Team Reference'!$A:$B,2,FALSE())</f>
        <v>MIN</v>
      </c>
      <c r="O1112" s="1" t="str">
        <f aca="false">IF(F1112&gt;G1112,M1112,IF(G1112&gt;F1112,N1112,"Tie"))</f>
        <v>NO</v>
      </c>
      <c r="P1112" s="1" t="n">
        <f aca="false">F1112-G1112</f>
        <v>11</v>
      </c>
      <c r="Q1112" s="1" t="n">
        <f aca="false">F1112+G1112</f>
        <v>29</v>
      </c>
      <c r="R1112" s="1" t="str">
        <f aca="false">IF(H1112=M1112,"Home",IF(H1112=N1112,"Away",IF(H1112="PICK","Pick","N/A")))</f>
        <v>Away</v>
      </c>
      <c r="S1112" s="1" t="n">
        <f aca="false">IF(R1112="Home",P1112,IF(R1112="Away",-P1112,""))</f>
        <v>-11</v>
      </c>
      <c r="T1112" s="1" t="str">
        <f aca="false">IF(R1112="Pick","No Line",IF(S1112="","N/A",IF(S1112+I1112&gt;0,"Favorite Covered",IF(S1112+I1112&lt;0,"Underdog Covered","Push"))))</f>
        <v>Underdog Covered</v>
      </c>
      <c r="U1112" s="1" t="str">
        <f aca="false">IF(Q1112&gt;J1112,"Over",IF(Q1112&lt;J1112,"Under","Push"))</f>
        <v>Under</v>
      </c>
    </row>
    <row r="1113" customFormat="false" ht="15" hidden="false" customHeight="false" outlineLevel="0" collapsed="false">
      <c r="A1113" s="1" t="s">
        <v>411</v>
      </c>
      <c r="B1113" s="1" t="n">
        <v>2014</v>
      </c>
      <c r="C1113" s="1" t="s">
        <v>176</v>
      </c>
      <c r="D1113" s="1" t="s">
        <v>97</v>
      </c>
      <c r="E1113" s="1" t="s">
        <v>77</v>
      </c>
      <c r="F1113" s="1" t="n">
        <v>30</v>
      </c>
      <c r="G1113" s="1" t="n">
        <v>17</v>
      </c>
      <c r="H1113" s="1" t="s">
        <v>78</v>
      </c>
      <c r="I1113" s="1" t="n">
        <v>-1</v>
      </c>
      <c r="J1113" s="1" t="n">
        <v>41.5</v>
      </c>
      <c r="K1113" s="1" t="s">
        <v>149</v>
      </c>
      <c r="L1113" s="1" t="b">
        <f aca="false">FALSE()</f>
        <v>0</v>
      </c>
      <c r="M1113" s="1" t="str">
        <f aca="false">VLOOKUP(D1113,'Team Reference'!$A:$B,2,FALSE())</f>
        <v>NYG</v>
      </c>
      <c r="N1113" s="1" t="str">
        <f aca="false">VLOOKUP(E1113,'Team Reference'!$A:$B,2,FALSE())</f>
        <v>HOU</v>
      </c>
      <c r="O1113" s="1" t="str">
        <f aca="false">IF(F1113&gt;G1113,M1113,IF(G1113&gt;F1113,N1113,"Tie"))</f>
        <v>NYG</v>
      </c>
      <c r="P1113" s="1" t="n">
        <f aca="false">F1113-G1113</f>
        <v>13</v>
      </c>
      <c r="Q1113" s="1" t="n">
        <f aca="false">F1113+G1113</f>
        <v>47</v>
      </c>
      <c r="R1113" s="1" t="str">
        <f aca="false">IF(H1113=M1113,"Home",IF(H1113=N1113,"Away",IF(H1113="PICK","Pick","N/A")))</f>
        <v>Away</v>
      </c>
      <c r="S1113" s="1" t="n">
        <f aca="false">IF(R1113="Home",P1113,IF(R1113="Away",-P1113,""))</f>
        <v>-13</v>
      </c>
      <c r="T1113" s="1" t="str">
        <f aca="false">IF(R1113="Pick","No Line",IF(S1113="","N/A",IF(S1113+I1113&gt;0,"Favorite Covered",IF(S1113+I1113&lt;0,"Underdog Covered","Push"))))</f>
        <v>Underdog Covered</v>
      </c>
      <c r="U1113" s="1" t="str">
        <f aca="false">IF(Q1113&gt;J1113,"Over",IF(Q1113&lt;J1113,"Under","Push"))</f>
        <v>Over</v>
      </c>
    </row>
    <row r="1114" customFormat="false" ht="15" hidden="false" customHeight="false" outlineLevel="0" collapsed="false">
      <c r="A1114" s="1" t="s">
        <v>411</v>
      </c>
      <c r="B1114" s="1" t="n">
        <v>2014</v>
      </c>
      <c r="C1114" s="1" t="s">
        <v>176</v>
      </c>
      <c r="D1114" s="1" t="s">
        <v>103</v>
      </c>
      <c r="E1114" s="1" t="s">
        <v>117</v>
      </c>
      <c r="F1114" s="1" t="n">
        <v>37</v>
      </c>
      <c r="G1114" s="1" t="n">
        <v>34</v>
      </c>
      <c r="H1114" s="1" t="s">
        <v>118</v>
      </c>
      <c r="I1114" s="1" t="n">
        <v>-4</v>
      </c>
      <c r="J1114" s="1" t="n">
        <v>50</v>
      </c>
      <c r="K1114" s="1" t="s">
        <v>150</v>
      </c>
      <c r="L1114" s="1" t="b">
        <f aca="false">FALSE()</f>
        <v>0</v>
      </c>
      <c r="M1114" s="1" t="str">
        <f aca="false">VLOOKUP(D1114,'Team Reference'!$A:$B,2,FALSE())</f>
        <v>PHI</v>
      </c>
      <c r="N1114" s="1" t="str">
        <f aca="false">VLOOKUP(E1114,'Team Reference'!$A:$B,2,FALSE())</f>
        <v>WAS</v>
      </c>
      <c r="O1114" s="1" t="str">
        <f aca="false">IF(F1114&gt;G1114,M1114,IF(G1114&gt;F1114,N1114,"Tie"))</f>
        <v>PHI</v>
      </c>
      <c r="P1114" s="1" t="n">
        <f aca="false">F1114-G1114</f>
        <v>3</v>
      </c>
      <c r="Q1114" s="1" t="n">
        <f aca="false">F1114+G1114</f>
        <v>71</v>
      </c>
      <c r="R1114" s="1" t="str">
        <f aca="false">IF(H1114=M1114,"Home",IF(H1114=N1114,"Away",IF(H1114="PICK","Pick","N/A")))</f>
        <v>Away</v>
      </c>
      <c r="S1114" s="1" t="n">
        <f aca="false">IF(R1114="Home",P1114,IF(R1114="Away",-P1114,""))</f>
        <v>-3</v>
      </c>
      <c r="T1114" s="1" t="str">
        <f aca="false">IF(R1114="Pick","No Line",IF(S1114="","N/A",IF(S1114+I1114&gt;0,"Favorite Covered",IF(S1114+I1114&lt;0,"Underdog Covered","Push"))))</f>
        <v>Underdog Covered</v>
      </c>
      <c r="U1114" s="1" t="str">
        <f aca="false">IF(Q1114&gt;J1114,"Over",IF(Q1114&lt;J1114,"Under","Push"))</f>
        <v>Over</v>
      </c>
    </row>
    <row r="1115" customFormat="false" ht="15" hidden="false" customHeight="false" outlineLevel="0" collapsed="false">
      <c r="A1115" s="1" t="s">
        <v>411</v>
      </c>
      <c r="B1115" s="1" t="n">
        <v>2014</v>
      </c>
      <c r="C1115" s="1" t="s">
        <v>176</v>
      </c>
      <c r="D1115" s="1" t="s">
        <v>110</v>
      </c>
      <c r="E1115" s="1" t="s">
        <v>71</v>
      </c>
      <c r="F1115" s="1" t="n">
        <v>26</v>
      </c>
      <c r="G1115" s="1" t="n">
        <v>20</v>
      </c>
      <c r="H1115" s="1" t="s">
        <v>72</v>
      </c>
      <c r="I1115" s="1" t="n">
        <v>-4.5</v>
      </c>
      <c r="J1115" s="1" t="n">
        <v>48</v>
      </c>
      <c r="K1115" s="1" t="s">
        <v>152</v>
      </c>
      <c r="L1115" s="1" t="b">
        <f aca="false">FALSE()</f>
        <v>0</v>
      </c>
      <c r="M1115" s="1" t="str">
        <f aca="false">VLOOKUP(D1115,'Team Reference'!$A:$B,2,FALSE())</f>
        <v>SEA</v>
      </c>
      <c r="N1115" s="1" t="str">
        <f aca="false">VLOOKUP(E1115,'Team Reference'!$A:$B,2,FALSE())</f>
        <v>DEN</v>
      </c>
      <c r="O1115" s="1" t="str">
        <f aca="false">IF(F1115&gt;G1115,M1115,IF(G1115&gt;F1115,N1115,"Tie"))</f>
        <v>SEA</v>
      </c>
      <c r="P1115" s="1" t="n">
        <f aca="false">F1115-G1115</f>
        <v>6</v>
      </c>
      <c r="Q1115" s="1" t="n">
        <f aca="false">F1115+G1115</f>
        <v>46</v>
      </c>
      <c r="R1115" s="1" t="str">
        <f aca="false">IF(H1115=M1115,"Home",IF(H1115=N1115,"Away",IF(H1115="PICK","Pick","N/A")))</f>
        <v>Away</v>
      </c>
      <c r="S1115" s="1" t="n">
        <f aca="false">IF(R1115="Home",P1115,IF(R1115="Away",-P1115,""))</f>
        <v>-6</v>
      </c>
      <c r="T1115" s="1" t="str">
        <f aca="false">IF(R1115="Pick","No Line",IF(S1115="","N/A",IF(S1115+I1115&gt;0,"Favorite Covered",IF(S1115+I1115&lt;0,"Underdog Covered","Push"))))</f>
        <v>Underdog Covered</v>
      </c>
      <c r="U1115" s="1" t="str">
        <f aca="false">IF(Q1115&gt;J1115,"Over",IF(Q1115&lt;J1115,"Under","Push"))</f>
        <v>Under</v>
      </c>
    </row>
    <row r="1116" customFormat="false" ht="15" hidden="false" customHeight="false" outlineLevel="0" collapsed="false">
      <c r="A1116" s="1" t="s">
        <v>411</v>
      </c>
      <c r="B1116" s="1" t="n">
        <v>2014</v>
      </c>
      <c r="C1116" s="1" t="s">
        <v>176</v>
      </c>
      <c r="D1116" s="1" t="s">
        <v>112</v>
      </c>
      <c r="E1116" s="1" t="s">
        <v>69</v>
      </c>
      <c r="F1116" s="1" t="n">
        <v>31</v>
      </c>
      <c r="G1116" s="1" t="n">
        <v>34</v>
      </c>
      <c r="H1116" s="1" t="s">
        <v>88</v>
      </c>
      <c r="I1116" s="1" t="n">
        <v>-2</v>
      </c>
      <c r="J1116" s="1" t="n">
        <v>45</v>
      </c>
      <c r="K1116" s="1" t="s">
        <v>153</v>
      </c>
      <c r="L1116" s="1" t="b">
        <f aca="false">FALSE()</f>
        <v>0</v>
      </c>
      <c r="M1116" s="1" t="str">
        <f aca="false">VLOOKUP(D1116,'Team Reference'!$A:$B,2,FALSE())</f>
        <v>LAR</v>
      </c>
      <c r="N1116" s="1" t="str">
        <f aca="false">VLOOKUP(E1116,'Team Reference'!$A:$B,2,FALSE())</f>
        <v>DAL</v>
      </c>
      <c r="O1116" s="1" t="str">
        <f aca="false">IF(F1116&gt;G1116,M1116,IF(G1116&gt;F1116,N1116,"Tie"))</f>
        <v>DAL</v>
      </c>
      <c r="P1116" s="1" t="n">
        <f aca="false">F1116-G1116</f>
        <v>-3</v>
      </c>
      <c r="Q1116" s="1" t="n">
        <f aca="false">F1116+G1116</f>
        <v>65</v>
      </c>
      <c r="R1116" s="1" t="str">
        <f aca="false">IF(H1116=M1116,"Home",IF(H1116=N1116,"Away",IF(H1116="PICK","Pick","N/A")))</f>
        <v>Home</v>
      </c>
      <c r="S1116" s="1" t="n">
        <f aca="false">IF(R1116="Home",P1116,IF(R1116="Away",-P1116,""))</f>
        <v>-3</v>
      </c>
      <c r="T1116" s="1" t="str">
        <f aca="false">IF(R1116="Pick","No Line",IF(S1116="","N/A",IF(S1116+I1116&gt;0,"Favorite Covered",IF(S1116+I1116&lt;0,"Underdog Covered","Push"))))</f>
        <v>Underdog Covered</v>
      </c>
      <c r="U1116" s="1" t="str">
        <f aca="false">IF(Q1116&gt;J1116,"Over",IF(Q1116&lt;J1116,"Under","Push"))</f>
        <v>Over</v>
      </c>
    </row>
    <row r="1117" customFormat="false" ht="15" hidden="false" customHeight="false" outlineLevel="0" collapsed="false">
      <c r="A1117" s="1" t="s">
        <v>412</v>
      </c>
      <c r="B1117" s="1" t="n">
        <v>2014</v>
      </c>
      <c r="C1117" s="1" t="s">
        <v>176</v>
      </c>
      <c r="D1117" s="1" t="s">
        <v>99</v>
      </c>
      <c r="E1117" s="1" t="s">
        <v>63</v>
      </c>
      <c r="F1117" s="1" t="n">
        <v>19</v>
      </c>
      <c r="G1117" s="1" t="n">
        <v>27</v>
      </c>
      <c r="H1117" s="1" t="s">
        <v>64</v>
      </c>
      <c r="I1117" s="1" t="n">
        <v>-1.5</v>
      </c>
      <c r="J1117" s="1" t="n">
        <v>45</v>
      </c>
      <c r="K1117" s="1" t="s">
        <v>149</v>
      </c>
      <c r="L1117" s="1" t="b">
        <f aca="false">FALSE()</f>
        <v>0</v>
      </c>
      <c r="M1117" s="1" t="str">
        <f aca="false">VLOOKUP(D1117,'Team Reference'!$A:$B,2,FALSE())</f>
        <v>NYJ</v>
      </c>
      <c r="N1117" s="1" t="str">
        <f aca="false">VLOOKUP(E1117,'Team Reference'!$A:$B,2,FALSE())</f>
        <v>CHI</v>
      </c>
      <c r="O1117" s="1" t="str">
        <f aca="false">IF(F1117&gt;G1117,M1117,IF(G1117&gt;F1117,N1117,"Tie"))</f>
        <v>CHI</v>
      </c>
      <c r="P1117" s="1" t="n">
        <f aca="false">F1117-G1117</f>
        <v>-8</v>
      </c>
      <c r="Q1117" s="1" t="n">
        <f aca="false">F1117+G1117</f>
        <v>46</v>
      </c>
      <c r="R1117" s="1" t="str">
        <f aca="false">IF(H1117=M1117,"Home",IF(H1117=N1117,"Away",IF(H1117="PICK","Pick","N/A")))</f>
        <v>Away</v>
      </c>
      <c r="S1117" s="1" t="n">
        <f aca="false">IF(R1117="Home",P1117,IF(R1117="Away",-P1117,""))</f>
        <v>8</v>
      </c>
      <c r="T1117" s="1" t="str">
        <f aca="false">IF(R1117="Pick","No Line",IF(S1117="","N/A",IF(S1117+I1117&gt;0,"Favorite Covered",IF(S1117+I1117&lt;0,"Underdog Covered","Push"))))</f>
        <v>Favorite Covered</v>
      </c>
      <c r="U1117" s="1" t="str">
        <f aca="false">IF(Q1117&gt;J1117,"Over",IF(Q1117&lt;J1117,"Under","Push"))</f>
        <v>Over</v>
      </c>
    </row>
    <row r="1118" customFormat="false" ht="15" hidden="false" customHeight="false" outlineLevel="0" collapsed="false">
      <c r="A1118" s="1" t="s">
        <v>413</v>
      </c>
      <c r="B1118" s="1" t="n">
        <v>2014</v>
      </c>
      <c r="C1118" s="1" t="s">
        <v>182</v>
      </c>
      <c r="D1118" s="1" t="s">
        <v>117</v>
      </c>
      <c r="E1118" s="1" t="s">
        <v>97</v>
      </c>
      <c r="F1118" s="1" t="n">
        <v>14</v>
      </c>
      <c r="G1118" s="1" t="n">
        <v>45</v>
      </c>
      <c r="H1118" s="1" t="s">
        <v>98</v>
      </c>
      <c r="I1118" s="1" t="n">
        <v>-3</v>
      </c>
      <c r="J1118" s="1" t="n">
        <v>44.5</v>
      </c>
      <c r="K1118" s="1" t="s">
        <v>156</v>
      </c>
      <c r="L1118" s="1" t="b">
        <f aca="false">FALSE()</f>
        <v>0</v>
      </c>
      <c r="M1118" s="1" t="str">
        <f aca="false">VLOOKUP(D1118,'Team Reference'!$A:$B,2,FALSE())</f>
        <v>WAS</v>
      </c>
      <c r="N1118" s="1" t="str">
        <f aca="false">VLOOKUP(E1118,'Team Reference'!$A:$B,2,FALSE())</f>
        <v>NYG</v>
      </c>
      <c r="O1118" s="1" t="str">
        <f aca="false">IF(F1118&gt;G1118,M1118,IF(G1118&gt;F1118,N1118,"Tie"))</f>
        <v>NYG</v>
      </c>
      <c r="P1118" s="1" t="n">
        <f aca="false">F1118-G1118</f>
        <v>-31</v>
      </c>
      <c r="Q1118" s="1" t="n">
        <f aca="false">F1118+G1118</f>
        <v>59</v>
      </c>
      <c r="R1118" s="1" t="str">
        <f aca="false">IF(H1118=M1118,"Home",IF(H1118=N1118,"Away",IF(H1118="PICK","Pick","N/A")))</f>
        <v>Away</v>
      </c>
      <c r="S1118" s="1" t="n">
        <f aca="false">IF(R1118="Home",P1118,IF(R1118="Away",-P1118,""))</f>
        <v>31</v>
      </c>
      <c r="T1118" s="1" t="str">
        <f aca="false">IF(R1118="Pick","No Line",IF(S1118="","N/A",IF(S1118+I1118&gt;0,"Favorite Covered",IF(S1118+I1118&lt;0,"Underdog Covered","Push"))))</f>
        <v>Favorite Covered</v>
      </c>
      <c r="U1118" s="1" t="str">
        <f aca="false">IF(Q1118&gt;J1118,"Over",IF(Q1118&lt;J1118,"Under","Push"))</f>
        <v>Over</v>
      </c>
    </row>
    <row r="1119" customFormat="false" ht="15" hidden="false" customHeight="false" outlineLevel="0" collapsed="false">
      <c r="A1119" s="1" t="s">
        <v>414</v>
      </c>
      <c r="B1119" s="1" t="n">
        <v>2014</v>
      </c>
      <c r="C1119" s="1" t="s">
        <v>182</v>
      </c>
      <c r="D1119" s="1" t="s">
        <v>57</v>
      </c>
      <c r="E1119" s="1" t="s">
        <v>61</v>
      </c>
      <c r="F1119" s="1" t="n">
        <v>38</v>
      </c>
      <c r="G1119" s="1" t="n">
        <v>10</v>
      </c>
      <c r="H1119" s="1" t="s">
        <v>62</v>
      </c>
      <c r="I1119" s="1" t="n">
        <v>-3</v>
      </c>
      <c r="J1119" s="1" t="n">
        <v>42</v>
      </c>
      <c r="K1119" s="1" t="s">
        <v>178</v>
      </c>
      <c r="L1119" s="1" t="b">
        <f aca="false">FALSE()</f>
        <v>0</v>
      </c>
      <c r="M1119" s="1" t="str">
        <f aca="false">VLOOKUP(D1119,'Team Reference'!$A:$B,2,FALSE())</f>
        <v>BAL</v>
      </c>
      <c r="N1119" s="1" t="str">
        <f aca="false">VLOOKUP(E1119,'Team Reference'!$A:$B,2,FALSE())</f>
        <v>CAR</v>
      </c>
      <c r="O1119" s="1" t="str">
        <f aca="false">IF(F1119&gt;G1119,M1119,IF(G1119&gt;F1119,N1119,"Tie"))</f>
        <v>BAL</v>
      </c>
      <c r="P1119" s="1" t="n">
        <f aca="false">F1119-G1119</f>
        <v>28</v>
      </c>
      <c r="Q1119" s="1" t="n">
        <f aca="false">F1119+G1119</f>
        <v>48</v>
      </c>
      <c r="R1119" s="1" t="str">
        <f aca="false">IF(H1119=M1119,"Home",IF(H1119=N1119,"Away",IF(H1119="PICK","Pick","N/A")))</f>
        <v>Away</v>
      </c>
      <c r="S1119" s="1" t="n">
        <f aca="false">IF(R1119="Home",P1119,IF(R1119="Away",-P1119,""))</f>
        <v>-28</v>
      </c>
      <c r="T1119" s="1" t="str">
        <f aca="false">IF(R1119="Pick","No Line",IF(S1119="","N/A",IF(S1119+I1119&gt;0,"Favorite Covered",IF(S1119+I1119&lt;0,"Underdog Covered","Push"))))</f>
        <v>Underdog Covered</v>
      </c>
      <c r="U1119" s="1" t="str">
        <f aca="false">IF(Q1119&gt;J1119,"Over",IF(Q1119&lt;J1119,"Under","Push"))</f>
        <v>Over</v>
      </c>
    </row>
    <row r="1120" customFormat="false" ht="15" hidden="false" customHeight="false" outlineLevel="0" collapsed="false">
      <c r="A1120" s="1" t="s">
        <v>414</v>
      </c>
      <c r="B1120" s="1" t="n">
        <v>2014</v>
      </c>
      <c r="C1120" s="1" t="s">
        <v>182</v>
      </c>
      <c r="D1120" s="1" t="s">
        <v>63</v>
      </c>
      <c r="E1120" s="1" t="s">
        <v>75</v>
      </c>
      <c r="F1120" s="1" t="n">
        <v>17</v>
      </c>
      <c r="G1120" s="1" t="n">
        <v>38</v>
      </c>
      <c r="H1120" s="1" t="s">
        <v>64</v>
      </c>
      <c r="I1120" s="1" t="n">
        <v>-2</v>
      </c>
      <c r="J1120" s="1" t="n">
        <v>51</v>
      </c>
      <c r="K1120" s="1" t="s">
        <v>145</v>
      </c>
      <c r="L1120" s="1" t="b">
        <f aca="false">FALSE()</f>
        <v>0</v>
      </c>
      <c r="M1120" s="1" t="str">
        <f aca="false">VLOOKUP(D1120,'Team Reference'!$A:$B,2,FALSE())</f>
        <v>CHI</v>
      </c>
      <c r="N1120" s="1" t="str">
        <f aca="false">VLOOKUP(E1120,'Team Reference'!$A:$B,2,FALSE())</f>
        <v>GB</v>
      </c>
      <c r="O1120" s="1" t="str">
        <f aca="false">IF(F1120&gt;G1120,M1120,IF(G1120&gt;F1120,N1120,"Tie"))</f>
        <v>GB</v>
      </c>
      <c r="P1120" s="1" t="n">
        <f aca="false">F1120-G1120</f>
        <v>-21</v>
      </c>
      <c r="Q1120" s="1" t="n">
        <f aca="false">F1120+G1120</f>
        <v>55</v>
      </c>
      <c r="R1120" s="1" t="str">
        <f aca="false">IF(H1120=M1120,"Home",IF(H1120=N1120,"Away",IF(H1120="PICK","Pick","N/A")))</f>
        <v>Home</v>
      </c>
      <c r="S1120" s="1" t="n">
        <f aca="false">IF(R1120="Home",P1120,IF(R1120="Away",-P1120,""))</f>
        <v>-21</v>
      </c>
      <c r="T1120" s="1" t="str">
        <f aca="false">IF(R1120="Pick","No Line",IF(S1120="","N/A",IF(S1120+I1120&gt;0,"Favorite Covered",IF(S1120+I1120&lt;0,"Underdog Covered","Push"))))</f>
        <v>Underdog Covered</v>
      </c>
      <c r="U1120" s="1" t="str">
        <f aca="false">IF(Q1120&gt;J1120,"Over",IF(Q1120&lt;J1120,"Under","Push"))</f>
        <v>Over</v>
      </c>
    </row>
    <row r="1121" customFormat="false" ht="15" hidden="false" customHeight="false" outlineLevel="0" collapsed="false">
      <c r="A1121" s="1" t="s">
        <v>414</v>
      </c>
      <c r="B1121" s="1" t="n">
        <v>2014</v>
      </c>
      <c r="C1121" s="1" t="s">
        <v>182</v>
      </c>
      <c r="D1121" s="1" t="s">
        <v>69</v>
      </c>
      <c r="E1121" s="1" t="s">
        <v>95</v>
      </c>
      <c r="F1121" s="1" t="n">
        <v>38</v>
      </c>
      <c r="G1121" s="1" t="n">
        <v>17</v>
      </c>
      <c r="H1121" s="1" t="s">
        <v>70</v>
      </c>
      <c r="I1121" s="1" t="n">
        <v>-3</v>
      </c>
      <c r="J1121" s="1" t="n">
        <v>54</v>
      </c>
      <c r="K1121" s="1" t="s">
        <v>165</v>
      </c>
      <c r="L1121" s="1" t="b">
        <f aca="false">FALSE()</f>
        <v>0</v>
      </c>
      <c r="M1121" s="1" t="str">
        <f aca="false">VLOOKUP(D1121,'Team Reference'!$A:$B,2,FALSE())</f>
        <v>DAL</v>
      </c>
      <c r="N1121" s="1" t="str">
        <f aca="false">VLOOKUP(E1121,'Team Reference'!$A:$B,2,FALSE())</f>
        <v>NO</v>
      </c>
      <c r="O1121" s="1" t="str">
        <f aca="false">IF(F1121&gt;G1121,M1121,IF(G1121&gt;F1121,N1121,"Tie"))</f>
        <v>DAL</v>
      </c>
      <c r="P1121" s="1" t="n">
        <f aca="false">F1121-G1121</f>
        <v>21</v>
      </c>
      <c r="Q1121" s="1" t="n">
        <f aca="false">F1121+G1121</f>
        <v>55</v>
      </c>
      <c r="R1121" s="1" t="str">
        <f aca="false">IF(H1121=M1121,"Home",IF(H1121=N1121,"Away",IF(H1121="PICK","Pick","N/A")))</f>
        <v>Home</v>
      </c>
      <c r="S1121" s="1" t="n">
        <f aca="false">IF(R1121="Home",P1121,IF(R1121="Away",-P1121,""))</f>
        <v>21</v>
      </c>
      <c r="T1121" s="1" t="str">
        <f aca="false">IF(R1121="Pick","No Line",IF(S1121="","N/A",IF(S1121+I1121&gt;0,"Favorite Covered",IF(S1121+I1121&lt;0,"Underdog Covered","Push"))))</f>
        <v>Favorite Covered</v>
      </c>
      <c r="U1121" s="1" t="str">
        <f aca="false">IF(Q1121&gt;J1121,"Over",IF(Q1121&lt;J1121,"Under","Push"))</f>
        <v>Over</v>
      </c>
    </row>
    <row r="1122" customFormat="false" ht="15" hidden="false" customHeight="false" outlineLevel="0" collapsed="false">
      <c r="A1122" s="1" t="s">
        <v>414</v>
      </c>
      <c r="B1122" s="1" t="n">
        <v>2014</v>
      </c>
      <c r="C1122" s="1" t="s">
        <v>182</v>
      </c>
      <c r="D1122" s="1" t="s">
        <v>77</v>
      </c>
      <c r="E1122" s="1" t="s">
        <v>59</v>
      </c>
      <c r="F1122" s="1" t="n">
        <v>23</v>
      </c>
      <c r="G1122" s="1" t="n">
        <v>17</v>
      </c>
      <c r="H1122" s="1" t="s">
        <v>60</v>
      </c>
      <c r="I1122" s="1" t="n">
        <v>-3</v>
      </c>
      <c r="J1122" s="1" t="n">
        <v>44</v>
      </c>
      <c r="K1122" s="1" t="s">
        <v>146</v>
      </c>
      <c r="L1122" s="1" t="b">
        <f aca="false">FALSE()</f>
        <v>0</v>
      </c>
      <c r="M1122" s="1" t="str">
        <f aca="false">VLOOKUP(D1122,'Team Reference'!$A:$B,2,FALSE())</f>
        <v>HOU</v>
      </c>
      <c r="N1122" s="1" t="str">
        <f aca="false">VLOOKUP(E1122,'Team Reference'!$A:$B,2,FALSE())</f>
        <v>BUF</v>
      </c>
      <c r="O1122" s="1" t="str">
        <f aca="false">IF(F1122&gt;G1122,M1122,IF(G1122&gt;F1122,N1122,"Tie"))</f>
        <v>HOU</v>
      </c>
      <c r="P1122" s="1" t="n">
        <f aca="false">F1122-G1122</f>
        <v>6</v>
      </c>
      <c r="Q1122" s="1" t="n">
        <f aca="false">F1122+G1122</f>
        <v>40</v>
      </c>
      <c r="R1122" s="1" t="str">
        <f aca="false">IF(H1122=M1122,"Home",IF(H1122=N1122,"Away",IF(H1122="PICK","Pick","N/A")))</f>
        <v>Away</v>
      </c>
      <c r="S1122" s="1" t="n">
        <f aca="false">IF(R1122="Home",P1122,IF(R1122="Away",-P1122,""))</f>
        <v>-6</v>
      </c>
      <c r="T1122" s="1" t="str">
        <f aca="false">IF(R1122="Pick","No Line",IF(S1122="","N/A",IF(S1122+I1122&gt;0,"Favorite Covered",IF(S1122+I1122&lt;0,"Underdog Covered","Push"))))</f>
        <v>Underdog Covered</v>
      </c>
      <c r="U1122" s="1" t="str">
        <f aca="false">IF(Q1122&gt;J1122,"Over",IF(Q1122&lt;J1122,"Under","Push"))</f>
        <v>Under</v>
      </c>
    </row>
    <row r="1123" customFormat="false" ht="15" hidden="false" customHeight="false" outlineLevel="0" collapsed="false">
      <c r="A1123" s="1" t="s">
        <v>414</v>
      </c>
      <c r="B1123" s="1" t="n">
        <v>2014</v>
      </c>
      <c r="C1123" s="1" t="s">
        <v>182</v>
      </c>
      <c r="D1123" s="1" t="s">
        <v>79</v>
      </c>
      <c r="E1123" s="1" t="s">
        <v>115</v>
      </c>
      <c r="F1123" s="1" t="n">
        <v>41</v>
      </c>
      <c r="G1123" s="1" t="n">
        <v>17</v>
      </c>
      <c r="H1123" s="1" t="s">
        <v>116</v>
      </c>
      <c r="I1123" s="1" t="n">
        <v>-7.5</v>
      </c>
      <c r="J1123" s="1" t="n">
        <v>46</v>
      </c>
      <c r="K1123" s="1" t="s">
        <v>169</v>
      </c>
      <c r="L1123" s="1" t="b">
        <f aca="false">FALSE()</f>
        <v>0</v>
      </c>
      <c r="M1123" s="1" t="str">
        <f aca="false">VLOOKUP(D1123,'Team Reference'!$A:$B,2,FALSE())</f>
        <v>IND</v>
      </c>
      <c r="N1123" s="1" t="str">
        <f aca="false">VLOOKUP(E1123,'Team Reference'!$A:$B,2,FALSE())</f>
        <v>TEN</v>
      </c>
      <c r="O1123" s="1" t="str">
        <f aca="false">IF(F1123&gt;G1123,M1123,IF(G1123&gt;F1123,N1123,"Tie"))</f>
        <v>IND</v>
      </c>
      <c r="P1123" s="1" t="n">
        <f aca="false">F1123-G1123</f>
        <v>24</v>
      </c>
      <c r="Q1123" s="1" t="n">
        <f aca="false">F1123+G1123</f>
        <v>58</v>
      </c>
      <c r="R1123" s="1" t="str">
        <f aca="false">IF(H1123=M1123,"Home",IF(H1123=N1123,"Away",IF(H1123="PICK","Pick","N/A")))</f>
        <v>Away</v>
      </c>
      <c r="S1123" s="1" t="n">
        <f aca="false">IF(R1123="Home",P1123,IF(R1123="Away",-P1123,""))</f>
        <v>-24</v>
      </c>
      <c r="T1123" s="1" t="str">
        <f aca="false">IF(R1123="Pick","No Line",IF(S1123="","N/A",IF(S1123+I1123&gt;0,"Favorite Covered",IF(S1123+I1123&lt;0,"Underdog Covered","Push"))))</f>
        <v>Underdog Covered</v>
      </c>
      <c r="U1123" s="1" t="str">
        <f aca="false">IF(Q1123&gt;J1123,"Over",IF(Q1123&lt;J1123,"Under","Push"))</f>
        <v>Over</v>
      </c>
    </row>
    <row r="1124" customFormat="false" ht="15" hidden="false" customHeight="false" outlineLevel="0" collapsed="false">
      <c r="A1124" s="1" t="s">
        <v>414</v>
      </c>
      <c r="B1124" s="1" t="n">
        <v>2014</v>
      </c>
      <c r="C1124" s="1" t="s">
        <v>182</v>
      </c>
      <c r="D1124" s="1" t="s">
        <v>91</v>
      </c>
      <c r="E1124" s="1" t="s">
        <v>55</v>
      </c>
      <c r="F1124" s="1" t="n">
        <v>41</v>
      </c>
      <c r="G1124" s="1" t="n">
        <v>28</v>
      </c>
      <c r="H1124" s="1" t="s">
        <v>92</v>
      </c>
      <c r="I1124" s="1" t="n">
        <v>-6</v>
      </c>
      <c r="J1124" s="1" t="n">
        <v>47.5</v>
      </c>
      <c r="K1124" s="1" t="s">
        <v>407</v>
      </c>
      <c r="L1124" s="1" t="b">
        <f aca="false">FALSE()</f>
        <v>0</v>
      </c>
      <c r="M1124" s="1" t="str">
        <f aca="false">VLOOKUP(D1124,'Team Reference'!$A:$B,2,FALSE())</f>
        <v>MIN</v>
      </c>
      <c r="N1124" s="1" t="str">
        <f aca="false">VLOOKUP(E1124,'Team Reference'!$A:$B,2,FALSE())</f>
        <v>ATL</v>
      </c>
      <c r="O1124" s="1" t="str">
        <f aca="false">IF(F1124&gt;G1124,M1124,IF(G1124&gt;F1124,N1124,"Tie"))</f>
        <v>MIN</v>
      </c>
      <c r="P1124" s="1" t="n">
        <f aca="false">F1124-G1124</f>
        <v>13</v>
      </c>
      <c r="Q1124" s="1" t="n">
        <f aca="false">F1124+G1124</f>
        <v>69</v>
      </c>
      <c r="R1124" s="1" t="str">
        <f aca="false">IF(H1124=M1124,"Home",IF(H1124=N1124,"Away",IF(H1124="PICK","Pick","N/A")))</f>
        <v>Home</v>
      </c>
      <c r="S1124" s="1" t="n">
        <f aca="false">IF(R1124="Home",P1124,IF(R1124="Away",-P1124,""))</f>
        <v>13</v>
      </c>
      <c r="T1124" s="1" t="str">
        <f aca="false">IF(R1124="Pick","No Line",IF(S1124="","N/A",IF(S1124+I1124&gt;0,"Favorite Covered",IF(S1124+I1124&lt;0,"Underdog Covered","Push"))))</f>
        <v>Favorite Covered</v>
      </c>
      <c r="U1124" s="1" t="str">
        <f aca="false">IF(Q1124&gt;J1124,"Over",IF(Q1124&lt;J1124,"Under","Push"))</f>
        <v>Over</v>
      </c>
    </row>
    <row r="1125" customFormat="false" ht="15" hidden="false" customHeight="false" outlineLevel="0" collapsed="false">
      <c r="A1125" s="1" t="s">
        <v>414</v>
      </c>
      <c r="B1125" s="1" t="n">
        <v>2014</v>
      </c>
      <c r="C1125" s="1" t="s">
        <v>182</v>
      </c>
      <c r="D1125" s="1" t="s">
        <v>99</v>
      </c>
      <c r="E1125" s="1" t="s">
        <v>73</v>
      </c>
      <c r="F1125" s="1" t="n">
        <v>17</v>
      </c>
      <c r="G1125" s="1" t="n">
        <v>24</v>
      </c>
      <c r="H1125" s="1" t="s">
        <v>74</v>
      </c>
      <c r="I1125" s="1" t="n">
        <v>-1.5</v>
      </c>
      <c r="J1125" s="1" t="n">
        <v>44</v>
      </c>
      <c r="K1125" s="1" t="s">
        <v>149</v>
      </c>
      <c r="L1125" s="1" t="b">
        <f aca="false">FALSE()</f>
        <v>0</v>
      </c>
      <c r="M1125" s="1" t="str">
        <f aca="false">VLOOKUP(D1125,'Team Reference'!$A:$B,2,FALSE())</f>
        <v>NYJ</v>
      </c>
      <c r="N1125" s="1" t="str">
        <f aca="false">VLOOKUP(E1125,'Team Reference'!$A:$B,2,FALSE())</f>
        <v>DET</v>
      </c>
      <c r="O1125" s="1" t="str">
        <f aca="false">IF(F1125&gt;G1125,M1125,IF(G1125&gt;F1125,N1125,"Tie"))</f>
        <v>DET</v>
      </c>
      <c r="P1125" s="1" t="n">
        <f aca="false">F1125-G1125</f>
        <v>-7</v>
      </c>
      <c r="Q1125" s="1" t="n">
        <f aca="false">F1125+G1125</f>
        <v>41</v>
      </c>
      <c r="R1125" s="1" t="str">
        <f aca="false">IF(H1125=M1125,"Home",IF(H1125=N1125,"Away",IF(H1125="PICK","Pick","N/A")))</f>
        <v>Away</v>
      </c>
      <c r="S1125" s="1" t="n">
        <f aca="false">IF(R1125="Home",P1125,IF(R1125="Away",-P1125,""))</f>
        <v>7</v>
      </c>
      <c r="T1125" s="1" t="str">
        <f aca="false">IF(R1125="Pick","No Line",IF(S1125="","N/A",IF(S1125+I1125&gt;0,"Favorite Covered",IF(S1125+I1125&lt;0,"Underdog Covered","Push"))))</f>
        <v>Favorite Covered</v>
      </c>
      <c r="U1125" s="1" t="str">
        <f aca="false">IF(Q1125&gt;J1125,"Over",IF(Q1125&lt;J1125,"Under","Push"))</f>
        <v>Under</v>
      </c>
    </row>
    <row r="1126" customFormat="false" ht="15" hidden="false" customHeight="false" outlineLevel="0" collapsed="false">
      <c r="A1126" s="1" t="s">
        <v>414</v>
      </c>
      <c r="B1126" s="1" t="n">
        <v>2014</v>
      </c>
      <c r="C1126" s="1" t="s">
        <v>182</v>
      </c>
      <c r="D1126" s="1" t="s">
        <v>101</v>
      </c>
      <c r="E1126" s="1" t="s">
        <v>89</v>
      </c>
      <c r="F1126" s="1" t="n">
        <v>14</v>
      </c>
      <c r="G1126" s="1" t="n">
        <v>38</v>
      </c>
      <c r="H1126" s="1" t="s">
        <v>102</v>
      </c>
      <c r="I1126" s="1" t="n">
        <v>-4</v>
      </c>
      <c r="J1126" s="1" t="n">
        <v>41</v>
      </c>
      <c r="K1126" s="1" t="s">
        <v>195</v>
      </c>
      <c r="L1126" s="1" t="b">
        <f aca="false">FALSE()</f>
        <v>0</v>
      </c>
      <c r="M1126" s="1" t="str">
        <f aca="false">VLOOKUP(D1126,'Team Reference'!$A:$B,2,FALSE())</f>
        <v>OAK</v>
      </c>
      <c r="N1126" s="1" t="str">
        <f aca="false">VLOOKUP(E1126,'Team Reference'!$A:$B,2,FALSE())</f>
        <v>MIA</v>
      </c>
      <c r="O1126" s="1" t="str">
        <f aca="false">IF(F1126&gt;G1126,M1126,IF(G1126&gt;F1126,N1126,"Tie"))</f>
        <v>MIA</v>
      </c>
      <c r="P1126" s="1" t="n">
        <f aca="false">F1126-G1126</f>
        <v>-24</v>
      </c>
      <c r="Q1126" s="1" t="n">
        <f aca="false">F1126+G1126</f>
        <v>52</v>
      </c>
      <c r="R1126" s="1" t="str">
        <f aca="false">IF(H1126=M1126,"Home",IF(H1126=N1126,"Away",IF(H1126="PICK","Pick","N/A")))</f>
        <v>Home</v>
      </c>
      <c r="S1126" s="1" t="n">
        <f aca="false">IF(R1126="Home",P1126,IF(R1126="Away",-P1126,""))</f>
        <v>-24</v>
      </c>
      <c r="T1126" s="1" t="str">
        <f aca="false">IF(R1126="Pick","No Line",IF(S1126="","N/A",IF(S1126+I1126&gt;0,"Favorite Covered",IF(S1126+I1126&lt;0,"Underdog Covered","Push"))))</f>
        <v>Underdog Covered</v>
      </c>
      <c r="U1126" s="1" t="str">
        <f aca="false">IF(Q1126&gt;J1126,"Over",IF(Q1126&lt;J1126,"Under","Push"))</f>
        <v>Over</v>
      </c>
    </row>
    <row r="1127" customFormat="false" ht="15" hidden="false" customHeight="false" outlineLevel="0" collapsed="false">
      <c r="A1127" s="1" t="s">
        <v>414</v>
      </c>
      <c r="B1127" s="1" t="n">
        <v>2014</v>
      </c>
      <c r="C1127" s="1" t="s">
        <v>182</v>
      </c>
      <c r="D1127" s="1" t="s">
        <v>105</v>
      </c>
      <c r="E1127" s="1" t="s">
        <v>113</v>
      </c>
      <c r="F1127" s="1" t="n">
        <v>24</v>
      </c>
      <c r="G1127" s="1" t="n">
        <v>27</v>
      </c>
      <c r="H1127" s="1" t="s">
        <v>114</v>
      </c>
      <c r="I1127" s="1" t="n">
        <v>-7.5</v>
      </c>
      <c r="J1127" s="1" t="n">
        <v>45</v>
      </c>
      <c r="K1127" s="1" t="s">
        <v>151</v>
      </c>
      <c r="L1127" s="1" t="b">
        <f aca="false">FALSE()</f>
        <v>0</v>
      </c>
      <c r="M1127" s="1" t="str">
        <f aca="false">VLOOKUP(D1127,'Team Reference'!$A:$B,2,FALSE())</f>
        <v>PIT</v>
      </c>
      <c r="N1127" s="1" t="str">
        <f aca="false">VLOOKUP(E1127,'Team Reference'!$A:$B,2,FALSE())</f>
        <v>TB</v>
      </c>
      <c r="O1127" s="1" t="str">
        <f aca="false">IF(F1127&gt;G1127,M1127,IF(G1127&gt;F1127,N1127,"Tie"))</f>
        <v>TB</v>
      </c>
      <c r="P1127" s="1" t="n">
        <f aca="false">F1127-G1127</f>
        <v>-3</v>
      </c>
      <c r="Q1127" s="1" t="n">
        <f aca="false">F1127+G1127</f>
        <v>51</v>
      </c>
      <c r="R1127" s="1" t="str">
        <f aca="false">IF(H1127=M1127,"Home",IF(H1127=N1127,"Away",IF(H1127="PICK","Pick","N/A")))</f>
        <v>Away</v>
      </c>
      <c r="S1127" s="1" t="n">
        <f aca="false">IF(R1127="Home",P1127,IF(R1127="Away",-P1127,""))</f>
        <v>3</v>
      </c>
      <c r="T1127" s="1" t="str">
        <f aca="false">IF(R1127="Pick","No Line",IF(S1127="","N/A",IF(S1127+I1127&gt;0,"Favorite Covered",IF(S1127+I1127&lt;0,"Underdog Covered","Push"))))</f>
        <v>Underdog Covered</v>
      </c>
      <c r="U1127" s="1" t="str">
        <f aca="false">IF(Q1127&gt;J1127,"Over",IF(Q1127&lt;J1127,"Under","Push"))</f>
        <v>Over</v>
      </c>
    </row>
    <row r="1128" customFormat="false" ht="15" hidden="false" customHeight="false" outlineLevel="0" collapsed="false">
      <c r="A1128" s="1" t="s">
        <v>414</v>
      </c>
      <c r="B1128" s="1" t="n">
        <v>2014</v>
      </c>
      <c r="C1128" s="1" t="s">
        <v>182</v>
      </c>
      <c r="D1128" s="1" t="s">
        <v>107</v>
      </c>
      <c r="E1128" s="1" t="s">
        <v>81</v>
      </c>
      <c r="F1128" s="1" t="n">
        <v>33</v>
      </c>
      <c r="G1128" s="1" t="n">
        <v>14</v>
      </c>
      <c r="H1128" s="1" t="s">
        <v>82</v>
      </c>
      <c r="I1128" s="1" t="n">
        <v>-12</v>
      </c>
      <c r="J1128" s="1" t="n">
        <v>44.5</v>
      </c>
      <c r="K1128" s="1" t="s">
        <v>172</v>
      </c>
      <c r="L1128" s="1" t="b">
        <f aca="false">FALSE()</f>
        <v>0</v>
      </c>
      <c r="M1128" s="1" t="str">
        <f aca="false">VLOOKUP(D1128,'Team Reference'!$A:$B,2,FALSE())</f>
        <v>LAC</v>
      </c>
      <c r="N1128" s="1" t="str">
        <f aca="false">VLOOKUP(E1128,'Team Reference'!$A:$B,2,FALSE())</f>
        <v>JAX</v>
      </c>
      <c r="O1128" s="1" t="str">
        <f aca="false">IF(F1128&gt;G1128,M1128,IF(G1128&gt;F1128,N1128,"Tie"))</f>
        <v>LAC</v>
      </c>
      <c r="P1128" s="1" t="n">
        <f aca="false">F1128-G1128</f>
        <v>19</v>
      </c>
      <c r="Q1128" s="1" t="n">
        <f aca="false">F1128+G1128</f>
        <v>47</v>
      </c>
      <c r="R1128" s="1" t="str">
        <f aca="false">IF(H1128=M1128,"Home",IF(H1128=N1128,"Away",IF(H1128="PICK","Pick","N/A")))</f>
        <v>Away</v>
      </c>
      <c r="S1128" s="1" t="n">
        <f aca="false">IF(R1128="Home",P1128,IF(R1128="Away",-P1128,""))</f>
        <v>-19</v>
      </c>
      <c r="T1128" s="1" t="str">
        <f aca="false">IF(R1128="Pick","No Line",IF(S1128="","N/A",IF(S1128+I1128&gt;0,"Favorite Covered",IF(S1128+I1128&lt;0,"Underdog Covered","Push"))))</f>
        <v>Underdog Covered</v>
      </c>
      <c r="U1128" s="1" t="str">
        <f aca="false">IF(Q1128&gt;J1128,"Over",IF(Q1128&lt;J1128,"Under","Push"))</f>
        <v>Over</v>
      </c>
    </row>
    <row r="1129" customFormat="false" ht="15" hidden="false" customHeight="false" outlineLevel="0" collapsed="false">
      <c r="A1129" s="1" t="s">
        <v>414</v>
      </c>
      <c r="B1129" s="1" t="n">
        <v>2014</v>
      </c>
      <c r="C1129" s="1" t="s">
        <v>182</v>
      </c>
      <c r="D1129" s="1" t="s">
        <v>108</v>
      </c>
      <c r="E1129" s="1" t="s">
        <v>103</v>
      </c>
      <c r="F1129" s="1" t="n">
        <v>26</v>
      </c>
      <c r="G1129" s="1" t="n">
        <v>21</v>
      </c>
      <c r="H1129" s="1" t="s">
        <v>104</v>
      </c>
      <c r="I1129" s="1" t="n">
        <v>-4</v>
      </c>
      <c r="J1129" s="1" t="n">
        <v>49.5</v>
      </c>
      <c r="K1129" s="1" t="s">
        <v>408</v>
      </c>
      <c r="L1129" s="1" t="b">
        <f aca="false">FALSE()</f>
        <v>0</v>
      </c>
      <c r="M1129" s="1" t="str">
        <f aca="false">VLOOKUP(D1129,'Team Reference'!$A:$B,2,FALSE())</f>
        <v>SF</v>
      </c>
      <c r="N1129" s="1" t="str">
        <f aca="false">VLOOKUP(E1129,'Team Reference'!$A:$B,2,FALSE())</f>
        <v>PHI</v>
      </c>
      <c r="O1129" s="1" t="str">
        <f aca="false">IF(F1129&gt;G1129,M1129,IF(G1129&gt;F1129,N1129,"Tie"))</f>
        <v>SF</v>
      </c>
      <c r="P1129" s="1" t="n">
        <f aca="false">F1129-G1129</f>
        <v>5</v>
      </c>
      <c r="Q1129" s="1" t="n">
        <f aca="false">F1129+G1129</f>
        <v>47</v>
      </c>
      <c r="R1129" s="1" t="str">
        <f aca="false">IF(H1129=M1129,"Home",IF(H1129=N1129,"Away",IF(H1129="PICK","Pick","N/A")))</f>
        <v>Away</v>
      </c>
      <c r="S1129" s="1" t="n">
        <f aca="false">IF(R1129="Home",P1129,IF(R1129="Away",-P1129,""))</f>
        <v>-5</v>
      </c>
      <c r="T1129" s="1" t="str">
        <f aca="false">IF(R1129="Pick","No Line",IF(S1129="","N/A",IF(S1129+I1129&gt;0,"Favorite Covered",IF(S1129+I1129&lt;0,"Underdog Covered","Push"))))</f>
        <v>Underdog Covered</v>
      </c>
      <c r="U1129" s="1" t="str">
        <f aca="false">IF(Q1129&gt;J1129,"Over",IF(Q1129&lt;J1129,"Under","Push"))</f>
        <v>Under</v>
      </c>
    </row>
    <row r="1130" customFormat="false" ht="15" hidden="false" customHeight="false" outlineLevel="0" collapsed="false">
      <c r="A1130" s="1" t="s">
        <v>415</v>
      </c>
      <c r="B1130" s="1" t="n">
        <v>2014</v>
      </c>
      <c r="C1130" s="1" t="s">
        <v>182</v>
      </c>
      <c r="D1130" s="1" t="s">
        <v>83</v>
      </c>
      <c r="E1130" s="1" t="s">
        <v>93</v>
      </c>
      <c r="F1130" s="1" t="n">
        <v>41</v>
      </c>
      <c r="G1130" s="1" t="n">
        <v>14</v>
      </c>
      <c r="H1130" s="1" t="s">
        <v>84</v>
      </c>
      <c r="I1130" s="1" t="n">
        <v>-3</v>
      </c>
      <c r="J1130" s="1" t="n">
        <v>45.5</v>
      </c>
      <c r="K1130" s="1" t="s">
        <v>158</v>
      </c>
      <c r="L1130" s="1" t="b">
        <f aca="false">FALSE()</f>
        <v>0</v>
      </c>
      <c r="M1130" s="1" t="str">
        <f aca="false">VLOOKUP(D1130,'Team Reference'!$A:$B,2,FALSE())</f>
        <v>KC</v>
      </c>
      <c r="N1130" s="1" t="str">
        <f aca="false">VLOOKUP(E1130,'Team Reference'!$A:$B,2,FALSE())</f>
        <v>NE</v>
      </c>
      <c r="O1130" s="1" t="str">
        <f aca="false">IF(F1130&gt;G1130,M1130,IF(G1130&gt;F1130,N1130,"Tie"))</f>
        <v>KC</v>
      </c>
      <c r="P1130" s="1" t="n">
        <f aca="false">F1130-G1130</f>
        <v>27</v>
      </c>
      <c r="Q1130" s="1" t="n">
        <f aca="false">F1130+G1130</f>
        <v>55</v>
      </c>
      <c r="R1130" s="1" t="str">
        <f aca="false">IF(H1130=M1130,"Home",IF(H1130=N1130,"Away",IF(H1130="PICK","Pick","N/A")))</f>
        <v>Home</v>
      </c>
      <c r="S1130" s="1" t="n">
        <f aca="false">IF(R1130="Home",P1130,IF(R1130="Away",-P1130,""))</f>
        <v>27</v>
      </c>
      <c r="T1130" s="1" t="str">
        <f aca="false">IF(R1130="Pick","No Line",IF(S1130="","N/A",IF(S1130+I1130&gt;0,"Favorite Covered",IF(S1130+I1130&lt;0,"Underdog Covered","Push"))))</f>
        <v>Favorite Covered</v>
      </c>
      <c r="U1130" s="1" t="str">
        <f aca="false">IF(Q1130&gt;J1130,"Over",IF(Q1130&lt;J1130,"Under","Push"))</f>
        <v>Over</v>
      </c>
    </row>
    <row r="1131" customFormat="false" ht="15" hidden="false" customHeight="false" outlineLevel="0" collapsed="false">
      <c r="A1131" s="1" t="s">
        <v>416</v>
      </c>
      <c r="B1131" s="1" t="n">
        <v>2014</v>
      </c>
      <c r="C1131" s="1" t="s">
        <v>185</v>
      </c>
      <c r="D1131" s="1" t="s">
        <v>75</v>
      </c>
      <c r="E1131" s="1" t="s">
        <v>91</v>
      </c>
      <c r="F1131" s="1" t="n">
        <v>42</v>
      </c>
      <c r="G1131" s="1" t="n">
        <v>10</v>
      </c>
      <c r="H1131" s="1" t="s">
        <v>92</v>
      </c>
      <c r="I1131" s="1" t="n">
        <v>-9.5</v>
      </c>
      <c r="J1131" s="1" t="n">
        <v>46.5</v>
      </c>
      <c r="K1131" s="1" t="s">
        <v>168</v>
      </c>
      <c r="L1131" s="1" t="b">
        <f aca="false">FALSE()</f>
        <v>0</v>
      </c>
      <c r="M1131" s="1" t="str">
        <f aca="false">VLOOKUP(D1131,'Team Reference'!$A:$B,2,FALSE())</f>
        <v>GB</v>
      </c>
      <c r="N1131" s="1" t="str">
        <f aca="false">VLOOKUP(E1131,'Team Reference'!$A:$B,2,FALSE())</f>
        <v>MIN</v>
      </c>
      <c r="O1131" s="1" t="str">
        <f aca="false">IF(F1131&gt;G1131,M1131,IF(G1131&gt;F1131,N1131,"Tie"))</f>
        <v>GB</v>
      </c>
      <c r="P1131" s="1" t="n">
        <f aca="false">F1131-G1131</f>
        <v>32</v>
      </c>
      <c r="Q1131" s="1" t="n">
        <f aca="false">F1131+G1131</f>
        <v>52</v>
      </c>
      <c r="R1131" s="1" t="str">
        <f aca="false">IF(H1131=M1131,"Home",IF(H1131=N1131,"Away",IF(H1131="PICK","Pick","N/A")))</f>
        <v>Away</v>
      </c>
      <c r="S1131" s="1" t="n">
        <f aca="false">IF(R1131="Home",P1131,IF(R1131="Away",-P1131,""))</f>
        <v>-32</v>
      </c>
      <c r="T1131" s="1" t="str">
        <f aca="false">IF(R1131="Pick","No Line",IF(S1131="","N/A",IF(S1131+I1131&gt;0,"Favorite Covered",IF(S1131+I1131&lt;0,"Underdog Covered","Push"))))</f>
        <v>Underdog Covered</v>
      </c>
      <c r="U1131" s="1" t="str">
        <f aca="false">IF(Q1131&gt;J1131,"Over",IF(Q1131&lt;J1131,"Under","Push"))</f>
        <v>Over</v>
      </c>
    </row>
    <row r="1132" customFormat="false" ht="15" hidden="false" customHeight="false" outlineLevel="0" collapsed="false">
      <c r="A1132" s="1" t="s">
        <v>417</v>
      </c>
      <c r="B1132" s="1" t="n">
        <v>2014</v>
      </c>
      <c r="C1132" s="1" t="s">
        <v>185</v>
      </c>
      <c r="D1132" s="1" t="s">
        <v>61</v>
      </c>
      <c r="E1132" s="1" t="s">
        <v>63</v>
      </c>
      <c r="F1132" s="1" t="n">
        <v>31</v>
      </c>
      <c r="G1132" s="1" t="n">
        <v>24</v>
      </c>
      <c r="H1132" s="1" t="s">
        <v>64</v>
      </c>
      <c r="I1132" s="1" t="n">
        <v>-1.5</v>
      </c>
      <c r="J1132" s="1" t="n">
        <v>47</v>
      </c>
      <c r="K1132" s="1" t="s">
        <v>162</v>
      </c>
      <c r="L1132" s="1" t="b">
        <f aca="false">FALSE()</f>
        <v>0</v>
      </c>
      <c r="M1132" s="1" t="str">
        <f aca="false">VLOOKUP(D1132,'Team Reference'!$A:$B,2,FALSE())</f>
        <v>CAR</v>
      </c>
      <c r="N1132" s="1" t="str">
        <f aca="false">VLOOKUP(E1132,'Team Reference'!$A:$B,2,FALSE())</f>
        <v>CHI</v>
      </c>
      <c r="O1132" s="1" t="str">
        <f aca="false">IF(F1132&gt;G1132,M1132,IF(G1132&gt;F1132,N1132,"Tie"))</f>
        <v>CAR</v>
      </c>
      <c r="P1132" s="1" t="n">
        <f aca="false">F1132-G1132</f>
        <v>7</v>
      </c>
      <c r="Q1132" s="1" t="n">
        <f aca="false">F1132+G1132</f>
        <v>55</v>
      </c>
      <c r="R1132" s="1" t="str">
        <f aca="false">IF(H1132=M1132,"Home",IF(H1132=N1132,"Away",IF(H1132="PICK","Pick","N/A")))</f>
        <v>Away</v>
      </c>
      <c r="S1132" s="1" t="n">
        <f aca="false">IF(R1132="Home",P1132,IF(R1132="Away",-P1132,""))</f>
        <v>-7</v>
      </c>
      <c r="T1132" s="1" t="str">
        <f aca="false">IF(R1132="Pick","No Line",IF(S1132="","N/A",IF(S1132+I1132&gt;0,"Favorite Covered",IF(S1132+I1132&lt;0,"Underdog Covered","Push"))))</f>
        <v>Underdog Covered</v>
      </c>
      <c r="U1132" s="1" t="str">
        <f aca="false">IF(Q1132&gt;J1132,"Over",IF(Q1132&lt;J1132,"Under","Push"))</f>
        <v>Over</v>
      </c>
    </row>
    <row r="1133" customFormat="false" ht="15" hidden="false" customHeight="false" outlineLevel="0" collapsed="false">
      <c r="A1133" s="1" t="s">
        <v>417</v>
      </c>
      <c r="B1133" s="1" t="n">
        <v>2014</v>
      </c>
      <c r="C1133" s="1" t="s">
        <v>185</v>
      </c>
      <c r="D1133" s="1" t="s">
        <v>69</v>
      </c>
      <c r="E1133" s="1" t="s">
        <v>77</v>
      </c>
      <c r="F1133" s="1" t="n">
        <v>20</v>
      </c>
      <c r="G1133" s="1" t="n">
        <v>17</v>
      </c>
      <c r="H1133" s="1" t="s">
        <v>78</v>
      </c>
      <c r="I1133" s="1" t="n">
        <v>-5.5</v>
      </c>
      <c r="J1133" s="1" t="n">
        <v>48</v>
      </c>
      <c r="K1133" s="1" t="s">
        <v>165</v>
      </c>
      <c r="L1133" s="1" t="b">
        <f aca="false">FALSE()</f>
        <v>0</v>
      </c>
      <c r="M1133" s="1" t="str">
        <f aca="false">VLOOKUP(D1133,'Team Reference'!$A:$B,2,FALSE())</f>
        <v>DAL</v>
      </c>
      <c r="N1133" s="1" t="str">
        <f aca="false">VLOOKUP(E1133,'Team Reference'!$A:$B,2,FALSE())</f>
        <v>HOU</v>
      </c>
      <c r="O1133" s="1" t="str">
        <f aca="false">IF(F1133&gt;G1133,M1133,IF(G1133&gt;F1133,N1133,"Tie"))</f>
        <v>DAL</v>
      </c>
      <c r="P1133" s="1" t="n">
        <f aca="false">F1133-G1133</f>
        <v>3</v>
      </c>
      <c r="Q1133" s="1" t="n">
        <f aca="false">F1133+G1133</f>
        <v>37</v>
      </c>
      <c r="R1133" s="1" t="str">
        <f aca="false">IF(H1133=M1133,"Home",IF(H1133=N1133,"Away",IF(H1133="PICK","Pick","N/A")))</f>
        <v>Away</v>
      </c>
      <c r="S1133" s="1" t="n">
        <f aca="false">IF(R1133="Home",P1133,IF(R1133="Away",-P1133,""))</f>
        <v>-3</v>
      </c>
      <c r="T1133" s="1" t="str">
        <f aca="false">IF(R1133="Pick","No Line",IF(S1133="","N/A",IF(S1133+I1133&gt;0,"Favorite Covered",IF(S1133+I1133&lt;0,"Underdog Covered","Push"))))</f>
        <v>Underdog Covered</v>
      </c>
      <c r="U1133" s="1" t="str">
        <f aca="false">IF(Q1133&gt;J1133,"Over",IF(Q1133&lt;J1133,"Under","Push"))</f>
        <v>Under</v>
      </c>
    </row>
    <row r="1134" customFormat="false" ht="15" hidden="false" customHeight="false" outlineLevel="0" collapsed="false">
      <c r="A1134" s="1" t="s">
        <v>417</v>
      </c>
      <c r="B1134" s="1" t="n">
        <v>2014</v>
      </c>
      <c r="C1134" s="1" t="s">
        <v>185</v>
      </c>
      <c r="D1134" s="1" t="s">
        <v>71</v>
      </c>
      <c r="E1134" s="1" t="s">
        <v>53</v>
      </c>
      <c r="F1134" s="1" t="n">
        <v>41</v>
      </c>
      <c r="G1134" s="1" t="n">
        <v>20</v>
      </c>
      <c r="H1134" s="1" t="s">
        <v>54</v>
      </c>
      <c r="I1134" s="1" t="n">
        <v>-8.5</v>
      </c>
      <c r="J1134" s="1" t="n">
        <v>47.5</v>
      </c>
      <c r="K1134" s="1" t="s">
        <v>166</v>
      </c>
      <c r="L1134" s="1" t="b">
        <f aca="false">FALSE()</f>
        <v>0</v>
      </c>
      <c r="M1134" s="1" t="str">
        <f aca="false">VLOOKUP(D1134,'Team Reference'!$A:$B,2,FALSE())</f>
        <v>DEN</v>
      </c>
      <c r="N1134" s="1" t="str">
        <f aca="false">VLOOKUP(E1134,'Team Reference'!$A:$B,2,FALSE())</f>
        <v>ARI</v>
      </c>
      <c r="O1134" s="1" t="str">
        <f aca="false">IF(F1134&gt;G1134,M1134,IF(G1134&gt;F1134,N1134,"Tie"))</f>
        <v>DEN</v>
      </c>
      <c r="P1134" s="1" t="n">
        <f aca="false">F1134-G1134</f>
        <v>21</v>
      </c>
      <c r="Q1134" s="1" t="n">
        <f aca="false">F1134+G1134</f>
        <v>61</v>
      </c>
      <c r="R1134" s="1" t="str">
        <f aca="false">IF(H1134=M1134,"Home",IF(H1134=N1134,"Away",IF(H1134="PICK","Pick","N/A")))</f>
        <v>Away</v>
      </c>
      <c r="S1134" s="1" t="n">
        <f aca="false">IF(R1134="Home",P1134,IF(R1134="Away",-P1134,""))</f>
        <v>-21</v>
      </c>
      <c r="T1134" s="1" t="str">
        <f aca="false">IF(R1134="Pick","No Line",IF(S1134="","N/A",IF(S1134+I1134&gt;0,"Favorite Covered",IF(S1134+I1134&lt;0,"Underdog Covered","Push"))))</f>
        <v>Underdog Covered</v>
      </c>
      <c r="U1134" s="1" t="str">
        <f aca="false">IF(Q1134&gt;J1134,"Over",IF(Q1134&lt;J1134,"Under","Push"))</f>
        <v>Over</v>
      </c>
    </row>
    <row r="1135" customFormat="false" ht="15" hidden="false" customHeight="false" outlineLevel="0" collapsed="false">
      <c r="A1135" s="1" t="s">
        <v>417</v>
      </c>
      <c r="B1135" s="1" t="n">
        <v>2014</v>
      </c>
      <c r="C1135" s="1" t="s">
        <v>185</v>
      </c>
      <c r="D1135" s="1" t="s">
        <v>73</v>
      </c>
      <c r="E1135" s="1" t="s">
        <v>59</v>
      </c>
      <c r="F1135" s="1" t="n">
        <v>14</v>
      </c>
      <c r="G1135" s="1" t="n">
        <v>17</v>
      </c>
      <c r="H1135" s="1" t="s">
        <v>60</v>
      </c>
      <c r="I1135" s="1" t="n">
        <v>-5</v>
      </c>
      <c r="J1135" s="1" t="n">
        <v>43.5</v>
      </c>
      <c r="K1135" s="1" t="s">
        <v>167</v>
      </c>
      <c r="L1135" s="1" t="b">
        <f aca="false">FALSE()</f>
        <v>0</v>
      </c>
      <c r="M1135" s="1" t="str">
        <f aca="false">VLOOKUP(D1135,'Team Reference'!$A:$B,2,FALSE())</f>
        <v>DET</v>
      </c>
      <c r="N1135" s="1" t="str">
        <f aca="false">VLOOKUP(E1135,'Team Reference'!$A:$B,2,FALSE())</f>
        <v>BUF</v>
      </c>
      <c r="O1135" s="1" t="str">
        <f aca="false">IF(F1135&gt;G1135,M1135,IF(G1135&gt;F1135,N1135,"Tie"))</f>
        <v>BUF</v>
      </c>
      <c r="P1135" s="1" t="n">
        <f aca="false">F1135-G1135</f>
        <v>-3</v>
      </c>
      <c r="Q1135" s="1" t="n">
        <f aca="false">F1135+G1135</f>
        <v>31</v>
      </c>
      <c r="R1135" s="1" t="str">
        <f aca="false">IF(H1135=M1135,"Home",IF(H1135=N1135,"Away",IF(H1135="PICK","Pick","N/A")))</f>
        <v>Away</v>
      </c>
      <c r="S1135" s="1" t="n">
        <f aca="false">IF(R1135="Home",P1135,IF(R1135="Away",-P1135,""))</f>
        <v>3</v>
      </c>
      <c r="T1135" s="1" t="str">
        <f aca="false">IF(R1135="Pick","No Line",IF(S1135="","N/A",IF(S1135+I1135&gt;0,"Favorite Covered",IF(S1135+I1135&lt;0,"Underdog Covered","Push"))))</f>
        <v>Underdog Covered</v>
      </c>
      <c r="U1135" s="1" t="str">
        <f aca="false">IF(Q1135&gt;J1135,"Over",IF(Q1135&lt;J1135,"Under","Push"))</f>
        <v>Under</v>
      </c>
    </row>
    <row r="1136" customFormat="false" ht="15" hidden="false" customHeight="false" outlineLevel="0" collapsed="false">
      <c r="A1136" s="1" t="s">
        <v>417</v>
      </c>
      <c r="B1136" s="1" t="n">
        <v>2014</v>
      </c>
      <c r="C1136" s="1" t="s">
        <v>185</v>
      </c>
      <c r="D1136" s="1" t="s">
        <v>79</v>
      </c>
      <c r="E1136" s="1" t="s">
        <v>57</v>
      </c>
      <c r="F1136" s="1" t="n">
        <v>20</v>
      </c>
      <c r="G1136" s="1" t="n">
        <v>13</v>
      </c>
      <c r="H1136" s="1" t="s">
        <v>58</v>
      </c>
      <c r="I1136" s="1" t="n">
        <v>-3</v>
      </c>
      <c r="J1136" s="1" t="n">
        <v>49.5</v>
      </c>
      <c r="K1136" s="1" t="s">
        <v>169</v>
      </c>
      <c r="L1136" s="1" t="b">
        <f aca="false">FALSE()</f>
        <v>0</v>
      </c>
      <c r="M1136" s="1" t="str">
        <f aca="false">VLOOKUP(D1136,'Team Reference'!$A:$B,2,FALSE())</f>
        <v>IND</v>
      </c>
      <c r="N1136" s="1" t="str">
        <f aca="false">VLOOKUP(E1136,'Team Reference'!$A:$B,2,FALSE())</f>
        <v>BAL</v>
      </c>
      <c r="O1136" s="1" t="str">
        <f aca="false">IF(F1136&gt;G1136,M1136,IF(G1136&gt;F1136,N1136,"Tie"))</f>
        <v>IND</v>
      </c>
      <c r="P1136" s="1" t="n">
        <f aca="false">F1136-G1136</f>
        <v>7</v>
      </c>
      <c r="Q1136" s="1" t="n">
        <f aca="false">F1136+G1136</f>
        <v>33</v>
      </c>
      <c r="R1136" s="1" t="str">
        <f aca="false">IF(H1136=M1136,"Home",IF(H1136=N1136,"Away",IF(H1136="PICK","Pick","N/A")))</f>
        <v>Away</v>
      </c>
      <c r="S1136" s="1" t="n">
        <f aca="false">IF(R1136="Home",P1136,IF(R1136="Away",-P1136,""))</f>
        <v>-7</v>
      </c>
      <c r="T1136" s="1" t="str">
        <f aca="false">IF(R1136="Pick","No Line",IF(S1136="","N/A",IF(S1136+I1136&gt;0,"Favorite Covered",IF(S1136+I1136&lt;0,"Underdog Covered","Push"))))</f>
        <v>Underdog Covered</v>
      </c>
      <c r="U1136" s="1" t="str">
        <f aca="false">IF(Q1136&gt;J1136,"Over",IF(Q1136&lt;J1136,"Under","Push"))</f>
        <v>Under</v>
      </c>
    </row>
    <row r="1137" customFormat="false" ht="15" hidden="false" customHeight="false" outlineLevel="0" collapsed="false">
      <c r="A1137" s="1" t="s">
        <v>417</v>
      </c>
      <c r="B1137" s="1" t="n">
        <v>2014</v>
      </c>
      <c r="C1137" s="1" t="s">
        <v>185</v>
      </c>
      <c r="D1137" s="1" t="s">
        <v>81</v>
      </c>
      <c r="E1137" s="1" t="s">
        <v>105</v>
      </c>
      <c r="F1137" s="1" t="n">
        <v>9</v>
      </c>
      <c r="G1137" s="1" t="n">
        <v>17</v>
      </c>
      <c r="H1137" s="1" t="s">
        <v>82</v>
      </c>
      <c r="I1137" s="1" t="n">
        <v>-6</v>
      </c>
      <c r="J1137" s="1" t="n">
        <v>47.5</v>
      </c>
      <c r="K1137" s="1" t="s">
        <v>147</v>
      </c>
      <c r="L1137" s="1" t="b">
        <f aca="false">FALSE()</f>
        <v>0</v>
      </c>
      <c r="M1137" s="1" t="str">
        <f aca="false">VLOOKUP(D1137,'Team Reference'!$A:$B,2,FALSE())</f>
        <v>JAX</v>
      </c>
      <c r="N1137" s="1" t="str">
        <f aca="false">VLOOKUP(E1137,'Team Reference'!$A:$B,2,FALSE())</f>
        <v>PIT</v>
      </c>
      <c r="O1137" s="1" t="str">
        <f aca="false">IF(F1137&gt;G1137,M1137,IF(G1137&gt;F1137,N1137,"Tie"))</f>
        <v>PIT</v>
      </c>
      <c r="P1137" s="1" t="n">
        <f aca="false">F1137-G1137</f>
        <v>-8</v>
      </c>
      <c r="Q1137" s="1" t="n">
        <f aca="false">F1137+G1137</f>
        <v>26</v>
      </c>
      <c r="R1137" s="1" t="str">
        <f aca="false">IF(H1137=M1137,"Home",IF(H1137=N1137,"Away",IF(H1137="PICK","Pick","N/A")))</f>
        <v>Home</v>
      </c>
      <c r="S1137" s="1" t="n">
        <f aca="false">IF(R1137="Home",P1137,IF(R1137="Away",-P1137,""))</f>
        <v>-8</v>
      </c>
      <c r="T1137" s="1" t="str">
        <f aca="false">IF(R1137="Pick","No Line",IF(S1137="","N/A",IF(S1137+I1137&gt;0,"Favorite Covered",IF(S1137+I1137&lt;0,"Underdog Covered","Push"))))</f>
        <v>Underdog Covered</v>
      </c>
      <c r="U1137" s="1" t="str">
        <f aca="false">IF(Q1137&gt;J1137,"Over",IF(Q1137&lt;J1137,"Under","Push"))</f>
        <v>Under</v>
      </c>
    </row>
    <row r="1138" customFormat="false" ht="15" hidden="false" customHeight="false" outlineLevel="0" collapsed="false">
      <c r="A1138" s="1" t="s">
        <v>417</v>
      </c>
      <c r="B1138" s="1" t="n">
        <v>2014</v>
      </c>
      <c r="C1138" s="1" t="s">
        <v>185</v>
      </c>
      <c r="D1138" s="1" t="s">
        <v>93</v>
      </c>
      <c r="E1138" s="1" t="s">
        <v>65</v>
      </c>
      <c r="F1138" s="1" t="n">
        <v>43</v>
      </c>
      <c r="G1138" s="1" t="n">
        <v>17</v>
      </c>
      <c r="H1138" s="1" t="s">
        <v>94</v>
      </c>
      <c r="I1138" s="1" t="n">
        <v>-2.5</v>
      </c>
      <c r="J1138" s="1" t="n">
        <v>46.5</v>
      </c>
      <c r="K1138" s="1" t="s">
        <v>148</v>
      </c>
      <c r="L1138" s="1" t="b">
        <f aca="false">FALSE()</f>
        <v>0</v>
      </c>
      <c r="M1138" s="1" t="str">
        <f aca="false">VLOOKUP(D1138,'Team Reference'!$A:$B,2,FALSE())</f>
        <v>NE</v>
      </c>
      <c r="N1138" s="1" t="str">
        <f aca="false">VLOOKUP(E1138,'Team Reference'!$A:$B,2,FALSE())</f>
        <v>CIN</v>
      </c>
      <c r="O1138" s="1" t="str">
        <f aca="false">IF(F1138&gt;G1138,M1138,IF(G1138&gt;F1138,N1138,"Tie"))</f>
        <v>NE</v>
      </c>
      <c r="P1138" s="1" t="n">
        <f aca="false">F1138-G1138</f>
        <v>26</v>
      </c>
      <c r="Q1138" s="1" t="n">
        <f aca="false">F1138+G1138</f>
        <v>60</v>
      </c>
      <c r="R1138" s="1" t="str">
        <f aca="false">IF(H1138=M1138,"Home",IF(H1138=N1138,"Away",IF(H1138="PICK","Pick","N/A")))</f>
        <v>Home</v>
      </c>
      <c r="S1138" s="1" t="n">
        <f aca="false">IF(R1138="Home",P1138,IF(R1138="Away",-P1138,""))</f>
        <v>26</v>
      </c>
      <c r="T1138" s="1" t="str">
        <f aca="false">IF(R1138="Pick","No Line",IF(S1138="","N/A",IF(S1138+I1138&gt;0,"Favorite Covered",IF(S1138+I1138&lt;0,"Underdog Covered","Push"))))</f>
        <v>Favorite Covered</v>
      </c>
      <c r="U1138" s="1" t="str">
        <f aca="false">IF(Q1138&gt;J1138,"Over",IF(Q1138&lt;J1138,"Under","Push"))</f>
        <v>Over</v>
      </c>
    </row>
    <row r="1139" customFormat="false" ht="15" hidden="false" customHeight="false" outlineLevel="0" collapsed="false">
      <c r="A1139" s="1" t="s">
        <v>417</v>
      </c>
      <c r="B1139" s="1" t="n">
        <v>2014</v>
      </c>
      <c r="C1139" s="1" t="s">
        <v>185</v>
      </c>
      <c r="D1139" s="1" t="s">
        <v>95</v>
      </c>
      <c r="E1139" s="1" t="s">
        <v>113</v>
      </c>
      <c r="F1139" s="1" t="n">
        <v>37</v>
      </c>
      <c r="G1139" s="1" t="n">
        <v>31</v>
      </c>
      <c r="H1139" s="1" t="s">
        <v>114</v>
      </c>
      <c r="I1139" s="1" t="n">
        <v>-11</v>
      </c>
      <c r="J1139" s="1" t="n">
        <v>48</v>
      </c>
      <c r="K1139" s="1" t="s">
        <v>142</v>
      </c>
      <c r="L1139" s="1" t="b">
        <f aca="false">FALSE()</f>
        <v>0</v>
      </c>
      <c r="M1139" s="1" t="str">
        <f aca="false">VLOOKUP(D1139,'Team Reference'!$A:$B,2,FALSE())</f>
        <v>NO</v>
      </c>
      <c r="N1139" s="1" t="str">
        <f aca="false">VLOOKUP(E1139,'Team Reference'!$A:$B,2,FALSE())</f>
        <v>TB</v>
      </c>
      <c r="O1139" s="1" t="str">
        <f aca="false">IF(F1139&gt;G1139,M1139,IF(G1139&gt;F1139,N1139,"Tie"))</f>
        <v>NO</v>
      </c>
      <c r="P1139" s="1" t="n">
        <f aca="false">F1139-G1139</f>
        <v>6</v>
      </c>
      <c r="Q1139" s="1" t="n">
        <f aca="false">F1139+G1139</f>
        <v>68</v>
      </c>
      <c r="R1139" s="1" t="str">
        <f aca="false">IF(H1139=M1139,"Home",IF(H1139=N1139,"Away",IF(H1139="PICK","Pick","N/A")))</f>
        <v>Away</v>
      </c>
      <c r="S1139" s="1" t="n">
        <f aca="false">IF(R1139="Home",P1139,IF(R1139="Away",-P1139,""))</f>
        <v>-6</v>
      </c>
      <c r="T1139" s="1" t="str">
        <f aca="false">IF(R1139="Pick","No Line",IF(S1139="","N/A",IF(S1139+I1139&gt;0,"Favorite Covered",IF(S1139+I1139&lt;0,"Underdog Covered","Push"))))</f>
        <v>Underdog Covered</v>
      </c>
      <c r="U1139" s="1" t="str">
        <f aca="false">IF(Q1139&gt;J1139,"Over",IF(Q1139&lt;J1139,"Under","Push"))</f>
        <v>Over</v>
      </c>
    </row>
    <row r="1140" customFormat="false" ht="15" hidden="false" customHeight="false" outlineLevel="0" collapsed="false">
      <c r="A1140" s="1" t="s">
        <v>417</v>
      </c>
      <c r="B1140" s="1" t="n">
        <v>2014</v>
      </c>
      <c r="C1140" s="1" t="s">
        <v>185</v>
      </c>
      <c r="D1140" s="1" t="s">
        <v>97</v>
      </c>
      <c r="E1140" s="1" t="s">
        <v>55</v>
      </c>
      <c r="F1140" s="1" t="n">
        <v>30</v>
      </c>
      <c r="G1140" s="1" t="n">
        <v>20</v>
      </c>
      <c r="H1140" s="1" t="s">
        <v>56</v>
      </c>
      <c r="I1140" s="1" t="n">
        <v>-4</v>
      </c>
      <c r="J1140" s="1" t="n">
        <v>50.5</v>
      </c>
      <c r="K1140" s="1" t="s">
        <v>149</v>
      </c>
      <c r="L1140" s="1" t="b">
        <f aca="false">FALSE()</f>
        <v>0</v>
      </c>
      <c r="M1140" s="1" t="str">
        <f aca="false">VLOOKUP(D1140,'Team Reference'!$A:$B,2,FALSE())</f>
        <v>NYG</v>
      </c>
      <c r="N1140" s="1" t="str">
        <f aca="false">VLOOKUP(E1140,'Team Reference'!$A:$B,2,FALSE())</f>
        <v>ATL</v>
      </c>
      <c r="O1140" s="1" t="str">
        <f aca="false">IF(F1140&gt;G1140,M1140,IF(G1140&gt;F1140,N1140,"Tie"))</f>
        <v>NYG</v>
      </c>
      <c r="P1140" s="1" t="n">
        <f aca="false">F1140-G1140</f>
        <v>10</v>
      </c>
      <c r="Q1140" s="1" t="n">
        <f aca="false">F1140+G1140</f>
        <v>50</v>
      </c>
      <c r="R1140" s="1" t="str">
        <f aca="false">IF(H1140=M1140,"Home",IF(H1140=N1140,"Away",IF(H1140="PICK","Pick","N/A")))</f>
        <v>Away</v>
      </c>
      <c r="S1140" s="1" t="n">
        <f aca="false">IF(R1140="Home",P1140,IF(R1140="Away",-P1140,""))</f>
        <v>-10</v>
      </c>
      <c r="T1140" s="1" t="str">
        <f aca="false">IF(R1140="Pick","No Line",IF(S1140="","N/A",IF(S1140+I1140&gt;0,"Favorite Covered",IF(S1140+I1140&lt;0,"Underdog Covered","Push"))))</f>
        <v>Underdog Covered</v>
      </c>
      <c r="U1140" s="1" t="str">
        <f aca="false">IF(Q1140&gt;J1140,"Over",IF(Q1140&lt;J1140,"Under","Push"))</f>
        <v>Under</v>
      </c>
    </row>
    <row r="1141" customFormat="false" ht="15" hidden="false" customHeight="false" outlineLevel="0" collapsed="false">
      <c r="A1141" s="1" t="s">
        <v>417</v>
      </c>
      <c r="B1141" s="1" t="n">
        <v>2014</v>
      </c>
      <c r="C1141" s="1" t="s">
        <v>185</v>
      </c>
      <c r="D1141" s="1" t="s">
        <v>103</v>
      </c>
      <c r="E1141" s="1" t="s">
        <v>112</v>
      </c>
      <c r="F1141" s="1" t="n">
        <v>34</v>
      </c>
      <c r="G1141" s="1" t="n">
        <v>28</v>
      </c>
      <c r="H1141" s="1" t="s">
        <v>88</v>
      </c>
      <c r="I1141" s="1" t="n">
        <v>-4</v>
      </c>
      <c r="J1141" s="1" t="n">
        <v>48</v>
      </c>
      <c r="K1141" s="1" t="s">
        <v>150</v>
      </c>
      <c r="L1141" s="1" t="b">
        <f aca="false">FALSE()</f>
        <v>0</v>
      </c>
      <c r="M1141" s="1" t="str">
        <f aca="false">VLOOKUP(D1141,'Team Reference'!$A:$B,2,FALSE())</f>
        <v>PHI</v>
      </c>
      <c r="N1141" s="1" t="str">
        <f aca="false">VLOOKUP(E1141,'Team Reference'!$A:$B,2,FALSE())</f>
        <v>LAR</v>
      </c>
      <c r="O1141" s="1" t="str">
        <f aca="false">IF(F1141&gt;G1141,M1141,IF(G1141&gt;F1141,N1141,"Tie"))</f>
        <v>PHI</v>
      </c>
      <c r="P1141" s="1" t="n">
        <f aca="false">F1141-G1141</f>
        <v>6</v>
      </c>
      <c r="Q1141" s="1" t="n">
        <f aca="false">F1141+G1141</f>
        <v>62</v>
      </c>
      <c r="R1141" s="1" t="str">
        <f aca="false">IF(H1141=M1141,"Home",IF(H1141=N1141,"Away",IF(H1141="PICK","Pick","N/A")))</f>
        <v>Away</v>
      </c>
      <c r="S1141" s="1" t="n">
        <f aca="false">IF(R1141="Home",P1141,IF(R1141="Away",-P1141,""))</f>
        <v>-6</v>
      </c>
      <c r="T1141" s="1" t="str">
        <f aca="false">IF(R1141="Pick","No Line",IF(S1141="","N/A",IF(S1141+I1141&gt;0,"Favorite Covered",IF(S1141+I1141&lt;0,"Underdog Covered","Push"))))</f>
        <v>Underdog Covered</v>
      </c>
      <c r="U1141" s="1" t="str">
        <f aca="false">IF(Q1141&gt;J1141,"Over",IF(Q1141&lt;J1141,"Under","Push"))</f>
        <v>Over</v>
      </c>
    </row>
    <row r="1142" customFormat="false" ht="15" hidden="false" customHeight="false" outlineLevel="0" collapsed="false">
      <c r="A1142" s="1" t="s">
        <v>417</v>
      </c>
      <c r="B1142" s="1" t="n">
        <v>2014</v>
      </c>
      <c r="C1142" s="1" t="s">
        <v>185</v>
      </c>
      <c r="D1142" s="1" t="s">
        <v>107</v>
      </c>
      <c r="E1142" s="1" t="s">
        <v>99</v>
      </c>
      <c r="F1142" s="1" t="n">
        <v>31</v>
      </c>
      <c r="G1142" s="1" t="n">
        <v>0</v>
      </c>
      <c r="H1142" s="1" t="s">
        <v>100</v>
      </c>
      <c r="I1142" s="1" t="n">
        <v>-7</v>
      </c>
      <c r="J1142" s="1" t="n">
        <v>44.5</v>
      </c>
      <c r="K1142" s="1" t="s">
        <v>172</v>
      </c>
      <c r="L1142" s="1" t="b">
        <f aca="false">FALSE()</f>
        <v>0</v>
      </c>
      <c r="M1142" s="1" t="str">
        <f aca="false">VLOOKUP(D1142,'Team Reference'!$A:$B,2,FALSE())</f>
        <v>LAC</v>
      </c>
      <c r="N1142" s="1" t="str">
        <f aca="false">VLOOKUP(E1142,'Team Reference'!$A:$B,2,FALSE())</f>
        <v>NYJ</v>
      </c>
      <c r="O1142" s="1" t="str">
        <f aca="false">IF(F1142&gt;G1142,M1142,IF(G1142&gt;F1142,N1142,"Tie"))</f>
        <v>LAC</v>
      </c>
      <c r="P1142" s="1" t="n">
        <f aca="false">F1142-G1142</f>
        <v>31</v>
      </c>
      <c r="Q1142" s="1" t="n">
        <f aca="false">F1142+G1142</f>
        <v>31</v>
      </c>
      <c r="R1142" s="1" t="str">
        <f aca="false">IF(H1142=M1142,"Home",IF(H1142=N1142,"Away",IF(H1142="PICK","Pick","N/A")))</f>
        <v>Away</v>
      </c>
      <c r="S1142" s="1" t="n">
        <f aca="false">IF(R1142="Home",P1142,IF(R1142="Away",-P1142,""))</f>
        <v>-31</v>
      </c>
      <c r="T1142" s="1" t="str">
        <f aca="false">IF(R1142="Pick","No Line",IF(S1142="","N/A",IF(S1142+I1142&gt;0,"Favorite Covered",IF(S1142+I1142&lt;0,"Underdog Covered","Push"))))</f>
        <v>Underdog Covered</v>
      </c>
      <c r="U1142" s="1" t="str">
        <f aca="false">IF(Q1142&gt;J1142,"Over",IF(Q1142&lt;J1142,"Under","Push"))</f>
        <v>Under</v>
      </c>
    </row>
    <row r="1143" customFormat="false" ht="15" hidden="false" customHeight="false" outlineLevel="0" collapsed="false">
      <c r="A1143" s="1" t="s">
        <v>417</v>
      </c>
      <c r="B1143" s="1" t="n">
        <v>2014</v>
      </c>
      <c r="C1143" s="1" t="s">
        <v>185</v>
      </c>
      <c r="D1143" s="1" t="s">
        <v>108</v>
      </c>
      <c r="E1143" s="1" t="s">
        <v>83</v>
      </c>
      <c r="F1143" s="1" t="n">
        <v>22</v>
      </c>
      <c r="G1143" s="1" t="n">
        <v>17</v>
      </c>
      <c r="H1143" s="1" t="s">
        <v>84</v>
      </c>
      <c r="I1143" s="1" t="n">
        <v>-5</v>
      </c>
      <c r="J1143" s="1" t="n">
        <v>43.5</v>
      </c>
      <c r="K1143" s="1" t="s">
        <v>408</v>
      </c>
      <c r="L1143" s="1" t="b">
        <f aca="false">FALSE()</f>
        <v>0</v>
      </c>
      <c r="M1143" s="1" t="str">
        <f aca="false">VLOOKUP(D1143,'Team Reference'!$A:$B,2,FALSE())</f>
        <v>SF</v>
      </c>
      <c r="N1143" s="1" t="str">
        <f aca="false">VLOOKUP(E1143,'Team Reference'!$A:$B,2,FALSE())</f>
        <v>KC</v>
      </c>
      <c r="O1143" s="1" t="str">
        <f aca="false">IF(F1143&gt;G1143,M1143,IF(G1143&gt;F1143,N1143,"Tie"))</f>
        <v>SF</v>
      </c>
      <c r="P1143" s="1" t="n">
        <f aca="false">F1143-G1143</f>
        <v>5</v>
      </c>
      <c r="Q1143" s="1" t="n">
        <f aca="false">F1143+G1143</f>
        <v>39</v>
      </c>
      <c r="R1143" s="1" t="str">
        <f aca="false">IF(H1143=M1143,"Home",IF(H1143=N1143,"Away",IF(H1143="PICK","Pick","N/A")))</f>
        <v>Away</v>
      </c>
      <c r="S1143" s="1" t="n">
        <f aca="false">IF(R1143="Home",P1143,IF(R1143="Away",-P1143,""))</f>
        <v>-5</v>
      </c>
      <c r="T1143" s="1" t="str">
        <f aca="false">IF(R1143="Pick","No Line",IF(S1143="","N/A",IF(S1143+I1143&gt;0,"Favorite Covered",IF(S1143+I1143&lt;0,"Underdog Covered","Push"))))</f>
        <v>Underdog Covered</v>
      </c>
      <c r="U1143" s="1" t="str">
        <f aca="false">IF(Q1143&gt;J1143,"Over",IF(Q1143&lt;J1143,"Under","Push"))</f>
        <v>Under</v>
      </c>
    </row>
    <row r="1144" customFormat="false" ht="15" hidden="false" customHeight="false" outlineLevel="0" collapsed="false">
      <c r="A1144" s="1" t="s">
        <v>417</v>
      </c>
      <c r="B1144" s="1" t="n">
        <v>2014</v>
      </c>
      <c r="C1144" s="1" t="s">
        <v>185</v>
      </c>
      <c r="D1144" s="1" t="s">
        <v>115</v>
      </c>
      <c r="E1144" s="1" t="s">
        <v>67</v>
      </c>
      <c r="F1144" s="1" t="n">
        <v>28</v>
      </c>
      <c r="G1144" s="1" t="n">
        <v>29</v>
      </c>
      <c r="H1144" s="1" t="s">
        <v>116</v>
      </c>
      <c r="I1144" s="1" t="n">
        <v>-1</v>
      </c>
      <c r="J1144" s="1" t="n">
        <v>44</v>
      </c>
      <c r="K1144" s="1" t="s">
        <v>155</v>
      </c>
      <c r="L1144" s="1" t="b">
        <f aca="false">FALSE()</f>
        <v>0</v>
      </c>
      <c r="M1144" s="1" t="str">
        <f aca="false">VLOOKUP(D1144,'Team Reference'!$A:$B,2,FALSE())</f>
        <v>TEN</v>
      </c>
      <c r="N1144" s="1" t="str">
        <f aca="false">VLOOKUP(E1144,'Team Reference'!$A:$B,2,FALSE())</f>
        <v>CLE</v>
      </c>
      <c r="O1144" s="1" t="str">
        <f aca="false">IF(F1144&gt;G1144,M1144,IF(G1144&gt;F1144,N1144,"Tie"))</f>
        <v>CLE</v>
      </c>
      <c r="P1144" s="1" t="n">
        <f aca="false">F1144-G1144</f>
        <v>-1</v>
      </c>
      <c r="Q1144" s="1" t="n">
        <f aca="false">F1144+G1144</f>
        <v>57</v>
      </c>
      <c r="R1144" s="1" t="str">
        <f aca="false">IF(H1144=M1144,"Home",IF(H1144=N1144,"Away",IF(H1144="PICK","Pick","N/A")))</f>
        <v>Home</v>
      </c>
      <c r="S1144" s="1" t="n">
        <f aca="false">IF(R1144="Home",P1144,IF(R1144="Away",-P1144,""))</f>
        <v>-1</v>
      </c>
      <c r="T1144" s="1" t="str">
        <f aca="false">IF(R1144="Pick","No Line",IF(S1144="","N/A",IF(S1144+I1144&gt;0,"Favorite Covered",IF(S1144+I1144&lt;0,"Underdog Covered","Push"))))</f>
        <v>Underdog Covered</v>
      </c>
      <c r="U1144" s="1" t="str">
        <f aca="false">IF(Q1144&gt;J1144,"Over",IF(Q1144&lt;J1144,"Under","Push"))</f>
        <v>Over</v>
      </c>
    </row>
    <row r="1145" customFormat="false" ht="15" hidden="false" customHeight="false" outlineLevel="0" collapsed="false">
      <c r="A1145" s="1" t="s">
        <v>418</v>
      </c>
      <c r="B1145" s="1" t="n">
        <v>2014</v>
      </c>
      <c r="C1145" s="1" t="s">
        <v>185</v>
      </c>
      <c r="D1145" s="1" t="s">
        <v>117</v>
      </c>
      <c r="E1145" s="1" t="s">
        <v>110</v>
      </c>
      <c r="F1145" s="1" t="n">
        <v>17</v>
      </c>
      <c r="G1145" s="1" t="n">
        <v>27</v>
      </c>
      <c r="H1145" s="1" t="s">
        <v>118</v>
      </c>
      <c r="I1145" s="1" t="n">
        <v>-7</v>
      </c>
      <c r="J1145" s="1" t="n">
        <v>46</v>
      </c>
      <c r="K1145" s="1" t="s">
        <v>156</v>
      </c>
      <c r="L1145" s="1" t="b">
        <f aca="false">FALSE()</f>
        <v>0</v>
      </c>
      <c r="M1145" s="1" t="str">
        <f aca="false">VLOOKUP(D1145,'Team Reference'!$A:$B,2,FALSE())</f>
        <v>WAS</v>
      </c>
      <c r="N1145" s="1" t="str">
        <f aca="false">VLOOKUP(E1145,'Team Reference'!$A:$B,2,FALSE())</f>
        <v>SEA</v>
      </c>
      <c r="O1145" s="1" t="str">
        <f aca="false">IF(F1145&gt;G1145,M1145,IF(G1145&gt;F1145,N1145,"Tie"))</f>
        <v>SEA</v>
      </c>
      <c r="P1145" s="1" t="n">
        <f aca="false">F1145-G1145</f>
        <v>-10</v>
      </c>
      <c r="Q1145" s="1" t="n">
        <f aca="false">F1145+G1145</f>
        <v>44</v>
      </c>
      <c r="R1145" s="1" t="str">
        <f aca="false">IF(H1145=M1145,"Home",IF(H1145=N1145,"Away",IF(H1145="PICK","Pick","N/A")))</f>
        <v>Home</v>
      </c>
      <c r="S1145" s="1" t="n">
        <f aca="false">IF(R1145="Home",P1145,IF(R1145="Away",-P1145,""))</f>
        <v>-10</v>
      </c>
      <c r="T1145" s="1" t="str">
        <f aca="false">IF(R1145="Pick","No Line",IF(S1145="","N/A",IF(S1145+I1145&gt;0,"Favorite Covered",IF(S1145+I1145&lt;0,"Underdog Covered","Push"))))</f>
        <v>Underdog Covered</v>
      </c>
      <c r="U1145" s="1" t="str">
        <f aca="false">IF(Q1145&gt;J1145,"Over",IF(Q1145&lt;J1145,"Under","Push"))</f>
        <v>Under</v>
      </c>
    </row>
    <row r="1146" customFormat="false" ht="15" hidden="false" customHeight="false" outlineLevel="0" collapsed="false">
      <c r="A1146" s="1" t="s">
        <v>419</v>
      </c>
      <c r="B1146" s="1" t="n">
        <v>2014</v>
      </c>
      <c r="C1146" s="1" t="s">
        <v>188</v>
      </c>
      <c r="D1146" s="1" t="s">
        <v>77</v>
      </c>
      <c r="E1146" s="1" t="s">
        <v>79</v>
      </c>
      <c r="F1146" s="1" t="n">
        <v>28</v>
      </c>
      <c r="G1146" s="1" t="n">
        <v>33</v>
      </c>
      <c r="H1146" s="1" t="s">
        <v>78</v>
      </c>
      <c r="I1146" s="1" t="n">
        <v>-2.5</v>
      </c>
      <c r="J1146" s="1" t="n">
        <v>46</v>
      </c>
      <c r="K1146" s="1" t="s">
        <v>146</v>
      </c>
      <c r="L1146" s="1" t="b">
        <f aca="false">FALSE()</f>
        <v>0</v>
      </c>
      <c r="M1146" s="1" t="str">
        <f aca="false">VLOOKUP(D1146,'Team Reference'!$A:$B,2,FALSE())</f>
        <v>HOU</v>
      </c>
      <c r="N1146" s="1" t="str">
        <f aca="false">VLOOKUP(E1146,'Team Reference'!$A:$B,2,FALSE())</f>
        <v>IND</v>
      </c>
      <c r="O1146" s="1" t="str">
        <f aca="false">IF(F1146&gt;G1146,M1146,IF(G1146&gt;F1146,N1146,"Tie"))</f>
        <v>IND</v>
      </c>
      <c r="P1146" s="1" t="n">
        <f aca="false">F1146-G1146</f>
        <v>-5</v>
      </c>
      <c r="Q1146" s="1" t="n">
        <f aca="false">F1146+G1146</f>
        <v>61</v>
      </c>
      <c r="R1146" s="1" t="str">
        <f aca="false">IF(H1146=M1146,"Home",IF(H1146=N1146,"Away",IF(H1146="PICK","Pick","N/A")))</f>
        <v>Home</v>
      </c>
      <c r="S1146" s="1" t="n">
        <f aca="false">IF(R1146="Home",P1146,IF(R1146="Away",-P1146,""))</f>
        <v>-5</v>
      </c>
      <c r="T1146" s="1" t="str">
        <f aca="false">IF(R1146="Pick","No Line",IF(S1146="","N/A",IF(S1146+I1146&gt;0,"Favorite Covered",IF(S1146+I1146&lt;0,"Underdog Covered","Push"))))</f>
        <v>Underdog Covered</v>
      </c>
      <c r="U1146" s="1" t="str">
        <f aca="false">IF(Q1146&gt;J1146,"Over",IF(Q1146&lt;J1146,"Under","Push"))</f>
        <v>Over</v>
      </c>
    </row>
    <row r="1147" customFormat="false" ht="15" hidden="false" customHeight="false" outlineLevel="0" collapsed="false">
      <c r="A1147" s="1" t="s">
        <v>420</v>
      </c>
      <c r="B1147" s="1" t="n">
        <v>2014</v>
      </c>
      <c r="C1147" s="1" t="s">
        <v>188</v>
      </c>
      <c r="D1147" s="1" t="s">
        <v>53</v>
      </c>
      <c r="E1147" s="1" t="s">
        <v>117</v>
      </c>
      <c r="F1147" s="1" t="n">
        <v>30</v>
      </c>
      <c r="G1147" s="1" t="n">
        <v>20</v>
      </c>
      <c r="H1147" s="1" t="s">
        <v>118</v>
      </c>
      <c r="I1147" s="1" t="n">
        <v>-5.5</v>
      </c>
      <c r="J1147" s="1" t="n">
        <v>46.5</v>
      </c>
      <c r="K1147" s="1" t="s">
        <v>177</v>
      </c>
      <c r="L1147" s="1" t="b">
        <f aca="false">FALSE()</f>
        <v>0</v>
      </c>
      <c r="M1147" s="1" t="str">
        <f aca="false">VLOOKUP(D1147,'Team Reference'!$A:$B,2,FALSE())</f>
        <v>ARI</v>
      </c>
      <c r="N1147" s="1" t="str">
        <f aca="false">VLOOKUP(E1147,'Team Reference'!$A:$B,2,FALSE())</f>
        <v>WAS</v>
      </c>
      <c r="O1147" s="1" t="str">
        <f aca="false">IF(F1147&gt;G1147,M1147,IF(G1147&gt;F1147,N1147,"Tie"))</f>
        <v>ARI</v>
      </c>
      <c r="P1147" s="1" t="n">
        <f aca="false">F1147-G1147</f>
        <v>10</v>
      </c>
      <c r="Q1147" s="1" t="n">
        <f aca="false">F1147+G1147</f>
        <v>50</v>
      </c>
      <c r="R1147" s="1" t="str">
        <f aca="false">IF(H1147=M1147,"Home",IF(H1147=N1147,"Away",IF(H1147="PICK","Pick","N/A")))</f>
        <v>Away</v>
      </c>
      <c r="S1147" s="1" t="n">
        <f aca="false">IF(R1147="Home",P1147,IF(R1147="Away",-P1147,""))</f>
        <v>-10</v>
      </c>
      <c r="T1147" s="1" t="str">
        <f aca="false">IF(R1147="Pick","No Line",IF(S1147="","N/A",IF(S1147+I1147&gt;0,"Favorite Covered",IF(S1147+I1147&lt;0,"Underdog Covered","Push"))))</f>
        <v>Underdog Covered</v>
      </c>
      <c r="U1147" s="1" t="str">
        <f aca="false">IF(Q1147&gt;J1147,"Over",IF(Q1147&lt;J1147,"Under","Push"))</f>
        <v>Over</v>
      </c>
    </row>
    <row r="1148" customFormat="false" ht="15" hidden="false" customHeight="false" outlineLevel="0" collapsed="false">
      <c r="A1148" s="1" t="s">
        <v>420</v>
      </c>
      <c r="B1148" s="1" t="n">
        <v>2014</v>
      </c>
      <c r="C1148" s="1" t="s">
        <v>188</v>
      </c>
      <c r="D1148" s="1" t="s">
        <v>55</v>
      </c>
      <c r="E1148" s="1" t="s">
        <v>63</v>
      </c>
      <c r="F1148" s="1" t="n">
        <v>13</v>
      </c>
      <c r="G1148" s="1" t="n">
        <v>27</v>
      </c>
      <c r="H1148" s="1" t="s">
        <v>64</v>
      </c>
      <c r="I1148" s="1" t="n">
        <v>-3.5</v>
      </c>
      <c r="J1148" s="1" t="n">
        <v>56</v>
      </c>
      <c r="K1148" s="1" t="s">
        <v>161</v>
      </c>
      <c r="L1148" s="1" t="b">
        <f aca="false">FALSE()</f>
        <v>0</v>
      </c>
      <c r="M1148" s="1" t="str">
        <f aca="false">VLOOKUP(D1148,'Team Reference'!$A:$B,2,FALSE())</f>
        <v>ATL</v>
      </c>
      <c r="N1148" s="1" t="str">
        <f aca="false">VLOOKUP(E1148,'Team Reference'!$A:$B,2,FALSE())</f>
        <v>CHI</v>
      </c>
      <c r="O1148" s="1" t="str">
        <f aca="false">IF(F1148&gt;G1148,M1148,IF(G1148&gt;F1148,N1148,"Tie"))</f>
        <v>CHI</v>
      </c>
      <c r="P1148" s="1" t="n">
        <f aca="false">F1148-G1148</f>
        <v>-14</v>
      </c>
      <c r="Q1148" s="1" t="n">
        <f aca="false">F1148+G1148</f>
        <v>40</v>
      </c>
      <c r="R1148" s="1" t="str">
        <f aca="false">IF(H1148=M1148,"Home",IF(H1148=N1148,"Away",IF(H1148="PICK","Pick","N/A")))</f>
        <v>Away</v>
      </c>
      <c r="S1148" s="1" t="n">
        <f aca="false">IF(R1148="Home",P1148,IF(R1148="Away",-P1148,""))</f>
        <v>14</v>
      </c>
      <c r="T1148" s="1" t="str">
        <f aca="false">IF(R1148="Pick","No Line",IF(S1148="","N/A",IF(S1148+I1148&gt;0,"Favorite Covered",IF(S1148+I1148&lt;0,"Underdog Covered","Push"))))</f>
        <v>Favorite Covered</v>
      </c>
      <c r="U1148" s="1" t="str">
        <f aca="false">IF(Q1148&gt;J1148,"Over",IF(Q1148&lt;J1148,"Under","Push"))</f>
        <v>Under</v>
      </c>
    </row>
    <row r="1149" customFormat="false" ht="15" hidden="false" customHeight="false" outlineLevel="0" collapsed="false">
      <c r="A1149" s="1" t="s">
        <v>420</v>
      </c>
      <c r="B1149" s="1" t="n">
        <v>2014</v>
      </c>
      <c r="C1149" s="1" t="s">
        <v>188</v>
      </c>
      <c r="D1149" s="1" t="s">
        <v>59</v>
      </c>
      <c r="E1149" s="1" t="s">
        <v>93</v>
      </c>
      <c r="F1149" s="1" t="n">
        <v>22</v>
      </c>
      <c r="G1149" s="1" t="n">
        <v>37</v>
      </c>
      <c r="H1149" s="1" t="s">
        <v>200</v>
      </c>
      <c r="I1149" s="1" t="n">
        <v>0</v>
      </c>
      <c r="J1149" s="1" t="n">
        <v>44.5</v>
      </c>
      <c r="K1149" s="1" t="s">
        <v>144</v>
      </c>
      <c r="L1149" s="1" t="b">
        <f aca="false">FALSE()</f>
        <v>0</v>
      </c>
      <c r="M1149" s="1" t="str">
        <f aca="false">VLOOKUP(D1149,'Team Reference'!$A:$B,2,FALSE())</f>
        <v>BUF</v>
      </c>
      <c r="N1149" s="1" t="str">
        <f aca="false">VLOOKUP(E1149,'Team Reference'!$A:$B,2,FALSE())</f>
        <v>NE</v>
      </c>
      <c r="O1149" s="1" t="str">
        <f aca="false">IF(F1149&gt;G1149,M1149,IF(G1149&gt;F1149,N1149,"Tie"))</f>
        <v>NE</v>
      </c>
      <c r="P1149" s="1" t="n">
        <f aca="false">F1149-G1149</f>
        <v>-15</v>
      </c>
      <c r="Q1149" s="1" t="n">
        <f aca="false">F1149+G1149</f>
        <v>59</v>
      </c>
      <c r="R1149" s="1" t="str">
        <f aca="false">IF(H1149=M1149,"Home",IF(H1149=N1149,"Away",IF(H1149="PICK","Pick","N/A")))</f>
        <v>Pick</v>
      </c>
      <c r="S1149" s="1" t="str">
        <f aca="false">IF(R1149="Home",P1149,IF(R1149="Away",-P1149,""))</f>
        <v/>
      </c>
      <c r="T1149" s="1" t="str">
        <f aca="false">IF(R1149="Pick","No Line",IF(S1149="","N/A",IF(S1149+I1149&gt;0,"Favorite Covered",IF(S1149+I1149&lt;0,"Underdog Covered","Push"))))</f>
        <v>No Line</v>
      </c>
      <c r="U1149" s="1" t="str">
        <f aca="false">IF(Q1149&gt;J1149,"Over",IF(Q1149&lt;J1149,"Under","Push"))</f>
        <v>Over</v>
      </c>
    </row>
    <row r="1150" customFormat="false" ht="15" hidden="false" customHeight="false" outlineLevel="0" collapsed="false">
      <c r="A1150" s="1" t="s">
        <v>420</v>
      </c>
      <c r="B1150" s="1" t="n">
        <v>2014</v>
      </c>
      <c r="C1150" s="1" t="s">
        <v>188</v>
      </c>
      <c r="D1150" s="1" t="s">
        <v>65</v>
      </c>
      <c r="E1150" s="1" t="s">
        <v>61</v>
      </c>
      <c r="F1150" s="1" t="n">
        <v>37</v>
      </c>
      <c r="G1150" s="1" t="n">
        <v>37</v>
      </c>
      <c r="H1150" s="1" t="s">
        <v>62</v>
      </c>
      <c r="I1150" s="1" t="n">
        <v>-7</v>
      </c>
      <c r="J1150" s="1" t="n">
        <v>44</v>
      </c>
      <c r="K1150" s="1" t="s">
        <v>163</v>
      </c>
      <c r="L1150" s="1" t="b">
        <f aca="false">FALSE()</f>
        <v>0</v>
      </c>
      <c r="M1150" s="1" t="str">
        <f aca="false">VLOOKUP(D1150,'Team Reference'!$A:$B,2,FALSE())</f>
        <v>CIN</v>
      </c>
      <c r="N1150" s="1" t="str">
        <f aca="false">VLOOKUP(E1150,'Team Reference'!$A:$B,2,FALSE())</f>
        <v>CAR</v>
      </c>
      <c r="O1150" s="1" t="str">
        <f aca="false">IF(F1150&gt;G1150,M1150,IF(G1150&gt;F1150,N1150,"Tie"))</f>
        <v>Tie</v>
      </c>
      <c r="P1150" s="1" t="n">
        <f aca="false">F1150-G1150</f>
        <v>0</v>
      </c>
      <c r="Q1150" s="1" t="n">
        <f aca="false">F1150+G1150</f>
        <v>74</v>
      </c>
      <c r="R1150" s="1" t="str">
        <f aca="false">IF(H1150=M1150,"Home",IF(H1150=N1150,"Away",IF(H1150="PICK","Pick","N/A")))</f>
        <v>Away</v>
      </c>
      <c r="S1150" s="1" t="n">
        <f aca="false">IF(R1150="Home",P1150,IF(R1150="Away",-P1150,""))</f>
        <v>-0</v>
      </c>
      <c r="T1150" s="1" t="str">
        <f aca="false">IF(R1150="Pick","No Line",IF(S1150="","N/A",IF(S1150+I1150&gt;0,"Favorite Covered",IF(S1150+I1150&lt;0,"Underdog Covered","Push"))))</f>
        <v>Underdog Covered</v>
      </c>
      <c r="U1150" s="1" t="str">
        <f aca="false">IF(Q1150&gt;J1150,"Over",IF(Q1150&lt;J1150,"Under","Push"))</f>
        <v>Over</v>
      </c>
    </row>
    <row r="1151" customFormat="false" ht="15" hidden="false" customHeight="false" outlineLevel="0" collapsed="false">
      <c r="A1151" s="1" t="s">
        <v>420</v>
      </c>
      <c r="B1151" s="1" t="n">
        <v>2014</v>
      </c>
      <c r="C1151" s="1" t="s">
        <v>188</v>
      </c>
      <c r="D1151" s="1" t="s">
        <v>67</v>
      </c>
      <c r="E1151" s="1" t="s">
        <v>105</v>
      </c>
      <c r="F1151" s="1" t="n">
        <v>31</v>
      </c>
      <c r="G1151" s="1" t="n">
        <v>10</v>
      </c>
      <c r="H1151" s="1" t="s">
        <v>106</v>
      </c>
      <c r="I1151" s="1" t="n">
        <v>-2</v>
      </c>
      <c r="J1151" s="1" t="n">
        <v>46.5</v>
      </c>
      <c r="K1151" s="1" t="s">
        <v>164</v>
      </c>
      <c r="L1151" s="1" t="b">
        <f aca="false">FALSE()</f>
        <v>0</v>
      </c>
      <c r="M1151" s="1" t="str">
        <f aca="false">VLOOKUP(D1151,'Team Reference'!$A:$B,2,FALSE())</f>
        <v>CLE</v>
      </c>
      <c r="N1151" s="1" t="str">
        <f aca="false">VLOOKUP(E1151,'Team Reference'!$A:$B,2,FALSE())</f>
        <v>PIT</v>
      </c>
      <c r="O1151" s="1" t="str">
        <f aca="false">IF(F1151&gt;G1151,M1151,IF(G1151&gt;F1151,N1151,"Tie"))</f>
        <v>CLE</v>
      </c>
      <c r="P1151" s="1" t="n">
        <f aca="false">F1151-G1151</f>
        <v>21</v>
      </c>
      <c r="Q1151" s="1" t="n">
        <f aca="false">F1151+G1151</f>
        <v>41</v>
      </c>
      <c r="R1151" s="1" t="str">
        <f aca="false">IF(H1151=M1151,"Home",IF(H1151=N1151,"Away",IF(H1151="PICK","Pick","N/A")))</f>
        <v>Away</v>
      </c>
      <c r="S1151" s="1" t="n">
        <f aca="false">IF(R1151="Home",P1151,IF(R1151="Away",-P1151,""))</f>
        <v>-21</v>
      </c>
      <c r="T1151" s="1" t="str">
        <f aca="false">IF(R1151="Pick","No Line",IF(S1151="","N/A",IF(S1151+I1151&gt;0,"Favorite Covered",IF(S1151+I1151&lt;0,"Underdog Covered","Push"))))</f>
        <v>Underdog Covered</v>
      </c>
      <c r="U1151" s="1" t="str">
        <f aca="false">IF(Q1151&gt;J1151,"Over",IF(Q1151&lt;J1151,"Under","Push"))</f>
        <v>Under</v>
      </c>
    </row>
    <row r="1152" customFormat="false" ht="15" hidden="false" customHeight="false" outlineLevel="0" collapsed="false">
      <c r="A1152" s="1" t="s">
        <v>420</v>
      </c>
      <c r="B1152" s="1" t="n">
        <v>2014</v>
      </c>
      <c r="C1152" s="1" t="s">
        <v>188</v>
      </c>
      <c r="D1152" s="1" t="s">
        <v>89</v>
      </c>
      <c r="E1152" s="1" t="s">
        <v>75</v>
      </c>
      <c r="F1152" s="1" t="n">
        <v>24</v>
      </c>
      <c r="G1152" s="1" t="n">
        <v>27</v>
      </c>
      <c r="H1152" s="1" t="s">
        <v>90</v>
      </c>
      <c r="I1152" s="1" t="n">
        <v>-2</v>
      </c>
      <c r="J1152" s="1" t="n">
        <v>47</v>
      </c>
      <c r="K1152" s="1" t="s">
        <v>179</v>
      </c>
      <c r="L1152" s="1" t="b">
        <f aca="false">FALSE()</f>
        <v>0</v>
      </c>
      <c r="M1152" s="1" t="str">
        <f aca="false">VLOOKUP(D1152,'Team Reference'!$A:$B,2,FALSE())</f>
        <v>MIA</v>
      </c>
      <c r="N1152" s="1" t="str">
        <f aca="false">VLOOKUP(E1152,'Team Reference'!$A:$B,2,FALSE())</f>
        <v>GB</v>
      </c>
      <c r="O1152" s="1" t="str">
        <f aca="false">IF(F1152&gt;G1152,M1152,IF(G1152&gt;F1152,N1152,"Tie"))</f>
        <v>GB</v>
      </c>
      <c r="P1152" s="1" t="n">
        <f aca="false">F1152-G1152</f>
        <v>-3</v>
      </c>
      <c r="Q1152" s="1" t="n">
        <f aca="false">F1152+G1152</f>
        <v>51</v>
      </c>
      <c r="R1152" s="1" t="str">
        <f aca="false">IF(H1152=M1152,"Home",IF(H1152=N1152,"Away",IF(H1152="PICK","Pick","N/A")))</f>
        <v>Home</v>
      </c>
      <c r="S1152" s="1" t="n">
        <f aca="false">IF(R1152="Home",P1152,IF(R1152="Away",-P1152,""))</f>
        <v>-3</v>
      </c>
      <c r="T1152" s="1" t="str">
        <f aca="false">IF(R1152="Pick","No Line",IF(S1152="","N/A",IF(S1152+I1152&gt;0,"Favorite Covered",IF(S1152+I1152&lt;0,"Underdog Covered","Push"))))</f>
        <v>Underdog Covered</v>
      </c>
      <c r="U1152" s="1" t="str">
        <f aca="false">IF(Q1152&gt;J1152,"Over",IF(Q1152&lt;J1152,"Under","Push"))</f>
        <v>Over</v>
      </c>
    </row>
    <row r="1153" customFormat="false" ht="15" hidden="false" customHeight="false" outlineLevel="0" collapsed="false">
      <c r="A1153" s="1" t="s">
        <v>420</v>
      </c>
      <c r="B1153" s="1" t="n">
        <v>2014</v>
      </c>
      <c r="C1153" s="1" t="s">
        <v>188</v>
      </c>
      <c r="D1153" s="1" t="s">
        <v>91</v>
      </c>
      <c r="E1153" s="1" t="s">
        <v>73</v>
      </c>
      <c r="F1153" s="1" t="n">
        <v>3</v>
      </c>
      <c r="G1153" s="1" t="n">
        <v>17</v>
      </c>
      <c r="H1153" s="1" t="s">
        <v>74</v>
      </c>
      <c r="I1153" s="1" t="n">
        <v>-1.5</v>
      </c>
      <c r="J1153" s="1" t="n">
        <v>43</v>
      </c>
      <c r="K1153" s="1" t="s">
        <v>407</v>
      </c>
      <c r="L1153" s="1" t="b">
        <f aca="false">FALSE()</f>
        <v>0</v>
      </c>
      <c r="M1153" s="1" t="str">
        <f aca="false">VLOOKUP(D1153,'Team Reference'!$A:$B,2,FALSE())</f>
        <v>MIN</v>
      </c>
      <c r="N1153" s="1" t="str">
        <f aca="false">VLOOKUP(E1153,'Team Reference'!$A:$B,2,FALSE())</f>
        <v>DET</v>
      </c>
      <c r="O1153" s="1" t="str">
        <f aca="false">IF(F1153&gt;G1153,M1153,IF(G1153&gt;F1153,N1153,"Tie"))</f>
        <v>DET</v>
      </c>
      <c r="P1153" s="1" t="n">
        <f aca="false">F1153-G1153</f>
        <v>-14</v>
      </c>
      <c r="Q1153" s="1" t="n">
        <f aca="false">F1153+G1153</f>
        <v>20</v>
      </c>
      <c r="R1153" s="1" t="str">
        <f aca="false">IF(H1153=M1153,"Home",IF(H1153=N1153,"Away",IF(H1153="PICK","Pick","N/A")))</f>
        <v>Away</v>
      </c>
      <c r="S1153" s="1" t="n">
        <f aca="false">IF(R1153="Home",P1153,IF(R1153="Away",-P1153,""))</f>
        <v>14</v>
      </c>
      <c r="T1153" s="1" t="str">
        <f aca="false">IF(R1153="Pick","No Line",IF(S1153="","N/A",IF(S1153+I1153&gt;0,"Favorite Covered",IF(S1153+I1153&lt;0,"Underdog Covered","Push"))))</f>
        <v>Favorite Covered</v>
      </c>
      <c r="U1153" s="1" t="str">
        <f aca="false">IF(Q1153&gt;J1153,"Over",IF(Q1153&lt;J1153,"Under","Push"))</f>
        <v>Under</v>
      </c>
    </row>
    <row r="1154" customFormat="false" ht="15" hidden="false" customHeight="false" outlineLevel="0" collapsed="false">
      <c r="A1154" s="1" t="s">
        <v>420</v>
      </c>
      <c r="B1154" s="1" t="n">
        <v>2014</v>
      </c>
      <c r="C1154" s="1" t="s">
        <v>188</v>
      </c>
      <c r="D1154" s="1" t="s">
        <v>99</v>
      </c>
      <c r="E1154" s="1" t="s">
        <v>71</v>
      </c>
      <c r="F1154" s="1" t="n">
        <v>17</v>
      </c>
      <c r="G1154" s="1" t="n">
        <v>31</v>
      </c>
      <c r="H1154" s="1" t="s">
        <v>100</v>
      </c>
      <c r="I1154" s="1" t="n">
        <v>-10</v>
      </c>
      <c r="J1154" s="1" t="n">
        <v>47.5</v>
      </c>
      <c r="K1154" s="1" t="s">
        <v>149</v>
      </c>
      <c r="L1154" s="1" t="b">
        <f aca="false">FALSE()</f>
        <v>0</v>
      </c>
      <c r="M1154" s="1" t="str">
        <f aca="false">VLOOKUP(D1154,'Team Reference'!$A:$B,2,FALSE())</f>
        <v>NYJ</v>
      </c>
      <c r="N1154" s="1" t="str">
        <f aca="false">VLOOKUP(E1154,'Team Reference'!$A:$B,2,FALSE())</f>
        <v>DEN</v>
      </c>
      <c r="O1154" s="1" t="str">
        <f aca="false">IF(F1154&gt;G1154,M1154,IF(G1154&gt;F1154,N1154,"Tie"))</f>
        <v>DEN</v>
      </c>
      <c r="P1154" s="1" t="n">
        <f aca="false">F1154-G1154</f>
        <v>-14</v>
      </c>
      <c r="Q1154" s="1" t="n">
        <f aca="false">F1154+G1154</f>
        <v>48</v>
      </c>
      <c r="R1154" s="1" t="str">
        <f aca="false">IF(H1154=M1154,"Home",IF(H1154=N1154,"Away",IF(H1154="PICK","Pick","N/A")))</f>
        <v>Home</v>
      </c>
      <c r="S1154" s="1" t="n">
        <f aca="false">IF(R1154="Home",P1154,IF(R1154="Away",-P1154,""))</f>
        <v>-14</v>
      </c>
      <c r="T1154" s="1" t="str">
        <f aca="false">IF(R1154="Pick","No Line",IF(S1154="","N/A",IF(S1154+I1154&gt;0,"Favorite Covered",IF(S1154+I1154&lt;0,"Underdog Covered","Push"))))</f>
        <v>Underdog Covered</v>
      </c>
      <c r="U1154" s="1" t="str">
        <f aca="false">IF(Q1154&gt;J1154,"Over",IF(Q1154&lt;J1154,"Under","Push"))</f>
        <v>Over</v>
      </c>
    </row>
    <row r="1155" customFormat="false" ht="15" hidden="false" customHeight="false" outlineLevel="0" collapsed="false">
      <c r="A1155" s="1" t="s">
        <v>420</v>
      </c>
      <c r="B1155" s="1" t="n">
        <v>2014</v>
      </c>
      <c r="C1155" s="1" t="s">
        <v>188</v>
      </c>
      <c r="D1155" s="1" t="s">
        <v>101</v>
      </c>
      <c r="E1155" s="1" t="s">
        <v>107</v>
      </c>
      <c r="F1155" s="1" t="n">
        <v>28</v>
      </c>
      <c r="G1155" s="1" t="n">
        <v>31</v>
      </c>
      <c r="H1155" s="1" t="s">
        <v>102</v>
      </c>
      <c r="I1155" s="1" t="n">
        <v>-7.5</v>
      </c>
      <c r="J1155" s="1" t="n">
        <v>44</v>
      </c>
      <c r="K1155" s="1" t="s">
        <v>171</v>
      </c>
      <c r="L1155" s="1" t="b">
        <f aca="false">FALSE()</f>
        <v>0</v>
      </c>
      <c r="M1155" s="1" t="str">
        <f aca="false">VLOOKUP(D1155,'Team Reference'!$A:$B,2,FALSE())</f>
        <v>OAK</v>
      </c>
      <c r="N1155" s="1" t="str">
        <f aca="false">VLOOKUP(E1155,'Team Reference'!$A:$B,2,FALSE())</f>
        <v>LAC</v>
      </c>
      <c r="O1155" s="1" t="str">
        <f aca="false">IF(F1155&gt;G1155,M1155,IF(G1155&gt;F1155,N1155,"Tie"))</f>
        <v>LAC</v>
      </c>
      <c r="P1155" s="1" t="n">
        <f aca="false">F1155-G1155</f>
        <v>-3</v>
      </c>
      <c r="Q1155" s="1" t="n">
        <f aca="false">F1155+G1155</f>
        <v>59</v>
      </c>
      <c r="R1155" s="1" t="str">
        <f aca="false">IF(H1155=M1155,"Home",IF(H1155=N1155,"Away",IF(H1155="PICK","Pick","N/A")))</f>
        <v>Home</v>
      </c>
      <c r="S1155" s="1" t="n">
        <f aca="false">IF(R1155="Home",P1155,IF(R1155="Away",-P1155,""))</f>
        <v>-3</v>
      </c>
      <c r="T1155" s="1" t="str">
        <f aca="false">IF(R1155="Pick","No Line",IF(S1155="","N/A",IF(S1155+I1155&gt;0,"Favorite Covered",IF(S1155+I1155&lt;0,"Underdog Covered","Push"))))</f>
        <v>Underdog Covered</v>
      </c>
      <c r="U1155" s="1" t="str">
        <f aca="false">IF(Q1155&gt;J1155,"Over",IF(Q1155&lt;J1155,"Under","Push"))</f>
        <v>Over</v>
      </c>
    </row>
    <row r="1156" customFormat="false" ht="15" hidden="false" customHeight="false" outlineLevel="0" collapsed="false">
      <c r="A1156" s="1" t="s">
        <v>420</v>
      </c>
      <c r="B1156" s="1" t="n">
        <v>2014</v>
      </c>
      <c r="C1156" s="1" t="s">
        <v>188</v>
      </c>
      <c r="D1156" s="1" t="s">
        <v>103</v>
      </c>
      <c r="E1156" s="1" t="s">
        <v>97</v>
      </c>
      <c r="F1156" s="1" t="n">
        <v>27</v>
      </c>
      <c r="G1156" s="1" t="n">
        <v>0</v>
      </c>
      <c r="H1156" s="1" t="s">
        <v>98</v>
      </c>
      <c r="I1156" s="1" t="n">
        <v>-1.5</v>
      </c>
      <c r="J1156" s="1" t="n">
        <v>51</v>
      </c>
      <c r="K1156" s="1" t="s">
        <v>150</v>
      </c>
      <c r="L1156" s="1" t="b">
        <f aca="false">FALSE()</f>
        <v>0</v>
      </c>
      <c r="M1156" s="1" t="str">
        <f aca="false">VLOOKUP(D1156,'Team Reference'!$A:$B,2,FALSE())</f>
        <v>PHI</v>
      </c>
      <c r="N1156" s="1" t="str">
        <f aca="false">VLOOKUP(E1156,'Team Reference'!$A:$B,2,FALSE())</f>
        <v>NYG</v>
      </c>
      <c r="O1156" s="1" t="str">
        <f aca="false">IF(F1156&gt;G1156,M1156,IF(G1156&gt;F1156,N1156,"Tie"))</f>
        <v>PHI</v>
      </c>
      <c r="P1156" s="1" t="n">
        <f aca="false">F1156-G1156</f>
        <v>27</v>
      </c>
      <c r="Q1156" s="1" t="n">
        <f aca="false">F1156+G1156</f>
        <v>27</v>
      </c>
      <c r="R1156" s="1" t="str">
        <f aca="false">IF(H1156=M1156,"Home",IF(H1156=N1156,"Away",IF(H1156="PICK","Pick","N/A")))</f>
        <v>Away</v>
      </c>
      <c r="S1156" s="1" t="n">
        <f aca="false">IF(R1156="Home",P1156,IF(R1156="Away",-P1156,""))</f>
        <v>-27</v>
      </c>
      <c r="T1156" s="1" t="str">
        <f aca="false">IF(R1156="Pick","No Line",IF(S1156="","N/A",IF(S1156+I1156&gt;0,"Favorite Covered",IF(S1156+I1156&lt;0,"Underdog Covered","Push"))))</f>
        <v>Underdog Covered</v>
      </c>
      <c r="U1156" s="1" t="str">
        <f aca="false">IF(Q1156&gt;J1156,"Over",IF(Q1156&lt;J1156,"Under","Push"))</f>
        <v>Under</v>
      </c>
    </row>
    <row r="1157" customFormat="false" ht="15" hidden="false" customHeight="false" outlineLevel="0" collapsed="false">
      <c r="A1157" s="1" t="s">
        <v>420</v>
      </c>
      <c r="B1157" s="1" t="n">
        <v>2014</v>
      </c>
      <c r="C1157" s="1" t="s">
        <v>188</v>
      </c>
      <c r="D1157" s="1" t="s">
        <v>110</v>
      </c>
      <c r="E1157" s="1" t="s">
        <v>69</v>
      </c>
      <c r="F1157" s="1" t="n">
        <v>23</v>
      </c>
      <c r="G1157" s="1" t="n">
        <v>30</v>
      </c>
      <c r="H1157" s="1" t="s">
        <v>70</v>
      </c>
      <c r="I1157" s="1" t="n">
        <v>-9.5</v>
      </c>
      <c r="J1157" s="1" t="n">
        <v>47</v>
      </c>
      <c r="K1157" s="1" t="s">
        <v>152</v>
      </c>
      <c r="L1157" s="1" t="b">
        <f aca="false">FALSE()</f>
        <v>0</v>
      </c>
      <c r="M1157" s="1" t="str">
        <f aca="false">VLOOKUP(D1157,'Team Reference'!$A:$B,2,FALSE())</f>
        <v>SEA</v>
      </c>
      <c r="N1157" s="1" t="str">
        <f aca="false">VLOOKUP(E1157,'Team Reference'!$A:$B,2,FALSE())</f>
        <v>DAL</v>
      </c>
      <c r="O1157" s="1" t="str">
        <f aca="false">IF(F1157&gt;G1157,M1157,IF(G1157&gt;F1157,N1157,"Tie"))</f>
        <v>DAL</v>
      </c>
      <c r="P1157" s="1" t="n">
        <f aca="false">F1157-G1157</f>
        <v>-7</v>
      </c>
      <c r="Q1157" s="1" t="n">
        <f aca="false">F1157+G1157</f>
        <v>53</v>
      </c>
      <c r="R1157" s="1" t="str">
        <f aca="false">IF(H1157=M1157,"Home",IF(H1157=N1157,"Away",IF(H1157="PICK","Pick","N/A")))</f>
        <v>Away</v>
      </c>
      <c r="S1157" s="1" t="n">
        <f aca="false">IF(R1157="Home",P1157,IF(R1157="Away",-P1157,""))</f>
        <v>7</v>
      </c>
      <c r="T1157" s="1" t="str">
        <f aca="false">IF(R1157="Pick","No Line",IF(S1157="","N/A",IF(S1157+I1157&gt;0,"Favorite Covered",IF(S1157+I1157&lt;0,"Underdog Covered","Push"))))</f>
        <v>Underdog Covered</v>
      </c>
      <c r="U1157" s="1" t="str">
        <f aca="false">IF(Q1157&gt;J1157,"Over",IF(Q1157&lt;J1157,"Under","Push"))</f>
        <v>Over</v>
      </c>
    </row>
    <row r="1158" customFormat="false" ht="15" hidden="false" customHeight="false" outlineLevel="0" collapsed="false">
      <c r="A1158" s="1" t="s">
        <v>420</v>
      </c>
      <c r="B1158" s="1" t="n">
        <v>2014</v>
      </c>
      <c r="C1158" s="1" t="s">
        <v>188</v>
      </c>
      <c r="D1158" s="1" t="s">
        <v>113</v>
      </c>
      <c r="E1158" s="1" t="s">
        <v>57</v>
      </c>
      <c r="F1158" s="1" t="n">
        <v>17</v>
      </c>
      <c r="G1158" s="1" t="n">
        <v>48</v>
      </c>
      <c r="H1158" s="1" t="s">
        <v>114</v>
      </c>
      <c r="I1158" s="1" t="n">
        <v>-3.5</v>
      </c>
      <c r="J1158" s="1" t="n">
        <v>44.5</v>
      </c>
      <c r="K1158" s="1" t="s">
        <v>154</v>
      </c>
      <c r="L1158" s="1" t="b">
        <f aca="false">FALSE()</f>
        <v>0</v>
      </c>
      <c r="M1158" s="1" t="str">
        <f aca="false">VLOOKUP(D1158,'Team Reference'!$A:$B,2,FALSE())</f>
        <v>TB</v>
      </c>
      <c r="N1158" s="1" t="str">
        <f aca="false">VLOOKUP(E1158,'Team Reference'!$A:$B,2,FALSE())</f>
        <v>BAL</v>
      </c>
      <c r="O1158" s="1" t="str">
        <f aca="false">IF(F1158&gt;G1158,M1158,IF(G1158&gt;F1158,N1158,"Tie"))</f>
        <v>BAL</v>
      </c>
      <c r="P1158" s="1" t="n">
        <f aca="false">F1158-G1158</f>
        <v>-31</v>
      </c>
      <c r="Q1158" s="1" t="n">
        <f aca="false">F1158+G1158</f>
        <v>65</v>
      </c>
      <c r="R1158" s="1" t="str">
        <f aca="false">IF(H1158=M1158,"Home",IF(H1158=N1158,"Away",IF(H1158="PICK","Pick","N/A")))</f>
        <v>Home</v>
      </c>
      <c r="S1158" s="1" t="n">
        <f aca="false">IF(R1158="Home",P1158,IF(R1158="Away",-P1158,""))</f>
        <v>-31</v>
      </c>
      <c r="T1158" s="1" t="str">
        <f aca="false">IF(R1158="Pick","No Line",IF(S1158="","N/A",IF(S1158+I1158&gt;0,"Favorite Covered",IF(S1158+I1158&lt;0,"Underdog Covered","Push"))))</f>
        <v>Underdog Covered</v>
      </c>
      <c r="U1158" s="1" t="str">
        <f aca="false">IF(Q1158&gt;J1158,"Over",IF(Q1158&lt;J1158,"Under","Push"))</f>
        <v>Over</v>
      </c>
    </row>
    <row r="1159" customFormat="false" ht="15" hidden="false" customHeight="false" outlineLevel="0" collapsed="false">
      <c r="A1159" s="1" t="s">
        <v>420</v>
      </c>
      <c r="B1159" s="1" t="n">
        <v>2014</v>
      </c>
      <c r="C1159" s="1" t="s">
        <v>188</v>
      </c>
      <c r="D1159" s="1" t="s">
        <v>115</v>
      </c>
      <c r="E1159" s="1" t="s">
        <v>81</v>
      </c>
      <c r="F1159" s="1" t="n">
        <v>16</v>
      </c>
      <c r="G1159" s="1" t="n">
        <v>14</v>
      </c>
      <c r="H1159" s="1" t="s">
        <v>82</v>
      </c>
      <c r="I1159" s="1" t="n">
        <v>-4</v>
      </c>
      <c r="J1159" s="1" t="n">
        <v>42.5</v>
      </c>
      <c r="K1159" s="1" t="s">
        <v>155</v>
      </c>
      <c r="L1159" s="1" t="b">
        <f aca="false">FALSE()</f>
        <v>0</v>
      </c>
      <c r="M1159" s="1" t="str">
        <f aca="false">VLOOKUP(D1159,'Team Reference'!$A:$B,2,FALSE())</f>
        <v>TEN</v>
      </c>
      <c r="N1159" s="1" t="str">
        <f aca="false">VLOOKUP(E1159,'Team Reference'!$A:$B,2,FALSE())</f>
        <v>JAX</v>
      </c>
      <c r="O1159" s="1" t="str">
        <f aca="false">IF(F1159&gt;G1159,M1159,IF(G1159&gt;F1159,N1159,"Tie"))</f>
        <v>TEN</v>
      </c>
      <c r="P1159" s="1" t="n">
        <f aca="false">F1159-G1159</f>
        <v>2</v>
      </c>
      <c r="Q1159" s="1" t="n">
        <f aca="false">F1159+G1159</f>
        <v>30</v>
      </c>
      <c r="R1159" s="1" t="str">
        <f aca="false">IF(H1159=M1159,"Home",IF(H1159=N1159,"Away",IF(H1159="PICK","Pick","N/A")))</f>
        <v>Away</v>
      </c>
      <c r="S1159" s="1" t="n">
        <f aca="false">IF(R1159="Home",P1159,IF(R1159="Away",-P1159,""))</f>
        <v>-2</v>
      </c>
      <c r="T1159" s="1" t="str">
        <f aca="false">IF(R1159="Pick","No Line",IF(S1159="","N/A",IF(S1159+I1159&gt;0,"Favorite Covered",IF(S1159+I1159&lt;0,"Underdog Covered","Push"))))</f>
        <v>Underdog Covered</v>
      </c>
      <c r="U1159" s="1" t="str">
        <f aca="false">IF(Q1159&gt;J1159,"Over",IF(Q1159&lt;J1159,"Under","Push"))</f>
        <v>Under</v>
      </c>
    </row>
    <row r="1160" customFormat="false" ht="15" hidden="false" customHeight="false" outlineLevel="0" collapsed="false">
      <c r="A1160" s="1" t="s">
        <v>421</v>
      </c>
      <c r="B1160" s="1" t="n">
        <v>2014</v>
      </c>
      <c r="C1160" s="1" t="s">
        <v>188</v>
      </c>
      <c r="D1160" s="1" t="s">
        <v>112</v>
      </c>
      <c r="E1160" s="1" t="s">
        <v>108</v>
      </c>
      <c r="F1160" s="1" t="n">
        <v>17</v>
      </c>
      <c r="G1160" s="1" t="n">
        <v>31</v>
      </c>
      <c r="H1160" s="1" t="s">
        <v>88</v>
      </c>
      <c r="I1160" s="1" t="n">
        <v>-3.5</v>
      </c>
      <c r="J1160" s="1" t="n">
        <v>44.5</v>
      </c>
      <c r="K1160" s="1" t="s">
        <v>153</v>
      </c>
      <c r="L1160" s="1" t="b">
        <f aca="false">FALSE()</f>
        <v>0</v>
      </c>
      <c r="M1160" s="1" t="str">
        <f aca="false">VLOOKUP(D1160,'Team Reference'!$A:$B,2,FALSE())</f>
        <v>LAR</v>
      </c>
      <c r="N1160" s="1" t="str">
        <f aca="false">VLOOKUP(E1160,'Team Reference'!$A:$B,2,FALSE())</f>
        <v>SF</v>
      </c>
      <c r="O1160" s="1" t="str">
        <f aca="false">IF(F1160&gt;G1160,M1160,IF(G1160&gt;F1160,N1160,"Tie"))</f>
        <v>SF</v>
      </c>
      <c r="P1160" s="1" t="n">
        <f aca="false">F1160-G1160</f>
        <v>-14</v>
      </c>
      <c r="Q1160" s="1" t="n">
        <f aca="false">F1160+G1160</f>
        <v>48</v>
      </c>
      <c r="R1160" s="1" t="str">
        <f aca="false">IF(H1160=M1160,"Home",IF(H1160=N1160,"Away",IF(H1160="PICK","Pick","N/A")))</f>
        <v>Home</v>
      </c>
      <c r="S1160" s="1" t="n">
        <f aca="false">IF(R1160="Home",P1160,IF(R1160="Away",-P1160,""))</f>
        <v>-14</v>
      </c>
      <c r="T1160" s="1" t="str">
        <f aca="false">IF(R1160="Pick","No Line",IF(S1160="","N/A",IF(S1160+I1160&gt;0,"Favorite Covered",IF(S1160+I1160&lt;0,"Underdog Covered","Push"))))</f>
        <v>Underdog Covered</v>
      </c>
      <c r="U1160" s="1" t="str">
        <f aca="false">IF(Q1160&gt;J1160,"Over",IF(Q1160&lt;J1160,"Under","Push"))</f>
        <v>Over</v>
      </c>
    </row>
    <row r="1161" customFormat="false" ht="15" hidden="false" customHeight="false" outlineLevel="0" collapsed="false">
      <c r="A1161" s="1" t="s">
        <v>422</v>
      </c>
      <c r="B1161" s="1" t="n">
        <v>2014</v>
      </c>
      <c r="C1161" s="1" t="s">
        <v>191</v>
      </c>
      <c r="D1161" s="1" t="s">
        <v>93</v>
      </c>
      <c r="E1161" s="1" t="s">
        <v>99</v>
      </c>
      <c r="F1161" s="1" t="n">
        <v>27</v>
      </c>
      <c r="G1161" s="1" t="n">
        <v>25</v>
      </c>
      <c r="H1161" s="1" t="s">
        <v>100</v>
      </c>
      <c r="I1161" s="1" t="n">
        <v>-9.5</v>
      </c>
      <c r="J1161" s="1" t="n">
        <v>44.5</v>
      </c>
      <c r="K1161" s="1" t="s">
        <v>148</v>
      </c>
      <c r="L1161" s="1" t="b">
        <f aca="false">FALSE()</f>
        <v>0</v>
      </c>
      <c r="M1161" s="1" t="str">
        <f aca="false">VLOOKUP(D1161,'Team Reference'!$A:$B,2,FALSE())</f>
        <v>NE</v>
      </c>
      <c r="N1161" s="1" t="str">
        <f aca="false">VLOOKUP(E1161,'Team Reference'!$A:$B,2,FALSE())</f>
        <v>NYJ</v>
      </c>
      <c r="O1161" s="1" t="str">
        <f aca="false">IF(F1161&gt;G1161,M1161,IF(G1161&gt;F1161,N1161,"Tie"))</f>
        <v>NE</v>
      </c>
      <c r="P1161" s="1" t="n">
        <f aca="false">F1161-G1161</f>
        <v>2</v>
      </c>
      <c r="Q1161" s="1" t="n">
        <f aca="false">F1161+G1161</f>
        <v>52</v>
      </c>
      <c r="R1161" s="1" t="str">
        <f aca="false">IF(H1161=M1161,"Home",IF(H1161=N1161,"Away",IF(H1161="PICK","Pick","N/A")))</f>
        <v>Away</v>
      </c>
      <c r="S1161" s="1" t="n">
        <f aca="false">IF(R1161="Home",P1161,IF(R1161="Away",-P1161,""))</f>
        <v>-2</v>
      </c>
      <c r="T1161" s="1" t="str">
        <f aca="false">IF(R1161="Pick","No Line",IF(S1161="","N/A",IF(S1161+I1161&gt;0,"Favorite Covered",IF(S1161+I1161&lt;0,"Underdog Covered","Push"))))</f>
        <v>Underdog Covered</v>
      </c>
      <c r="U1161" s="1" t="str">
        <f aca="false">IF(Q1161&gt;J1161,"Over",IF(Q1161&lt;J1161,"Under","Push"))</f>
        <v>Over</v>
      </c>
    </row>
    <row r="1162" customFormat="false" ht="15" hidden="false" customHeight="false" outlineLevel="0" collapsed="false">
      <c r="A1162" s="1" t="s">
        <v>423</v>
      </c>
      <c r="B1162" s="1" t="n">
        <v>2014</v>
      </c>
      <c r="C1162" s="1" t="s">
        <v>191</v>
      </c>
      <c r="D1162" s="1" t="s">
        <v>57</v>
      </c>
      <c r="E1162" s="1" t="s">
        <v>55</v>
      </c>
      <c r="F1162" s="1" t="n">
        <v>29</v>
      </c>
      <c r="G1162" s="1" t="n">
        <v>7</v>
      </c>
      <c r="H1162" s="1" t="s">
        <v>56</v>
      </c>
      <c r="I1162" s="1" t="n">
        <v>-7</v>
      </c>
      <c r="J1162" s="1" t="n">
        <v>50</v>
      </c>
      <c r="K1162" s="1" t="s">
        <v>178</v>
      </c>
      <c r="L1162" s="1" t="b">
        <f aca="false">FALSE()</f>
        <v>0</v>
      </c>
      <c r="M1162" s="1" t="str">
        <f aca="false">VLOOKUP(D1162,'Team Reference'!$A:$B,2,FALSE())</f>
        <v>BAL</v>
      </c>
      <c r="N1162" s="1" t="str">
        <f aca="false">VLOOKUP(E1162,'Team Reference'!$A:$B,2,FALSE())</f>
        <v>ATL</v>
      </c>
      <c r="O1162" s="1" t="str">
        <f aca="false">IF(F1162&gt;G1162,M1162,IF(G1162&gt;F1162,N1162,"Tie"))</f>
        <v>BAL</v>
      </c>
      <c r="P1162" s="1" t="n">
        <f aca="false">F1162-G1162</f>
        <v>22</v>
      </c>
      <c r="Q1162" s="1" t="n">
        <f aca="false">F1162+G1162</f>
        <v>36</v>
      </c>
      <c r="R1162" s="1" t="str">
        <f aca="false">IF(H1162=M1162,"Home",IF(H1162=N1162,"Away",IF(H1162="PICK","Pick","N/A")))</f>
        <v>Away</v>
      </c>
      <c r="S1162" s="1" t="n">
        <f aca="false">IF(R1162="Home",P1162,IF(R1162="Away",-P1162,""))</f>
        <v>-22</v>
      </c>
      <c r="T1162" s="1" t="str">
        <f aca="false">IF(R1162="Pick","No Line",IF(S1162="","N/A",IF(S1162+I1162&gt;0,"Favorite Covered",IF(S1162+I1162&lt;0,"Underdog Covered","Push"))))</f>
        <v>Underdog Covered</v>
      </c>
      <c r="U1162" s="1" t="str">
        <f aca="false">IF(Q1162&gt;J1162,"Over",IF(Q1162&lt;J1162,"Under","Push"))</f>
        <v>Under</v>
      </c>
    </row>
    <row r="1163" customFormat="false" ht="15" hidden="false" customHeight="false" outlineLevel="0" collapsed="false">
      <c r="A1163" s="1" t="s">
        <v>423</v>
      </c>
      <c r="B1163" s="1" t="n">
        <v>2014</v>
      </c>
      <c r="C1163" s="1" t="s">
        <v>191</v>
      </c>
      <c r="D1163" s="1" t="s">
        <v>59</v>
      </c>
      <c r="E1163" s="1" t="s">
        <v>91</v>
      </c>
      <c r="F1163" s="1" t="n">
        <v>17</v>
      </c>
      <c r="G1163" s="1" t="n">
        <v>16</v>
      </c>
      <c r="H1163" s="1" t="s">
        <v>92</v>
      </c>
      <c r="I1163" s="1" t="n">
        <v>-6.5</v>
      </c>
      <c r="J1163" s="1" t="n">
        <v>43</v>
      </c>
      <c r="K1163" s="1" t="s">
        <v>144</v>
      </c>
      <c r="L1163" s="1" t="b">
        <f aca="false">FALSE()</f>
        <v>0</v>
      </c>
      <c r="M1163" s="1" t="str">
        <f aca="false">VLOOKUP(D1163,'Team Reference'!$A:$B,2,FALSE())</f>
        <v>BUF</v>
      </c>
      <c r="N1163" s="1" t="str">
        <f aca="false">VLOOKUP(E1163,'Team Reference'!$A:$B,2,FALSE())</f>
        <v>MIN</v>
      </c>
      <c r="O1163" s="1" t="str">
        <f aca="false">IF(F1163&gt;G1163,M1163,IF(G1163&gt;F1163,N1163,"Tie"))</f>
        <v>BUF</v>
      </c>
      <c r="P1163" s="1" t="n">
        <f aca="false">F1163-G1163</f>
        <v>1</v>
      </c>
      <c r="Q1163" s="1" t="n">
        <f aca="false">F1163+G1163</f>
        <v>33</v>
      </c>
      <c r="R1163" s="1" t="str">
        <f aca="false">IF(H1163=M1163,"Home",IF(H1163=N1163,"Away",IF(H1163="PICK","Pick","N/A")))</f>
        <v>Away</v>
      </c>
      <c r="S1163" s="1" t="n">
        <f aca="false">IF(R1163="Home",P1163,IF(R1163="Away",-P1163,""))</f>
        <v>-1</v>
      </c>
      <c r="T1163" s="1" t="str">
        <f aca="false">IF(R1163="Pick","No Line",IF(S1163="","N/A",IF(S1163+I1163&gt;0,"Favorite Covered",IF(S1163+I1163&lt;0,"Underdog Covered","Push"))))</f>
        <v>Underdog Covered</v>
      </c>
      <c r="U1163" s="1" t="str">
        <f aca="false">IF(Q1163&gt;J1163,"Over",IF(Q1163&lt;J1163,"Under","Push"))</f>
        <v>Under</v>
      </c>
    </row>
    <row r="1164" customFormat="false" ht="15" hidden="false" customHeight="false" outlineLevel="0" collapsed="false">
      <c r="A1164" s="1" t="s">
        <v>423</v>
      </c>
      <c r="B1164" s="1" t="n">
        <v>2014</v>
      </c>
      <c r="C1164" s="1" t="s">
        <v>191</v>
      </c>
      <c r="D1164" s="1" t="s">
        <v>63</v>
      </c>
      <c r="E1164" s="1" t="s">
        <v>89</v>
      </c>
      <c r="F1164" s="1" t="n">
        <v>14</v>
      </c>
      <c r="G1164" s="1" t="n">
        <v>27</v>
      </c>
      <c r="H1164" s="1" t="s">
        <v>90</v>
      </c>
      <c r="I1164" s="1" t="n">
        <v>-3</v>
      </c>
      <c r="J1164" s="1" t="n">
        <v>48</v>
      </c>
      <c r="K1164" s="1" t="s">
        <v>145</v>
      </c>
      <c r="L1164" s="1" t="b">
        <f aca="false">FALSE()</f>
        <v>0</v>
      </c>
      <c r="M1164" s="1" t="str">
        <f aca="false">VLOOKUP(D1164,'Team Reference'!$A:$B,2,FALSE())</f>
        <v>CHI</v>
      </c>
      <c r="N1164" s="1" t="str">
        <f aca="false">VLOOKUP(E1164,'Team Reference'!$A:$B,2,FALSE())</f>
        <v>MIA</v>
      </c>
      <c r="O1164" s="1" t="str">
        <f aca="false">IF(F1164&gt;G1164,M1164,IF(G1164&gt;F1164,N1164,"Tie"))</f>
        <v>MIA</v>
      </c>
      <c r="P1164" s="1" t="n">
        <f aca="false">F1164-G1164</f>
        <v>-13</v>
      </c>
      <c r="Q1164" s="1" t="n">
        <f aca="false">F1164+G1164</f>
        <v>41</v>
      </c>
      <c r="R1164" s="1" t="str">
        <f aca="false">IF(H1164=M1164,"Home",IF(H1164=N1164,"Away",IF(H1164="PICK","Pick","N/A")))</f>
        <v>Away</v>
      </c>
      <c r="S1164" s="1" t="n">
        <f aca="false">IF(R1164="Home",P1164,IF(R1164="Away",-P1164,""))</f>
        <v>13</v>
      </c>
      <c r="T1164" s="1" t="str">
        <f aca="false">IF(R1164="Pick","No Line",IF(S1164="","N/A",IF(S1164+I1164&gt;0,"Favorite Covered",IF(S1164+I1164&lt;0,"Underdog Covered","Push"))))</f>
        <v>Favorite Covered</v>
      </c>
      <c r="U1164" s="1" t="str">
        <f aca="false">IF(Q1164&gt;J1164,"Over",IF(Q1164&lt;J1164,"Under","Push"))</f>
        <v>Under</v>
      </c>
    </row>
    <row r="1165" customFormat="false" ht="15" hidden="false" customHeight="false" outlineLevel="0" collapsed="false">
      <c r="A1165" s="1" t="s">
        <v>423</v>
      </c>
      <c r="B1165" s="1" t="n">
        <v>2014</v>
      </c>
      <c r="C1165" s="1" t="s">
        <v>191</v>
      </c>
      <c r="D1165" s="1" t="s">
        <v>69</v>
      </c>
      <c r="E1165" s="1" t="s">
        <v>97</v>
      </c>
      <c r="F1165" s="1" t="n">
        <v>31</v>
      </c>
      <c r="G1165" s="1" t="n">
        <v>21</v>
      </c>
      <c r="H1165" s="1" t="s">
        <v>98</v>
      </c>
      <c r="I1165" s="1" t="n">
        <v>-5.5</v>
      </c>
      <c r="J1165" s="1" t="n">
        <v>47</v>
      </c>
      <c r="K1165" s="1" t="s">
        <v>165</v>
      </c>
      <c r="L1165" s="1" t="b">
        <f aca="false">FALSE()</f>
        <v>0</v>
      </c>
      <c r="M1165" s="1" t="str">
        <f aca="false">VLOOKUP(D1165,'Team Reference'!$A:$B,2,FALSE())</f>
        <v>DAL</v>
      </c>
      <c r="N1165" s="1" t="str">
        <f aca="false">VLOOKUP(E1165,'Team Reference'!$A:$B,2,FALSE())</f>
        <v>NYG</v>
      </c>
      <c r="O1165" s="1" t="str">
        <f aca="false">IF(F1165&gt;G1165,M1165,IF(G1165&gt;F1165,N1165,"Tie"))</f>
        <v>DAL</v>
      </c>
      <c r="P1165" s="1" t="n">
        <f aca="false">F1165-G1165</f>
        <v>10</v>
      </c>
      <c r="Q1165" s="1" t="n">
        <f aca="false">F1165+G1165</f>
        <v>52</v>
      </c>
      <c r="R1165" s="1" t="str">
        <f aca="false">IF(H1165=M1165,"Home",IF(H1165=N1165,"Away",IF(H1165="PICK","Pick","N/A")))</f>
        <v>Away</v>
      </c>
      <c r="S1165" s="1" t="n">
        <f aca="false">IF(R1165="Home",P1165,IF(R1165="Away",-P1165,""))</f>
        <v>-10</v>
      </c>
      <c r="T1165" s="1" t="str">
        <f aca="false">IF(R1165="Pick","No Line",IF(S1165="","N/A",IF(S1165+I1165&gt;0,"Favorite Covered",IF(S1165+I1165&lt;0,"Underdog Covered","Push"))))</f>
        <v>Underdog Covered</v>
      </c>
      <c r="U1165" s="1" t="str">
        <f aca="false">IF(Q1165&gt;J1165,"Over",IF(Q1165&lt;J1165,"Under","Push"))</f>
        <v>Over</v>
      </c>
    </row>
    <row r="1166" customFormat="false" ht="15" hidden="false" customHeight="false" outlineLevel="0" collapsed="false">
      <c r="A1166" s="1" t="s">
        <v>423</v>
      </c>
      <c r="B1166" s="1" t="n">
        <v>2014</v>
      </c>
      <c r="C1166" s="1" t="s">
        <v>191</v>
      </c>
      <c r="D1166" s="1" t="s">
        <v>71</v>
      </c>
      <c r="E1166" s="1" t="s">
        <v>108</v>
      </c>
      <c r="F1166" s="1" t="n">
        <v>42</v>
      </c>
      <c r="G1166" s="1" t="n">
        <v>17</v>
      </c>
      <c r="H1166" s="1" t="s">
        <v>109</v>
      </c>
      <c r="I1166" s="1" t="n">
        <v>-6.5</v>
      </c>
      <c r="J1166" s="1" t="n">
        <v>48.5</v>
      </c>
      <c r="K1166" s="1" t="s">
        <v>166</v>
      </c>
      <c r="L1166" s="1" t="b">
        <f aca="false">FALSE()</f>
        <v>0</v>
      </c>
      <c r="M1166" s="1" t="str">
        <f aca="false">VLOOKUP(D1166,'Team Reference'!$A:$B,2,FALSE())</f>
        <v>DEN</v>
      </c>
      <c r="N1166" s="1" t="str">
        <f aca="false">VLOOKUP(E1166,'Team Reference'!$A:$B,2,FALSE())</f>
        <v>SF</v>
      </c>
      <c r="O1166" s="1" t="str">
        <f aca="false">IF(F1166&gt;G1166,M1166,IF(G1166&gt;F1166,N1166,"Tie"))</f>
        <v>DEN</v>
      </c>
      <c r="P1166" s="1" t="n">
        <f aca="false">F1166-G1166</f>
        <v>25</v>
      </c>
      <c r="Q1166" s="1" t="n">
        <f aca="false">F1166+G1166</f>
        <v>59</v>
      </c>
      <c r="R1166" s="1" t="str">
        <f aca="false">IF(H1166=M1166,"Home",IF(H1166=N1166,"Away",IF(H1166="PICK","Pick","N/A")))</f>
        <v>Away</v>
      </c>
      <c r="S1166" s="1" t="n">
        <f aca="false">IF(R1166="Home",P1166,IF(R1166="Away",-P1166,""))</f>
        <v>-25</v>
      </c>
      <c r="T1166" s="1" t="str">
        <f aca="false">IF(R1166="Pick","No Line",IF(S1166="","N/A",IF(S1166+I1166&gt;0,"Favorite Covered",IF(S1166+I1166&lt;0,"Underdog Covered","Push"))))</f>
        <v>Underdog Covered</v>
      </c>
      <c r="U1166" s="1" t="str">
        <f aca="false">IF(Q1166&gt;J1166,"Over",IF(Q1166&lt;J1166,"Under","Push"))</f>
        <v>Over</v>
      </c>
    </row>
    <row r="1167" customFormat="false" ht="15" hidden="false" customHeight="false" outlineLevel="0" collapsed="false">
      <c r="A1167" s="1" t="s">
        <v>423</v>
      </c>
      <c r="B1167" s="1" t="n">
        <v>2014</v>
      </c>
      <c r="C1167" s="1" t="s">
        <v>191</v>
      </c>
      <c r="D1167" s="1" t="s">
        <v>73</v>
      </c>
      <c r="E1167" s="1" t="s">
        <v>95</v>
      </c>
      <c r="F1167" s="1" t="n">
        <v>24</v>
      </c>
      <c r="G1167" s="1" t="n">
        <v>23</v>
      </c>
      <c r="H1167" s="1" t="s">
        <v>96</v>
      </c>
      <c r="I1167" s="1" t="n">
        <v>-1.5</v>
      </c>
      <c r="J1167" s="1" t="n">
        <v>46.5</v>
      </c>
      <c r="K1167" s="1" t="s">
        <v>167</v>
      </c>
      <c r="L1167" s="1" t="b">
        <f aca="false">FALSE()</f>
        <v>0</v>
      </c>
      <c r="M1167" s="1" t="str">
        <f aca="false">VLOOKUP(D1167,'Team Reference'!$A:$B,2,FALSE())</f>
        <v>DET</v>
      </c>
      <c r="N1167" s="1" t="str">
        <f aca="false">VLOOKUP(E1167,'Team Reference'!$A:$B,2,FALSE())</f>
        <v>NO</v>
      </c>
      <c r="O1167" s="1" t="str">
        <f aca="false">IF(F1167&gt;G1167,M1167,IF(G1167&gt;F1167,N1167,"Tie"))</f>
        <v>DET</v>
      </c>
      <c r="P1167" s="1" t="n">
        <f aca="false">F1167-G1167</f>
        <v>1</v>
      </c>
      <c r="Q1167" s="1" t="n">
        <f aca="false">F1167+G1167</f>
        <v>47</v>
      </c>
      <c r="R1167" s="1" t="str">
        <f aca="false">IF(H1167=M1167,"Home",IF(H1167=N1167,"Away",IF(H1167="PICK","Pick","N/A")))</f>
        <v>Away</v>
      </c>
      <c r="S1167" s="1" t="n">
        <f aca="false">IF(R1167="Home",P1167,IF(R1167="Away",-P1167,""))</f>
        <v>-1</v>
      </c>
      <c r="T1167" s="1" t="str">
        <f aca="false">IF(R1167="Pick","No Line",IF(S1167="","N/A",IF(S1167+I1167&gt;0,"Favorite Covered",IF(S1167+I1167&lt;0,"Underdog Covered","Push"))))</f>
        <v>Underdog Covered</v>
      </c>
      <c r="U1167" s="1" t="str">
        <f aca="false">IF(Q1167&gt;J1167,"Over",IF(Q1167&lt;J1167,"Under","Push"))</f>
        <v>Over</v>
      </c>
    </row>
    <row r="1168" customFormat="false" ht="15" hidden="false" customHeight="false" outlineLevel="0" collapsed="false">
      <c r="A1168" s="1" t="s">
        <v>423</v>
      </c>
      <c r="B1168" s="1" t="n">
        <v>2014</v>
      </c>
      <c r="C1168" s="1" t="s">
        <v>191</v>
      </c>
      <c r="D1168" s="1" t="s">
        <v>75</v>
      </c>
      <c r="E1168" s="1" t="s">
        <v>61</v>
      </c>
      <c r="F1168" s="1" t="n">
        <v>38</v>
      </c>
      <c r="G1168" s="1" t="n">
        <v>17</v>
      </c>
      <c r="H1168" s="1" t="s">
        <v>62</v>
      </c>
      <c r="I1168" s="1" t="n">
        <v>-6.5</v>
      </c>
      <c r="J1168" s="1" t="n">
        <v>49.5</v>
      </c>
      <c r="K1168" s="1" t="s">
        <v>168</v>
      </c>
      <c r="L1168" s="1" t="b">
        <f aca="false">FALSE()</f>
        <v>0</v>
      </c>
      <c r="M1168" s="1" t="str">
        <f aca="false">VLOOKUP(D1168,'Team Reference'!$A:$B,2,FALSE())</f>
        <v>GB</v>
      </c>
      <c r="N1168" s="1" t="str">
        <f aca="false">VLOOKUP(E1168,'Team Reference'!$A:$B,2,FALSE())</f>
        <v>CAR</v>
      </c>
      <c r="O1168" s="1" t="str">
        <f aca="false">IF(F1168&gt;G1168,M1168,IF(G1168&gt;F1168,N1168,"Tie"))</f>
        <v>GB</v>
      </c>
      <c r="P1168" s="1" t="n">
        <f aca="false">F1168-G1168</f>
        <v>21</v>
      </c>
      <c r="Q1168" s="1" t="n">
        <f aca="false">F1168+G1168</f>
        <v>55</v>
      </c>
      <c r="R1168" s="1" t="str">
        <f aca="false">IF(H1168=M1168,"Home",IF(H1168=N1168,"Away",IF(H1168="PICK","Pick","N/A")))</f>
        <v>Away</v>
      </c>
      <c r="S1168" s="1" t="n">
        <f aca="false">IF(R1168="Home",P1168,IF(R1168="Away",-P1168,""))</f>
        <v>-21</v>
      </c>
      <c r="T1168" s="1" t="str">
        <f aca="false">IF(R1168="Pick","No Line",IF(S1168="","N/A",IF(S1168+I1168&gt;0,"Favorite Covered",IF(S1168+I1168&lt;0,"Underdog Covered","Push"))))</f>
        <v>Underdog Covered</v>
      </c>
      <c r="U1168" s="1" t="str">
        <f aca="false">IF(Q1168&gt;J1168,"Over",IF(Q1168&lt;J1168,"Under","Push"))</f>
        <v>Over</v>
      </c>
    </row>
    <row r="1169" customFormat="false" ht="15" hidden="false" customHeight="false" outlineLevel="0" collapsed="false">
      <c r="A1169" s="1" t="s">
        <v>423</v>
      </c>
      <c r="B1169" s="1" t="n">
        <v>2014</v>
      </c>
      <c r="C1169" s="1" t="s">
        <v>191</v>
      </c>
      <c r="D1169" s="1" t="s">
        <v>79</v>
      </c>
      <c r="E1169" s="1" t="s">
        <v>65</v>
      </c>
      <c r="F1169" s="1" t="n">
        <v>27</v>
      </c>
      <c r="G1169" s="1" t="n">
        <v>0</v>
      </c>
      <c r="H1169" s="1" t="s">
        <v>66</v>
      </c>
      <c r="I1169" s="1" t="n">
        <v>-3.5</v>
      </c>
      <c r="J1169" s="1" t="n">
        <v>50.5</v>
      </c>
      <c r="K1169" s="1" t="s">
        <v>169</v>
      </c>
      <c r="L1169" s="1" t="b">
        <f aca="false">FALSE()</f>
        <v>0</v>
      </c>
      <c r="M1169" s="1" t="str">
        <f aca="false">VLOOKUP(D1169,'Team Reference'!$A:$B,2,FALSE())</f>
        <v>IND</v>
      </c>
      <c r="N1169" s="1" t="str">
        <f aca="false">VLOOKUP(E1169,'Team Reference'!$A:$B,2,FALSE())</f>
        <v>CIN</v>
      </c>
      <c r="O1169" s="1" t="str">
        <f aca="false">IF(F1169&gt;G1169,M1169,IF(G1169&gt;F1169,N1169,"Tie"))</f>
        <v>IND</v>
      </c>
      <c r="P1169" s="1" t="n">
        <f aca="false">F1169-G1169</f>
        <v>27</v>
      </c>
      <c r="Q1169" s="1" t="n">
        <f aca="false">F1169+G1169</f>
        <v>27</v>
      </c>
      <c r="R1169" s="1" t="str">
        <f aca="false">IF(H1169=M1169,"Home",IF(H1169=N1169,"Away",IF(H1169="PICK","Pick","N/A")))</f>
        <v>Away</v>
      </c>
      <c r="S1169" s="1" t="n">
        <f aca="false">IF(R1169="Home",P1169,IF(R1169="Away",-P1169,""))</f>
        <v>-27</v>
      </c>
      <c r="T1169" s="1" t="str">
        <f aca="false">IF(R1169="Pick","No Line",IF(S1169="","N/A",IF(S1169+I1169&gt;0,"Favorite Covered",IF(S1169+I1169&lt;0,"Underdog Covered","Push"))))</f>
        <v>Underdog Covered</v>
      </c>
      <c r="U1169" s="1" t="str">
        <f aca="false">IF(Q1169&gt;J1169,"Over",IF(Q1169&lt;J1169,"Under","Push"))</f>
        <v>Under</v>
      </c>
    </row>
    <row r="1170" customFormat="false" ht="15" hidden="false" customHeight="false" outlineLevel="0" collapsed="false">
      <c r="A1170" s="1" t="s">
        <v>423</v>
      </c>
      <c r="B1170" s="1" t="n">
        <v>2014</v>
      </c>
      <c r="C1170" s="1" t="s">
        <v>191</v>
      </c>
      <c r="D1170" s="1" t="s">
        <v>81</v>
      </c>
      <c r="E1170" s="1" t="s">
        <v>67</v>
      </c>
      <c r="F1170" s="1" t="n">
        <v>24</v>
      </c>
      <c r="G1170" s="1" t="n">
        <v>6</v>
      </c>
      <c r="H1170" s="1" t="s">
        <v>82</v>
      </c>
      <c r="I1170" s="1" t="n">
        <v>-4.5</v>
      </c>
      <c r="J1170" s="1" t="n">
        <v>45</v>
      </c>
      <c r="K1170" s="1" t="s">
        <v>147</v>
      </c>
      <c r="L1170" s="1" t="b">
        <f aca="false">FALSE()</f>
        <v>0</v>
      </c>
      <c r="M1170" s="1" t="str">
        <f aca="false">VLOOKUP(D1170,'Team Reference'!$A:$B,2,FALSE())</f>
        <v>JAX</v>
      </c>
      <c r="N1170" s="1" t="str">
        <f aca="false">VLOOKUP(E1170,'Team Reference'!$A:$B,2,FALSE())</f>
        <v>CLE</v>
      </c>
      <c r="O1170" s="1" t="str">
        <f aca="false">IF(F1170&gt;G1170,M1170,IF(G1170&gt;F1170,N1170,"Tie"))</f>
        <v>JAX</v>
      </c>
      <c r="P1170" s="1" t="n">
        <f aca="false">F1170-G1170</f>
        <v>18</v>
      </c>
      <c r="Q1170" s="1" t="n">
        <f aca="false">F1170+G1170</f>
        <v>30</v>
      </c>
      <c r="R1170" s="1" t="str">
        <f aca="false">IF(H1170=M1170,"Home",IF(H1170=N1170,"Away",IF(H1170="PICK","Pick","N/A")))</f>
        <v>Home</v>
      </c>
      <c r="S1170" s="1" t="n">
        <f aca="false">IF(R1170="Home",P1170,IF(R1170="Away",-P1170,""))</f>
        <v>18</v>
      </c>
      <c r="T1170" s="1" t="str">
        <f aca="false">IF(R1170="Pick","No Line",IF(S1170="","N/A",IF(S1170+I1170&gt;0,"Favorite Covered",IF(S1170+I1170&lt;0,"Underdog Covered","Push"))))</f>
        <v>Favorite Covered</v>
      </c>
      <c r="U1170" s="1" t="str">
        <f aca="false">IF(Q1170&gt;J1170,"Over",IF(Q1170&lt;J1170,"Under","Push"))</f>
        <v>Under</v>
      </c>
    </row>
    <row r="1171" customFormat="false" ht="15" hidden="false" customHeight="false" outlineLevel="0" collapsed="false">
      <c r="A1171" s="1" t="s">
        <v>423</v>
      </c>
      <c r="B1171" s="1" t="n">
        <v>2014</v>
      </c>
      <c r="C1171" s="1" t="s">
        <v>191</v>
      </c>
      <c r="D1171" s="1" t="s">
        <v>101</v>
      </c>
      <c r="E1171" s="1" t="s">
        <v>53</v>
      </c>
      <c r="F1171" s="1" t="n">
        <v>13</v>
      </c>
      <c r="G1171" s="1" t="n">
        <v>24</v>
      </c>
      <c r="H1171" s="1" t="s">
        <v>102</v>
      </c>
      <c r="I1171" s="1" t="n">
        <v>-3.5</v>
      </c>
      <c r="J1171" s="1" t="n">
        <v>46.5</v>
      </c>
      <c r="K1171" s="1" t="s">
        <v>171</v>
      </c>
      <c r="L1171" s="1" t="b">
        <f aca="false">FALSE()</f>
        <v>0</v>
      </c>
      <c r="M1171" s="1" t="str">
        <f aca="false">VLOOKUP(D1171,'Team Reference'!$A:$B,2,FALSE())</f>
        <v>OAK</v>
      </c>
      <c r="N1171" s="1" t="str">
        <f aca="false">VLOOKUP(E1171,'Team Reference'!$A:$B,2,FALSE())</f>
        <v>ARI</v>
      </c>
      <c r="O1171" s="1" t="str">
        <f aca="false">IF(F1171&gt;G1171,M1171,IF(G1171&gt;F1171,N1171,"Tie"))</f>
        <v>ARI</v>
      </c>
      <c r="P1171" s="1" t="n">
        <f aca="false">F1171-G1171</f>
        <v>-11</v>
      </c>
      <c r="Q1171" s="1" t="n">
        <f aca="false">F1171+G1171</f>
        <v>37</v>
      </c>
      <c r="R1171" s="1" t="str">
        <f aca="false">IF(H1171=M1171,"Home",IF(H1171=N1171,"Away",IF(H1171="PICK","Pick","N/A")))</f>
        <v>Home</v>
      </c>
      <c r="S1171" s="1" t="n">
        <f aca="false">IF(R1171="Home",P1171,IF(R1171="Away",-P1171,""))</f>
        <v>-11</v>
      </c>
      <c r="T1171" s="1" t="str">
        <f aca="false">IF(R1171="Pick","No Line",IF(S1171="","N/A",IF(S1171+I1171&gt;0,"Favorite Covered",IF(S1171+I1171&lt;0,"Underdog Covered","Push"))))</f>
        <v>Underdog Covered</v>
      </c>
      <c r="U1171" s="1" t="str">
        <f aca="false">IF(Q1171&gt;J1171,"Over",IF(Q1171&lt;J1171,"Under","Push"))</f>
        <v>Under</v>
      </c>
    </row>
    <row r="1172" customFormat="false" ht="15" hidden="false" customHeight="false" outlineLevel="0" collapsed="false">
      <c r="A1172" s="1" t="s">
        <v>423</v>
      </c>
      <c r="B1172" s="1" t="n">
        <v>2014</v>
      </c>
      <c r="C1172" s="1" t="s">
        <v>191</v>
      </c>
      <c r="D1172" s="1" t="s">
        <v>107</v>
      </c>
      <c r="E1172" s="1" t="s">
        <v>83</v>
      </c>
      <c r="F1172" s="1" t="n">
        <v>20</v>
      </c>
      <c r="G1172" s="1" t="n">
        <v>23</v>
      </c>
      <c r="H1172" s="1" t="s">
        <v>84</v>
      </c>
      <c r="I1172" s="1" t="n">
        <v>-3</v>
      </c>
      <c r="J1172" s="1" t="n">
        <v>46</v>
      </c>
      <c r="K1172" s="1" t="s">
        <v>172</v>
      </c>
      <c r="L1172" s="1" t="b">
        <f aca="false">FALSE()</f>
        <v>0</v>
      </c>
      <c r="M1172" s="1" t="str">
        <f aca="false">VLOOKUP(D1172,'Team Reference'!$A:$B,2,FALSE())</f>
        <v>LAC</v>
      </c>
      <c r="N1172" s="1" t="str">
        <f aca="false">VLOOKUP(E1172,'Team Reference'!$A:$B,2,FALSE())</f>
        <v>KC</v>
      </c>
      <c r="O1172" s="1" t="str">
        <f aca="false">IF(F1172&gt;G1172,M1172,IF(G1172&gt;F1172,N1172,"Tie"))</f>
        <v>KC</v>
      </c>
      <c r="P1172" s="1" t="n">
        <f aca="false">F1172-G1172</f>
        <v>-3</v>
      </c>
      <c r="Q1172" s="1" t="n">
        <f aca="false">F1172+G1172</f>
        <v>43</v>
      </c>
      <c r="R1172" s="1" t="str">
        <f aca="false">IF(H1172=M1172,"Home",IF(H1172=N1172,"Away",IF(H1172="PICK","Pick","N/A")))</f>
        <v>Away</v>
      </c>
      <c r="S1172" s="1" t="n">
        <f aca="false">IF(R1172="Home",P1172,IF(R1172="Away",-P1172,""))</f>
        <v>3</v>
      </c>
      <c r="T1172" s="1" t="str">
        <f aca="false">IF(R1172="Pick","No Line",IF(S1172="","N/A",IF(S1172+I1172&gt;0,"Favorite Covered",IF(S1172+I1172&lt;0,"Underdog Covered","Push"))))</f>
        <v>Push</v>
      </c>
      <c r="U1172" s="1" t="str">
        <f aca="false">IF(Q1172&gt;J1172,"Over",IF(Q1172&lt;J1172,"Under","Push"))</f>
        <v>Under</v>
      </c>
    </row>
    <row r="1173" customFormat="false" ht="15" hidden="false" customHeight="false" outlineLevel="0" collapsed="false">
      <c r="A1173" s="1" t="s">
        <v>423</v>
      </c>
      <c r="B1173" s="1" t="n">
        <v>2014</v>
      </c>
      <c r="C1173" s="1" t="s">
        <v>191</v>
      </c>
      <c r="D1173" s="1" t="s">
        <v>112</v>
      </c>
      <c r="E1173" s="1" t="s">
        <v>110</v>
      </c>
      <c r="F1173" s="1" t="n">
        <v>28</v>
      </c>
      <c r="G1173" s="1" t="n">
        <v>26</v>
      </c>
      <c r="H1173" s="1" t="s">
        <v>88</v>
      </c>
      <c r="I1173" s="1" t="n">
        <v>-6.5</v>
      </c>
      <c r="J1173" s="1" t="n">
        <v>43.5</v>
      </c>
      <c r="K1173" s="1" t="s">
        <v>153</v>
      </c>
      <c r="L1173" s="1" t="b">
        <f aca="false">FALSE()</f>
        <v>0</v>
      </c>
      <c r="M1173" s="1" t="str">
        <f aca="false">VLOOKUP(D1173,'Team Reference'!$A:$B,2,FALSE())</f>
        <v>LAR</v>
      </c>
      <c r="N1173" s="1" t="str">
        <f aca="false">VLOOKUP(E1173,'Team Reference'!$A:$B,2,FALSE())</f>
        <v>SEA</v>
      </c>
      <c r="O1173" s="1" t="str">
        <f aca="false">IF(F1173&gt;G1173,M1173,IF(G1173&gt;F1173,N1173,"Tie"))</f>
        <v>LAR</v>
      </c>
      <c r="P1173" s="1" t="n">
        <f aca="false">F1173-G1173</f>
        <v>2</v>
      </c>
      <c r="Q1173" s="1" t="n">
        <f aca="false">F1173+G1173</f>
        <v>54</v>
      </c>
      <c r="R1173" s="1" t="str">
        <f aca="false">IF(H1173=M1173,"Home",IF(H1173=N1173,"Away",IF(H1173="PICK","Pick","N/A")))</f>
        <v>Home</v>
      </c>
      <c r="S1173" s="1" t="n">
        <f aca="false">IF(R1173="Home",P1173,IF(R1173="Away",-P1173,""))</f>
        <v>2</v>
      </c>
      <c r="T1173" s="1" t="str">
        <f aca="false">IF(R1173="Pick","No Line",IF(S1173="","N/A",IF(S1173+I1173&gt;0,"Favorite Covered",IF(S1173+I1173&lt;0,"Underdog Covered","Push"))))</f>
        <v>Underdog Covered</v>
      </c>
      <c r="U1173" s="1" t="str">
        <f aca="false">IF(Q1173&gt;J1173,"Over",IF(Q1173&lt;J1173,"Under","Push"))</f>
        <v>Over</v>
      </c>
    </row>
    <row r="1174" customFormat="false" ht="15" hidden="false" customHeight="false" outlineLevel="0" collapsed="false">
      <c r="A1174" s="1" t="s">
        <v>423</v>
      </c>
      <c r="B1174" s="1" t="n">
        <v>2014</v>
      </c>
      <c r="C1174" s="1" t="s">
        <v>191</v>
      </c>
      <c r="D1174" s="1" t="s">
        <v>117</v>
      </c>
      <c r="E1174" s="1" t="s">
        <v>115</v>
      </c>
      <c r="F1174" s="1" t="n">
        <v>19</v>
      </c>
      <c r="G1174" s="1" t="n">
        <v>17</v>
      </c>
      <c r="H1174" s="1" t="s">
        <v>116</v>
      </c>
      <c r="I1174" s="1" t="n">
        <v>-6</v>
      </c>
      <c r="J1174" s="1" t="n">
        <v>46.5</v>
      </c>
      <c r="K1174" s="1" t="s">
        <v>156</v>
      </c>
      <c r="L1174" s="1" t="b">
        <f aca="false">FALSE()</f>
        <v>0</v>
      </c>
      <c r="M1174" s="1" t="str">
        <f aca="false">VLOOKUP(D1174,'Team Reference'!$A:$B,2,FALSE())</f>
        <v>WAS</v>
      </c>
      <c r="N1174" s="1" t="str">
        <f aca="false">VLOOKUP(E1174,'Team Reference'!$A:$B,2,FALSE())</f>
        <v>TEN</v>
      </c>
      <c r="O1174" s="1" t="str">
        <f aca="false">IF(F1174&gt;G1174,M1174,IF(G1174&gt;F1174,N1174,"Tie"))</f>
        <v>WAS</v>
      </c>
      <c r="P1174" s="1" t="n">
        <f aca="false">F1174-G1174</f>
        <v>2</v>
      </c>
      <c r="Q1174" s="1" t="n">
        <f aca="false">F1174+G1174</f>
        <v>36</v>
      </c>
      <c r="R1174" s="1" t="str">
        <f aca="false">IF(H1174=M1174,"Home",IF(H1174=N1174,"Away",IF(H1174="PICK","Pick","N/A")))</f>
        <v>Away</v>
      </c>
      <c r="S1174" s="1" t="n">
        <f aca="false">IF(R1174="Home",P1174,IF(R1174="Away",-P1174,""))</f>
        <v>-2</v>
      </c>
      <c r="T1174" s="1" t="str">
        <f aca="false">IF(R1174="Pick","No Line",IF(S1174="","N/A",IF(S1174+I1174&gt;0,"Favorite Covered",IF(S1174+I1174&lt;0,"Underdog Covered","Push"))))</f>
        <v>Underdog Covered</v>
      </c>
      <c r="U1174" s="1" t="str">
        <f aca="false">IF(Q1174&gt;J1174,"Over",IF(Q1174&lt;J1174,"Under","Push"))</f>
        <v>Under</v>
      </c>
    </row>
    <row r="1175" customFormat="false" ht="15" hidden="false" customHeight="false" outlineLevel="0" collapsed="false">
      <c r="A1175" s="1" t="s">
        <v>424</v>
      </c>
      <c r="B1175" s="1" t="n">
        <v>2014</v>
      </c>
      <c r="C1175" s="1" t="s">
        <v>191</v>
      </c>
      <c r="D1175" s="1" t="s">
        <v>105</v>
      </c>
      <c r="E1175" s="1" t="s">
        <v>77</v>
      </c>
      <c r="F1175" s="1" t="n">
        <v>30</v>
      </c>
      <c r="G1175" s="1" t="n">
        <v>23</v>
      </c>
      <c r="H1175" s="1" t="s">
        <v>78</v>
      </c>
      <c r="I1175" s="1" t="n">
        <v>-3</v>
      </c>
      <c r="J1175" s="1" t="n">
        <v>44.5</v>
      </c>
      <c r="K1175" s="1" t="s">
        <v>151</v>
      </c>
      <c r="L1175" s="1" t="b">
        <f aca="false">FALSE()</f>
        <v>0</v>
      </c>
      <c r="M1175" s="1" t="str">
        <f aca="false">VLOOKUP(D1175,'Team Reference'!$A:$B,2,FALSE())</f>
        <v>PIT</v>
      </c>
      <c r="N1175" s="1" t="str">
        <f aca="false">VLOOKUP(E1175,'Team Reference'!$A:$B,2,FALSE())</f>
        <v>HOU</v>
      </c>
      <c r="O1175" s="1" t="str">
        <f aca="false">IF(F1175&gt;G1175,M1175,IF(G1175&gt;F1175,N1175,"Tie"))</f>
        <v>PIT</v>
      </c>
      <c r="P1175" s="1" t="n">
        <f aca="false">F1175-G1175</f>
        <v>7</v>
      </c>
      <c r="Q1175" s="1" t="n">
        <f aca="false">F1175+G1175</f>
        <v>53</v>
      </c>
      <c r="R1175" s="1" t="str">
        <f aca="false">IF(H1175=M1175,"Home",IF(H1175=N1175,"Away",IF(H1175="PICK","Pick","N/A")))</f>
        <v>Away</v>
      </c>
      <c r="S1175" s="1" t="n">
        <f aca="false">IF(R1175="Home",P1175,IF(R1175="Away",-P1175,""))</f>
        <v>-7</v>
      </c>
      <c r="T1175" s="1" t="str">
        <f aca="false">IF(R1175="Pick","No Line",IF(S1175="","N/A",IF(S1175+I1175&gt;0,"Favorite Covered",IF(S1175+I1175&lt;0,"Underdog Covered","Push"))))</f>
        <v>Underdog Covered</v>
      </c>
      <c r="U1175" s="1" t="str">
        <f aca="false">IF(Q1175&gt;J1175,"Over",IF(Q1175&lt;J1175,"Under","Push"))</f>
        <v>Over</v>
      </c>
    </row>
    <row r="1176" customFormat="false" ht="15" hidden="false" customHeight="false" outlineLevel="0" collapsed="false">
      <c r="A1176" s="1" t="s">
        <v>425</v>
      </c>
      <c r="B1176" s="1" t="n">
        <v>2014</v>
      </c>
      <c r="C1176" s="1" t="s">
        <v>194</v>
      </c>
      <c r="D1176" s="1" t="s">
        <v>71</v>
      </c>
      <c r="E1176" s="1" t="s">
        <v>107</v>
      </c>
      <c r="F1176" s="1" t="n">
        <v>35</v>
      </c>
      <c r="G1176" s="1" t="n">
        <v>21</v>
      </c>
      <c r="H1176" s="1" t="s">
        <v>86</v>
      </c>
      <c r="I1176" s="1" t="n">
        <v>-9</v>
      </c>
      <c r="J1176" s="1" t="n">
        <v>51</v>
      </c>
      <c r="K1176" s="1" t="s">
        <v>166</v>
      </c>
      <c r="L1176" s="1" t="b">
        <f aca="false">FALSE()</f>
        <v>0</v>
      </c>
      <c r="M1176" s="1" t="str">
        <f aca="false">VLOOKUP(D1176,'Team Reference'!$A:$B,2,FALSE())</f>
        <v>DEN</v>
      </c>
      <c r="N1176" s="1" t="str">
        <f aca="false">VLOOKUP(E1176,'Team Reference'!$A:$B,2,FALSE())</f>
        <v>LAC</v>
      </c>
      <c r="O1176" s="1" t="str">
        <f aca="false">IF(F1176&gt;G1176,M1176,IF(G1176&gt;F1176,N1176,"Tie"))</f>
        <v>DEN</v>
      </c>
      <c r="P1176" s="1" t="n">
        <f aca="false">F1176-G1176</f>
        <v>14</v>
      </c>
      <c r="Q1176" s="1" t="n">
        <f aca="false">F1176+G1176</f>
        <v>56</v>
      </c>
      <c r="R1176" s="1" t="str">
        <f aca="false">IF(H1176=M1176,"Home",IF(H1176=N1176,"Away",IF(H1176="PICK","Pick","N/A")))</f>
        <v>Away</v>
      </c>
      <c r="S1176" s="1" t="n">
        <f aca="false">IF(R1176="Home",P1176,IF(R1176="Away",-P1176,""))</f>
        <v>-14</v>
      </c>
      <c r="T1176" s="1" t="str">
        <f aca="false">IF(R1176="Pick","No Line",IF(S1176="","N/A",IF(S1176+I1176&gt;0,"Favorite Covered",IF(S1176+I1176&lt;0,"Underdog Covered","Push"))))</f>
        <v>Underdog Covered</v>
      </c>
      <c r="U1176" s="1" t="str">
        <f aca="false">IF(Q1176&gt;J1176,"Over",IF(Q1176&lt;J1176,"Under","Push"))</f>
        <v>Over</v>
      </c>
    </row>
    <row r="1177" customFormat="false" ht="15" hidden="false" customHeight="false" outlineLevel="0" collapsed="false">
      <c r="A1177" s="1" t="s">
        <v>426</v>
      </c>
      <c r="B1177" s="1" t="n">
        <v>2014</v>
      </c>
      <c r="C1177" s="1" t="s">
        <v>194</v>
      </c>
      <c r="D1177" s="1" t="s">
        <v>53</v>
      </c>
      <c r="E1177" s="1" t="s">
        <v>103</v>
      </c>
      <c r="F1177" s="1" t="n">
        <v>24</v>
      </c>
      <c r="G1177" s="1" t="n">
        <v>20</v>
      </c>
      <c r="H1177" s="1" t="s">
        <v>54</v>
      </c>
      <c r="I1177" s="1" t="n">
        <v>-1</v>
      </c>
      <c r="J1177" s="1" t="n">
        <v>48.5</v>
      </c>
      <c r="K1177" s="1" t="s">
        <v>177</v>
      </c>
      <c r="L1177" s="1" t="b">
        <f aca="false">FALSE()</f>
        <v>0</v>
      </c>
      <c r="M1177" s="1" t="str">
        <f aca="false">VLOOKUP(D1177,'Team Reference'!$A:$B,2,FALSE())</f>
        <v>ARI</v>
      </c>
      <c r="N1177" s="1" t="str">
        <f aca="false">VLOOKUP(E1177,'Team Reference'!$A:$B,2,FALSE())</f>
        <v>PHI</v>
      </c>
      <c r="O1177" s="1" t="str">
        <f aca="false">IF(F1177&gt;G1177,M1177,IF(G1177&gt;F1177,N1177,"Tie"))</f>
        <v>ARI</v>
      </c>
      <c r="P1177" s="1" t="n">
        <f aca="false">F1177-G1177</f>
        <v>4</v>
      </c>
      <c r="Q1177" s="1" t="n">
        <f aca="false">F1177+G1177</f>
        <v>44</v>
      </c>
      <c r="R1177" s="1" t="str">
        <f aca="false">IF(H1177=M1177,"Home",IF(H1177=N1177,"Away",IF(H1177="PICK","Pick","N/A")))</f>
        <v>Home</v>
      </c>
      <c r="S1177" s="1" t="n">
        <f aca="false">IF(R1177="Home",P1177,IF(R1177="Away",-P1177,""))</f>
        <v>4</v>
      </c>
      <c r="T1177" s="1" t="str">
        <f aca="false">IF(R1177="Pick","No Line",IF(S1177="","N/A",IF(S1177+I1177&gt;0,"Favorite Covered",IF(S1177+I1177&lt;0,"Underdog Covered","Push"))))</f>
        <v>Favorite Covered</v>
      </c>
      <c r="U1177" s="1" t="str">
        <f aca="false">IF(Q1177&gt;J1177,"Over",IF(Q1177&lt;J1177,"Under","Push"))</f>
        <v>Under</v>
      </c>
    </row>
    <row r="1178" customFormat="false" ht="15" hidden="false" customHeight="false" outlineLevel="0" collapsed="false">
      <c r="A1178" s="1" t="s">
        <v>426</v>
      </c>
      <c r="B1178" s="1" t="n">
        <v>2014</v>
      </c>
      <c r="C1178" s="1" t="s">
        <v>194</v>
      </c>
      <c r="D1178" s="1" t="s">
        <v>55</v>
      </c>
      <c r="E1178" s="1" t="s">
        <v>73</v>
      </c>
      <c r="F1178" s="1" t="n">
        <v>21</v>
      </c>
      <c r="G1178" s="1" t="n">
        <v>22</v>
      </c>
      <c r="H1178" s="1" t="s">
        <v>56</v>
      </c>
      <c r="I1178" s="1" t="n">
        <v>-3.5</v>
      </c>
      <c r="J1178" s="1" t="n">
        <v>45.5</v>
      </c>
      <c r="K1178" s="1" t="s">
        <v>195</v>
      </c>
      <c r="L1178" s="1" t="b">
        <f aca="false">FALSE()</f>
        <v>0</v>
      </c>
      <c r="M1178" s="1" t="str">
        <f aca="false">VLOOKUP(D1178,'Team Reference'!$A:$B,2,FALSE())</f>
        <v>ATL</v>
      </c>
      <c r="N1178" s="1" t="str">
        <f aca="false">VLOOKUP(E1178,'Team Reference'!$A:$B,2,FALSE())</f>
        <v>DET</v>
      </c>
      <c r="O1178" s="1" t="str">
        <f aca="false">IF(F1178&gt;G1178,M1178,IF(G1178&gt;F1178,N1178,"Tie"))</f>
        <v>DET</v>
      </c>
      <c r="P1178" s="1" t="n">
        <f aca="false">F1178-G1178</f>
        <v>-1</v>
      </c>
      <c r="Q1178" s="1" t="n">
        <f aca="false">F1178+G1178</f>
        <v>43</v>
      </c>
      <c r="R1178" s="1" t="str">
        <f aca="false">IF(H1178=M1178,"Home",IF(H1178=N1178,"Away",IF(H1178="PICK","Pick","N/A")))</f>
        <v>Home</v>
      </c>
      <c r="S1178" s="1" t="n">
        <f aca="false">IF(R1178="Home",P1178,IF(R1178="Away",-P1178,""))</f>
        <v>-1</v>
      </c>
      <c r="T1178" s="1" t="str">
        <f aca="false">IF(R1178="Pick","No Line",IF(S1178="","N/A",IF(S1178+I1178&gt;0,"Favorite Covered",IF(S1178+I1178&lt;0,"Underdog Covered","Push"))))</f>
        <v>Underdog Covered</v>
      </c>
      <c r="U1178" s="1" t="str">
        <f aca="false">IF(Q1178&gt;J1178,"Over",IF(Q1178&lt;J1178,"Under","Push"))</f>
        <v>Under</v>
      </c>
    </row>
    <row r="1179" customFormat="false" ht="15" hidden="false" customHeight="false" outlineLevel="0" collapsed="false">
      <c r="A1179" s="1" t="s">
        <v>426</v>
      </c>
      <c r="B1179" s="1" t="n">
        <v>2014</v>
      </c>
      <c r="C1179" s="1" t="s">
        <v>194</v>
      </c>
      <c r="D1179" s="1" t="s">
        <v>61</v>
      </c>
      <c r="E1179" s="1" t="s">
        <v>110</v>
      </c>
      <c r="F1179" s="1" t="n">
        <v>9</v>
      </c>
      <c r="G1179" s="1" t="n">
        <v>13</v>
      </c>
      <c r="H1179" s="1" t="s">
        <v>62</v>
      </c>
      <c r="I1179" s="1" t="n">
        <v>-6</v>
      </c>
      <c r="J1179" s="1" t="n">
        <v>45</v>
      </c>
      <c r="K1179" s="1" t="s">
        <v>162</v>
      </c>
      <c r="L1179" s="1" t="b">
        <f aca="false">FALSE()</f>
        <v>0</v>
      </c>
      <c r="M1179" s="1" t="str">
        <f aca="false">VLOOKUP(D1179,'Team Reference'!$A:$B,2,FALSE())</f>
        <v>CAR</v>
      </c>
      <c r="N1179" s="1" t="str">
        <f aca="false">VLOOKUP(E1179,'Team Reference'!$A:$B,2,FALSE())</f>
        <v>SEA</v>
      </c>
      <c r="O1179" s="1" t="str">
        <f aca="false">IF(F1179&gt;G1179,M1179,IF(G1179&gt;F1179,N1179,"Tie"))</f>
        <v>SEA</v>
      </c>
      <c r="P1179" s="1" t="n">
        <f aca="false">F1179-G1179</f>
        <v>-4</v>
      </c>
      <c r="Q1179" s="1" t="n">
        <f aca="false">F1179+G1179</f>
        <v>22</v>
      </c>
      <c r="R1179" s="1" t="str">
        <f aca="false">IF(H1179=M1179,"Home",IF(H1179=N1179,"Away",IF(H1179="PICK","Pick","N/A")))</f>
        <v>Home</v>
      </c>
      <c r="S1179" s="1" t="n">
        <f aca="false">IF(R1179="Home",P1179,IF(R1179="Away",-P1179,""))</f>
        <v>-4</v>
      </c>
      <c r="T1179" s="1" t="str">
        <f aca="false">IF(R1179="Pick","No Line",IF(S1179="","N/A",IF(S1179+I1179&gt;0,"Favorite Covered",IF(S1179+I1179&lt;0,"Underdog Covered","Push"))))</f>
        <v>Underdog Covered</v>
      </c>
      <c r="U1179" s="1" t="str">
        <f aca="false">IF(Q1179&gt;J1179,"Over",IF(Q1179&lt;J1179,"Under","Push"))</f>
        <v>Under</v>
      </c>
    </row>
    <row r="1180" customFormat="false" ht="15" hidden="false" customHeight="false" outlineLevel="0" collapsed="false">
      <c r="A1180" s="1" t="s">
        <v>426</v>
      </c>
      <c r="B1180" s="1" t="n">
        <v>2014</v>
      </c>
      <c r="C1180" s="1" t="s">
        <v>194</v>
      </c>
      <c r="D1180" s="1" t="s">
        <v>65</v>
      </c>
      <c r="E1180" s="1" t="s">
        <v>57</v>
      </c>
      <c r="F1180" s="1" t="n">
        <v>27</v>
      </c>
      <c r="G1180" s="1" t="n">
        <v>24</v>
      </c>
      <c r="H1180" s="1" t="s">
        <v>66</v>
      </c>
      <c r="I1180" s="1" t="n">
        <v>-3</v>
      </c>
      <c r="J1180" s="1" t="n">
        <v>44.5</v>
      </c>
      <c r="K1180" s="1" t="s">
        <v>163</v>
      </c>
      <c r="L1180" s="1" t="b">
        <f aca="false">FALSE()</f>
        <v>0</v>
      </c>
      <c r="M1180" s="1" t="str">
        <f aca="false">VLOOKUP(D1180,'Team Reference'!$A:$B,2,FALSE())</f>
        <v>CIN</v>
      </c>
      <c r="N1180" s="1" t="str">
        <f aca="false">VLOOKUP(E1180,'Team Reference'!$A:$B,2,FALSE())</f>
        <v>BAL</v>
      </c>
      <c r="O1180" s="1" t="str">
        <f aca="false">IF(F1180&gt;G1180,M1180,IF(G1180&gt;F1180,N1180,"Tie"))</f>
        <v>CIN</v>
      </c>
      <c r="P1180" s="1" t="n">
        <f aca="false">F1180-G1180</f>
        <v>3</v>
      </c>
      <c r="Q1180" s="1" t="n">
        <f aca="false">F1180+G1180</f>
        <v>51</v>
      </c>
      <c r="R1180" s="1" t="str">
        <f aca="false">IF(H1180=M1180,"Home",IF(H1180=N1180,"Away",IF(H1180="PICK","Pick","N/A")))</f>
        <v>Home</v>
      </c>
      <c r="S1180" s="1" t="n">
        <f aca="false">IF(R1180="Home",P1180,IF(R1180="Away",-P1180,""))</f>
        <v>3</v>
      </c>
      <c r="T1180" s="1" t="str">
        <f aca="false">IF(R1180="Pick","No Line",IF(S1180="","N/A",IF(S1180+I1180&gt;0,"Favorite Covered",IF(S1180+I1180&lt;0,"Underdog Covered","Push"))))</f>
        <v>Push</v>
      </c>
      <c r="U1180" s="1" t="str">
        <f aca="false">IF(Q1180&gt;J1180,"Over",IF(Q1180&lt;J1180,"Under","Push"))</f>
        <v>Over</v>
      </c>
    </row>
    <row r="1181" customFormat="false" ht="15" hidden="false" customHeight="false" outlineLevel="0" collapsed="false">
      <c r="A1181" s="1" t="s">
        <v>426</v>
      </c>
      <c r="B1181" s="1" t="n">
        <v>2014</v>
      </c>
      <c r="C1181" s="1" t="s">
        <v>194</v>
      </c>
      <c r="D1181" s="1" t="s">
        <v>67</v>
      </c>
      <c r="E1181" s="1" t="s">
        <v>101</v>
      </c>
      <c r="F1181" s="1" t="n">
        <v>23</v>
      </c>
      <c r="G1181" s="1" t="n">
        <v>13</v>
      </c>
      <c r="H1181" s="1" t="s">
        <v>102</v>
      </c>
      <c r="I1181" s="1" t="n">
        <v>-6.5</v>
      </c>
      <c r="J1181" s="1" t="n">
        <v>44.5</v>
      </c>
      <c r="K1181" s="1" t="s">
        <v>164</v>
      </c>
      <c r="L1181" s="1" t="b">
        <f aca="false">FALSE()</f>
        <v>0</v>
      </c>
      <c r="M1181" s="1" t="str">
        <f aca="false">VLOOKUP(D1181,'Team Reference'!$A:$B,2,FALSE())</f>
        <v>CLE</v>
      </c>
      <c r="N1181" s="1" t="str">
        <f aca="false">VLOOKUP(E1181,'Team Reference'!$A:$B,2,FALSE())</f>
        <v>OAK</v>
      </c>
      <c r="O1181" s="1" t="str">
        <f aca="false">IF(F1181&gt;G1181,M1181,IF(G1181&gt;F1181,N1181,"Tie"))</f>
        <v>CLE</v>
      </c>
      <c r="P1181" s="1" t="n">
        <f aca="false">F1181-G1181</f>
        <v>10</v>
      </c>
      <c r="Q1181" s="1" t="n">
        <f aca="false">F1181+G1181</f>
        <v>36</v>
      </c>
      <c r="R1181" s="1" t="str">
        <f aca="false">IF(H1181=M1181,"Home",IF(H1181=N1181,"Away",IF(H1181="PICK","Pick","N/A")))</f>
        <v>Away</v>
      </c>
      <c r="S1181" s="1" t="n">
        <f aca="false">IF(R1181="Home",P1181,IF(R1181="Away",-P1181,""))</f>
        <v>-10</v>
      </c>
      <c r="T1181" s="1" t="str">
        <f aca="false">IF(R1181="Pick","No Line",IF(S1181="","N/A",IF(S1181+I1181&gt;0,"Favorite Covered",IF(S1181+I1181&lt;0,"Underdog Covered","Push"))))</f>
        <v>Underdog Covered</v>
      </c>
      <c r="U1181" s="1" t="str">
        <f aca="false">IF(Q1181&gt;J1181,"Over",IF(Q1181&lt;J1181,"Under","Push"))</f>
        <v>Under</v>
      </c>
    </row>
    <row r="1182" customFormat="false" ht="15" hidden="false" customHeight="false" outlineLevel="0" collapsed="false">
      <c r="A1182" s="1" t="s">
        <v>426</v>
      </c>
      <c r="B1182" s="1" t="n">
        <v>2014</v>
      </c>
      <c r="C1182" s="1" t="s">
        <v>194</v>
      </c>
      <c r="D1182" s="1" t="s">
        <v>81</v>
      </c>
      <c r="E1182" s="1" t="s">
        <v>89</v>
      </c>
      <c r="F1182" s="1" t="n">
        <v>13</v>
      </c>
      <c r="G1182" s="1" t="n">
        <v>27</v>
      </c>
      <c r="H1182" s="1" t="s">
        <v>82</v>
      </c>
      <c r="I1182" s="1" t="n">
        <v>-6.5</v>
      </c>
      <c r="J1182" s="1" t="n">
        <v>42</v>
      </c>
      <c r="K1182" s="1" t="s">
        <v>147</v>
      </c>
      <c r="L1182" s="1" t="b">
        <f aca="false">FALSE()</f>
        <v>0</v>
      </c>
      <c r="M1182" s="1" t="str">
        <f aca="false">VLOOKUP(D1182,'Team Reference'!$A:$B,2,FALSE())</f>
        <v>JAX</v>
      </c>
      <c r="N1182" s="1" t="str">
        <f aca="false">VLOOKUP(E1182,'Team Reference'!$A:$B,2,FALSE())</f>
        <v>MIA</v>
      </c>
      <c r="O1182" s="1" t="str">
        <f aca="false">IF(F1182&gt;G1182,M1182,IF(G1182&gt;F1182,N1182,"Tie"))</f>
        <v>MIA</v>
      </c>
      <c r="P1182" s="1" t="n">
        <f aca="false">F1182-G1182</f>
        <v>-14</v>
      </c>
      <c r="Q1182" s="1" t="n">
        <f aca="false">F1182+G1182</f>
        <v>40</v>
      </c>
      <c r="R1182" s="1" t="str">
        <f aca="false">IF(H1182=M1182,"Home",IF(H1182=N1182,"Away",IF(H1182="PICK","Pick","N/A")))</f>
        <v>Home</v>
      </c>
      <c r="S1182" s="1" t="n">
        <f aca="false">IF(R1182="Home",P1182,IF(R1182="Away",-P1182,""))</f>
        <v>-14</v>
      </c>
      <c r="T1182" s="1" t="str">
        <f aca="false">IF(R1182="Pick","No Line",IF(S1182="","N/A",IF(S1182+I1182&gt;0,"Favorite Covered",IF(S1182+I1182&lt;0,"Underdog Covered","Push"))))</f>
        <v>Underdog Covered</v>
      </c>
      <c r="U1182" s="1" t="str">
        <f aca="false">IF(Q1182&gt;J1182,"Over",IF(Q1182&lt;J1182,"Under","Push"))</f>
        <v>Under</v>
      </c>
    </row>
    <row r="1183" customFormat="false" ht="15" hidden="false" customHeight="false" outlineLevel="0" collapsed="false">
      <c r="A1183" s="1" t="s">
        <v>426</v>
      </c>
      <c r="B1183" s="1" t="n">
        <v>2014</v>
      </c>
      <c r="C1183" s="1" t="s">
        <v>194</v>
      </c>
      <c r="D1183" s="1" t="s">
        <v>83</v>
      </c>
      <c r="E1183" s="1" t="s">
        <v>112</v>
      </c>
      <c r="F1183" s="1" t="n">
        <v>34</v>
      </c>
      <c r="G1183" s="1" t="n">
        <v>7</v>
      </c>
      <c r="H1183" s="1" t="s">
        <v>88</v>
      </c>
      <c r="I1183" s="1" t="n">
        <v>-7</v>
      </c>
      <c r="J1183" s="1" t="n">
        <v>44</v>
      </c>
      <c r="K1183" s="1" t="s">
        <v>158</v>
      </c>
      <c r="L1183" s="1" t="b">
        <f aca="false">FALSE()</f>
        <v>0</v>
      </c>
      <c r="M1183" s="1" t="str">
        <f aca="false">VLOOKUP(D1183,'Team Reference'!$A:$B,2,FALSE())</f>
        <v>KC</v>
      </c>
      <c r="N1183" s="1" t="str">
        <f aca="false">VLOOKUP(E1183,'Team Reference'!$A:$B,2,FALSE())</f>
        <v>LAR</v>
      </c>
      <c r="O1183" s="1" t="str">
        <f aca="false">IF(F1183&gt;G1183,M1183,IF(G1183&gt;F1183,N1183,"Tie"))</f>
        <v>KC</v>
      </c>
      <c r="P1183" s="1" t="n">
        <f aca="false">F1183-G1183</f>
        <v>27</v>
      </c>
      <c r="Q1183" s="1" t="n">
        <f aca="false">F1183+G1183</f>
        <v>41</v>
      </c>
      <c r="R1183" s="1" t="str">
        <f aca="false">IF(H1183=M1183,"Home",IF(H1183=N1183,"Away",IF(H1183="PICK","Pick","N/A")))</f>
        <v>Away</v>
      </c>
      <c r="S1183" s="1" t="n">
        <f aca="false">IF(R1183="Home",P1183,IF(R1183="Away",-P1183,""))</f>
        <v>-27</v>
      </c>
      <c r="T1183" s="1" t="str">
        <f aca="false">IF(R1183="Pick","No Line",IF(S1183="","N/A",IF(S1183+I1183&gt;0,"Favorite Covered",IF(S1183+I1183&lt;0,"Underdog Covered","Push"))))</f>
        <v>Underdog Covered</v>
      </c>
      <c r="U1183" s="1" t="str">
        <f aca="false">IF(Q1183&gt;J1183,"Over",IF(Q1183&lt;J1183,"Under","Push"))</f>
        <v>Under</v>
      </c>
    </row>
    <row r="1184" customFormat="false" ht="15" hidden="false" customHeight="false" outlineLevel="0" collapsed="false">
      <c r="A1184" s="1" t="s">
        <v>426</v>
      </c>
      <c r="B1184" s="1" t="n">
        <v>2014</v>
      </c>
      <c r="C1184" s="1" t="s">
        <v>194</v>
      </c>
      <c r="D1184" s="1" t="s">
        <v>93</v>
      </c>
      <c r="E1184" s="1" t="s">
        <v>63</v>
      </c>
      <c r="F1184" s="1" t="n">
        <v>51</v>
      </c>
      <c r="G1184" s="1" t="n">
        <v>23</v>
      </c>
      <c r="H1184" s="1" t="s">
        <v>64</v>
      </c>
      <c r="I1184" s="1" t="n">
        <v>-6</v>
      </c>
      <c r="J1184" s="1" t="n">
        <v>52</v>
      </c>
      <c r="K1184" s="1" t="s">
        <v>148</v>
      </c>
      <c r="L1184" s="1" t="b">
        <f aca="false">FALSE()</f>
        <v>0</v>
      </c>
      <c r="M1184" s="1" t="str">
        <f aca="false">VLOOKUP(D1184,'Team Reference'!$A:$B,2,FALSE())</f>
        <v>NE</v>
      </c>
      <c r="N1184" s="1" t="str">
        <f aca="false">VLOOKUP(E1184,'Team Reference'!$A:$B,2,FALSE())</f>
        <v>CHI</v>
      </c>
      <c r="O1184" s="1" t="str">
        <f aca="false">IF(F1184&gt;G1184,M1184,IF(G1184&gt;F1184,N1184,"Tie"))</f>
        <v>NE</v>
      </c>
      <c r="P1184" s="1" t="n">
        <f aca="false">F1184-G1184</f>
        <v>28</v>
      </c>
      <c r="Q1184" s="1" t="n">
        <f aca="false">F1184+G1184</f>
        <v>74</v>
      </c>
      <c r="R1184" s="1" t="str">
        <f aca="false">IF(H1184=M1184,"Home",IF(H1184=N1184,"Away",IF(H1184="PICK","Pick","N/A")))</f>
        <v>Away</v>
      </c>
      <c r="S1184" s="1" t="n">
        <f aca="false">IF(R1184="Home",P1184,IF(R1184="Away",-P1184,""))</f>
        <v>-28</v>
      </c>
      <c r="T1184" s="1" t="str">
        <f aca="false">IF(R1184="Pick","No Line",IF(S1184="","N/A",IF(S1184+I1184&gt;0,"Favorite Covered",IF(S1184+I1184&lt;0,"Underdog Covered","Push"))))</f>
        <v>Underdog Covered</v>
      </c>
      <c r="U1184" s="1" t="str">
        <f aca="false">IF(Q1184&gt;J1184,"Over",IF(Q1184&lt;J1184,"Under","Push"))</f>
        <v>Over</v>
      </c>
    </row>
    <row r="1185" customFormat="false" ht="15" hidden="false" customHeight="false" outlineLevel="0" collapsed="false">
      <c r="A1185" s="1" t="s">
        <v>426</v>
      </c>
      <c r="B1185" s="1" t="n">
        <v>2014</v>
      </c>
      <c r="C1185" s="1" t="s">
        <v>194</v>
      </c>
      <c r="D1185" s="1" t="s">
        <v>95</v>
      </c>
      <c r="E1185" s="1" t="s">
        <v>75</v>
      </c>
      <c r="F1185" s="1" t="n">
        <v>44</v>
      </c>
      <c r="G1185" s="1" t="n">
        <v>23</v>
      </c>
      <c r="H1185" s="1" t="s">
        <v>76</v>
      </c>
      <c r="I1185" s="1" t="n">
        <v>-2</v>
      </c>
      <c r="J1185" s="1" t="n">
        <v>55.5</v>
      </c>
      <c r="K1185" s="1" t="s">
        <v>142</v>
      </c>
      <c r="L1185" s="1" t="b">
        <f aca="false">FALSE()</f>
        <v>0</v>
      </c>
      <c r="M1185" s="1" t="str">
        <f aca="false">VLOOKUP(D1185,'Team Reference'!$A:$B,2,FALSE())</f>
        <v>NO</v>
      </c>
      <c r="N1185" s="1" t="str">
        <f aca="false">VLOOKUP(E1185,'Team Reference'!$A:$B,2,FALSE())</f>
        <v>GB</v>
      </c>
      <c r="O1185" s="1" t="str">
        <f aca="false">IF(F1185&gt;G1185,M1185,IF(G1185&gt;F1185,N1185,"Tie"))</f>
        <v>NO</v>
      </c>
      <c r="P1185" s="1" t="n">
        <f aca="false">F1185-G1185</f>
        <v>21</v>
      </c>
      <c r="Q1185" s="1" t="n">
        <f aca="false">F1185+G1185</f>
        <v>67</v>
      </c>
      <c r="R1185" s="1" t="str">
        <f aca="false">IF(H1185=M1185,"Home",IF(H1185=N1185,"Away",IF(H1185="PICK","Pick","N/A")))</f>
        <v>Away</v>
      </c>
      <c r="S1185" s="1" t="n">
        <f aca="false">IF(R1185="Home",P1185,IF(R1185="Away",-P1185,""))</f>
        <v>-21</v>
      </c>
      <c r="T1185" s="1" t="str">
        <f aca="false">IF(R1185="Pick","No Line",IF(S1185="","N/A",IF(S1185+I1185&gt;0,"Favorite Covered",IF(S1185+I1185&lt;0,"Underdog Covered","Push"))))</f>
        <v>Underdog Covered</v>
      </c>
      <c r="U1185" s="1" t="str">
        <f aca="false">IF(Q1185&gt;J1185,"Over",IF(Q1185&lt;J1185,"Under","Push"))</f>
        <v>Over</v>
      </c>
    </row>
    <row r="1186" customFormat="false" ht="15" hidden="false" customHeight="false" outlineLevel="0" collapsed="false">
      <c r="A1186" s="1" t="s">
        <v>426</v>
      </c>
      <c r="B1186" s="1" t="n">
        <v>2014</v>
      </c>
      <c r="C1186" s="1" t="s">
        <v>194</v>
      </c>
      <c r="D1186" s="1" t="s">
        <v>99</v>
      </c>
      <c r="E1186" s="1" t="s">
        <v>59</v>
      </c>
      <c r="F1186" s="1" t="n">
        <v>23</v>
      </c>
      <c r="G1186" s="1" t="n">
        <v>43</v>
      </c>
      <c r="H1186" s="1" t="s">
        <v>60</v>
      </c>
      <c r="I1186" s="1" t="n">
        <v>-3</v>
      </c>
      <c r="J1186" s="1" t="n">
        <v>40.5</v>
      </c>
      <c r="K1186" s="1" t="s">
        <v>149</v>
      </c>
      <c r="L1186" s="1" t="b">
        <f aca="false">FALSE()</f>
        <v>0</v>
      </c>
      <c r="M1186" s="1" t="str">
        <f aca="false">VLOOKUP(D1186,'Team Reference'!$A:$B,2,FALSE())</f>
        <v>NYJ</v>
      </c>
      <c r="N1186" s="1" t="str">
        <f aca="false">VLOOKUP(E1186,'Team Reference'!$A:$B,2,FALSE())</f>
        <v>BUF</v>
      </c>
      <c r="O1186" s="1" t="str">
        <f aca="false">IF(F1186&gt;G1186,M1186,IF(G1186&gt;F1186,N1186,"Tie"))</f>
        <v>BUF</v>
      </c>
      <c r="P1186" s="1" t="n">
        <f aca="false">F1186-G1186</f>
        <v>-20</v>
      </c>
      <c r="Q1186" s="1" t="n">
        <f aca="false">F1186+G1186</f>
        <v>66</v>
      </c>
      <c r="R1186" s="1" t="str">
        <f aca="false">IF(H1186=M1186,"Home",IF(H1186=N1186,"Away",IF(H1186="PICK","Pick","N/A")))</f>
        <v>Away</v>
      </c>
      <c r="S1186" s="1" t="n">
        <f aca="false">IF(R1186="Home",P1186,IF(R1186="Away",-P1186,""))</f>
        <v>20</v>
      </c>
      <c r="T1186" s="1" t="str">
        <f aca="false">IF(R1186="Pick","No Line",IF(S1186="","N/A",IF(S1186+I1186&gt;0,"Favorite Covered",IF(S1186+I1186&lt;0,"Underdog Covered","Push"))))</f>
        <v>Favorite Covered</v>
      </c>
      <c r="U1186" s="1" t="str">
        <f aca="false">IF(Q1186&gt;J1186,"Over",IF(Q1186&lt;J1186,"Under","Push"))</f>
        <v>Over</v>
      </c>
    </row>
    <row r="1187" customFormat="false" ht="15" hidden="false" customHeight="false" outlineLevel="0" collapsed="false">
      <c r="A1187" s="1" t="s">
        <v>426</v>
      </c>
      <c r="B1187" s="1" t="n">
        <v>2014</v>
      </c>
      <c r="C1187" s="1" t="s">
        <v>194</v>
      </c>
      <c r="D1187" s="1" t="s">
        <v>105</v>
      </c>
      <c r="E1187" s="1" t="s">
        <v>79</v>
      </c>
      <c r="F1187" s="1" t="n">
        <v>51</v>
      </c>
      <c r="G1187" s="1" t="n">
        <v>34</v>
      </c>
      <c r="H1187" s="1" t="s">
        <v>106</v>
      </c>
      <c r="I1187" s="1" t="n">
        <v>-4.5</v>
      </c>
      <c r="J1187" s="1" t="n">
        <v>48.5</v>
      </c>
      <c r="K1187" s="1" t="s">
        <v>151</v>
      </c>
      <c r="L1187" s="1" t="b">
        <f aca="false">FALSE()</f>
        <v>0</v>
      </c>
      <c r="M1187" s="1" t="str">
        <f aca="false">VLOOKUP(D1187,'Team Reference'!$A:$B,2,FALSE())</f>
        <v>PIT</v>
      </c>
      <c r="N1187" s="1" t="str">
        <f aca="false">VLOOKUP(E1187,'Team Reference'!$A:$B,2,FALSE())</f>
        <v>IND</v>
      </c>
      <c r="O1187" s="1" t="str">
        <f aca="false">IF(F1187&gt;G1187,M1187,IF(G1187&gt;F1187,N1187,"Tie"))</f>
        <v>PIT</v>
      </c>
      <c r="P1187" s="1" t="n">
        <f aca="false">F1187-G1187</f>
        <v>17</v>
      </c>
      <c r="Q1187" s="1" t="n">
        <f aca="false">F1187+G1187</f>
        <v>85</v>
      </c>
      <c r="R1187" s="1" t="str">
        <f aca="false">IF(H1187=M1187,"Home",IF(H1187=N1187,"Away",IF(H1187="PICK","Pick","N/A")))</f>
        <v>Home</v>
      </c>
      <c r="S1187" s="1" t="n">
        <f aca="false">IF(R1187="Home",P1187,IF(R1187="Away",-P1187,""))</f>
        <v>17</v>
      </c>
      <c r="T1187" s="1" t="str">
        <f aca="false">IF(R1187="Pick","No Line",IF(S1187="","N/A",IF(S1187+I1187&gt;0,"Favorite Covered",IF(S1187+I1187&lt;0,"Underdog Covered","Push"))))</f>
        <v>Favorite Covered</v>
      </c>
      <c r="U1187" s="1" t="str">
        <f aca="false">IF(Q1187&gt;J1187,"Over",IF(Q1187&lt;J1187,"Under","Push"))</f>
        <v>Over</v>
      </c>
    </row>
    <row r="1188" customFormat="false" ht="15" hidden="false" customHeight="false" outlineLevel="0" collapsed="false">
      <c r="A1188" s="1" t="s">
        <v>426</v>
      </c>
      <c r="B1188" s="1" t="n">
        <v>2014</v>
      </c>
      <c r="C1188" s="1" t="s">
        <v>194</v>
      </c>
      <c r="D1188" s="1" t="s">
        <v>113</v>
      </c>
      <c r="E1188" s="1" t="s">
        <v>91</v>
      </c>
      <c r="F1188" s="1" t="n">
        <v>13</v>
      </c>
      <c r="G1188" s="1" t="n">
        <v>19</v>
      </c>
      <c r="H1188" s="1" t="s">
        <v>92</v>
      </c>
      <c r="I1188" s="1" t="n">
        <v>-1.5</v>
      </c>
      <c r="J1188" s="1" t="n">
        <v>43</v>
      </c>
      <c r="K1188" s="1" t="s">
        <v>154</v>
      </c>
      <c r="L1188" s="1" t="b">
        <f aca="false">FALSE()</f>
        <v>0</v>
      </c>
      <c r="M1188" s="1" t="str">
        <f aca="false">VLOOKUP(D1188,'Team Reference'!$A:$B,2,FALSE())</f>
        <v>TB</v>
      </c>
      <c r="N1188" s="1" t="str">
        <f aca="false">VLOOKUP(E1188,'Team Reference'!$A:$B,2,FALSE())</f>
        <v>MIN</v>
      </c>
      <c r="O1188" s="1" t="str">
        <f aca="false">IF(F1188&gt;G1188,M1188,IF(G1188&gt;F1188,N1188,"Tie"))</f>
        <v>MIN</v>
      </c>
      <c r="P1188" s="1" t="n">
        <f aca="false">F1188-G1188</f>
        <v>-6</v>
      </c>
      <c r="Q1188" s="1" t="n">
        <f aca="false">F1188+G1188</f>
        <v>32</v>
      </c>
      <c r="R1188" s="1" t="str">
        <f aca="false">IF(H1188=M1188,"Home",IF(H1188=N1188,"Away",IF(H1188="PICK","Pick","N/A")))</f>
        <v>Away</v>
      </c>
      <c r="S1188" s="1" t="n">
        <f aca="false">IF(R1188="Home",P1188,IF(R1188="Away",-P1188,""))</f>
        <v>6</v>
      </c>
      <c r="T1188" s="1" t="str">
        <f aca="false">IF(R1188="Pick","No Line",IF(S1188="","N/A",IF(S1188+I1188&gt;0,"Favorite Covered",IF(S1188+I1188&lt;0,"Underdog Covered","Push"))))</f>
        <v>Favorite Covered</v>
      </c>
      <c r="U1188" s="1" t="str">
        <f aca="false">IF(Q1188&gt;J1188,"Over",IF(Q1188&lt;J1188,"Under","Push"))</f>
        <v>Under</v>
      </c>
    </row>
    <row r="1189" customFormat="false" ht="15" hidden="false" customHeight="false" outlineLevel="0" collapsed="false">
      <c r="A1189" s="1" t="s">
        <v>426</v>
      </c>
      <c r="B1189" s="1" t="n">
        <v>2014</v>
      </c>
      <c r="C1189" s="1" t="s">
        <v>194</v>
      </c>
      <c r="D1189" s="1" t="s">
        <v>115</v>
      </c>
      <c r="E1189" s="1" t="s">
        <v>77</v>
      </c>
      <c r="F1189" s="1" t="n">
        <v>16</v>
      </c>
      <c r="G1189" s="1" t="n">
        <v>30</v>
      </c>
      <c r="H1189" s="1" t="s">
        <v>116</v>
      </c>
      <c r="I1189" s="1" t="n">
        <v>-3.5</v>
      </c>
      <c r="J1189" s="1" t="n">
        <v>43</v>
      </c>
      <c r="K1189" s="1" t="s">
        <v>155</v>
      </c>
      <c r="L1189" s="1" t="b">
        <f aca="false">FALSE()</f>
        <v>0</v>
      </c>
      <c r="M1189" s="1" t="str">
        <f aca="false">VLOOKUP(D1189,'Team Reference'!$A:$B,2,FALSE())</f>
        <v>TEN</v>
      </c>
      <c r="N1189" s="1" t="str">
        <f aca="false">VLOOKUP(E1189,'Team Reference'!$A:$B,2,FALSE())</f>
        <v>HOU</v>
      </c>
      <c r="O1189" s="1" t="str">
        <f aca="false">IF(F1189&gt;G1189,M1189,IF(G1189&gt;F1189,N1189,"Tie"))</f>
        <v>HOU</v>
      </c>
      <c r="P1189" s="1" t="n">
        <f aca="false">F1189-G1189</f>
        <v>-14</v>
      </c>
      <c r="Q1189" s="1" t="n">
        <f aca="false">F1189+G1189</f>
        <v>46</v>
      </c>
      <c r="R1189" s="1" t="str">
        <f aca="false">IF(H1189=M1189,"Home",IF(H1189=N1189,"Away",IF(H1189="PICK","Pick","N/A")))</f>
        <v>Home</v>
      </c>
      <c r="S1189" s="1" t="n">
        <f aca="false">IF(R1189="Home",P1189,IF(R1189="Away",-P1189,""))</f>
        <v>-14</v>
      </c>
      <c r="T1189" s="1" t="str">
        <f aca="false">IF(R1189="Pick","No Line",IF(S1189="","N/A",IF(S1189+I1189&gt;0,"Favorite Covered",IF(S1189+I1189&lt;0,"Underdog Covered","Push"))))</f>
        <v>Underdog Covered</v>
      </c>
      <c r="U1189" s="1" t="str">
        <f aca="false">IF(Q1189&gt;J1189,"Over",IF(Q1189&lt;J1189,"Under","Push"))</f>
        <v>Over</v>
      </c>
    </row>
    <row r="1190" customFormat="false" ht="15" hidden="false" customHeight="false" outlineLevel="0" collapsed="false">
      <c r="A1190" s="1" t="s">
        <v>427</v>
      </c>
      <c r="B1190" s="1" t="n">
        <v>2014</v>
      </c>
      <c r="C1190" s="1" t="s">
        <v>194</v>
      </c>
      <c r="D1190" s="1" t="s">
        <v>69</v>
      </c>
      <c r="E1190" s="1" t="s">
        <v>117</v>
      </c>
      <c r="F1190" s="1" t="n">
        <v>17</v>
      </c>
      <c r="G1190" s="1" t="n">
        <v>20</v>
      </c>
      <c r="H1190" s="1" t="s">
        <v>118</v>
      </c>
      <c r="I1190" s="1" t="n">
        <v>-9.5</v>
      </c>
      <c r="J1190" s="1" t="n">
        <v>49</v>
      </c>
      <c r="K1190" s="1" t="s">
        <v>165</v>
      </c>
      <c r="L1190" s="1" t="b">
        <f aca="false">FALSE()</f>
        <v>0</v>
      </c>
      <c r="M1190" s="1" t="str">
        <f aca="false">VLOOKUP(D1190,'Team Reference'!$A:$B,2,FALSE())</f>
        <v>DAL</v>
      </c>
      <c r="N1190" s="1" t="str">
        <f aca="false">VLOOKUP(E1190,'Team Reference'!$A:$B,2,FALSE())</f>
        <v>WAS</v>
      </c>
      <c r="O1190" s="1" t="str">
        <f aca="false">IF(F1190&gt;G1190,M1190,IF(G1190&gt;F1190,N1190,"Tie"))</f>
        <v>WAS</v>
      </c>
      <c r="P1190" s="1" t="n">
        <f aca="false">F1190-G1190</f>
        <v>-3</v>
      </c>
      <c r="Q1190" s="1" t="n">
        <f aca="false">F1190+G1190</f>
        <v>37</v>
      </c>
      <c r="R1190" s="1" t="str">
        <f aca="false">IF(H1190=M1190,"Home",IF(H1190=N1190,"Away",IF(H1190="PICK","Pick","N/A")))</f>
        <v>Away</v>
      </c>
      <c r="S1190" s="1" t="n">
        <f aca="false">IF(R1190="Home",P1190,IF(R1190="Away",-P1190,""))</f>
        <v>3</v>
      </c>
      <c r="T1190" s="1" t="str">
        <f aca="false">IF(R1190="Pick","No Line",IF(S1190="","N/A",IF(S1190+I1190&gt;0,"Favorite Covered",IF(S1190+I1190&lt;0,"Underdog Covered","Push"))))</f>
        <v>Underdog Covered</v>
      </c>
      <c r="U1190" s="1" t="str">
        <f aca="false">IF(Q1190&gt;J1190,"Over",IF(Q1190&lt;J1190,"Under","Push"))</f>
        <v>Under</v>
      </c>
    </row>
    <row r="1191" customFormat="false" ht="15" hidden="false" customHeight="false" outlineLevel="0" collapsed="false">
      <c r="A1191" s="1" t="s">
        <v>428</v>
      </c>
      <c r="B1191" s="1" t="n">
        <v>2014</v>
      </c>
      <c r="C1191" s="1" t="s">
        <v>198</v>
      </c>
      <c r="D1191" s="1" t="s">
        <v>61</v>
      </c>
      <c r="E1191" s="1" t="s">
        <v>95</v>
      </c>
      <c r="F1191" s="1" t="n">
        <v>10</v>
      </c>
      <c r="G1191" s="1" t="n">
        <v>28</v>
      </c>
      <c r="H1191" s="1" t="s">
        <v>62</v>
      </c>
      <c r="I1191" s="1" t="n">
        <v>-3</v>
      </c>
      <c r="J1191" s="1" t="n">
        <v>49</v>
      </c>
      <c r="K1191" s="1" t="s">
        <v>162</v>
      </c>
      <c r="L1191" s="1" t="b">
        <f aca="false">FALSE()</f>
        <v>0</v>
      </c>
      <c r="M1191" s="1" t="str">
        <f aca="false">VLOOKUP(D1191,'Team Reference'!$A:$B,2,FALSE())</f>
        <v>CAR</v>
      </c>
      <c r="N1191" s="1" t="str">
        <f aca="false">VLOOKUP(E1191,'Team Reference'!$A:$B,2,FALSE())</f>
        <v>NO</v>
      </c>
      <c r="O1191" s="1" t="str">
        <f aca="false">IF(F1191&gt;G1191,M1191,IF(G1191&gt;F1191,N1191,"Tie"))</f>
        <v>NO</v>
      </c>
      <c r="P1191" s="1" t="n">
        <f aca="false">F1191-G1191</f>
        <v>-18</v>
      </c>
      <c r="Q1191" s="1" t="n">
        <f aca="false">F1191+G1191</f>
        <v>38</v>
      </c>
      <c r="R1191" s="1" t="str">
        <f aca="false">IF(H1191=M1191,"Home",IF(H1191=N1191,"Away",IF(H1191="PICK","Pick","N/A")))</f>
        <v>Home</v>
      </c>
      <c r="S1191" s="1" t="n">
        <f aca="false">IF(R1191="Home",P1191,IF(R1191="Away",-P1191,""))</f>
        <v>-18</v>
      </c>
      <c r="T1191" s="1" t="str">
        <f aca="false">IF(R1191="Pick","No Line",IF(S1191="","N/A",IF(S1191+I1191&gt;0,"Favorite Covered",IF(S1191+I1191&lt;0,"Underdog Covered","Push"))))</f>
        <v>Underdog Covered</v>
      </c>
      <c r="U1191" s="1" t="str">
        <f aca="false">IF(Q1191&gt;J1191,"Over",IF(Q1191&lt;J1191,"Under","Push"))</f>
        <v>Under</v>
      </c>
    </row>
    <row r="1192" customFormat="false" ht="15" hidden="false" customHeight="false" outlineLevel="0" collapsed="false">
      <c r="A1192" s="1" t="s">
        <v>429</v>
      </c>
      <c r="B1192" s="1" t="n">
        <v>2014</v>
      </c>
      <c r="C1192" s="1" t="s">
        <v>198</v>
      </c>
      <c r="D1192" s="1" t="s">
        <v>65</v>
      </c>
      <c r="E1192" s="1" t="s">
        <v>81</v>
      </c>
      <c r="F1192" s="1" t="n">
        <v>33</v>
      </c>
      <c r="G1192" s="1" t="n">
        <v>23</v>
      </c>
      <c r="H1192" s="1" t="s">
        <v>82</v>
      </c>
      <c r="I1192" s="1" t="n">
        <v>-10</v>
      </c>
      <c r="J1192" s="1" t="n">
        <v>43.5</v>
      </c>
      <c r="K1192" s="1" t="s">
        <v>163</v>
      </c>
      <c r="L1192" s="1" t="b">
        <f aca="false">FALSE()</f>
        <v>0</v>
      </c>
      <c r="M1192" s="1" t="str">
        <f aca="false">VLOOKUP(D1192,'Team Reference'!$A:$B,2,FALSE())</f>
        <v>CIN</v>
      </c>
      <c r="N1192" s="1" t="str">
        <f aca="false">VLOOKUP(E1192,'Team Reference'!$A:$B,2,FALSE())</f>
        <v>JAX</v>
      </c>
      <c r="O1192" s="1" t="str">
        <f aca="false">IF(F1192&gt;G1192,M1192,IF(G1192&gt;F1192,N1192,"Tie"))</f>
        <v>CIN</v>
      </c>
      <c r="P1192" s="1" t="n">
        <f aca="false">F1192-G1192</f>
        <v>10</v>
      </c>
      <c r="Q1192" s="1" t="n">
        <f aca="false">F1192+G1192</f>
        <v>56</v>
      </c>
      <c r="R1192" s="1" t="str">
        <f aca="false">IF(H1192=M1192,"Home",IF(H1192=N1192,"Away",IF(H1192="PICK","Pick","N/A")))</f>
        <v>Away</v>
      </c>
      <c r="S1192" s="1" t="n">
        <f aca="false">IF(R1192="Home",P1192,IF(R1192="Away",-P1192,""))</f>
        <v>-10</v>
      </c>
      <c r="T1192" s="1" t="str">
        <f aca="false">IF(R1192="Pick","No Line",IF(S1192="","N/A",IF(S1192+I1192&gt;0,"Favorite Covered",IF(S1192+I1192&lt;0,"Underdog Covered","Push"))))</f>
        <v>Underdog Covered</v>
      </c>
      <c r="U1192" s="1" t="str">
        <f aca="false">IF(Q1192&gt;J1192,"Over",IF(Q1192&lt;J1192,"Under","Push"))</f>
        <v>Over</v>
      </c>
    </row>
    <row r="1193" customFormat="false" ht="15" hidden="false" customHeight="false" outlineLevel="0" collapsed="false">
      <c r="A1193" s="1" t="s">
        <v>429</v>
      </c>
      <c r="B1193" s="1" t="n">
        <v>2014</v>
      </c>
      <c r="C1193" s="1" t="s">
        <v>198</v>
      </c>
      <c r="D1193" s="1" t="s">
        <v>67</v>
      </c>
      <c r="E1193" s="1" t="s">
        <v>113</v>
      </c>
      <c r="F1193" s="1" t="n">
        <v>22</v>
      </c>
      <c r="G1193" s="1" t="n">
        <v>17</v>
      </c>
      <c r="H1193" s="1" t="s">
        <v>114</v>
      </c>
      <c r="I1193" s="1" t="n">
        <v>-7</v>
      </c>
      <c r="J1193" s="1" t="n">
        <v>44</v>
      </c>
      <c r="K1193" s="1" t="s">
        <v>164</v>
      </c>
      <c r="L1193" s="1" t="b">
        <f aca="false">FALSE()</f>
        <v>0</v>
      </c>
      <c r="M1193" s="1" t="str">
        <f aca="false">VLOOKUP(D1193,'Team Reference'!$A:$B,2,FALSE())</f>
        <v>CLE</v>
      </c>
      <c r="N1193" s="1" t="str">
        <f aca="false">VLOOKUP(E1193,'Team Reference'!$A:$B,2,FALSE())</f>
        <v>TB</v>
      </c>
      <c r="O1193" s="1" t="str">
        <f aca="false">IF(F1193&gt;G1193,M1193,IF(G1193&gt;F1193,N1193,"Tie"))</f>
        <v>CLE</v>
      </c>
      <c r="P1193" s="1" t="n">
        <f aca="false">F1193-G1193</f>
        <v>5</v>
      </c>
      <c r="Q1193" s="1" t="n">
        <f aca="false">F1193+G1193</f>
        <v>39</v>
      </c>
      <c r="R1193" s="1" t="str">
        <f aca="false">IF(H1193=M1193,"Home",IF(H1193=N1193,"Away",IF(H1193="PICK","Pick","N/A")))</f>
        <v>Away</v>
      </c>
      <c r="S1193" s="1" t="n">
        <f aca="false">IF(R1193="Home",P1193,IF(R1193="Away",-P1193,""))</f>
        <v>-5</v>
      </c>
      <c r="T1193" s="1" t="str">
        <f aca="false">IF(R1193="Pick","No Line",IF(S1193="","N/A",IF(S1193+I1193&gt;0,"Favorite Covered",IF(S1193+I1193&lt;0,"Underdog Covered","Push"))))</f>
        <v>Underdog Covered</v>
      </c>
      <c r="U1193" s="1" t="str">
        <f aca="false">IF(Q1193&gt;J1193,"Over",IF(Q1193&lt;J1193,"Under","Push"))</f>
        <v>Under</v>
      </c>
    </row>
    <row r="1194" customFormat="false" ht="15" hidden="false" customHeight="false" outlineLevel="0" collapsed="false">
      <c r="A1194" s="1" t="s">
        <v>429</v>
      </c>
      <c r="B1194" s="1" t="n">
        <v>2014</v>
      </c>
      <c r="C1194" s="1" t="s">
        <v>198</v>
      </c>
      <c r="D1194" s="1" t="s">
        <v>69</v>
      </c>
      <c r="E1194" s="1" t="s">
        <v>53</v>
      </c>
      <c r="F1194" s="1" t="n">
        <v>17</v>
      </c>
      <c r="G1194" s="1" t="n">
        <v>28</v>
      </c>
      <c r="H1194" s="1" t="s">
        <v>54</v>
      </c>
      <c r="I1194" s="1" t="n">
        <v>-1.5</v>
      </c>
      <c r="J1194" s="1" t="n">
        <v>45</v>
      </c>
      <c r="K1194" s="1" t="s">
        <v>165</v>
      </c>
      <c r="L1194" s="1" t="b">
        <f aca="false">FALSE()</f>
        <v>0</v>
      </c>
      <c r="M1194" s="1" t="str">
        <f aca="false">VLOOKUP(D1194,'Team Reference'!$A:$B,2,FALSE())</f>
        <v>DAL</v>
      </c>
      <c r="N1194" s="1" t="str">
        <f aca="false">VLOOKUP(E1194,'Team Reference'!$A:$B,2,FALSE())</f>
        <v>ARI</v>
      </c>
      <c r="O1194" s="1" t="str">
        <f aca="false">IF(F1194&gt;G1194,M1194,IF(G1194&gt;F1194,N1194,"Tie"))</f>
        <v>ARI</v>
      </c>
      <c r="P1194" s="1" t="n">
        <f aca="false">F1194-G1194</f>
        <v>-11</v>
      </c>
      <c r="Q1194" s="1" t="n">
        <f aca="false">F1194+G1194</f>
        <v>45</v>
      </c>
      <c r="R1194" s="1" t="str">
        <f aca="false">IF(H1194=M1194,"Home",IF(H1194=N1194,"Away",IF(H1194="PICK","Pick","N/A")))</f>
        <v>Away</v>
      </c>
      <c r="S1194" s="1" t="n">
        <f aca="false">IF(R1194="Home",P1194,IF(R1194="Away",-P1194,""))</f>
        <v>11</v>
      </c>
      <c r="T1194" s="1" t="str">
        <f aca="false">IF(R1194="Pick","No Line",IF(S1194="","N/A",IF(S1194+I1194&gt;0,"Favorite Covered",IF(S1194+I1194&lt;0,"Underdog Covered","Push"))))</f>
        <v>Favorite Covered</v>
      </c>
      <c r="U1194" s="1" t="str">
        <f aca="false">IF(Q1194&gt;J1194,"Over",IF(Q1194&lt;J1194,"Under","Push"))</f>
        <v>Push</v>
      </c>
    </row>
    <row r="1195" customFormat="false" ht="15" hidden="false" customHeight="false" outlineLevel="0" collapsed="false">
      <c r="A1195" s="1" t="s">
        <v>429</v>
      </c>
      <c r="B1195" s="1" t="n">
        <v>2014</v>
      </c>
      <c r="C1195" s="1" t="s">
        <v>198</v>
      </c>
      <c r="D1195" s="1" t="s">
        <v>77</v>
      </c>
      <c r="E1195" s="1" t="s">
        <v>103</v>
      </c>
      <c r="F1195" s="1" t="n">
        <v>21</v>
      </c>
      <c r="G1195" s="1" t="n">
        <v>31</v>
      </c>
      <c r="H1195" s="1" t="s">
        <v>78</v>
      </c>
      <c r="I1195" s="1" t="n">
        <v>-2</v>
      </c>
      <c r="J1195" s="1" t="n">
        <v>48.5</v>
      </c>
      <c r="K1195" s="1" t="s">
        <v>146</v>
      </c>
      <c r="L1195" s="1" t="b">
        <f aca="false">FALSE()</f>
        <v>0</v>
      </c>
      <c r="M1195" s="1" t="str">
        <f aca="false">VLOOKUP(D1195,'Team Reference'!$A:$B,2,FALSE())</f>
        <v>HOU</v>
      </c>
      <c r="N1195" s="1" t="str">
        <f aca="false">VLOOKUP(E1195,'Team Reference'!$A:$B,2,FALSE())</f>
        <v>PHI</v>
      </c>
      <c r="O1195" s="1" t="str">
        <f aca="false">IF(F1195&gt;G1195,M1195,IF(G1195&gt;F1195,N1195,"Tie"))</f>
        <v>PHI</v>
      </c>
      <c r="P1195" s="1" t="n">
        <f aca="false">F1195-G1195</f>
        <v>-10</v>
      </c>
      <c r="Q1195" s="1" t="n">
        <f aca="false">F1195+G1195</f>
        <v>52</v>
      </c>
      <c r="R1195" s="1" t="str">
        <f aca="false">IF(H1195=M1195,"Home",IF(H1195=N1195,"Away",IF(H1195="PICK","Pick","N/A")))</f>
        <v>Home</v>
      </c>
      <c r="S1195" s="1" t="n">
        <f aca="false">IF(R1195="Home",P1195,IF(R1195="Away",-P1195,""))</f>
        <v>-10</v>
      </c>
      <c r="T1195" s="1" t="str">
        <f aca="false">IF(R1195="Pick","No Line",IF(S1195="","N/A",IF(S1195+I1195&gt;0,"Favorite Covered",IF(S1195+I1195&lt;0,"Underdog Covered","Push"))))</f>
        <v>Underdog Covered</v>
      </c>
      <c r="U1195" s="1" t="str">
        <f aca="false">IF(Q1195&gt;J1195,"Over",IF(Q1195&lt;J1195,"Under","Push"))</f>
        <v>Over</v>
      </c>
    </row>
    <row r="1196" customFormat="false" ht="15" hidden="false" customHeight="false" outlineLevel="0" collapsed="false">
      <c r="A1196" s="1" t="s">
        <v>429</v>
      </c>
      <c r="B1196" s="1" t="n">
        <v>2014</v>
      </c>
      <c r="C1196" s="1" t="s">
        <v>198</v>
      </c>
      <c r="D1196" s="1" t="s">
        <v>83</v>
      </c>
      <c r="E1196" s="1" t="s">
        <v>99</v>
      </c>
      <c r="F1196" s="1" t="n">
        <v>24</v>
      </c>
      <c r="G1196" s="1" t="n">
        <v>10</v>
      </c>
      <c r="H1196" s="1" t="s">
        <v>100</v>
      </c>
      <c r="I1196" s="1" t="n">
        <v>-8.5</v>
      </c>
      <c r="J1196" s="1" t="n">
        <v>41.5</v>
      </c>
      <c r="K1196" s="1" t="s">
        <v>158</v>
      </c>
      <c r="L1196" s="1" t="b">
        <f aca="false">FALSE()</f>
        <v>0</v>
      </c>
      <c r="M1196" s="1" t="str">
        <f aca="false">VLOOKUP(D1196,'Team Reference'!$A:$B,2,FALSE())</f>
        <v>KC</v>
      </c>
      <c r="N1196" s="1" t="str">
        <f aca="false">VLOOKUP(E1196,'Team Reference'!$A:$B,2,FALSE())</f>
        <v>NYJ</v>
      </c>
      <c r="O1196" s="1" t="str">
        <f aca="false">IF(F1196&gt;G1196,M1196,IF(G1196&gt;F1196,N1196,"Tie"))</f>
        <v>KC</v>
      </c>
      <c r="P1196" s="1" t="n">
        <f aca="false">F1196-G1196</f>
        <v>14</v>
      </c>
      <c r="Q1196" s="1" t="n">
        <f aca="false">F1196+G1196</f>
        <v>34</v>
      </c>
      <c r="R1196" s="1" t="str">
        <f aca="false">IF(H1196=M1196,"Home",IF(H1196=N1196,"Away",IF(H1196="PICK","Pick","N/A")))</f>
        <v>Away</v>
      </c>
      <c r="S1196" s="1" t="n">
        <f aca="false">IF(R1196="Home",P1196,IF(R1196="Away",-P1196,""))</f>
        <v>-14</v>
      </c>
      <c r="T1196" s="1" t="str">
        <f aca="false">IF(R1196="Pick","No Line",IF(S1196="","N/A",IF(S1196+I1196&gt;0,"Favorite Covered",IF(S1196+I1196&lt;0,"Underdog Covered","Push"))))</f>
        <v>Underdog Covered</v>
      </c>
      <c r="U1196" s="1" t="str">
        <f aca="false">IF(Q1196&gt;J1196,"Over",IF(Q1196&lt;J1196,"Under","Push"))</f>
        <v>Under</v>
      </c>
    </row>
    <row r="1197" customFormat="false" ht="15" hidden="false" customHeight="false" outlineLevel="0" collapsed="false">
      <c r="A1197" s="1" t="s">
        <v>429</v>
      </c>
      <c r="B1197" s="1" t="n">
        <v>2014</v>
      </c>
      <c r="C1197" s="1" t="s">
        <v>198</v>
      </c>
      <c r="D1197" s="1" t="s">
        <v>89</v>
      </c>
      <c r="E1197" s="1" t="s">
        <v>107</v>
      </c>
      <c r="F1197" s="1" t="n">
        <v>37</v>
      </c>
      <c r="G1197" s="1" t="n">
        <v>0</v>
      </c>
      <c r="H1197" s="1" t="s">
        <v>86</v>
      </c>
      <c r="I1197" s="1" t="n">
        <v>-2.5</v>
      </c>
      <c r="J1197" s="1" t="n">
        <v>45</v>
      </c>
      <c r="K1197" s="1" t="s">
        <v>179</v>
      </c>
      <c r="L1197" s="1" t="b">
        <f aca="false">FALSE()</f>
        <v>0</v>
      </c>
      <c r="M1197" s="1" t="str">
        <f aca="false">VLOOKUP(D1197,'Team Reference'!$A:$B,2,FALSE())</f>
        <v>MIA</v>
      </c>
      <c r="N1197" s="1" t="str">
        <f aca="false">VLOOKUP(E1197,'Team Reference'!$A:$B,2,FALSE())</f>
        <v>LAC</v>
      </c>
      <c r="O1197" s="1" t="str">
        <f aca="false">IF(F1197&gt;G1197,M1197,IF(G1197&gt;F1197,N1197,"Tie"))</f>
        <v>MIA</v>
      </c>
      <c r="P1197" s="1" t="n">
        <f aca="false">F1197-G1197</f>
        <v>37</v>
      </c>
      <c r="Q1197" s="1" t="n">
        <f aca="false">F1197+G1197</f>
        <v>37</v>
      </c>
      <c r="R1197" s="1" t="str">
        <f aca="false">IF(H1197=M1197,"Home",IF(H1197=N1197,"Away",IF(H1197="PICK","Pick","N/A")))</f>
        <v>Away</v>
      </c>
      <c r="S1197" s="1" t="n">
        <f aca="false">IF(R1197="Home",P1197,IF(R1197="Away",-P1197,""))</f>
        <v>-37</v>
      </c>
      <c r="T1197" s="1" t="str">
        <f aca="false">IF(R1197="Pick","No Line",IF(S1197="","N/A",IF(S1197+I1197&gt;0,"Favorite Covered",IF(S1197+I1197&lt;0,"Underdog Covered","Push"))))</f>
        <v>Underdog Covered</v>
      </c>
      <c r="U1197" s="1" t="str">
        <f aca="false">IF(Q1197&gt;J1197,"Over",IF(Q1197&lt;J1197,"Under","Push"))</f>
        <v>Under</v>
      </c>
    </row>
    <row r="1198" customFormat="false" ht="15" hidden="false" customHeight="false" outlineLevel="0" collapsed="false">
      <c r="A1198" s="1" t="s">
        <v>429</v>
      </c>
      <c r="B1198" s="1" t="n">
        <v>2014</v>
      </c>
      <c r="C1198" s="1" t="s">
        <v>198</v>
      </c>
      <c r="D1198" s="1" t="s">
        <v>91</v>
      </c>
      <c r="E1198" s="1" t="s">
        <v>117</v>
      </c>
      <c r="F1198" s="1" t="n">
        <v>29</v>
      </c>
      <c r="G1198" s="1" t="n">
        <v>26</v>
      </c>
      <c r="H1198" s="1" t="s">
        <v>200</v>
      </c>
      <c r="I1198" s="1" t="n">
        <v>0</v>
      </c>
      <c r="J1198" s="1" t="n">
        <v>44</v>
      </c>
      <c r="K1198" s="1" t="s">
        <v>407</v>
      </c>
      <c r="L1198" s="1" t="b">
        <f aca="false">FALSE()</f>
        <v>0</v>
      </c>
      <c r="M1198" s="1" t="str">
        <f aca="false">VLOOKUP(D1198,'Team Reference'!$A:$B,2,FALSE())</f>
        <v>MIN</v>
      </c>
      <c r="N1198" s="1" t="str">
        <f aca="false">VLOOKUP(E1198,'Team Reference'!$A:$B,2,FALSE())</f>
        <v>WAS</v>
      </c>
      <c r="O1198" s="1" t="str">
        <f aca="false">IF(F1198&gt;G1198,M1198,IF(G1198&gt;F1198,N1198,"Tie"))</f>
        <v>MIN</v>
      </c>
      <c r="P1198" s="1" t="n">
        <f aca="false">F1198-G1198</f>
        <v>3</v>
      </c>
      <c r="Q1198" s="1" t="n">
        <f aca="false">F1198+G1198</f>
        <v>55</v>
      </c>
      <c r="R1198" s="1" t="str">
        <f aca="false">IF(H1198=M1198,"Home",IF(H1198=N1198,"Away",IF(H1198="PICK","Pick","N/A")))</f>
        <v>Pick</v>
      </c>
      <c r="S1198" s="1" t="str">
        <f aca="false">IF(R1198="Home",P1198,IF(R1198="Away",-P1198,""))</f>
        <v/>
      </c>
      <c r="T1198" s="1" t="str">
        <f aca="false">IF(R1198="Pick","No Line",IF(S1198="","N/A",IF(S1198+I1198&gt;0,"Favorite Covered",IF(S1198+I1198&lt;0,"Underdog Covered","Push"))))</f>
        <v>No Line</v>
      </c>
      <c r="U1198" s="1" t="str">
        <f aca="false">IF(Q1198&gt;J1198,"Over",IF(Q1198&lt;J1198,"Under","Push"))</f>
        <v>Over</v>
      </c>
    </row>
    <row r="1199" customFormat="false" ht="15" hidden="false" customHeight="false" outlineLevel="0" collapsed="false">
      <c r="A1199" s="1" t="s">
        <v>429</v>
      </c>
      <c r="B1199" s="1" t="n">
        <v>2014</v>
      </c>
      <c r="C1199" s="1" t="s">
        <v>198</v>
      </c>
      <c r="D1199" s="1" t="s">
        <v>93</v>
      </c>
      <c r="E1199" s="1" t="s">
        <v>71</v>
      </c>
      <c r="F1199" s="1" t="n">
        <v>43</v>
      </c>
      <c r="G1199" s="1" t="n">
        <v>21</v>
      </c>
      <c r="H1199" s="1" t="s">
        <v>94</v>
      </c>
      <c r="I1199" s="1" t="n">
        <v>-3</v>
      </c>
      <c r="J1199" s="1" t="n">
        <v>53</v>
      </c>
      <c r="K1199" s="1" t="s">
        <v>148</v>
      </c>
      <c r="L1199" s="1" t="b">
        <f aca="false">FALSE()</f>
        <v>0</v>
      </c>
      <c r="M1199" s="1" t="str">
        <f aca="false">VLOOKUP(D1199,'Team Reference'!$A:$B,2,FALSE())</f>
        <v>NE</v>
      </c>
      <c r="N1199" s="1" t="str">
        <f aca="false">VLOOKUP(E1199,'Team Reference'!$A:$B,2,FALSE())</f>
        <v>DEN</v>
      </c>
      <c r="O1199" s="1" t="str">
        <f aca="false">IF(F1199&gt;G1199,M1199,IF(G1199&gt;F1199,N1199,"Tie"))</f>
        <v>NE</v>
      </c>
      <c r="P1199" s="1" t="n">
        <f aca="false">F1199-G1199</f>
        <v>22</v>
      </c>
      <c r="Q1199" s="1" t="n">
        <f aca="false">F1199+G1199</f>
        <v>64</v>
      </c>
      <c r="R1199" s="1" t="str">
        <f aca="false">IF(H1199=M1199,"Home",IF(H1199=N1199,"Away",IF(H1199="PICK","Pick","N/A")))</f>
        <v>Home</v>
      </c>
      <c r="S1199" s="1" t="n">
        <f aca="false">IF(R1199="Home",P1199,IF(R1199="Away",-P1199,""))</f>
        <v>22</v>
      </c>
      <c r="T1199" s="1" t="str">
        <f aca="false">IF(R1199="Pick","No Line",IF(S1199="","N/A",IF(S1199+I1199&gt;0,"Favorite Covered",IF(S1199+I1199&lt;0,"Underdog Covered","Push"))))</f>
        <v>Favorite Covered</v>
      </c>
      <c r="U1199" s="1" t="str">
        <f aca="false">IF(Q1199&gt;J1199,"Over",IF(Q1199&lt;J1199,"Under","Push"))</f>
        <v>Over</v>
      </c>
    </row>
    <row r="1200" customFormat="false" ht="15" hidden="false" customHeight="false" outlineLevel="0" collapsed="false">
      <c r="A1200" s="1" t="s">
        <v>429</v>
      </c>
      <c r="B1200" s="1" t="n">
        <v>2014</v>
      </c>
      <c r="C1200" s="1" t="s">
        <v>198</v>
      </c>
      <c r="D1200" s="1" t="s">
        <v>105</v>
      </c>
      <c r="E1200" s="1" t="s">
        <v>57</v>
      </c>
      <c r="F1200" s="1" t="n">
        <v>43</v>
      </c>
      <c r="G1200" s="1" t="n">
        <v>23</v>
      </c>
      <c r="H1200" s="1" t="s">
        <v>58</v>
      </c>
      <c r="I1200" s="1" t="n">
        <v>-2</v>
      </c>
      <c r="J1200" s="1" t="n">
        <v>48</v>
      </c>
      <c r="K1200" s="1" t="s">
        <v>151</v>
      </c>
      <c r="L1200" s="1" t="b">
        <f aca="false">FALSE()</f>
        <v>0</v>
      </c>
      <c r="M1200" s="1" t="str">
        <f aca="false">VLOOKUP(D1200,'Team Reference'!$A:$B,2,FALSE())</f>
        <v>PIT</v>
      </c>
      <c r="N1200" s="1" t="str">
        <f aca="false">VLOOKUP(E1200,'Team Reference'!$A:$B,2,FALSE())</f>
        <v>BAL</v>
      </c>
      <c r="O1200" s="1" t="str">
        <f aca="false">IF(F1200&gt;G1200,M1200,IF(G1200&gt;F1200,N1200,"Tie"))</f>
        <v>PIT</v>
      </c>
      <c r="P1200" s="1" t="n">
        <f aca="false">F1200-G1200</f>
        <v>20</v>
      </c>
      <c r="Q1200" s="1" t="n">
        <f aca="false">F1200+G1200</f>
        <v>66</v>
      </c>
      <c r="R1200" s="1" t="str">
        <f aca="false">IF(H1200=M1200,"Home",IF(H1200=N1200,"Away",IF(H1200="PICK","Pick","N/A")))</f>
        <v>Away</v>
      </c>
      <c r="S1200" s="1" t="n">
        <f aca="false">IF(R1200="Home",P1200,IF(R1200="Away",-P1200,""))</f>
        <v>-20</v>
      </c>
      <c r="T1200" s="1" t="str">
        <f aca="false">IF(R1200="Pick","No Line",IF(S1200="","N/A",IF(S1200+I1200&gt;0,"Favorite Covered",IF(S1200+I1200&lt;0,"Underdog Covered","Push"))))</f>
        <v>Underdog Covered</v>
      </c>
      <c r="U1200" s="1" t="str">
        <f aca="false">IF(Q1200&gt;J1200,"Over",IF(Q1200&lt;J1200,"Under","Push"))</f>
        <v>Over</v>
      </c>
    </row>
    <row r="1201" customFormat="false" ht="15" hidden="false" customHeight="false" outlineLevel="0" collapsed="false">
      <c r="A1201" s="1" t="s">
        <v>429</v>
      </c>
      <c r="B1201" s="1" t="n">
        <v>2014</v>
      </c>
      <c r="C1201" s="1" t="s">
        <v>198</v>
      </c>
      <c r="D1201" s="1" t="s">
        <v>108</v>
      </c>
      <c r="E1201" s="1" t="s">
        <v>112</v>
      </c>
      <c r="F1201" s="1" t="n">
        <v>10</v>
      </c>
      <c r="G1201" s="1" t="n">
        <v>13</v>
      </c>
      <c r="H1201" s="1" t="s">
        <v>88</v>
      </c>
      <c r="I1201" s="1" t="n">
        <v>-10.5</v>
      </c>
      <c r="J1201" s="1" t="n">
        <v>44</v>
      </c>
      <c r="K1201" s="1" t="s">
        <v>408</v>
      </c>
      <c r="L1201" s="1" t="b">
        <f aca="false">FALSE()</f>
        <v>0</v>
      </c>
      <c r="M1201" s="1" t="str">
        <f aca="false">VLOOKUP(D1201,'Team Reference'!$A:$B,2,FALSE())</f>
        <v>SF</v>
      </c>
      <c r="N1201" s="1" t="str">
        <f aca="false">VLOOKUP(E1201,'Team Reference'!$A:$B,2,FALSE())</f>
        <v>LAR</v>
      </c>
      <c r="O1201" s="1" t="str">
        <f aca="false">IF(F1201&gt;G1201,M1201,IF(G1201&gt;F1201,N1201,"Tie"))</f>
        <v>LAR</v>
      </c>
      <c r="P1201" s="1" t="n">
        <f aca="false">F1201-G1201</f>
        <v>-3</v>
      </c>
      <c r="Q1201" s="1" t="n">
        <f aca="false">F1201+G1201</f>
        <v>23</v>
      </c>
      <c r="R1201" s="1" t="str">
        <f aca="false">IF(H1201=M1201,"Home",IF(H1201=N1201,"Away",IF(H1201="PICK","Pick","N/A")))</f>
        <v>Away</v>
      </c>
      <c r="S1201" s="1" t="n">
        <f aca="false">IF(R1201="Home",P1201,IF(R1201="Away",-P1201,""))</f>
        <v>3</v>
      </c>
      <c r="T1201" s="1" t="str">
        <f aca="false">IF(R1201="Pick","No Line",IF(S1201="","N/A",IF(S1201+I1201&gt;0,"Favorite Covered",IF(S1201+I1201&lt;0,"Underdog Covered","Push"))))</f>
        <v>Underdog Covered</v>
      </c>
      <c r="U1201" s="1" t="str">
        <f aca="false">IF(Q1201&gt;J1201,"Over",IF(Q1201&lt;J1201,"Under","Push"))</f>
        <v>Under</v>
      </c>
    </row>
    <row r="1202" customFormat="false" ht="15" hidden="false" customHeight="false" outlineLevel="0" collapsed="false">
      <c r="A1202" s="1" t="s">
        <v>429</v>
      </c>
      <c r="B1202" s="1" t="n">
        <v>2014</v>
      </c>
      <c r="C1202" s="1" t="s">
        <v>198</v>
      </c>
      <c r="D1202" s="1" t="s">
        <v>110</v>
      </c>
      <c r="E1202" s="1" t="s">
        <v>101</v>
      </c>
      <c r="F1202" s="1" t="n">
        <v>30</v>
      </c>
      <c r="G1202" s="1" t="n">
        <v>24</v>
      </c>
      <c r="H1202" s="1" t="s">
        <v>102</v>
      </c>
      <c r="I1202" s="1" t="n">
        <v>-13.5</v>
      </c>
      <c r="J1202" s="1" t="n">
        <v>44</v>
      </c>
      <c r="K1202" s="1" t="s">
        <v>152</v>
      </c>
      <c r="L1202" s="1" t="b">
        <f aca="false">FALSE()</f>
        <v>0</v>
      </c>
      <c r="M1202" s="1" t="str">
        <f aca="false">VLOOKUP(D1202,'Team Reference'!$A:$B,2,FALSE())</f>
        <v>SEA</v>
      </c>
      <c r="N1202" s="1" t="str">
        <f aca="false">VLOOKUP(E1202,'Team Reference'!$A:$B,2,FALSE())</f>
        <v>OAK</v>
      </c>
      <c r="O1202" s="1" t="str">
        <f aca="false">IF(F1202&gt;G1202,M1202,IF(G1202&gt;F1202,N1202,"Tie"))</f>
        <v>SEA</v>
      </c>
      <c r="P1202" s="1" t="n">
        <f aca="false">F1202-G1202</f>
        <v>6</v>
      </c>
      <c r="Q1202" s="1" t="n">
        <f aca="false">F1202+G1202</f>
        <v>54</v>
      </c>
      <c r="R1202" s="1" t="str">
        <f aca="false">IF(H1202=M1202,"Home",IF(H1202=N1202,"Away",IF(H1202="PICK","Pick","N/A")))</f>
        <v>Away</v>
      </c>
      <c r="S1202" s="1" t="n">
        <f aca="false">IF(R1202="Home",P1202,IF(R1202="Away",-P1202,""))</f>
        <v>-6</v>
      </c>
      <c r="T1202" s="1" t="str">
        <f aca="false">IF(R1202="Pick","No Line",IF(S1202="","N/A",IF(S1202+I1202&gt;0,"Favorite Covered",IF(S1202+I1202&lt;0,"Underdog Covered","Push"))))</f>
        <v>Underdog Covered</v>
      </c>
      <c r="U1202" s="1" t="str">
        <f aca="false">IF(Q1202&gt;J1202,"Over",IF(Q1202&lt;J1202,"Under","Push"))</f>
        <v>Over</v>
      </c>
    </row>
    <row r="1203" customFormat="false" ht="15" hidden="false" customHeight="false" outlineLevel="0" collapsed="false">
      <c r="A1203" s="1" t="s">
        <v>430</v>
      </c>
      <c r="B1203" s="1" t="n">
        <v>2014</v>
      </c>
      <c r="C1203" s="1" t="s">
        <v>198</v>
      </c>
      <c r="D1203" s="1" t="s">
        <v>97</v>
      </c>
      <c r="E1203" s="1" t="s">
        <v>79</v>
      </c>
      <c r="F1203" s="1" t="n">
        <v>24</v>
      </c>
      <c r="G1203" s="1" t="n">
        <v>40</v>
      </c>
      <c r="H1203" s="1" t="s">
        <v>98</v>
      </c>
      <c r="I1203" s="1" t="n">
        <v>-3</v>
      </c>
      <c r="J1203" s="1" t="n">
        <v>51.5</v>
      </c>
      <c r="K1203" s="1" t="s">
        <v>149</v>
      </c>
      <c r="L1203" s="1" t="b">
        <f aca="false">FALSE()</f>
        <v>0</v>
      </c>
      <c r="M1203" s="1" t="str">
        <f aca="false">VLOOKUP(D1203,'Team Reference'!$A:$B,2,FALSE())</f>
        <v>NYG</v>
      </c>
      <c r="N1203" s="1" t="str">
        <f aca="false">VLOOKUP(E1203,'Team Reference'!$A:$B,2,FALSE())</f>
        <v>IND</v>
      </c>
      <c r="O1203" s="1" t="str">
        <f aca="false">IF(F1203&gt;G1203,M1203,IF(G1203&gt;F1203,N1203,"Tie"))</f>
        <v>IND</v>
      </c>
      <c r="P1203" s="1" t="n">
        <f aca="false">F1203-G1203</f>
        <v>-16</v>
      </c>
      <c r="Q1203" s="1" t="n">
        <f aca="false">F1203+G1203</f>
        <v>64</v>
      </c>
      <c r="R1203" s="1" t="str">
        <f aca="false">IF(H1203=M1203,"Home",IF(H1203=N1203,"Away",IF(H1203="PICK","Pick","N/A")))</f>
        <v>Home</v>
      </c>
      <c r="S1203" s="1" t="n">
        <f aca="false">IF(R1203="Home",P1203,IF(R1203="Away",-P1203,""))</f>
        <v>-16</v>
      </c>
      <c r="T1203" s="1" t="str">
        <f aca="false">IF(R1203="Pick","No Line",IF(S1203="","N/A",IF(S1203+I1203&gt;0,"Favorite Covered",IF(S1203+I1203&lt;0,"Underdog Covered","Push"))))</f>
        <v>Underdog Covered</v>
      </c>
      <c r="U1203" s="1" t="str">
        <f aca="false">IF(Q1203&gt;J1203,"Over",IF(Q1203&lt;J1203,"Under","Push"))</f>
        <v>Over</v>
      </c>
    </row>
    <row r="1204" customFormat="false" ht="15" hidden="false" customHeight="false" outlineLevel="0" collapsed="false">
      <c r="A1204" s="1" t="s">
        <v>431</v>
      </c>
      <c r="B1204" s="1" t="n">
        <v>2014</v>
      </c>
      <c r="C1204" s="1" t="s">
        <v>203</v>
      </c>
      <c r="D1204" s="1" t="s">
        <v>65</v>
      </c>
      <c r="E1204" s="1" t="s">
        <v>67</v>
      </c>
      <c r="F1204" s="1" t="n">
        <v>3</v>
      </c>
      <c r="G1204" s="1" t="n">
        <v>24</v>
      </c>
      <c r="H1204" s="1" t="s">
        <v>68</v>
      </c>
      <c r="I1204" s="1" t="n">
        <v>-6.5</v>
      </c>
      <c r="J1204" s="1" t="n">
        <v>46</v>
      </c>
      <c r="K1204" s="1" t="s">
        <v>163</v>
      </c>
      <c r="L1204" s="1" t="b">
        <f aca="false">FALSE()</f>
        <v>0</v>
      </c>
      <c r="M1204" s="1" t="str">
        <f aca="false">VLOOKUP(D1204,'Team Reference'!$A:$B,2,FALSE())</f>
        <v>CIN</v>
      </c>
      <c r="N1204" s="1" t="str">
        <f aca="false">VLOOKUP(E1204,'Team Reference'!$A:$B,2,FALSE())</f>
        <v>CLE</v>
      </c>
      <c r="O1204" s="1" t="str">
        <f aca="false">IF(F1204&gt;G1204,M1204,IF(G1204&gt;F1204,N1204,"Tie"))</f>
        <v>CLE</v>
      </c>
      <c r="P1204" s="1" t="n">
        <f aca="false">F1204-G1204</f>
        <v>-21</v>
      </c>
      <c r="Q1204" s="1" t="n">
        <f aca="false">F1204+G1204</f>
        <v>27</v>
      </c>
      <c r="R1204" s="1" t="str">
        <f aca="false">IF(H1204=M1204,"Home",IF(H1204=N1204,"Away",IF(H1204="PICK","Pick","N/A")))</f>
        <v>Away</v>
      </c>
      <c r="S1204" s="1" t="n">
        <f aca="false">IF(R1204="Home",P1204,IF(R1204="Away",-P1204,""))</f>
        <v>21</v>
      </c>
      <c r="T1204" s="1" t="str">
        <f aca="false">IF(R1204="Pick","No Line",IF(S1204="","N/A",IF(S1204+I1204&gt;0,"Favorite Covered",IF(S1204+I1204&lt;0,"Underdog Covered","Push"))))</f>
        <v>Favorite Covered</v>
      </c>
      <c r="U1204" s="1" t="str">
        <f aca="false">IF(Q1204&gt;J1204,"Over",IF(Q1204&lt;J1204,"Under","Push"))</f>
        <v>Under</v>
      </c>
    </row>
    <row r="1205" customFormat="false" ht="15" hidden="false" customHeight="false" outlineLevel="0" collapsed="false">
      <c r="A1205" s="1" t="s">
        <v>432</v>
      </c>
      <c r="B1205" s="1" t="n">
        <v>2014</v>
      </c>
      <c r="C1205" s="1" t="s">
        <v>203</v>
      </c>
      <c r="D1205" s="1" t="s">
        <v>53</v>
      </c>
      <c r="E1205" s="1" t="s">
        <v>112</v>
      </c>
      <c r="F1205" s="1" t="n">
        <v>31</v>
      </c>
      <c r="G1205" s="1" t="n">
        <v>14</v>
      </c>
      <c r="H1205" s="1" t="s">
        <v>88</v>
      </c>
      <c r="I1205" s="1" t="n">
        <v>-7</v>
      </c>
      <c r="J1205" s="1" t="n">
        <v>43.5</v>
      </c>
      <c r="K1205" s="1" t="s">
        <v>177</v>
      </c>
      <c r="L1205" s="1" t="b">
        <f aca="false">FALSE()</f>
        <v>0</v>
      </c>
      <c r="M1205" s="1" t="str">
        <f aca="false">VLOOKUP(D1205,'Team Reference'!$A:$B,2,FALSE())</f>
        <v>ARI</v>
      </c>
      <c r="N1205" s="1" t="str">
        <f aca="false">VLOOKUP(E1205,'Team Reference'!$A:$B,2,FALSE())</f>
        <v>LAR</v>
      </c>
      <c r="O1205" s="1" t="str">
        <f aca="false">IF(F1205&gt;G1205,M1205,IF(G1205&gt;F1205,N1205,"Tie"))</f>
        <v>ARI</v>
      </c>
      <c r="P1205" s="1" t="n">
        <f aca="false">F1205-G1205</f>
        <v>17</v>
      </c>
      <c r="Q1205" s="1" t="n">
        <f aca="false">F1205+G1205</f>
        <v>45</v>
      </c>
      <c r="R1205" s="1" t="str">
        <f aca="false">IF(H1205=M1205,"Home",IF(H1205=N1205,"Away",IF(H1205="PICK","Pick","N/A")))</f>
        <v>Away</v>
      </c>
      <c r="S1205" s="1" t="n">
        <f aca="false">IF(R1205="Home",P1205,IF(R1205="Away",-P1205,""))</f>
        <v>-17</v>
      </c>
      <c r="T1205" s="1" t="str">
        <f aca="false">IF(R1205="Pick","No Line",IF(S1205="","N/A",IF(S1205+I1205&gt;0,"Favorite Covered",IF(S1205+I1205&lt;0,"Underdog Covered","Push"))))</f>
        <v>Underdog Covered</v>
      </c>
      <c r="U1205" s="1" t="str">
        <f aca="false">IF(Q1205&gt;J1205,"Over",IF(Q1205&lt;J1205,"Under","Push"))</f>
        <v>Over</v>
      </c>
    </row>
    <row r="1206" customFormat="false" ht="15" hidden="false" customHeight="false" outlineLevel="0" collapsed="false">
      <c r="A1206" s="1" t="s">
        <v>432</v>
      </c>
      <c r="B1206" s="1" t="n">
        <v>2014</v>
      </c>
      <c r="C1206" s="1" t="s">
        <v>203</v>
      </c>
      <c r="D1206" s="1" t="s">
        <v>57</v>
      </c>
      <c r="E1206" s="1" t="s">
        <v>115</v>
      </c>
      <c r="F1206" s="1" t="n">
        <v>21</v>
      </c>
      <c r="G1206" s="1" t="n">
        <v>7</v>
      </c>
      <c r="H1206" s="1" t="s">
        <v>116</v>
      </c>
      <c r="I1206" s="1" t="n">
        <v>-10.5</v>
      </c>
      <c r="J1206" s="1" t="n">
        <v>44</v>
      </c>
      <c r="K1206" s="1" t="s">
        <v>178</v>
      </c>
      <c r="L1206" s="1" t="b">
        <f aca="false">FALSE()</f>
        <v>0</v>
      </c>
      <c r="M1206" s="1" t="str">
        <f aca="false">VLOOKUP(D1206,'Team Reference'!$A:$B,2,FALSE())</f>
        <v>BAL</v>
      </c>
      <c r="N1206" s="1" t="str">
        <f aca="false">VLOOKUP(E1206,'Team Reference'!$A:$B,2,FALSE())</f>
        <v>TEN</v>
      </c>
      <c r="O1206" s="1" t="str">
        <f aca="false">IF(F1206&gt;G1206,M1206,IF(G1206&gt;F1206,N1206,"Tie"))</f>
        <v>BAL</v>
      </c>
      <c r="P1206" s="1" t="n">
        <f aca="false">F1206-G1206</f>
        <v>14</v>
      </c>
      <c r="Q1206" s="1" t="n">
        <f aca="false">F1206+G1206</f>
        <v>28</v>
      </c>
      <c r="R1206" s="1" t="str">
        <f aca="false">IF(H1206=M1206,"Home",IF(H1206=N1206,"Away",IF(H1206="PICK","Pick","N/A")))</f>
        <v>Away</v>
      </c>
      <c r="S1206" s="1" t="n">
        <f aca="false">IF(R1206="Home",P1206,IF(R1206="Away",-P1206,""))</f>
        <v>-14</v>
      </c>
      <c r="T1206" s="1" t="str">
        <f aca="false">IF(R1206="Pick","No Line",IF(S1206="","N/A",IF(S1206+I1206&gt;0,"Favorite Covered",IF(S1206+I1206&lt;0,"Underdog Covered","Push"))))</f>
        <v>Underdog Covered</v>
      </c>
      <c r="U1206" s="1" t="str">
        <f aca="false">IF(Q1206&gt;J1206,"Over",IF(Q1206&lt;J1206,"Under","Push"))</f>
        <v>Under</v>
      </c>
    </row>
    <row r="1207" customFormat="false" ht="15" hidden="false" customHeight="false" outlineLevel="0" collapsed="false">
      <c r="A1207" s="1" t="s">
        <v>432</v>
      </c>
      <c r="B1207" s="1" t="n">
        <v>2014</v>
      </c>
      <c r="C1207" s="1" t="s">
        <v>203</v>
      </c>
      <c r="D1207" s="1" t="s">
        <v>59</v>
      </c>
      <c r="E1207" s="1" t="s">
        <v>83</v>
      </c>
      <c r="F1207" s="1" t="n">
        <v>13</v>
      </c>
      <c r="G1207" s="1" t="n">
        <v>17</v>
      </c>
      <c r="H1207" s="1" t="s">
        <v>84</v>
      </c>
      <c r="I1207" s="1" t="n">
        <v>-1.5</v>
      </c>
      <c r="J1207" s="1" t="n">
        <v>42</v>
      </c>
      <c r="K1207" s="1" t="s">
        <v>144</v>
      </c>
      <c r="L1207" s="1" t="b">
        <f aca="false">FALSE()</f>
        <v>0</v>
      </c>
      <c r="M1207" s="1" t="str">
        <f aca="false">VLOOKUP(D1207,'Team Reference'!$A:$B,2,FALSE())</f>
        <v>BUF</v>
      </c>
      <c r="N1207" s="1" t="str">
        <f aca="false">VLOOKUP(E1207,'Team Reference'!$A:$B,2,FALSE())</f>
        <v>KC</v>
      </c>
      <c r="O1207" s="1" t="str">
        <f aca="false">IF(F1207&gt;G1207,M1207,IF(G1207&gt;F1207,N1207,"Tie"))</f>
        <v>KC</v>
      </c>
      <c r="P1207" s="1" t="n">
        <f aca="false">F1207-G1207</f>
        <v>-4</v>
      </c>
      <c r="Q1207" s="1" t="n">
        <f aca="false">F1207+G1207</f>
        <v>30</v>
      </c>
      <c r="R1207" s="1" t="str">
        <f aca="false">IF(H1207=M1207,"Home",IF(H1207=N1207,"Away",IF(H1207="PICK","Pick","N/A")))</f>
        <v>Away</v>
      </c>
      <c r="S1207" s="1" t="n">
        <f aca="false">IF(R1207="Home",P1207,IF(R1207="Away",-P1207,""))</f>
        <v>4</v>
      </c>
      <c r="T1207" s="1" t="str">
        <f aca="false">IF(R1207="Pick","No Line",IF(S1207="","N/A",IF(S1207+I1207&gt;0,"Favorite Covered",IF(S1207+I1207&lt;0,"Underdog Covered","Push"))))</f>
        <v>Favorite Covered</v>
      </c>
      <c r="U1207" s="1" t="str">
        <f aca="false">IF(Q1207&gt;J1207,"Over",IF(Q1207&lt;J1207,"Under","Push"))</f>
        <v>Under</v>
      </c>
    </row>
    <row r="1208" customFormat="false" ht="15" hidden="false" customHeight="false" outlineLevel="0" collapsed="false">
      <c r="A1208" s="1" t="s">
        <v>432</v>
      </c>
      <c r="B1208" s="1" t="n">
        <v>2014</v>
      </c>
      <c r="C1208" s="1" t="s">
        <v>203</v>
      </c>
      <c r="D1208" s="1" t="s">
        <v>73</v>
      </c>
      <c r="E1208" s="1" t="s">
        <v>89</v>
      </c>
      <c r="F1208" s="1" t="n">
        <v>20</v>
      </c>
      <c r="G1208" s="1" t="n">
        <v>16</v>
      </c>
      <c r="H1208" s="1" t="s">
        <v>90</v>
      </c>
      <c r="I1208" s="1" t="n">
        <v>-3</v>
      </c>
      <c r="J1208" s="1" t="n">
        <v>43</v>
      </c>
      <c r="K1208" s="1" t="s">
        <v>167</v>
      </c>
      <c r="L1208" s="1" t="b">
        <f aca="false">FALSE()</f>
        <v>0</v>
      </c>
      <c r="M1208" s="1" t="str">
        <f aca="false">VLOOKUP(D1208,'Team Reference'!$A:$B,2,FALSE())</f>
        <v>DET</v>
      </c>
      <c r="N1208" s="1" t="str">
        <f aca="false">VLOOKUP(E1208,'Team Reference'!$A:$B,2,FALSE())</f>
        <v>MIA</v>
      </c>
      <c r="O1208" s="1" t="str">
        <f aca="false">IF(F1208&gt;G1208,M1208,IF(G1208&gt;F1208,N1208,"Tie"))</f>
        <v>DET</v>
      </c>
      <c r="P1208" s="1" t="n">
        <f aca="false">F1208-G1208</f>
        <v>4</v>
      </c>
      <c r="Q1208" s="1" t="n">
        <f aca="false">F1208+G1208</f>
        <v>36</v>
      </c>
      <c r="R1208" s="1" t="str">
        <f aca="false">IF(H1208=M1208,"Home",IF(H1208=N1208,"Away",IF(H1208="PICK","Pick","N/A")))</f>
        <v>Away</v>
      </c>
      <c r="S1208" s="1" t="n">
        <f aca="false">IF(R1208="Home",P1208,IF(R1208="Away",-P1208,""))</f>
        <v>-4</v>
      </c>
      <c r="T1208" s="1" t="str">
        <f aca="false">IF(R1208="Pick","No Line",IF(S1208="","N/A",IF(S1208+I1208&gt;0,"Favorite Covered",IF(S1208+I1208&lt;0,"Underdog Covered","Push"))))</f>
        <v>Underdog Covered</v>
      </c>
      <c r="U1208" s="1" t="str">
        <f aca="false">IF(Q1208&gt;J1208,"Over",IF(Q1208&lt;J1208,"Under","Push"))</f>
        <v>Under</v>
      </c>
    </row>
    <row r="1209" customFormat="false" ht="15" hidden="false" customHeight="false" outlineLevel="0" collapsed="false">
      <c r="A1209" s="1" t="s">
        <v>432</v>
      </c>
      <c r="B1209" s="1" t="n">
        <v>2014</v>
      </c>
      <c r="C1209" s="1" t="s">
        <v>203</v>
      </c>
      <c r="D1209" s="1" t="s">
        <v>75</v>
      </c>
      <c r="E1209" s="1" t="s">
        <v>63</v>
      </c>
      <c r="F1209" s="1" t="n">
        <v>55</v>
      </c>
      <c r="G1209" s="1" t="n">
        <v>14</v>
      </c>
      <c r="H1209" s="1" t="s">
        <v>64</v>
      </c>
      <c r="I1209" s="1" t="n">
        <v>-9.5</v>
      </c>
      <c r="J1209" s="1" t="n">
        <v>54</v>
      </c>
      <c r="K1209" s="1" t="s">
        <v>168</v>
      </c>
      <c r="L1209" s="1" t="b">
        <f aca="false">FALSE()</f>
        <v>0</v>
      </c>
      <c r="M1209" s="1" t="str">
        <f aca="false">VLOOKUP(D1209,'Team Reference'!$A:$B,2,FALSE())</f>
        <v>GB</v>
      </c>
      <c r="N1209" s="1" t="str">
        <f aca="false">VLOOKUP(E1209,'Team Reference'!$A:$B,2,FALSE())</f>
        <v>CHI</v>
      </c>
      <c r="O1209" s="1" t="str">
        <f aca="false">IF(F1209&gt;G1209,M1209,IF(G1209&gt;F1209,N1209,"Tie"))</f>
        <v>GB</v>
      </c>
      <c r="P1209" s="1" t="n">
        <f aca="false">F1209-G1209</f>
        <v>41</v>
      </c>
      <c r="Q1209" s="1" t="n">
        <f aca="false">F1209+G1209</f>
        <v>69</v>
      </c>
      <c r="R1209" s="1" t="str">
        <f aca="false">IF(H1209=M1209,"Home",IF(H1209=N1209,"Away",IF(H1209="PICK","Pick","N/A")))</f>
        <v>Away</v>
      </c>
      <c r="S1209" s="1" t="n">
        <f aca="false">IF(R1209="Home",P1209,IF(R1209="Away",-P1209,""))</f>
        <v>-41</v>
      </c>
      <c r="T1209" s="1" t="str">
        <f aca="false">IF(R1209="Pick","No Line",IF(S1209="","N/A",IF(S1209+I1209&gt;0,"Favorite Covered",IF(S1209+I1209&lt;0,"Underdog Covered","Push"))))</f>
        <v>Underdog Covered</v>
      </c>
      <c r="U1209" s="1" t="str">
        <f aca="false">IF(Q1209&gt;J1209,"Over",IF(Q1209&lt;J1209,"Under","Push"))</f>
        <v>Over</v>
      </c>
    </row>
    <row r="1210" customFormat="false" ht="15" hidden="false" customHeight="false" outlineLevel="0" collapsed="false">
      <c r="A1210" s="1" t="s">
        <v>432</v>
      </c>
      <c r="B1210" s="1" t="n">
        <v>2014</v>
      </c>
      <c r="C1210" s="1" t="s">
        <v>203</v>
      </c>
      <c r="D1210" s="1" t="s">
        <v>81</v>
      </c>
      <c r="E1210" s="1" t="s">
        <v>69</v>
      </c>
      <c r="F1210" s="1" t="n">
        <v>17</v>
      </c>
      <c r="G1210" s="1" t="n">
        <v>31</v>
      </c>
      <c r="H1210" s="1" t="s">
        <v>82</v>
      </c>
      <c r="I1210" s="1" t="n">
        <v>-7.5</v>
      </c>
      <c r="J1210" s="1" t="n">
        <v>45</v>
      </c>
      <c r="K1210" s="1" t="s">
        <v>195</v>
      </c>
      <c r="L1210" s="1" t="b">
        <f aca="false">FALSE()</f>
        <v>0</v>
      </c>
      <c r="M1210" s="1" t="str">
        <f aca="false">VLOOKUP(D1210,'Team Reference'!$A:$B,2,FALSE())</f>
        <v>JAX</v>
      </c>
      <c r="N1210" s="1" t="str">
        <f aca="false">VLOOKUP(E1210,'Team Reference'!$A:$B,2,FALSE())</f>
        <v>DAL</v>
      </c>
      <c r="O1210" s="1" t="str">
        <f aca="false">IF(F1210&gt;G1210,M1210,IF(G1210&gt;F1210,N1210,"Tie"))</f>
        <v>DAL</v>
      </c>
      <c r="P1210" s="1" t="n">
        <f aca="false">F1210-G1210</f>
        <v>-14</v>
      </c>
      <c r="Q1210" s="1" t="n">
        <f aca="false">F1210+G1210</f>
        <v>48</v>
      </c>
      <c r="R1210" s="1" t="str">
        <f aca="false">IF(H1210=M1210,"Home",IF(H1210=N1210,"Away",IF(H1210="PICK","Pick","N/A")))</f>
        <v>Home</v>
      </c>
      <c r="S1210" s="1" t="n">
        <f aca="false">IF(R1210="Home",P1210,IF(R1210="Away",-P1210,""))</f>
        <v>-14</v>
      </c>
      <c r="T1210" s="1" t="str">
        <f aca="false">IF(R1210="Pick","No Line",IF(S1210="","N/A",IF(S1210+I1210&gt;0,"Favorite Covered",IF(S1210+I1210&lt;0,"Underdog Covered","Push"))))</f>
        <v>Underdog Covered</v>
      </c>
      <c r="U1210" s="1" t="str">
        <f aca="false">IF(Q1210&gt;J1210,"Over",IF(Q1210&lt;J1210,"Under","Push"))</f>
        <v>Over</v>
      </c>
    </row>
    <row r="1211" customFormat="false" ht="15" hidden="false" customHeight="false" outlineLevel="0" collapsed="false">
      <c r="A1211" s="1" t="s">
        <v>432</v>
      </c>
      <c r="B1211" s="1" t="n">
        <v>2014</v>
      </c>
      <c r="C1211" s="1" t="s">
        <v>203</v>
      </c>
      <c r="D1211" s="1" t="s">
        <v>95</v>
      </c>
      <c r="E1211" s="1" t="s">
        <v>108</v>
      </c>
      <c r="F1211" s="1" t="n">
        <v>24</v>
      </c>
      <c r="G1211" s="1" t="n">
        <v>27</v>
      </c>
      <c r="H1211" s="1" t="s">
        <v>109</v>
      </c>
      <c r="I1211" s="1" t="n">
        <v>-5.5</v>
      </c>
      <c r="J1211" s="1" t="n">
        <v>49.5</v>
      </c>
      <c r="K1211" s="1" t="s">
        <v>142</v>
      </c>
      <c r="L1211" s="1" t="b">
        <f aca="false">FALSE()</f>
        <v>0</v>
      </c>
      <c r="M1211" s="1" t="str">
        <f aca="false">VLOOKUP(D1211,'Team Reference'!$A:$B,2,FALSE())</f>
        <v>NO</v>
      </c>
      <c r="N1211" s="1" t="str">
        <f aca="false">VLOOKUP(E1211,'Team Reference'!$A:$B,2,FALSE())</f>
        <v>SF</v>
      </c>
      <c r="O1211" s="1" t="str">
        <f aca="false">IF(F1211&gt;G1211,M1211,IF(G1211&gt;F1211,N1211,"Tie"))</f>
        <v>SF</v>
      </c>
      <c r="P1211" s="1" t="n">
        <f aca="false">F1211-G1211</f>
        <v>-3</v>
      </c>
      <c r="Q1211" s="1" t="n">
        <f aca="false">F1211+G1211</f>
        <v>51</v>
      </c>
      <c r="R1211" s="1" t="str">
        <f aca="false">IF(H1211=M1211,"Home",IF(H1211=N1211,"Away",IF(H1211="PICK","Pick","N/A")))</f>
        <v>Away</v>
      </c>
      <c r="S1211" s="1" t="n">
        <f aca="false">IF(R1211="Home",P1211,IF(R1211="Away",-P1211,""))</f>
        <v>3</v>
      </c>
      <c r="T1211" s="1" t="str">
        <f aca="false">IF(R1211="Pick","No Line",IF(S1211="","N/A",IF(S1211+I1211&gt;0,"Favorite Covered",IF(S1211+I1211&lt;0,"Underdog Covered","Push"))))</f>
        <v>Underdog Covered</v>
      </c>
      <c r="U1211" s="1" t="str">
        <f aca="false">IF(Q1211&gt;J1211,"Over",IF(Q1211&lt;J1211,"Under","Push"))</f>
        <v>Over</v>
      </c>
    </row>
    <row r="1212" customFormat="false" ht="15" hidden="false" customHeight="false" outlineLevel="0" collapsed="false">
      <c r="A1212" s="1" t="s">
        <v>432</v>
      </c>
      <c r="B1212" s="1" t="n">
        <v>2014</v>
      </c>
      <c r="C1212" s="1" t="s">
        <v>203</v>
      </c>
      <c r="D1212" s="1" t="s">
        <v>99</v>
      </c>
      <c r="E1212" s="1" t="s">
        <v>105</v>
      </c>
      <c r="F1212" s="1" t="n">
        <v>20</v>
      </c>
      <c r="G1212" s="1" t="n">
        <v>13</v>
      </c>
      <c r="H1212" s="1" t="s">
        <v>100</v>
      </c>
      <c r="I1212" s="1" t="n">
        <v>-4.5</v>
      </c>
      <c r="J1212" s="1" t="n">
        <v>47</v>
      </c>
      <c r="K1212" s="1" t="s">
        <v>149</v>
      </c>
      <c r="L1212" s="1" t="b">
        <f aca="false">FALSE()</f>
        <v>0</v>
      </c>
      <c r="M1212" s="1" t="str">
        <f aca="false">VLOOKUP(D1212,'Team Reference'!$A:$B,2,FALSE())</f>
        <v>NYJ</v>
      </c>
      <c r="N1212" s="1" t="str">
        <f aca="false">VLOOKUP(E1212,'Team Reference'!$A:$B,2,FALSE())</f>
        <v>PIT</v>
      </c>
      <c r="O1212" s="1" t="str">
        <f aca="false">IF(F1212&gt;G1212,M1212,IF(G1212&gt;F1212,N1212,"Tie"))</f>
        <v>NYJ</v>
      </c>
      <c r="P1212" s="1" t="n">
        <f aca="false">F1212-G1212</f>
        <v>7</v>
      </c>
      <c r="Q1212" s="1" t="n">
        <f aca="false">F1212+G1212</f>
        <v>33</v>
      </c>
      <c r="R1212" s="1" t="str">
        <f aca="false">IF(H1212=M1212,"Home",IF(H1212=N1212,"Away",IF(H1212="PICK","Pick","N/A")))</f>
        <v>Home</v>
      </c>
      <c r="S1212" s="1" t="n">
        <f aca="false">IF(R1212="Home",P1212,IF(R1212="Away",-P1212,""))</f>
        <v>7</v>
      </c>
      <c r="T1212" s="1" t="str">
        <f aca="false">IF(R1212="Pick","No Line",IF(S1212="","N/A",IF(S1212+I1212&gt;0,"Favorite Covered",IF(S1212+I1212&lt;0,"Underdog Covered","Push"))))</f>
        <v>Favorite Covered</v>
      </c>
      <c r="U1212" s="1" t="str">
        <f aca="false">IF(Q1212&gt;J1212,"Over",IF(Q1212&lt;J1212,"Under","Push"))</f>
        <v>Under</v>
      </c>
    </row>
    <row r="1213" customFormat="false" ht="15" hidden="false" customHeight="false" outlineLevel="0" collapsed="false">
      <c r="A1213" s="1" t="s">
        <v>432</v>
      </c>
      <c r="B1213" s="1" t="n">
        <v>2014</v>
      </c>
      <c r="C1213" s="1" t="s">
        <v>203</v>
      </c>
      <c r="D1213" s="1" t="s">
        <v>101</v>
      </c>
      <c r="E1213" s="1" t="s">
        <v>71</v>
      </c>
      <c r="F1213" s="1" t="n">
        <v>17</v>
      </c>
      <c r="G1213" s="1" t="n">
        <v>41</v>
      </c>
      <c r="H1213" s="1" t="s">
        <v>102</v>
      </c>
      <c r="I1213" s="1" t="n">
        <v>-12.5</v>
      </c>
      <c r="J1213" s="1" t="n">
        <v>51</v>
      </c>
      <c r="K1213" s="1" t="s">
        <v>171</v>
      </c>
      <c r="L1213" s="1" t="b">
        <f aca="false">FALSE()</f>
        <v>0</v>
      </c>
      <c r="M1213" s="1" t="str">
        <f aca="false">VLOOKUP(D1213,'Team Reference'!$A:$B,2,FALSE())</f>
        <v>OAK</v>
      </c>
      <c r="N1213" s="1" t="str">
        <f aca="false">VLOOKUP(E1213,'Team Reference'!$A:$B,2,FALSE())</f>
        <v>DEN</v>
      </c>
      <c r="O1213" s="1" t="str">
        <f aca="false">IF(F1213&gt;G1213,M1213,IF(G1213&gt;F1213,N1213,"Tie"))</f>
        <v>DEN</v>
      </c>
      <c r="P1213" s="1" t="n">
        <f aca="false">F1213-G1213</f>
        <v>-24</v>
      </c>
      <c r="Q1213" s="1" t="n">
        <f aca="false">F1213+G1213</f>
        <v>58</v>
      </c>
      <c r="R1213" s="1" t="str">
        <f aca="false">IF(H1213=M1213,"Home",IF(H1213=N1213,"Away",IF(H1213="PICK","Pick","N/A")))</f>
        <v>Home</v>
      </c>
      <c r="S1213" s="1" t="n">
        <f aca="false">IF(R1213="Home",P1213,IF(R1213="Away",-P1213,""))</f>
        <v>-24</v>
      </c>
      <c r="T1213" s="1" t="str">
        <f aca="false">IF(R1213="Pick","No Line",IF(S1213="","N/A",IF(S1213+I1213&gt;0,"Favorite Covered",IF(S1213+I1213&lt;0,"Underdog Covered","Push"))))</f>
        <v>Underdog Covered</v>
      </c>
      <c r="U1213" s="1" t="str">
        <f aca="false">IF(Q1213&gt;J1213,"Over",IF(Q1213&lt;J1213,"Under","Push"))</f>
        <v>Over</v>
      </c>
    </row>
    <row r="1214" customFormat="false" ht="15" hidden="false" customHeight="false" outlineLevel="0" collapsed="false">
      <c r="A1214" s="1" t="s">
        <v>432</v>
      </c>
      <c r="B1214" s="1" t="n">
        <v>2014</v>
      </c>
      <c r="C1214" s="1" t="s">
        <v>203</v>
      </c>
      <c r="D1214" s="1" t="s">
        <v>110</v>
      </c>
      <c r="E1214" s="1" t="s">
        <v>97</v>
      </c>
      <c r="F1214" s="1" t="n">
        <v>38</v>
      </c>
      <c r="G1214" s="1" t="n">
        <v>17</v>
      </c>
      <c r="H1214" s="1" t="s">
        <v>98</v>
      </c>
      <c r="I1214" s="1" t="n">
        <v>-9.5</v>
      </c>
      <c r="J1214" s="1" t="n">
        <v>45</v>
      </c>
      <c r="K1214" s="1" t="s">
        <v>152</v>
      </c>
      <c r="L1214" s="1" t="b">
        <f aca="false">FALSE()</f>
        <v>0</v>
      </c>
      <c r="M1214" s="1" t="str">
        <f aca="false">VLOOKUP(D1214,'Team Reference'!$A:$B,2,FALSE())</f>
        <v>SEA</v>
      </c>
      <c r="N1214" s="1" t="str">
        <f aca="false">VLOOKUP(E1214,'Team Reference'!$A:$B,2,FALSE())</f>
        <v>NYG</v>
      </c>
      <c r="O1214" s="1" t="str">
        <f aca="false">IF(F1214&gt;G1214,M1214,IF(G1214&gt;F1214,N1214,"Tie"))</f>
        <v>SEA</v>
      </c>
      <c r="P1214" s="1" t="n">
        <f aca="false">F1214-G1214</f>
        <v>21</v>
      </c>
      <c r="Q1214" s="1" t="n">
        <f aca="false">F1214+G1214</f>
        <v>55</v>
      </c>
      <c r="R1214" s="1" t="str">
        <f aca="false">IF(H1214=M1214,"Home",IF(H1214=N1214,"Away",IF(H1214="PICK","Pick","N/A")))</f>
        <v>Away</v>
      </c>
      <c r="S1214" s="1" t="n">
        <f aca="false">IF(R1214="Home",P1214,IF(R1214="Away",-P1214,""))</f>
        <v>-21</v>
      </c>
      <c r="T1214" s="1" t="str">
        <f aca="false">IF(R1214="Pick","No Line",IF(S1214="","N/A",IF(S1214+I1214&gt;0,"Favorite Covered",IF(S1214+I1214&lt;0,"Underdog Covered","Push"))))</f>
        <v>Underdog Covered</v>
      </c>
      <c r="U1214" s="1" t="str">
        <f aca="false">IF(Q1214&gt;J1214,"Over",IF(Q1214&lt;J1214,"Under","Push"))</f>
        <v>Over</v>
      </c>
    </row>
    <row r="1215" customFormat="false" ht="15" hidden="false" customHeight="false" outlineLevel="0" collapsed="false">
      <c r="A1215" s="1" t="s">
        <v>432</v>
      </c>
      <c r="B1215" s="1" t="n">
        <v>2014</v>
      </c>
      <c r="C1215" s="1" t="s">
        <v>203</v>
      </c>
      <c r="D1215" s="1" t="s">
        <v>113</v>
      </c>
      <c r="E1215" s="1" t="s">
        <v>55</v>
      </c>
      <c r="F1215" s="1" t="n">
        <v>17</v>
      </c>
      <c r="G1215" s="1" t="n">
        <v>27</v>
      </c>
      <c r="H1215" s="1" t="s">
        <v>114</v>
      </c>
      <c r="I1215" s="1" t="n">
        <v>-3</v>
      </c>
      <c r="J1215" s="1" t="n">
        <v>47</v>
      </c>
      <c r="K1215" s="1" t="s">
        <v>154</v>
      </c>
      <c r="L1215" s="1" t="b">
        <f aca="false">FALSE()</f>
        <v>0</v>
      </c>
      <c r="M1215" s="1" t="str">
        <f aca="false">VLOOKUP(D1215,'Team Reference'!$A:$B,2,FALSE())</f>
        <v>TB</v>
      </c>
      <c r="N1215" s="1" t="str">
        <f aca="false">VLOOKUP(E1215,'Team Reference'!$A:$B,2,FALSE())</f>
        <v>ATL</v>
      </c>
      <c r="O1215" s="1" t="str">
        <f aca="false">IF(F1215&gt;G1215,M1215,IF(G1215&gt;F1215,N1215,"Tie"))</f>
        <v>ATL</v>
      </c>
      <c r="P1215" s="1" t="n">
        <f aca="false">F1215-G1215</f>
        <v>-10</v>
      </c>
      <c r="Q1215" s="1" t="n">
        <f aca="false">F1215+G1215</f>
        <v>44</v>
      </c>
      <c r="R1215" s="1" t="str">
        <f aca="false">IF(H1215=M1215,"Home",IF(H1215=N1215,"Away",IF(H1215="PICK","Pick","N/A")))</f>
        <v>Home</v>
      </c>
      <c r="S1215" s="1" t="n">
        <f aca="false">IF(R1215="Home",P1215,IF(R1215="Away",-P1215,""))</f>
        <v>-10</v>
      </c>
      <c r="T1215" s="1" t="str">
        <f aca="false">IF(R1215="Pick","No Line",IF(S1215="","N/A",IF(S1215+I1215&gt;0,"Favorite Covered",IF(S1215+I1215&lt;0,"Underdog Covered","Push"))))</f>
        <v>Underdog Covered</v>
      </c>
      <c r="U1215" s="1" t="str">
        <f aca="false">IF(Q1215&gt;J1215,"Over",IF(Q1215&lt;J1215,"Under","Push"))</f>
        <v>Under</v>
      </c>
    </row>
    <row r="1216" customFormat="false" ht="15" hidden="false" customHeight="false" outlineLevel="0" collapsed="false">
      <c r="A1216" s="1" t="s">
        <v>433</v>
      </c>
      <c r="B1216" s="1" t="n">
        <v>2014</v>
      </c>
      <c r="C1216" s="1" t="s">
        <v>203</v>
      </c>
      <c r="D1216" s="1" t="s">
        <v>103</v>
      </c>
      <c r="E1216" s="1" t="s">
        <v>61</v>
      </c>
      <c r="F1216" s="1" t="n">
        <v>45</v>
      </c>
      <c r="G1216" s="1" t="n">
        <v>21</v>
      </c>
      <c r="H1216" s="1" t="s">
        <v>62</v>
      </c>
      <c r="I1216" s="1" t="n">
        <v>-7</v>
      </c>
      <c r="J1216" s="1" t="n">
        <v>48.5</v>
      </c>
      <c r="K1216" s="1" t="s">
        <v>150</v>
      </c>
      <c r="L1216" s="1" t="b">
        <f aca="false">FALSE()</f>
        <v>0</v>
      </c>
      <c r="M1216" s="1" t="str">
        <f aca="false">VLOOKUP(D1216,'Team Reference'!$A:$B,2,FALSE())</f>
        <v>PHI</v>
      </c>
      <c r="N1216" s="1" t="str">
        <f aca="false">VLOOKUP(E1216,'Team Reference'!$A:$B,2,FALSE())</f>
        <v>CAR</v>
      </c>
      <c r="O1216" s="1" t="str">
        <f aca="false">IF(F1216&gt;G1216,M1216,IF(G1216&gt;F1216,N1216,"Tie"))</f>
        <v>PHI</v>
      </c>
      <c r="P1216" s="1" t="n">
        <f aca="false">F1216-G1216</f>
        <v>24</v>
      </c>
      <c r="Q1216" s="1" t="n">
        <f aca="false">F1216+G1216</f>
        <v>66</v>
      </c>
      <c r="R1216" s="1" t="str">
        <f aca="false">IF(H1216=M1216,"Home",IF(H1216=N1216,"Away",IF(H1216="PICK","Pick","N/A")))</f>
        <v>Away</v>
      </c>
      <c r="S1216" s="1" t="n">
        <f aca="false">IF(R1216="Home",P1216,IF(R1216="Away",-P1216,""))</f>
        <v>-24</v>
      </c>
      <c r="T1216" s="1" t="str">
        <f aca="false">IF(R1216="Pick","No Line",IF(S1216="","N/A",IF(S1216+I1216&gt;0,"Favorite Covered",IF(S1216+I1216&lt;0,"Underdog Covered","Push"))))</f>
        <v>Underdog Covered</v>
      </c>
      <c r="U1216" s="1" t="str">
        <f aca="false">IF(Q1216&gt;J1216,"Over",IF(Q1216&lt;J1216,"Under","Push"))</f>
        <v>Over</v>
      </c>
    </row>
    <row r="1217" customFormat="false" ht="15" hidden="false" customHeight="false" outlineLevel="0" collapsed="false">
      <c r="A1217" s="1" t="s">
        <v>434</v>
      </c>
      <c r="B1217" s="1" t="n">
        <v>2014</v>
      </c>
      <c r="C1217" s="1" t="s">
        <v>207</v>
      </c>
      <c r="D1217" s="1" t="s">
        <v>89</v>
      </c>
      <c r="E1217" s="1" t="s">
        <v>59</v>
      </c>
      <c r="F1217" s="1" t="n">
        <v>22</v>
      </c>
      <c r="G1217" s="1" t="n">
        <v>9</v>
      </c>
      <c r="H1217" s="1" t="s">
        <v>60</v>
      </c>
      <c r="I1217" s="1" t="n">
        <v>-4</v>
      </c>
      <c r="J1217" s="1" t="n">
        <v>41</v>
      </c>
      <c r="K1217" s="1" t="s">
        <v>179</v>
      </c>
      <c r="L1217" s="1" t="b">
        <f aca="false">FALSE()</f>
        <v>0</v>
      </c>
      <c r="M1217" s="1" t="str">
        <f aca="false">VLOOKUP(D1217,'Team Reference'!$A:$B,2,FALSE())</f>
        <v>MIA</v>
      </c>
      <c r="N1217" s="1" t="str">
        <f aca="false">VLOOKUP(E1217,'Team Reference'!$A:$B,2,FALSE())</f>
        <v>BUF</v>
      </c>
      <c r="O1217" s="1" t="str">
        <f aca="false">IF(F1217&gt;G1217,M1217,IF(G1217&gt;F1217,N1217,"Tie"))</f>
        <v>MIA</v>
      </c>
      <c r="P1217" s="1" t="n">
        <f aca="false">F1217-G1217</f>
        <v>13</v>
      </c>
      <c r="Q1217" s="1" t="n">
        <f aca="false">F1217+G1217</f>
        <v>31</v>
      </c>
      <c r="R1217" s="1" t="str">
        <f aca="false">IF(H1217=M1217,"Home",IF(H1217=N1217,"Away",IF(H1217="PICK","Pick","N/A")))</f>
        <v>Away</v>
      </c>
      <c r="S1217" s="1" t="n">
        <f aca="false">IF(R1217="Home",P1217,IF(R1217="Away",-P1217,""))</f>
        <v>-13</v>
      </c>
      <c r="T1217" s="1" t="str">
        <f aca="false">IF(R1217="Pick","No Line",IF(S1217="","N/A",IF(S1217+I1217&gt;0,"Favorite Covered",IF(S1217+I1217&lt;0,"Underdog Covered","Push"))))</f>
        <v>Underdog Covered</v>
      </c>
      <c r="U1217" s="1" t="str">
        <f aca="false">IF(Q1217&gt;J1217,"Over",IF(Q1217&lt;J1217,"Under","Push"))</f>
        <v>Under</v>
      </c>
    </row>
    <row r="1218" customFormat="false" ht="15" hidden="false" customHeight="false" outlineLevel="0" collapsed="false">
      <c r="A1218" s="1" t="s">
        <v>435</v>
      </c>
      <c r="B1218" s="1" t="n">
        <v>2014</v>
      </c>
      <c r="C1218" s="1" t="s">
        <v>207</v>
      </c>
      <c r="D1218" s="1" t="s">
        <v>53</v>
      </c>
      <c r="E1218" s="1" t="s">
        <v>73</v>
      </c>
      <c r="F1218" s="1" t="n">
        <v>14</v>
      </c>
      <c r="G1218" s="1" t="n">
        <v>6</v>
      </c>
      <c r="H1218" s="1" t="s">
        <v>54</v>
      </c>
      <c r="I1218" s="1" t="n">
        <v>-1.5</v>
      </c>
      <c r="J1218" s="1" t="n">
        <v>41.5</v>
      </c>
      <c r="K1218" s="1" t="s">
        <v>177</v>
      </c>
      <c r="L1218" s="1" t="b">
        <f aca="false">FALSE()</f>
        <v>0</v>
      </c>
      <c r="M1218" s="1" t="str">
        <f aca="false">VLOOKUP(D1218,'Team Reference'!$A:$B,2,FALSE())</f>
        <v>ARI</v>
      </c>
      <c r="N1218" s="1" t="str">
        <f aca="false">VLOOKUP(E1218,'Team Reference'!$A:$B,2,FALSE())</f>
        <v>DET</v>
      </c>
      <c r="O1218" s="1" t="str">
        <f aca="false">IF(F1218&gt;G1218,M1218,IF(G1218&gt;F1218,N1218,"Tie"))</f>
        <v>ARI</v>
      </c>
      <c r="P1218" s="1" t="n">
        <f aca="false">F1218-G1218</f>
        <v>8</v>
      </c>
      <c r="Q1218" s="1" t="n">
        <f aca="false">F1218+G1218</f>
        <v>20</v>
      </c>
      <c r="R1218" s="1" t="str">
        <f aca="false">IF(H1218=M1218,"Home",IF(H1218=N1218,"Away",IF(H1218="PICK","Pick","N/A")))</f>
        <v>Home</v>
      </c>
      <c r="S1218" s="1" t="n">
        <f aca="false">IF(R1218="Home",P1218,IF(R1218="Away",-P1218,""))</f>
        <v>8</v>
      </c>
      <c r="T1218" s="1" t="str">
        <f aca="false">IF(R1218="Pick","No Line",IF(S1218="","N/A",IF(S1218+I1218&gt;0,"Favorite Covered",IF(S1218+I1218&lt;0,"Underdog Covered","Push"))))</f>
        <v>Favorite Covered</v>
      </c>
      <c r="U1218" s="1" t="str">
        <f aca="false">IF(Q1218&gt;J1218,"Over",IF(Q1218&lt;J1218,"Under","Push"))</f>
        <v>Under</v>
      </c>
    </row>
    <row r="1219" customFormat="false" ht="15" hidden="false" customHeight="false" outlineLevel="0" collapsed="false">
      <c r="A1219" s="1" t="s">
        <v>435</v>
      </c>
      <c r="B1219" s="1" t="n">
        <v>2014</v>
      </c>
      <c r="C1219" s="1" t="s">
        <v>207</v>
      </c>
      <c r="D1219" s="1" t="s">
        <v>61</v>
      </c>
      <c r="E1219" s="1" t="s">
        <v>55</v>
      </c>
      <c r="F1219" s="1" t="n">
        <v>17</v>
      </c>
      <c r="G1219" s="1" t="n">
        <v>19</v>
      </c>
      <c r="H1219" s="1" t="s">
        <v>62</v>
      </c>
      <c r="I1219" s="1" t="n">
        <v>-2.5</v>
      </c>
      <c r="J1219" s="1" t="n">
        <v>47</v>
      </c>
      <c r="K1219" s="1" t="s">
        <v>162</v>
      </c>
      <c r="L1219" s="1" t="b">
        <f aca="false">FALSE()</f>
        <v>0</v>
      </c>
      <c r="M1219" s="1" t="str">
        <f aca="false">VLOOKUP(D1219,'Team Reference'!$A:$B,2,FALSE())</f>
        <v>CAR</v>
      </c>
      <c r="N1219" s="1" t="str">
        <f aca="false">VLOOKUP(E1219,'Team Reference'!$A:$B,2,FALSE())</f>
        <v>ATL</v>
      </c>
      <c r="O1219" s="1" t="str">
        <f aca="false">IF(F1219&gt;G1219,M1219,IF(G1219&gt;F1219,N1219,"Tie"))</f>
        <v>ATL</v>
      </c>
      <c r="P1219" s="1" t="n">
        <f aca="false">F1219-G1219</f>
        <v>-2</v>
      </c>
      <c r="Q1219" s="1" t="n">
        <f aca="false">F1219+G1219</f>
        <v>36</v>
      </c>
      <c r="R1219" s="1" t="str">
        <f aca="false">IF(H1219=M1219,"Home",IF(H1219=N1219,"Away",IF(H1219="PICK","Pick","N/A")))</f>
        <v>Home</v>
      </c>
      <c r="S1219" s="1" t="n">
        <f aca="false">IF(R1219="Home",P1219,IF(R1219="Away",-P1219,""))</f>
        <v>-2</v>
      </c>
      <c r="T1219" s="1" t="str">
        <f aca="false">IF(R1219="Pick","No Line",IF(S1219="","N/A",IF(S1219+I1219&gt;0,"Favorite Covered",IF(S1219+I1219&lt;0,"Underdog Covered","Push"))))</f>
        <v>Underdog Covered</v>
      </c>
      <c r="U1219" s="1" t="str">
        <f aca="false">IF(Q1219&gt;J1219,"Over",IF(Q1219&lt;J1219,"Under","Push"))</f>
        <v>Under</v>
      </c>
    </row>
    <row r="1220" customFormat="false" ht="15" hidden="false" customHeight="false" outlineLevel="0" collapsed="false">
      <c r="A1220" s="1" t="s">
        <v>435</v>
      </c>
      <c r="B1220" s="1" t="n">
        <v>2014</v>
      </c>
      <c r="C1220" s="1" t="s">
        <v>207</v>
      </c>
      <c r="D1220" s="1" t="s">
        <v>63</v>
      </c>
      <c r="E1220" s="1" t="s">
        <v>91</v>
      </c>
      <c r="F1220" s="1" t="n">
        <v>21</v>
      </c>
      <c r="G1220" s="1" t="n">
        <v>13</v>
      </c>
      <c r="H1220" s="1" t="s">
        <v>92</v>
      </c>
      <c r="I1220" s="1" t="n">
        <v>-2.5</v>
      </c>
      <c r="J1220" s="1" t="n">
        <v>46.5</v>
      </c>
      <c r="K1220" s="1" t="s">
        <v>145</v>
      </c>
      <c r="L1220" s="1" t="b">
        <f aca="false">FALSE()</f>
        <v>0</v>
      </c>
      <c r="M1220" s="1" t="str">
        <f aca="false">VLOOKUP(D1220,'Team Reference'!$A:$B,2,FALSE())</f>
        <v>CHI</v>
      </c>
      <c r="N1220" s="1" t="str">
        <f aca="false">VLOOKUP(E1220,'Team Reference'!$A:$B,2,FALSE())</f>
        <v>MIN</v>
      </c>
      <c r="O1220" s="1" t="str">
        <f aca="false">IF(F1220&gt;G1220,M1220,IF(G1220&gt;F1220,N1220,"Tie"))</f>
        <v>CHI</v>
      </c>
      <c r="P1220" s="1" t="n">
        <f aca="false">F1220-G1220</f>
        <v>8</v>
      </c>
      <c r="Q1220" s="1" t="n">
        <f aca="false">F1220+G1220</f>
        <v>34</v>
      </c>
      <c r="R1220" s="1" t="str">
        <f aca="false">IF(H1220=M1220,"Home",IF(H1220=N1220,"Away",IF(H1220="PICK","Pick","N/A")))</f>
        <v>Away</v>
      </c>
      <c r="S1220" s="1" t="n">
        <f aca="false">IF(R1220="Home",P1220,IF(R1220="Away",-P1220,""))</f>
        <v>-8</v>
      </c>
      <c r="T1220" s="1" t="str">
        <f aca="false">IF(R1220="Pick","No Line",IF(S1220="","N/A",IF(S1220+I1220&gt;0,"Favorite Covered",IF(S1220+I1220&lt;0,"Underdog Covered","Push"))))</f>
        <v>Underdog Covered</v>
      </c>
      <c r="U1220" s="1" t="str">
        <f aca="false">IF(Q1220&gt;J1220,"Over",IF(Q1220&lt;J1220,"Under","Push"))</f>
        <v>Under</v>
      </c>
    </row>
    <row r="1221" customFormat="false" ht="15" hidden="false" customHeight="false" outlineLevel="0" collapsed="false">
      <c r="A1221" s="1" t="s">
        <v>435</v>
      </c>
      <c r="B1221" s="1" t="n">
        <v>2014</v>
      </c>
      <c r="C1221" s="1" t="s">
        <v>207</v>
      </c>
      <c r="D1221" s="1" t="s">
        <v>67</v>
      </c>
      <c r="E1221" s="1" t="s">
        <v>77</v>
      </c>
      <c r="F1221" s="1" t="n">
        <v>7</v>
      </c>
      <c r="G1221" s="1" t="n">
        <v>23</v>
      </c>
      <c r="H1221" s="1" t="s">
        <v>78</v>
      </c>
      <c r="I1221" s="1" t="n">
        <v>-4</v>
      </c>
      <c r="J1221" s="1" t="n">
        <v>42</v>
      </c>
      <c r="K1221" s="1" t="s">
        <v>164</v>
      </c>
      <c r="L1221" s="1" t="b">
        <f aca="false">FALSE()</f>
        <v>0</v>
      </c>
      <c r="M1221" s="1" t="str">
        <f aca="false">VLOOKUP(D1221,'Team Reference'!$A:$B,2,FALSE())</f>
        <v>CLE</v>
      </c>
      <c r="N1221" s="1" t="str">
        <f aca="false">VLOOKUP(E1221,'Team Reference'!$A:$B,2,FALSE())</f>
        <v>HOU</v>
      </c>
      <c r="O1221" s="1" t="str">
        <f aca="false">IF(F1221&gt;G1221,M1221,IF(G1221&gt;F1221,N1221,"Tie"))</f>
        <v>HOU</v>
      </c>
      <c r="P1221" s="1" t="n">
        <f aca="false">F1221-G1221</f>
        <v>-16</v>
      </c>
      <c r="Q1221" s="1" t="n">
        <f aca="false">F1221+G1221</f>
        <v>30</v>
      </c>
      <c r="R1221" s="1" t="str">
        <f aca="false">IF(H1221=M1221,"Home",IF(H1221=N1221,"Away",IF(H1221="PICK","Pick","N/A")))</f>
        <v>Away</v>
      </c>
      <c r="S1221" s="1" t="n">
        <f aca="false">IF(R1221="Home",P1221,IF(R1221="Away",-P1221,""))</f>
        <v>16</v>
      </c>
      <c r="T1221" s="1" t="str">
        <f aca="false">IF(R1221="Pick","No Line",IF(S1221="","N/A",IF(S1221+I1221&gt;0,"Favorite Covered",IF(S1221+I1221&lt;0,"Underdog Covered","Push"))))</f>
        <v>Favorite Covered</v>
      </c>
      <c r="U1221" s="1" t="str">
        <f aca="false">IF(Q1221&gt;J1221,"Over",IF(Q1221&lt;J1221,"Under","Push"))</f>
        <v>Under</v>
      </c>
    </row>
    <row r="1222" customFormat="false" ht="15" hidden="false" customHeight="false" outlineLevel="0" collapsed="false">
      <c r="A1222" s="1" t="s">
        <v>435</v>
      </c>
      <c r="B1222" s="1" t="n">
        <v>2014</v>
      </c>
      <c r="C1222" s="1" t="s">
        <v>207</v>
      </c>
      <c r="D1222" s="1" t="s">
        <v>75</v>
      </c>
      <c r="E1222" s="1" t="s">
        <v>103</v>
      </c>
      <c r="F1222" s="1" t="n">
        <v>53</v>
      </c>
      <c r="G1222" s="1" t="n">
        <v>20</v>
      </c>
      <c r="H1222" s="1" t="s">
        <v>104</v>
      </c>
      <c r="I1222" s="1" t="n">
        <v>-5.5</v>
      </c>
      <c r="J1222" s="1" t="n">
        <v>55.5</v>
      </c>
      <c r="K1222" s="1" t="s">
        <v>168</v>
      </c>
      <c r="L1222" s="1" t="b">
        <f aca="false">FALSE()</f>
        <v>0</v>
      </c>
      <c r="M1222" s="1" t="str">
        <f aca="false">VLOOKUP(D1222,'Team Reference'!$A:$B,2,FALSE())</f>
        <v>GB</v>
      </c>
      <c r="N1222" s="1" t="str">
        <f aca="false">VLOOKUP(E1222,'Team Reference'!$A:$B,2,FALSE())</f>
        <v>PHI</v>
      </c>
      <c r="O1222" s="1" t="str">
        <f aca="false">IF(F1222&gt;G1222,M1222,IF(G1222&gt;F1222,N1222,"Tie"))</f>
        <v>GB</v>
      </c>
      <c r="P1222" s="1" t="n">
        <f aca="false">F1222-G1222</f>
        <v>33</v>
      </c>
      <c r="Q1222" s="1" t="n">
        <f aca="false">F1222+G1222</f>
        <v>73</v>
      </c>
      <c r="R1222" s="1" t="str">
        <f aca="false">IF(H1222=M1222,"Home",IF(H1222=N1222,"Away",IF(H1222="PICK","Pick","N/A")))</f>
        <v>Away</v>
      </c>
      <c r="S1222" s="1" t="n">
        <f aca="false">IF(R1222="Home",P1222,IF(R1222="Away",-P1222,""))</f>
        <v>-33</v>
      </c>
      <c r="T1222" s="1" t="str">
        <f aca="false">IF(R1222="Pick","No Line",IF(S1222="","N/A",IF(S1222+I1222&gt;0,"Favorite Covered",IF(S1222+I1222&lt;0,"Underdog Covered","Push"))))</f>
        <v>Underdog Covered</v>
      </c>
      <c r="U1222" s="1" t="str">
        <f aca="false">IF(Q1222&gt;J1222,"Over",IF(Q1222&lt;J1222,"Under","Push"))</f>
        <v>Over</v>
      </c>
    </row>
    <row r="1223" customFormat="false" ht="15" hidden="false" customHeight="false" outlineLevel="0" collapsed="false">
      <c r="A1223" s="1" t="s">
        <v>435</v>
      </c>
      <c r="B1223" s="1" t="n">
        <v>2014</v>
      </c>
      <c r="C1223" s="1" t="s">
        <v>207</v>
      </c>
      <c r="D1223" s="1" t="s">
        <v>79</v>
      </c>
      <c r="E1223" s="1" t="s">
        <v>93</v>
      </c>
      <c r="F1223" s="1" t="n">
        <v>20</v>
      </c>
      <c r="G1223" s="1" t="n">
        <v>42</v>
      </c>
      <c r="H1223" s="1" t="s">
        <v>94</v>
      </c>
      <c r="I1223" s="1" t="n">
        <v>-3</v>
      </c>
      <c r="J1223" s="1" t="n">
        <v>59</v>
      </c>
      <c r="K1223" s="1" t="s">
        <v>169</v>
      </c>
      <c r="L1223" s="1" t="b">
        <f aca="false">FALSE()</f>
        <v>0</v>
      </c>
      <c r="M1223" s="1" t="str">
        <f aca="false">VLOOKUP(D1223,'Team Reference'!$A:$B,2,FALSE())</f>
        <v>IND</v>
      </c>
      <c r="N1223" s="1" t="str">
        <f aca="false">VLOOKUP(E1223,'Team Reference'!$A:$B,2,FALSE())</f>
        <v>NE</v>
      </c>
      <c r="O1223" s="1" t="str">
        <f aca="false">IF(F1223&gt;G1223,M1223,IF(G1223&gt;F1223,N1223,"Tie"))</f>
        <v>NE</v>
      </c>
      <c r="P1223" s="1" t="n">
        <f aca="false">F1223-G1223</f>
        <v>-22</v>
      </c>
      <c r="Q1223" s="1" t="n">
        <f aca="false">F1223+G1223</f>
        <v>62</v>
      </c>
      <c r="R1223" s="1" t="str">
        <f aca="false">IF(H1223=M1223,"Home",IF(H1223=N1223,"Away",IF(H1223="PICK","Pick","N/A")))</f>
        <v>Away</v>
      </c>
      <c r="S1223" s="1" t="n">
        <f aca="false">IF(R1223="Home",P1223,IF(R1223="Away",-P1223,""))</f>
        <v>22</v>
      </c>
      <c r="T1223" s="1" t="str">
        <f aca="false">IF(R1223="Pick","No Line",IF(S1223="","N/A",IF(S1223+I1223&gt;0,"Favorite Covered",IF(S1223+I1223&lt;0,"Underdog Covered","Push"))))</f>
        <v>Favorite Covered</v>
      </c>
      <c r="U1223" s="1" t="str">
        <f aca="false">IF(Q1223&gt;J1223,"Over",IF(Q1223&lt;J1223,"Under","Push"))</f>
        <v>Over</v>
      </c>
    </row>
    <row r="1224" customFormat="false" ht="15" hidden="false" customHeight="false" outlineLevel="0" collapsed="false">
      <c r="A1224" s="1" t="s">
        <v>435</v>
      </c>
      <c r="B1224" s="1" t="n">
        <v>2014</v>
      </c>
      <c r="C1224" s="1" t="s">
        <v>207</v>
      </c>
      <c r="D1224" s="1" t="s">
        <v>83</v>
      </c>
      <c r="E1224" s="1" t="s">
        <v>110</v>
      </c>
      <c r="F1224" s="1" t="n">
        <v>24</v>
      </c>
      <c r="G1224" s="1" t="n">
        <v>20</v>
      </c>
      <c r="H1224" s="1" t="s">
        <v>84</v>
      </c>
      <c r="I1224" s="1" t="n">
        <v>-1</v>
      </c>
      <c r="J1224" s="1" t="n">
        <v>43.5</v>
      </c>
      <c r="K1224" s="1" t="s">
        <v>158</v>
      </c>
      <c r="L1224" s="1" t="b">
        <f aca="false">FALSE()</f>
        <v>0</v>
      </c>
      <c r="M1224" s="1" t="str">
        <f aca="false">VLOOKUP(D1224,'Team Reference'!$A:$B,2,FALSE())</f>
        <v>KC</v>
      </c>
      <c r="N1224" s="1" t="str">
        <f aca="false">VLOOKUP(E1224,'Team Reference'!$A:$B,2,FALSE())</f>
        <v>SEA</v>
      </c>
      <c r="O1224" s="1" t="str">
        <f aca="false">IF(F1224&gt;G1224,M1224,IF(G1224&gt;F1224,N1224,"Tie"))</f>
        <v>KC</v>
      </c>
      <c r="P1224" s="1" t="n">
        <f aca="false">F1224-G1224</f>
        <v>4</v>
      </c>
      <c r="Q1224" s="1" t="n">
        <f aca="false">F1224+G1224</f>
        <v>44</v>
      </c>
      <c r="R1224" s="1" t="str">
        <f aca="false">IF(H1224=M1224,"Home",IF(H1224=N1224,"Away",IF(H1224="PICK","Pick","N/A")))</f>
        <v>Home</v>
      </c>
      <c r="S1224" s="1" t="n">
        <f aca="false">IF(R1224="Home",P1224,IF(R1224="Away",-P1224,""))</f>
        <v>4</v>
      </c>
      <c r="T1224" s="1" t="str">
        <f aca="false">IF(R1224="Pick","No Line",IF(S1224="","N/A",IF(S1224+I1224&gt;0,"Favorite Covered",IF(S1224+I1224&lt;0,"Underdog Covered","Push"))))</f>
        <v>Favorite Covered</v>
      </c>
      <c r="U1224" s="1" t="str">
        <f aca="false">IF(Q1224&gt;J1224,"Over",IF(Q1224&lt;J1224,"Under","Push"))</f>
        <v>Over</v>
      </c>
    </row>
    <row r="1225" customFormat="false" ht="15" hidden="false" customHeight="false" outlineLevel="0" collapsed="false">
      <c r="A1225" s="1" t="s">
        <v>435</v>
      </c>
      <c r="B1225" s="1" t="n">
        <v>2014</v>
      </c>
      <c r="C1225" s="1" t="s">
        <v>207</v>
      </c>
      <c r="D1225" s="1" t="s">
        <v>95</v>
      </c>
      <c r="E1225" s="1" t="s">
        <v>65</v>
      </c>
      <c r="F1225" s="1" t="n">
        <v>10</v>
      </c>
      <c r="G1225" s="1" t="n">
        <v>27</v>
      </c>
      <c r="H1225" s="1" t="s">
        <v>66</v>
      </c>
      <c r="I1225" s="1" t="n">
        <v>-8</v>
      </c>
      <c r="J1225" s="1" t="n">
        <v>51.5</v>
      </c>
      <c r="K1225" s="1" t="s">
        <v>142</v>
      </c>
      <c r="L1225" s="1" t="b">
        <f aca="false">FALSE()</f>
        <v>0</v>
      </c>
      <c r="M1225" s="1" t="str">
        <f aca="false">VLOOKUP(D1225,'Team Reference'!$A:$B,2,FALSE())</f>
        <v>NO</v>
      </c>
      <c r="N1225" s="1" t="str">
        <f aca="false">VLOOKUP(E1225,'Team Reference'!$A:$B,2,FALSE())</f>
        <v>CIN</v>
      </c>
      <c r="O1225" s="1" t="str">
        <f aca="false">IF(F1225&gt;G1225,M1225,IF(G1225&gt;F1225,N1225,"Tie"))</f>
        <v>CIN</v>
      </c>
      <c r="P1225" s="1" t="n">
        <f aca="false">F1225-G1225</f>
        <v>-17</v>
      </c>
      <c r="Q1225" s="1" t="n">
        <f aca="false">F1225+G1225</f>
        <v>37</v>
      </c>
      <c r="R1225" s="1" t="str">
        <f aca="false">IF(H1225=M1225,"Home",IF(H1225=N1225,"Away",IF(H1225="PICK","Pick","N/A")))</f>
        <v>Away</v>
      </c>
      <c r="S1225" s="1" t="n">
        <f aca="false">IF(R1225="Home",P1225,IF(R1225="Away",-P1225,""))</f>
        <v>17</v>
      </c>
      <c r="T1225" s="1" t="str">
        <f aca="false">IF(R1225="Pick","No Line",IF(S1225="","N/A",IF(S1225+I1225&gt;0,"Favorite Covered",IF(S1225+I1225&lt;0,"Underdog Covered","Push"))))</f>
        <v>Favorite Covered</v>
      </c>
      <c r="U1225" s="1" t="str">
        <f aca="false">IF(Q1225&gt;J1225,"Over",IF(Q1225&lt;J1225,"Under","Push"))</f>
        <v>Under</v>
      </c>
    </row>
    <row r="1226" customFormat="false" ht="15" hidden="false" customHeight="false" outlineLevel="0" collapsed="false">
      <c r="A1226" s="1" t="s">
        <v>435</v>
      </c>
      <c r="B1226" s="1" t="n">
        <v>2014</v>
      </c>
      <c r="C1226" s="1" t="s">
        <v>207</v>
      </c>
      <c r="D1226" s="1" t="s">
        <v>97</v>
      </c>
      <c r="E1226" s="1" t="s">
        <v>108</v>
      </c>
      <c r="F1226" s="1" t="n">
        <v>10</v>
      </c>
      <c r="G1226" s="1" t="n">
        <v>16</v>
      </c>
      <c r="H1226" s="1" t="s">
        <v>98</v>
      </c>
      <c r="I1226" s="1" t="n">
        <v>-4</v>
      </c>
      <c r="J1226" s="1" t="n">
        <v>45</v>
      </c>
      <c r="K1226" s="1" t="s">
        <v>149</v>
      </c>
      <c r="L1226" s="1" t="b">
        <f aca="false">FALSE()</f>
        <v>0</v>
      </c>
      <c r="M1226" s="1" t="str">
        <f aca="false">VLOOKUP(D1226,'Team Reference'!$A:$B,2,FALSE())</f>
        <v>NYG</v>
      </c>
      <c r="N1226" s="1" t="str">
        <f aca="false">VLOOKUP(E1226,'Team Reference'!$A:$B,2,FALSE())</f>
        <v>SF</v>
      </c>
      <c r="O1226" s="1" t="str">
        <f aca="false">IF(F1226&gt;G1226,M1226,IF(G1226&gt;F1226,N1226,"Tie"))</f>
        <v>SF</v>
      </c>
      <c r="P1226" s="1" t="n">
        <f aca="false">F1226-G1226</f>
        <v>-6</v>
      </c>
      <c r="Q1226" s="1" t="n">
        <f aca="false">F1226+G1226</f>
        <v>26</v>
      </c>
      <c r="R1226" s="1" t="str">
        <f aca="false">IF(H1226=M1226,"Home",IF(H1226=N1226,"Away",IF(H1226="PICK","Pick","N/A")))</f>
        <v>Home</v>
      </c>
      <c r="S1226" s="1" t="n">
        <f aca="false">IF(R1226="Home",P1226,IF(R1226="Away",-P1226,""))</f>
        <v>-6</v>
      </c>
      <c r="T1226" s="1" t="str">
        <f aca="false">IF(R1226="Pick","No Line",IF(S1226="","N/A",IF(S1226+I1226&gt;0,"Favorite Covered",IF(S1226+I1226&lt;0,"Underdog Covered","Push"))))</f>
        <v>Underdog Covered</v>
      </c>
      <c r="U1226" s="1" t="str">
        <f aca="false">IF(Q1226&gt;J1226,"Over",IF(Q1226&lt;J1226,"Under","Push"))</f>
        <v>Under</v>
      </c>
    </row>
    <row r="1227" customFormat="false" ht="15" hidden="false" customHeight="false" outlineLevel="0" collapsed="false">
      <c r="A1227" s="1" t="s">
        <v>435</v>
      </c>
      <c r="B1227" s="1" t="n">
        <v>2014</v>
      </c>
      <c r="C1227" s="1" t="s">
        <v>207</v>
      </c>
      <c r="D1227" s="1" t="s">
        <v>107</v>
      </c>
      <c r="E1227" s="1" t="s">
        <v>101</v>
      </c>
      <c r="F1227" s="1" t="n">
        <v>13</v>
      </c>
      <c r="G1227" s="1" t="n">
        <v>6</v>
      </c>
      <c r="H1227" s="1" t="s">
        <v>102</v>
      </c>
      <c r="I1227" s="1" t="n">
        <v>-10</v>
      </c>
      <c r="J1227" s="1" t="n">
        <v>45.5</v>
      </c>
      <c r="K1227" s="1" t="s">
        <v>172</v>
      </c>
      <c r="L1227" s="1" t="b">
        <f aca="false">FALSE()</f>
        <v>0</v>
      </c>
      <c r="M1227" s="1" t="str">
        <f aca="false">VLOOKUP(D1227,'Team Reference'!$A:$B,2,FALSE())</f>
        <v>LAC</v>
      </c>
      <c r="N1227" s="1" t="str">
        <f aca="false">VLOOKUP(E1227,'Team Reference'!$A:$B,2,FALSE())</f>
        <v>OAK</v>
      </c>
      <c r="O1227" s="1" t="str">
        <f aca="false">IF(F1227&gt;G1227,M1227,IF(G1227&gt;F1227,N1227,"Tie"))</f>
        <v>LAC</v>
      </c>
      <c r="P1227" s="1" t="n">
        <f aca="false">F1227-G1227</f>
        <v>7</v>
      </c>
      <c r="Q1227" s="1" t="n">
        <f aca="false">F1227+G1227</f>
        <v>19</v>
      </c>
      <c r="R1227" s="1" t="str">
        <f aca="false">IF(H1227=M1227,"Home",IF(H1227=N1227,"Away",IF(H1227="PICK","Pick","N/A")))</f>
        <v>Away</v>
      </c>
      <c r="S1227" s="1" t="n">
        <f aca="false">IF(R1227="Home",P1227,IF(R1227="Away",-P1227,""))</f>
        <v>-7</v>
      </c>
      <c r="T1227" s="1" t="str">
        <f aca="false">IF(R1227="Pick","No Line",IF(S1227="","N/A",IF(S1227+I1227&gt;0,"Favorite Covered",IF(S1227+I1227&lt;0,"Underdog Covered","Push"))))</f>
        <v>Underdog Covered</v>
      </c>
      <c r="U1227" s="1" t="str">
        <f aca="false">IF(Q1227&gt;J1227,"Over",IF(Q1227&lt;J1227,"Under","Push"))</f>
        <v>Under</v>
      </c>
    </row>
    <row r="1228" customFormat="false" ht="15" hidden="false" customHeight="false" outlineLevel="0" collapsed="false">
      <c r="A1228" s="1" t="s">
        <v>435</v>
      </c>
      <c r="B1228" s="1" t="n">
        <v>2014</v>
      </c>
      <c r="C1228" s="1" t="s">
        <v>207</v>
      </c>
      <c r="D1228" s="1" t="s">
        <v>112</v>
      </c>
      <c r="E1228" s="1" t="s">
        <v>71</v>
      </c>
      <c r="F1228" s="1" t="n">
        <v>22</v>
      </c>
      <c r="G1228" s="1" t="n">
        <v>7</v>
      </c>
      <c r="H1228" s="1" t="s">
        <v>88</v>
      </c>
      <c r="I1228" s="1" t="n">
        <v>-9</v>
      </c>
      <c r="J1228" s="1" t="n">
        <v>50</v>
      </c>
      <c r="K1228" s="1" t="s">
        <v>153</v>
      </c>
      <c r="L1228" s="1" t="b">
        <f aca="false">FALSE()</f>
        <v>0</v>
      </c>
      <c r="M1228" s="1" t="str">
        <f aca="false">VLOOKUP(D1228,'Team Reference'!$A:$B,2,FALSE())</f>
        <v>LAR</v>
      </c>
      <c r="N1228" s="1" t="str">
        <f aca="false">VLOOKUP(E1228,'Team Reference'!$A:$B,2,FALSE())</f>
        <v>DEN</v>
      </c>
      <c r="O1228" s="1" t="str">
        <f aca="false">IF(F1228&gt;G1228,M1228,IF(G1228&gt;F1228,N1228,"Tie"))</f>
        <v>LAR</v>
      </c>
      <c r="P1228" s="1" t="n">
        <f aca="false">F1228-G1228</f>
        <v>15</v>
      </c>
      <c r="Q1228" s="1" t="n">
        <f aca="false">F1228+G1228</f>
        <v>29</v>
      </c>
      <c r="R1228" s="1" t="str">
        <f aca="false">IF(H1228=M1228,"Home",IF(H1228=N1228,"Away",IF(H1228="PICK","Pick","N/A")))</f>
        <v>Home</v>
      </c>
      <c r="S1228" s="1" t="n">
        <f aca="false">IF(R1228="Home",P1228,IF(R1228="Away",-P1228,""))</f>
        <v>15</v>
      </c>
      <c r="T1228" s="1" t="str">
        <f aca="false">IF(R1228="Pick","No Line",IF(S1228="","N/A",IF(S1228+I1228&gt;0,"Favorite Covered",IF(S1228+I1228&lt;0,"Underdog Covered","Push"))))</f>
        <v>Favorite Covered</v>
      </c>
      <c r="U1228" s="1" t="str">
        <f aca="false">IF(Q1228&gt;J1228,"Over",IF(Q1228&lt;J1228,"Under","Push"))</f>
        <v>Under</v>
      </c>
    </row>
    <row r="1229" customFormat="false" ht="15" hidden="false" customHeight="false" outlineLevel="0" collapsed="false">
      <c r="A1229" s="1" t="s">
        <v>435</v>
      </c>
      <c r="B1229" s="1" t="n">
        <v>2014</v>
      </c>
      <c r="C1229" s="1" t="s">
        <v>207</v>
      </c>
      <c r="D1229" s="1" t="s">
        <v>117</v>
      </c>
      <c r="E1229" s="1" t="s">
        <v>113</v>
      </c>
      <c r="F1229" s="1" t="n">
        <v>7</v>
      </c>
      <c r="G1229" s="1" t="n">
        <v>27</v>
      </c>
      <c r="H1229" s="1" t="s">
        <v>114</v>
      </c>
      <c r="I1229" s="1" t="n">
        <v>-7</v>
      </c>
      <c r="J1229" s="1" t="n">
        <v>46</v>
      </c>
      <c r="K1229" s="1" t="s">
        <v>156</v>
      </c>
      <c r="L1229" s="1" t="b">
        <f aca="false">FALSE()</f>
        <v>0</v>
      </c>
      <c r="M1229" s="1" t="str">
        <f aca="false">VLOOKUP(D1229,'Team Reference'!$A:$B,2,FALSE())</f>
        <v>WAS</v>
      </c>
      <c r="N1229" s="1" t="str">
        <f aca="false">VLOOKUP(E1229,'Team Reference'!$A:$B,2,FALSE())</f>
        <v>TB</v>
      </c>
      <c r="O1229" s="1" t="str">
        <f aca="false">IF(F1229&gt;G1229,M1229,IF(G1229&gt;F1229,N1229,"Tie"))</f>
        <v>TB</v>
      </c>
      <c r="P1229" s="1" t="n">
        <f aca="false">F1229-G1229</f>
        <v>-20</v>
      </c>
      <c r="Q1229" s="1" t="n">
        <f aca="false">F1229+G1229</f>
        <v>34</v>
      </c>
      <c r="R1229" s="1" t="str">
        <f aca="false">IF(H1229=M1229,"Home",IF(H1229=N1229,"Away",IF(H1229="PICK","Pick","N/A")))</f>
        <v>Away</v>
      </c>
      <c r="S1229" s="1" t="n">
        <f aca="false">IF(R1229="Home",P1229,IF(R1229="Away",-P1229,""))</f>
        <v>20</v>
      </c>
      <c r="T1229" s="1" t="str">
        <f aca="false">IF(R1229="Pick","No Line",IF(S1229="","N/A",IF(S1229+I1229&gt;0,"Favorite Covered",IF(S1229+I1229&lt;0,"Underdog Covered","Push"))))</f>
        <v>Favorite Covered</v>
      </c>
      <c r="U1229" s="1" t="str">
        <f aca="false">IF(Q1229&gt;J1229,"Over",IF(Q1229&lt;J1229,"Under","Push"))</f>
        <v>Under</v>
      </c>
    </row>
    <row r="1230" customFormat="false" ht="15" hidden="false" customHeight="false" outlineLevel="0" collapsed="false">
      <c r="A1230" s="1" t="s">
        <v>436</v>
      </c>
      <c r="B1230" s="1" t="n">
        <v>2014</v>
      </c>
      <c r="C1230" s="1" t="s">
        <v>207</v>
      </c>
      <c r="D1230" s="1" t="s">
        <v>115</v>
      </c>
      <c r="E1230" s="1" t="s">
        <v>105</v>
      </c>
      <c r="F1230" s="1" t="n">
        <v>24</v>
      </c>
      <c r="G1230" s="1" t="n">
        <v>27</v>
      </c>
      <c r="H1230" s="1" t="s">
        <v>116</v>
      </c>
      <c r="I1230" s="1" t="n">
        <v>-7</v>
      </c>
      <c r="J1230" s="1" t="n">
        <v>46</v>
      </c>
      <c r="K1230" s="1" t="s">
        <v>155</v>
      </c>
      <c r="L1230" s="1" t="b">
        <f aca="false">FALSE()</f>
        <v>0</v>
      </c>
      <c r="M1230" s="1" t="str">
        <f aca="false">VLOOKUP(D1230,'Team Reference'!$A:$B,2,FALSE())</f>
        <v>TEN</v>
      </c>
      <c r="N1230" s="1" t="str">
        <f aca="false">VLOOKUP(E1230,'Team Reference'!$A:$B,2,FALSE())</f>
        <v>PIT</v>
      </c>
      <c r="O1230" s="1" t="str">
        <f aca="false">IF(F1230&gt;G1230,M1230,IF(G1230&gt;F1230,N1230,"Tie"))</f>
        <v>PIT</v>
      </c>
      <c r="P1230" s="1" t="n">
        <f aca="false">F1230-G1230</f>
        <v>-3</v>
      </c>
      <c r="Q1230" s="1" t="n">
        <f aca="false">F1230+G1230</f>
        <v>51</v>
      </c>
      <c r="R1230" s="1" t="str">
        <f aca="false">IF(H1230=M1230,"Home",IF(H1230=N1230,"Away",IF(H1230="PICK","Pick","N/A")))</f>
        <v>Home</v>
      </c>
      <c r="S1230" s="1" t="n">
        <f aca="false">IF(R1230="Home",P1230,IF(R1230="Away",-P1230,""))</f>
        <v>-3</v>
      </c>
      <c r="T1230" s="1" t="str">
        <f aca="false">IF(R1230="Pick","No Line",IF(S1230="","N/A",IF(S1230+I1230&gt;0,"Favorite Covered",IF(S1230+I1230&lt;0,"Underdog Covered","Push"))))</f>
        <v>Underdog Covered</v>
      </c>
      <c r="U1230" s="1" t="str">
        <f aca="false">IF(Q1230&gt;J1230,"Over",IF(Q1230&lt;J1230,"Under","Push"))</f>
        <v>Over</v>
      </c>
    </row>
    <row r="1231" customFormat="false" ht="15" hidden="false" customHeight="false" outlineLevel="0" collapsed="false">
      <c r="A1231" s="1" t="s">
        <v>437</v>
      </c>
      <c r="B1231" s="1" t="n">
        <v>2014</v>
      </c>
      <c r="C1231" s="1" t="s">
        <v>211</v>
      </c>
      <c r="D1231" s="1" t="s">
        <v>101</v>
      </c>
      <c r="E1231" s="1" t="s">
        <v>83</v>
      </c>
      <c r="F1231" s="1" t="n">
        <v>24</v>
      </c>
      <c r="G1231" s="1" t="n">
        <v>20</v>
      </c>
      <c r="H1231" s="1" t="s">
        <v>102</v>
      </c>
      <c r="I1231" s="1" t="n">
        <v>-7.5</v>
      </c>
      <c r="J1231" s="1" t="n">
        <v>42</v>
      </c>
      <c r="K1231" s="1" t="s">
        <v>171</v>
      </c>
      <c r="L1231" s="1" t="b">
        <f aca="false">FALSE()</f>
        <v>0</v>
      </c>
      <c r="M1231" s="1" t="str">
        <f aca="false">VLOOKUP(D1231,'Team Reference'!$A:$B,2,FALSE())</f>
        <v>OAK</v>
      </c>
      <c r="N1231" s="1" t="str">
        <f aca="false">VLOOKUP(E1231,'Team Reference'!$A:$B,2,FALSE())</f>
        <v>KC</v>
      </c>
      <c r="O1231" s="1" t="str">
        <f aca="false">IF(F1231&gt;G1231,M1231,IF(G1231&gt;F1231,N1231,"Tie"))</f>
        <v>OAK</v>
      </c>
      <c r="P1231" s="1" t="n">
        <f aca="false">F1231-G1231</f>
        <v>4</v>
      </c>
      <c r="Q1231" s="1" t="n">
        <f aca="false">F1231+G1231</f>
        <v>44</v>
      </c>
      <c r="R1231" s="1" t="str">
        <f aca="false">IF(H1231=M1231,"Home",IF(H1231=N1231,"Away",IF(H1231="PICK","Pick","N/A")))</f>
        <v>Home</v>
      </c>
      <c r="S1231" s="1" t="n">
        <f aca="false">IF(R1231="Home",P1231,IF(R1231="Away",-P1231,""))</f>
        <v>4</v>
      </c>
      <c r="T1231" s="1" t="str">
        <f aca="false">IF(R1231="Pick","No Line",IF(S1231="","N/A",IF(S1231+I1231&gt;0,"Favorite Covered",IF(S1231+I1231&lt;0,"Underdog Covered","Push"))))</f>
        <v>Underdog Covered</v>
      </c>
      <c r="U1231" s="1" t="str">
        <f aca="false">IF(Q1231&gt;J1231,"Over",IF(Q1231&lt;J1231,"Under","Push"))</f>
        <v>Over</v>
      </c>
    </row>
    <row r="1232" customFormat="false" ht="15" hidden="false" customHeight="false" outlineLevel="0" collapsed="false">
      <c r="A1232" s="1" t="s">
        <v>438</v>
      </c>
      <c r="B1232" s="1" t="n">
        <v>2014</v>
      </c>
      <c r="C1232" s="1" t="s">
        <v>211</v>
      </c>
      <c r="D1232" s="1" t="s">
        <v>55</v>
      </c>
      <c r="E1232" s="1" t="s">
        <v>67</v>
      </c>
      <c r="F1232" s="1" t="n">
        <v>24</v>
      </c>
      <c r="G1232" s="1" t="n">
        <v>26</v>
      </c>
      <c r="H1232" s="1" t="s">
        <v>68</v>
      </c>
      <c r="I1232" s="1" t="n">
        <v>-2.5</v>
      </c>
      <c r="J1232" s="1" t="n">
        <v>48.5</v>
      </c>
      <c r="K1232" s="1" t="s">
        <v>161</v>
      </c>
      <c r="L1232" s="1" t="b">
        <f aca="false">FALSE()</f>
        <v>0</v>
      </c>
      <c r="M1232" s="1" t="str">
        <f aca="false">VLOOKUP(D1232,'Team Reference'!$A:$B,2,FALSE())</f>
        <v>ATL</v>
      </c>
      <c r="N1232" s="1" t="str">
        <f aca="false">VLOOKUP(E1232,'Team Reference'!$A:$B,2,FALSE())</f>
        <v>CLE</v>
      </c>
      <c r="O1232" s="1" t="str">
        <f aca="false">IF(F1232&gt;G1232,M1232,IF(G1232&gt;F1232,N1232,"Tie"))</f>
        <v>CLE</v>
      </c>
      <c r="P1232" s="1" t="n">
        <f aca="false">F1232-G1232</f>
        <v>-2</v>
      </c>
      <c r="Q1232" s="1" t="n">
        <f aca="false">F1232+G1232</f>
        <v>50</v>
      </c>
      <c r="R1232" s="1" t="str">
        <f aca="false">IF(H1232=M1232,"Home",IF(H1232=N1232,"Away",IF(H1232="PICK","Pick","N/A")))</f>
        <v>Away</v>
      </c>
      <c r="S1232" s="1" t="n">
        <f aca="false">IF(R1232="Home",P1232,IF(R1232="Away",-P1232,""))</f>
        <v>2</v>
      </c>
      <c r="T1232" s="1" t="str">
        <f aca="false">IF(R1232="Pick","No Line",IF(S1232="","N/A",IF(S1232+I1232&gt;0,"Favorite Covered",IF(S1232+I1232&lt;0,"Underdog Covered","Push"))))</f>
        <v>Underdog Covered</v>
      </c>
      <c r="U1232" s="1" t="str">
        <f aca="false">IF(Q1232&gt;J1232,"Over",IF(Q1232&lt;J1232,"Under","Push"))</f>
        <v>Over</v>
      </c>
    </row>
    <row r="1233" customFormat="false" ht="15" hidden="false" customHeight="false" outlineLevel="0" collapsed="false">
      <c r="A1233" s="1" t="s">
        <v>438</v>
      </c>
      <c r="B1233" s="1" t="n">
        <v>2014</v>
      </c>
      <c r="C1233" s="1" t="s">
        <v>211</v>
      </c>
      <c r="D1233" s="1" t="s">
        <v>63</v>
      </c>
      <c r="E1233" s="1" t="s">
        <v>113</v>
      </c>
      <c r="F1233" s="1" t="n">
        <v>21</v>
      </c>
      <c r="G1233" s="1" t="n">
        <v>13</v>
      </c>
      <c r="H1233" s="1" t="s">
        <v>114</v>
      </c>
      <c r="I1233" s="1" t="n">
        <v>-4.5</v>
      </c>
      <c r="J1233" s="1" t="n">
        <v>46.5</v>
      </c>
      <c r="K1233" s="1" t="s">
        <v>145</v>
      </c>
      <c r="L1233" s="1" t="b">
        <f aca="false">FALSE()</f>
        <v>0</v>
      </c>
      <c r="M1233" s="1" t="str">
        <f aca="false">VLOOKUP(D1233,'Team Reference'!$A:$B,2,FALSE())</f>
        <v>CHI</v>
      </c>
      <c r="N1233" s="1" t="str">
        <f aca="false">VLOOKUP(E1233,'Team Reference'!$A:$B,2,FALSE())</f>
        <v>TB</v>
      </c>
      <c r="O1233" s="1" t="str">
        <f aca="false">IF(F1233&gt;G1233,M1233,IF(G1233&gt;F1233,N1233,"Tie"))</f>
        <v>CHI</v>
      </c>
      <c r="P1233" s="1" t="n">
        <f aca="false">F1233-G1233</f>
        <v>8</v>
      </c>
      <c r="Q1233" s="1" t="n">
        <f aca="false">F1233+G1233</f>
        <v>34</v>
      </c>
      <c r="R1233" s="1" t="str">
        <f aca="false">IF(H1233=M1233,"Home",IF(H1233=N1233,"Away",IF(H1233="PICK","Pick","N/A")))</f>
        <v>Away</v>
      </c>
      <c r="S1233" s="1" t="n">
        <f aca="false">IF(R1233="Home",P1233,IF(R1233="Away",-P1233,""))</f>
        <v>-8</v>
      </c>
      <c r="T1233" s="1" t="str">
        <f aca="false">IF(R1233="Pick","No Line",IF(S1233="","N/A",IF(S1233+I1233&gt;0,"Favorite Covered",IF(S1233+I1233&lt;0,"Underdog Covered","Push"))))</f>
        <v>Underdog Covered</v>
      </c>
      <c r="U1233" s="1" t="str">
        <f aca="false">IF(Q1233&gt;J1233,"Over",IF(Q1233&lt;J1233,"Under","Push"))</f>
        <v>Under</v>
      </c>
    </row>
    <row r="1234" customFormat="false" ht="15" hidden="false" customHeight="false" outlineLevel="0" collapsed="false">
      <c r="A1234" s="1" t="s">
        <v>438</v>
      </c>
      <c r="B1234" s="1" t="n">
        <v>2014</v>
      </c>
      <c r="C1234" s="1" t="s">
        <v>211</v>
      </c>
      <c r="D1234" s="1" t="s">
        <v>71</v>
      </c>
      <c r="E1234" s="1" t="s">
        <v>89</v>
      </c>
      <c r="F1234" s="1" t="n">
        <v>39</v>
      </c>
      <c r="G1234" s="1" t="n">
        <v>36</v>
      </c>
      <c r="H1234" s="1" t="s">
        <v>90</v>
      </c>
      <c r="I1234" s="1" t="n">
        <v>-6.5</v>
      </c>
      <c r="J1234" s="1" t="n">
        <v>47.5</v>
      </c>
      <c r="K1234" s="1" t="s">
        <v>166</v>
      </c>
      <c r="L1234" s="1" t="b">
        <f aca="false">FALSE()</f>
        <v>0</v>
      </c>
      <c r="M1234" s="1" t="str">
        <f aca="false">VLOOKUP(D1234,'Team Reference'!$A:$B,2,FALSE())</f>
        <v>DEN</v>
      </c>
      <c r="N1234" s="1" t="str">
        <f aca="false">VLOOKUP(E1234,'Team Reference'!$A:$B,2,FALSE())</f>
        <v>MIA</v>
      </c>
      <c r="O1234" s="1" t="str">
        <f aca="false">IF(F1234&gt;G1234,M1234,IF(G1234&gt;F1234,N1234,"Tie"))</f>
        <v>DEN</v>
      </c>
      <c r="P1234" s="1" t="n">
        <f aca="false">F1234-G1234</f>
        <v>3</v>
      </c>
      <c r="Q1234" s="1" t="n">
        <f aca="false">F1234+G1234</f>
        <v>75</v>
      </c>
      <c r="R1234" s="1" t="str">
        <f aca="false">IF(H1234=M1234,"Home",IF(H1234=N1234,"Away",IF(H1234="PICK","Pick","N/A")))</f>
        <v>Away</v>
      </c>
      <c r="S1234" s="1" t="n">
        <f aca="false">IF(R1234="Home",P1234,IF(R1234="Away",-P1234,""))</f>
        <v>-3</v>
      </c>
      <c r="T1234" s="1" t="str">
        <f aca="false">IF(R1234="Pick","No Line",IF(S1234="","N/A",IF(S1234+I1234&gt;0,"Favorite Covered",IF(S1234+I1234&lt;0,"Underdog Covered","Push"))))</f>
        <v>Underdog Covered</v>
      </c>
      <c r="U1234" s="1" t="str">
        <f aca="false">IF(Q1234&gt;J1234,"Over",IF(Q1234&lt;J1234,"Under","Push"))</f>
        <v>Over</v>
      </c>
    </row>
    <row r="1235" customFormat="false" ht="15" hidden="false" customHeight="false" outlineLevel="0" collapsed="false">
      <c r="A1235" s="1" t="s">
        <v>438</v>
      </c>
      <c r="B1235" s="1" t="n">
        <v>2014</v>
      </c>
      <c r="C1235" s="1" t="s">
        <v>211</v>
      </c>
      <c r="D1235" s="1" t="s">
        <v>77</v>
      </c>
      <c r="E1235" s="1" t="s">
        <v>65</v>
      </c>
      <c r="F1235" s="1" t="n">
        <v>13</v>
      </c>
      <c r="G1235" s="1" t="n">
        <v>22</v>
      </c>
      <c r="H1235" s="1" t="s">
        <v>66</v>
      </c>
      <c r="I1235" s="1" t="n">
        <v>-2.5</v>
      </c>
      <c r="J1235" s="1" t="n">
        <v>44.5</v>
      </c>
      <c r="K1235" s="1" t="s">
        <v>146</v>
      </c>
      <c r="L1235" s="1" t="b">
        <f aca="false">FALSE()</f>
        <v>0</v>
      </c>
      <c r="M1235" s="1" t="str">
        <f aca="false">VLOOKUP(D1235,'Team Reference'!$A:$B,2,FALSE())</f>
        <v>HOU</v>
      </c>
      <c r="N1235" s="1" t="str">
        <f aca="false">VLOOKUP(E1235,'Team Reference'!$A:$B,2,FALSE())</f>
        <v>CIN</v>
      </c>
      <c r="O1235" s="1" t="str">
        <f aca="false">IF(F1235&gt;G1235,M1235,IF(G1235&gt;F1235,N1235,"Tie"))</f>
        <v>CIN</v>
      </c>
      <c r="P1235" s="1" t="n">
        <f aca="false">F1235-G1235</f>
        <v>-9</v>
      </c>
      <c r="Q1235" s="1" t="n">
        <f aca="false">F1235+G1235</f>
        <v>35</v>
      </c>
      <c r="R1235" s="1" t="str">
        <f aca="false">IF(H1235=M1235,"Home",IF(H1235=N1235,"Away",IF(H1235="PICK","Pick","N/A")))</f>
        <v>Away</v>
      </c>
      <c r="S1235" s="1" t="n">
        <f aca="false">IF(R1235="Home",P1235,IF(R1235="Away",-P1235,""))</f>
        <v>9</v>
      </c>
      <c r="T1235" s="1" t="str">
        <f aca="false">IF(R1235="Pick","No Line",IF(S1235="","N/A",IF(S1235+I1235&gt;0,"Favorite Covered",IF(S1235+I1235&lt;0,"Underdog Covered","Push"))))</f>
        <v>Favorite Covered</v>
      </c>
      <c r="U1235" s="1" t="str">
        <f aca="false">IF(Q1235&gt;J1235,"Over",IF(Q1235&lt;J1235,"Under","Push"))</f>
        <v>Under</v>
      </c>
    </row>
    <row r="1236" customFormat="false" ht="15" hidden="false" customHeight="false" outlineLevel="0" collapsed="false">
      <c r="A1236" s="1" t="s">
        <v>438</v>
      </c>
      <c r="B1236" s="1" t="n">
        <v>2014</v>
      </c>
      <c r="C1236" s="1" t="s">
        <v>211</v>
      </c>
      <c r="D1236" s="1" t="s">
        <v>79</v>
      </c>
      <c r="E1236" s="1" t="s">
        <v>81</v>
      </c>
      <c r="F1236" s="1" t="n">
        <v>23</v>
      </c>
      <c r="G1236" s="1" t="n">
        <v>3</v>
      </c>
      <c r="H1236" s="1" t="s">
        <v>82</v>
      </c>
      <c r="I1236" s="1" t="n">
        <v>-13.5</v>
      </c>
      <c r="J1236" s="1" t="n">
        <v>49.5</v>
      </c>
      <c r="K1236" s="1" t="s">
        <v>169</v>
      </c>
      <c r="L1236" s="1" t="b">
        <f aca="false">FALSE()</f>
        <v>0</v>
      </c>
      <c r="M1236" s="1" t="str">
        <f aca="false">VLOOKUP(D1236,'Team Reference'!$A:$B,2,FALSE())</f>
        <v>IND</v>
      </c>
      <c r="N1236" s="1" t="str">
        <f aca="false">VLOOKUP(E1236,'Team Reference'!$A:$B,2,FALSE())</f>
        <v>JAX</v>
      </c>
      <c r="O1236" s="1" t="str">
        <f aca="false">IF(F1236&gt;G1236,M1236,IF(G1236&gt;F1236,N1236,"Tie"))</f>
        <v>IND</v>
      </c>
      <c r="P1236" s="1" t="n">
        <f aca="false">F1236-G1236</f>
        <v>20</v>
      </c>
      <c r="Q1236" s="1" t="n">
        <f aca="false">F1236+G1236</f>
        <v>26</v>
      </c>
      <c r="R1236" s="1" t="str">
        <f aca="false">IF(H1236=M1236,"Home",IF(H1236=N1236,"Away",IF(H1236="PICK","Pick","N/A")))</f>
        <v>Away</v>
      </c>
      <c r="S1236" s="1" t="n">
        <f aca="false">IF(R1236="Home",P1236,IF(R1236="Away",-P1236,""))</f>
        <v>-20</v>
      </c>
      <c r="T1236" s="1" t="str">
        <f aca="false">IF(R1236="Pick","No Line",IF(S1236="","N/A",IF(S1236+I1236&gt;0,"Favorite Covered",IF(S1236+I1236&lt;0,"Underdog Covered","Push"))))</f>
        <v>Underdog Covered</v>
      </c>
      <c r="U1236" s="1" t="str">
        <f aca="false">IF(Q1236&gt;J1236,"Over",IF(Q1236&lt;J1236,"Under","Push"))</f>
        <v>Under</v>
      </c>
    </row>
    <row r="1237" customFormat="false" ht="15" hidden="false" customHeight="false" outlineLevel="0" collapsed="false">
      <c r="A1237" s="1" t="s">
        <v>438</v>
      </c>
      <c r="B1237" s="1" t="n">
        <v>2014</v>
      </c>
      <c r="C1237" s="1" t="s">
        <v>211</v>
      </c>
      <c r="D1237" s="1" t="s">
        <v>91</v>
      </c>
      <c r="E1237" s="1" t="s">
        <v>75</v>
      </c>
      <c r="F1237" s="1" t="n">
        <v>21</v>
      </c>
      <c r="G1237" s="1" t="n">
        <v>24</v>
      </c>
      <c r="H1237" s="1" t="s">
        <v>92</v>
      </c>
      <c r="I1237" s="1" t="n">
        <v>-8</v>
      </c>
      <c r="J1237" s="1" t="n">
        <v>49.5</v>
      </c>
      <c r="K1237" s="1" t="s">
        <v>407</v>
      </c>
      <c r="L1237" s="1" t="b">
        <f aca="false">FALSE()</f>
        <v>0</v>
      </c>
      <c r="M1237" s="1" t="str">
        <f aca="false">VLOOKUP(D1237,'Team Reference'!$A:$B,2,FALSE())</f>
        <v>MIN</v>
      </c>
      <c r="N1237" s="1" t="str">
        <f aca="false">VLOOKUP(E1237,'Team Reference'!$A:$B,2,FALSE())</f>
        <v>GB</v>
      </c>
      <c r="O1237" s="1" t="str">
        <f aca="false">IF(F1237&gt;G1237,M1237,IF(G1237&gt;F1237,N1237,"Tie"))</f>
        <v>GB</v>
      </c>
      <c r="P1237" s="1" t="n">
        <f aca="false">F1237-G1237</f>
        <v>-3</v>
      </c>
      <c r="Q1237" s="1" t="n">
        <f aca="false">F1237+G1237</f>
        <v>45</v>
      </c>
      <c r="R1237" s="1" t="str">
        <f aca="false">IF(H1237=M1237,"Home",IF(H1237=N1237,"Away",IF(H1237="PICK","Pick","N/A")))</f>
        <v>Home</v>
      </c>
      <c r="S1237" s="1" t="n">
        <f aca="false">IF(R1237="Home",P1237,IF(R1237="Away",-P1237,""))</f>
        <v>-3</v>
      </c>
      <c r="T1237" s="1" t="str">
        <f aca="false">IF(R1237="Pick","No Line",IF(S1237="","N/A",IF(S1237+I1237&gt;0,"Favorite Covered",IF(S1237+I1237&lt;0,"Underdog Covered","Push"))))</f>
        <v>Underdog Covered</v>
      </c>
      <c r="U1237" s="1" t="str">
        <f aca="false">IF(Q1237&gt;J1237,"Over",IF(Q1237&lt;J1237,"Under","Push"))</f>
        <v>Under</v>
      </c>
    </row>
    <row r="1238" customFormat="false" ht="15" hidden="false" customHeight="false" outlineLevel="0" collapsed="false">
      <c r="A1238" s="1" t="s">
        <v>438</v>
      </c>
      <c r="B1238" s="1" t="n">
        <v>2014</v>
      </c>
      <c r="C1238" s="1" t="s">
        <v>211</v>
      </c>
      <c r="D1238" s="1" t="s">
        <v>93</v>
      </c>
      <c r="E1238" s="1" t="s">
        <v>73</v>
      </c>
      <c r="F1238" s="1" t="n">
        <v>34</v>
      </c>
      <c r="G1238" s="1" t="n">
        <v>9</v>
      </c>
      <c r="H1238" s="1" t="s">
        <v>74</v>
      </c>
      <c r="I1238" s="1" t="n">
        <v>-7</v>
      </c>
      <c r="J1238" s="1" t="n">
        <v>47.5</v>
      </c>
      <c r="K1238" s="1" t="s">
        <v>148</v>
      </c>
      <c r="L1238" s="1" t="b">
        <f aca="false">FALSE()</f>
        <v>0</v>
      </c>
      <c r="M1238" s="1" t="str">
        <f aca="false">VLOOKUP(D1238,'Team Reference'!$A:$B,2,FALSE())</f>
        <v>NE</v>
      </c>
      <c r="N1238" s="1" t="str">
        <f aca="false">VLOOKUP(E1238,'Team Reference'!$A:$B,2,FALSE())</f>
        <v>DET</v>
      </c>
      <c r="O1238" s="1" t="str">
        <f aca="false">IF(F1238&gt;G1238,M1238,IF(G1238&gt;F1238,N1238,"Tie"))</f>
        <v>NE</v>
      </c>
      <c r="P1238" s="1" t="n">
        <f aca="false">F1238-G1238</f>
        <v>25</v>
      </c>
      <c r="Q1238" s="1" t="n">
        <f aca="false">F1238+G1238</f>
        <v>43</v>
      </c>
      <c r="R1238" s="1" t="str">
        <f aca="false">IF(H1238=M1238,"Home",IF(H1238=N1238,"Away",IF(H1238="PICK","Pick","N/A")))</f>
        <v>Away</v>
      </c>
      <c r="S1238" s="1" t="n">
        <f aca="false">IF(R1238="Home",P1238,IF(R1238="Away",-P1238,""))</f>
        <v>-25</v>
      </c>
      <c r="T1238" s="1" t="str">
        <f aca="false">IF(R1238="Pick","No Line",IF(S1238="","N/A",IF(S1238+I1238&gt;0,"Favorite Covered",IF(S1238+I1238&lt;0,"Underdog Covered","Push"))))</f>
        <v>Underdog Covered</v>
      </c>
      <c r="U1238" s="1" t="str">
        <f aca="false">IF(Q1238&gt;J1238,"Over",IF(Q1238&lt;J1238,"Under","Push"))</f>
        <v>Under</v>
      </c>
    </row>
    <row r="1239" customFormat="false" ht="15" hidden="false" customHeight="false" outlineLevel="0" collapsed="false">
      <c r="A1239" s="1" t="s">
        <v>438</v>
      </c>
      <c r="B1239" s="1" t="n">
        <v>2014</v>
      </c>
      <c r="C1239" s="1" t="s">
        <v>211</v>
      </c>
      <c r="D1239" s="1" t="s">
        <v>97</v>
      </c>
      <c r="E1239" s="1" t="s">
        <v>69</v>
      </c>
      <c r="F1239" s="1" t="n">
        <v>28</v>
      </c>
      <c r="G1239" s="1" t="n">
        <v>31</v>
      </c>
      <c r="H1239" s="1" t="s">
        <v>98</v>
      </c>
      <c r="I1239" s="1" t="n">
        <v>-4.5</v>
      </c>
      <c r="J1239" s="1" t="n">
        <v>49</v>
      </c>
      <c r="K1239" s="1" t="s">
        <v>149</v>
      </c>
      <c r="L1239" s="1" t="b">
        <f aca="false">FALSE()</f>
        <v>0</v>
      </c>
      <c r="M1239" s="1" t="str">
        <f aca="false">VLOOKUP(D1239,'Team Reference'!$A:$B,2,FALSE())</f>
        <v>NYG</v>
      </c>
      <c r="N1239" s="1" t="str">
        <f aca="false">VLOOKUP(E1239,'Team Reference'!$A:$B,2,FALSE())</f>
        <v>DAL</v>
      </c>
      <c r="O1239" s="1" t="str">
        <f aca="false">IF(F1239&gt;G1239,M1239,IF(G1239&gt;F1239,N1239,"Tie"))</f>
        <v>DAL</v>
      </c>
      <c r="P1239" s="1" t="n">
        <f aca="false">F1239-G1239</f>
        <v>-3</v>
      </c>
      <c r="Q1239" s="1" t="n">
        <f aca="false">F1239+G1239</f>
        <v>59</v>
      </c>
      <c r="R1239" s="1" t="str">
        <f aca="false">IF(H1239=M1239,"Home",IF(H1239=N1239,"Away",IF(H1239="PICK","Pick","N/A")))</f>
        <v>Home</v>
      </c>
      <c r="S1239" s="1" t="n">
        <f aca="false">IF(R1239="Home",P1239,IF(R1239="Away",-P1239,""))</f>
        <v>-3</v>
      </c>
      <c r="T1239" s="1" t="str">
        <f aca="false">IF(R1239="Pick","No Line",IF(S1239="","N/A",IF(S1239+I1239&gt;0,"Favorite Covered",IF(S1239+I1239&lt;0,"Underdog Covered","Push"))))</f>
        <v>Underdog Covered</v>
      </c>
      <c r="U1239" s="1" t="str">
        <f aca="false">IF(Q1239&gt;J1239,"Over",IF(Q1239&lt;J1239,"Under","Push"))</f>
        <v>Over</v>
      </c>
    </row>
    <row r="1240" customFormat="false" ht="15" hidden="false" customHeight="false" outlineLevel="0" collapsed="false">
      <c r="A1240" s="1" t="s">
        <v>438</v>
      </c>
      <c r="B1240" s="1" t="n">
        <v>2014</v>
      </c>
      <c r="C1240" s="1" t="s">
        <v>211</v>
      </c>
      <c r="D1240" s="1" t="s">
        <v>103</v>
      </c>
      <c r="E1240" s="1" t="s">
        <v>115</v>
      </c>
      <c r="F1240" s="1" t="n">
        <v>43</v>
      </c>
      <c r="G1240" s="1" t="n">
        <v>24</v>
      </c>
      <c r="H1240" s="1" t="s">
        <v>116</v>
      </c>
      <c r="I1240" s="1" t="n">
        <v>-11.5</v>
      </c>
      <c r="J1240" s="1" t="n">
        <v>49</v>
      </c>
      <c r="K1240" s="1" t="s">
        <v>150</v>
      </c>
      <c r="L1240" s="1" t="b">
        <f aca="false">FALSE()</f>
        <v>0</v>
      </c>
      <c r="M1240" s="1" t="str">
        <f aca="false">VLOOKUP(D1240,'Team Reference'!$A:$B,2,FALSE())</f>
        <v>PHI</v>
      </c>
      <c r="N1240" s="1" t="str">
        <f aca="false">VLOOKUP(E1240,'Team Reference'!$A:$B,2,FALSE())</f>
        <v>TEN</v>
      </c>
      <c r="O1240" s="1" t="str">
        <f aca="false">IF(F1240&gt;G1240,M1240,IF(G1240&gt;F1240,N1240,"Tie"))</f>
        <v>PHI</v>
      </c>
      <c r="P1240" s="1" t="n">
        <f aca="false">F1240-G1240</f>
        <v>19</v>
      </c>
      <c r="Q1240" s="1" t="n">
        <f aca="false">F1240+G1240</f>
        <v>67</v>
      </c>
      <c r="R1240" s="1" t="str">
        <f aca="false">IF(H1240=M1240,"Home",IF(H1240=N1240,"Away",IF(H1240="PICK","Pick","N/A")))</f>
        <v>Away</v>
      </c>
      <c r="S1240" s="1" t="n">
        <f aca="false">IF(R1240="Home",P1240,IF(R1240="Away",-P1240,""))</f>
        <v>-19</v>
      </c>
      <c r="T1240" s="1" t="str">
        <f aca="false">IF(R1240="Pick","No Line",IF(S1240="","N/A",IF(S1240+I1240&gt;0,"Favorite Covered",IF(S1240+I1240&lt;0,"Underdog Covered","Push"))))</f>
        <v>Underdog Covered</v>
      </c>
      <c r="U1240" s="1" t="str">
        <f aca="false">IF(Q1240&gt;J1240,"Over",IF(Q1240&lt;J1240,"Under","Push"))</f>
        <v>Over</v>
      </c>
    </row>
    <row r="1241" customFormat="false" ht="15" hidden="false" customHeight="false" outlineLevel="0" collapsed="false">
      <c r="A1241" s="1" t="s">
        <v>438</v>
      </c>
      <c r="B1241" s="1" t="n">
        <v>2014</v>
      </c>
      <c r="C1241" s="1" t="s">
        <v>211</v>
      </c>
      <c r="D1241" s="1" t="s">
        <v>107</v>
      </c>
      <c r="E1241" s="1" t="s">
        <v>112</v>
      </c>
      <c r="F1241" s="1" t="n">
        <v>27</v>
      </c>
      <c r="G1241" s="1" t="n">
        <v>24</v>
      </c>
      <c r="H1241" s="1" t="s">
        <v>88</v>
      </c>
      <c r="I1241" s="1" t="n">
        <v>-5</v>
      </c>
      <c r="J1241" s="1" t="n">
        <v>43.5</v>
      </c>
      <c r="K1241" s="1" t="s">
        <v>172</v>
      </c>
      <c r="L1241" s="1" t="b">
        <f aca="false">FALSE()</f>
        <v>0</v>
      </c>
      <c r="M1241" s="1" t="str">
        <f aca="false">VLOOKUP(D1241,'Team Reference'!$A:$B,2,FALSE())</f>
        <v>LAC</v>
      </c>
      <c r="N1241" s="1" t="str">
        <f aca="false">VLOOKUP(E1241,'Team Reference'!$A:$B,2,FALSE())</f>
        <v>LAR</v>
      </c>
      <c r="O1241" s="1" t="str">
        <f aca="false">IF(F1241&gt;G1241,M1241,IF(G1241&gt;F1241,N1241,"Tie"))</f>
        <v>LAC</v>
      </c>
      <c r="P1241" s="1" t="n">
        <f aca="false">F1241-G1241</f>
        <v>3</v>
      </c>
      <c r="Q1241" s="1" t="n">
        <f aca="false">F1241+G1241</f>
        <v>51</v>
      </c>
      <c r="R1241" s="1" t="str">
        <f aca="false">IF(H1241=M1241,"Home",IF(H1241=N1241,"Away",IF(H1241="PICK","Pick","N/A")))</f>
        <v>Away</v>
      </c>
      <c r="S1241" s="1" t="n">
        <f aca="false">IF(R1241="Home",P1241,IF(R1241="Away",-P1241,""))</f>
        <v>-3</v>
      </c>
      <c r="T1241" s="1" t="str">
        <f aca="false">IF(R1241="Pick","No Line",IF(S1241="","N/A",IF(S1241+I1241&gt;0,"Favorite Covered",IF(S1241+I1241&lt;0,"Underdog Covered","Push"))))</f>
        <v>Underdog Covered</v>
      </c>
      <c r="U1241" s="1" t="str">
        <f aca="false">IF(Q1241&gt;J1241,"Over",IF(Q1241&lt;J1241,"Under","Push"))</f>
        <v>Over</v>
      </c>
    </row>
    <row r="1242" customFormat="false" ht="15" hidden="false" customHeight="false" outlineLevel="0" collapsed="false">
      <c r="A1242" s="1" t="s">
        <v>438</v>
      </c>
      <c r="B1242" s="1" t="n">
        <v>2014</v>
      </c>
      <c r="C1242" s="1" t="s">
        <v>211</v>
      </c>
      <c r="D1242" s="1" t="s">
        <v>108</v>
      </c>
      <c r="E1242" s="1" t="s">
        <v>117</v>
      </c>
      <c r="F1242" s="1" t="n">
        <v>17</v>
      </c>
      <c r="G1242" s="1" t="n">
        <v>13</v>
      </c>
      <c r="H1242" s="1" t="s">
        <v>118</v>
      </c>
      <c r="I1242" s="1" t="n">
        <v>-9.5</v>
      </c>
      <c r="J1242" s="1" t="n">
        <v>44</v>
      </c>
      <c r="K1242" s="1" t="s">
        <v>408</v>
      </c>
      <c r="L1242" s="1" t="b">
        <f aca="false">FALSE()</f>
        <v>0</v>
      </c>
      <c r="M1242" s="1" t="str">
        <f aca="false">VLOOKUP(D1242,'Team Reference'!$A:$B,2,FALSE())</f>
        <v>SF</v>
      </c>
      <c r="N1242" s="1" t="str">
        <f aca="false">VLOOKUP(E1242,'Team Reference'!$A:$B,2,FALSE())</f>
        <v>WAS</v>
      </c>
      <c r="O1242" s="1" t="str">
        <f aca="false">IF(F1242&gt;G1242,M1242,IF(G1242&gt;F1242,N1242,"Tie"))</f>
        <v>SF</v>
      </c>
      <c r="P1242" s="1" t="n">
        <f aca="false">F1242-G1242</f>
        <v>4</v>
      </c>
      <c r="Q1242" s="1" t="n">
        <f aca="false">F1242+G1242</f>
        <v>30</v>
      </c>
      <c r="R1242" s="1" t="str">
        <f aca="false">IF(H1242=M1242,"Home",IF(H1242=N1242,"Away",IF(H1242="PICK","Pick","N/A")))</f>
        <v>Away</v>
      </c>
      <c r="S1242" s="1" t="n">
        <f aca="false">IF(R1242="Home",P1242,IF(R1242="Away",-P1242,""))</f>
        <v>-4</v>
      </c>
      <c r="T1242" s="1" t="str">
        <f aca="false">IF(R1242="Pick","No Line",IF(S1242="","N/A",IF(S1242+I1242&gt;0,"Favorite Covered",IF(S1242+I1242&lt;0,"Underdog Covered","Push"))))</f>
        <v>Underdog Covered</v>
      </c>
      <c r="U1242" s="1" t="str">
        <f aca="false">IF(Q1242&gt;J1242,"Over",IF(Q1242&lt;J1242,"Under","Push"))</f>
        <v>Under</v>
      </c>
    </row>
    <row r="1243" customFormat="false" ht="15" hidden="false" customHeight="false" outlineLevel="0" collapsed="false">
      <c r="A1243" s="1" t="s">
        <v>438</v>
      </c>
      <c r="B1243" s="1" t="n">
        <v>2014</v>
      </c>
      <c r="C1243" s="1" t="s">
        <v>211</v>
      </c>
      <c r="D1243" s="1" t="s">
        <v>110</v>
      </c>
      <c r="E1243" s="1" t="s">
        <v>53</v>
      </c>
      <c r="F1243" s="1" t="n">
        <v>19</v>
      </c>
      <c r="G1243" s="1" t="n">
        <v>3</v>
      </c>
      <c r="H1243" s="1" t="s">
        <v>54</v>
      </c>
      <c r="I1243" s="1" t="n">
        <v>-7.5</v>
      </c>
      <c r="J1243" s="1" t="n">
        <v>41.5</v>
      </c>
      <c r="K1243" s="1" t="s">
        <v>152</v>
      </c>
      <c r="L1243" s="1" t="b">
        <f aca="false">FALSE()</f>
        <v>0</v>
      </c>
      <c r="M1243" s="1" t="str">
        <f aca="false">VLOOKUP(D1243,'Team Reference'!$A:$B,2,FALSE())</f>
        <v>SEA</v>
      </c>
      <c r="N1243" s="1" t="str">
        <f aca="false">VLOOKUP(E1243,'Team Reference'!$A:$B,2,FALSE())</f>
        <v>ARI</v>
      </c>
      <c r="O1243" s="1" t="str">
        <f aca="false">IF(F1243&gt;G1243,M1243,IF(G1243&gt;F1243,N1243,"Tie"))</f>
        <v>SEA</v>
      </c>
      <c r="P1243" s="1" t="n">
        <f aca="false">F1243-G1243</f>
        <v>16</v>
      </c>
      <c r="Q1243" s="1" t="n">
        <f aca="false">F1243+G1243</f>
        <v>22</v>
      </c>
      <c r="R1243" s="1" t="str">
        <f aca="false">IF(H1243=M1243,"Home",IF(H1243=N1243,"Away",IF(H1243="PICK","Pick","N/A")))</f>
        <v>Away</v>
      </c>
      <c r="S1243" s="1" t="n">
        <f aca="false">IF(R1243="Home",P1243,IF(R1243="Away",-P1243,""))</f>
        <v>-16</v>
      </c>
      <c r="T1243" s="1" t="str">
        <f aca="false">IF(R1243="Pick","No Line",IF(S1243="","N/A",IF(S1243+I1243&gt;0,"Favorite Covered",IF(S1243+I1243&lt;0,"Underdog Covered","Push"))))</f>
        <v>Underdog Covered</v>
      </c>
      <c r="U1243" s="1" t="str">
        <f aca="false">IF(Q1243&gt;J1243,"Over",IF(Q1243&lt;J1243,"Under","Push"))</f>
        <v>Under</v>
      </c>
    </row>
    <row r="1244" customFormat="false" ht="15" hidden="false" customHeight="false" outlineLevel="0" collapsed="false">
      <c r="A1244" s="1" t="s">
        <v>439</v>
      </c>
      <c r="B1244" s="1" t="n">
        <v>2014</v>
      </c>
      <c r="C1244" s="1" t="s">
        <v>211</v>
      </c>
      <c r="D1244" s="1" t="s">
        <v>59</v>
      </c>
      <c r="E1244" s="1" t="s">
        <v>99</v>
      </c>
      <c r="F1244" s="1" t="n">
        <v>38</v>
      </c>
      <c r="G1244" s="1" t="n">
        <v>3</v>
      </c>
      <c r="H1244" s="1" t="s">
        <v>100</v>
      </c>
      <c r="I1244" s="1" t="n">
        <v>-2.5</v>
      </c>
      <c r="J1244" s="1" t="n">
        <v>42.5</v>
      </c>
      <c r="K1244" s="1" t="s">
        <v>167</v>
      </c>
      <c r="L1244" s="1" t="b">
        <f aca="false">FALSE()</f>
        <v>0</v>
      </c>
      <c r="M1244" s="1" t="str">
        <f aca="false">VLOOKUP(D1244,'Team Reference'!$A:$B,2,FALSE())</f>
        <v>BUF</v>
      </c>
      <c r="N1244" s="1" t="str">
        <f aca="false">VLOOKUP(E1244,'Team Reference'!$A:$B,2,FALSE())</f>
        <v>NYJ</v>
      </c>
      <c r="O1244" s="1" t="str">
        <f aca="false">IF(F1244&gt;G1244,M1244,IF(G1244&gt;F1244,N1244,"Tie"))</f>
        <v>BUF</v>
      </c>
      <c r="P1244" s="1" t="n">
        <f aca="false">F1244-G1244</f>
        <v>35</v>
      </c>
      <c r="Q1244" s="1" t="n">
        <f aca="false">F1244+G1244</f>
        <v>41</v>
      </c>
      <c r="R1244" s="1" t="str">
        <f aca="false">IF(H1244=M1244,"Home",IF(H1244=N1244,"Away",IF(H1244="PICK","Pick","N/A")))</f>
        <v>Away</v>
      </c>
      <c r="S1244" s="1" t="n">
        <f aca="false">IF(R1244="Home",P1244,IF(R1244="Away",-P1244,""))</f>
        <v>-35</v>
      </c>
      <c r="T1244" s="1" t="str">
        <f aca="false">IF(R1244="Pick","No Line",IF(S1244="","N/A",IF(S1244+I1244&gt;0,"Favorite Covered",IF(S1244+I1244&lt;0,"Underdog Covered","Push"))))</f>
        <v>Underdog Covered</v>
      </c>
      <c r="U1244" s="1" t="str">
        <f aca="false">IF(Q1244&gt;J1244,"Over",IF(Q1244&lt;J1244,"Under","Push"))</f>
        <v>Under</v>
      </c>
    </row>
    <row r="1245" customFormat="false" ht="15" hidden="false" customHeight="false" outlineLevel="0" collapsed="false">
      <c r="A1245" s="1" t="s">
        <v>439</v>
      </c>
      <c r="B1245" s="1" t="n">
        <v>2014</v>
      </c>
      <c r="C1245" s="1" t="s">
        <v>211</v>
      </c>
      <c r="D1245" s="1" t="s">
        <v>95</v>
      </c>
      <c r="E1245" s="1" t="s">
        <v>57</v>
      </c>
      <c r="F1245" s="1" t="n">
        <v>27</v>
      </c>
      <c r="G1245" s="1" t="n">
        <v>34</v>
      </c>
      <c r="H1245" s="1" t="s">
        <v>58</v>
      </c>
      <c r="I1245" s="1" t="n">
        <v>-3</v>
      </c>
      <c r="J1245" s="1" t="n">
        <v>50.5</v>
      </c>
      <c r="K1245" s="1" t="s">
        <v>142</v>
      </c>
      <c r="L1245" s="1" t="b">
        <f aca="false">FALSE()</f>
        <v>0</v>
      </c>
      <c r="M1245" s="1" t="str">
        <f aca="false">VLOOKUP(D1245,'Team Reference'!$A:$B,2,FALSE())</f>
        <v>NO</v>
      </c>
      <c r="N1245" s="1" t="str">
        <f aca="false">VLOOKUP(E1245,'Team Reference'!$A:$B,2,FALSE())</f>
        <v>BAL</v>
      </c>
      <c r="O1245" s="1" t="str">
        <f aca="false">IF(F1245&gt;G1245,M1245,IF(G1245&gt;F1245,N1245,"Tie"))</f>
        <v>BAL</v>
      </c>
      <c r="P1245" s="1" t="n">
        <f aca="false">F1245-G1245</f>
        <v>-7</v>
      </c>
      <c r="Q1245" s="1" t="n">
        <f aca="false">F1245+G1245</f>
        <v>61</v>
      </c>
      <c r="R1245" s="1" t="str">
        <f aca="false">IF(H1245=M1245,"Home",IF(H1245=N1245,"Away",IF(H1245="PICK","Pick","N/A")))</f>
        <v>Away</v>
      </c>
      <c r="S1245" s="1" t="n">
        <f aca="false">IF(R1245="Home",P1245,IF(R1245="Away",-P1245,""))</f>
        <v>7</v>
      </c>
      <c r="T1245" s="1" t="str">
        <f aca="false">IF(R1245="Pick","No Line",IF(S1245="","N/A",IF(S1245+I1245&gt;0,"Favorite Covered",IF(S1245+I1245&lt;0,"Underdog Covered","Push"))))</f>
        <v>Favorite Covered</v>
      </c>
      <c r="U1245" s="1" t="str">
        <f aca="false">IF(Q1245&gt;J1245,"Over",IF(Q1245&lt;J1245,"Under","Push"))</f>
        <v>Over</v>
      </c>
    </row>
    <row r="1246" customFormat="false" ht="15" hidden="false" customHeight="false" outlineLevel="0" collapsed="false">
      <c r="A1246" s="1" t="s">
        <v>440</v>
      </c>
      <c r="B1246" s="1" t="n">
        <v>2014</v>
      </c>
      <c r="C1246" s="1" t="s">
        <v>215</v>
      </c>
      <c r="D1246" s="1" t="s">
        <v>69</v>
      </c>
      <c r="E1246" s="1" t="s">
        <v>103</v>
      </c>
      <c r="F1246" s="1" t="n">
        <v>10</v>
      </c>
      <c r="G1246" s="1" t="n">
        <v>33</v>
      </c>
      <c r="H1246" s="1" t="s">
        <v>104</v>
      </c>
      <c r="I1246" s="1" t="n">
        <v>-3.5</v>
      </c>
      <c r="J1246" s="1" t="n">
        <v>57</v>
      </c>
      <c r="K1246" s="1" t="s">
        <v>165</v>
      </c>
      <c r="L1246" s="1" t="b">
        <f aca="false">FALSE()</f>
        <v>0</v>
      </c>
      <c r="M1246" s="1" t="str">
        <f aca="false">VLOOKUP(D1246,'Team Reference'!$A:$B,2,FALSE())</f>
        <v>DAL</v>
      </c>
      <c r="N1246" s="1" t="str">
        <f aca="false">VLOOKUP(E1246,'Team Reference'!$A:$B,2,FALSE())</f>
        <v>PHI</v>
      </c>
      <c r="O1246" s="1" t="str">
        <f aca="false">IF(F1246&gt;G1246,M1246,IF(G1246&gt;F1246,N1246,"Tie"))</f>
        <v>PHI</v>
      </c>
      <c r="P1246" s="1" t="n">
        <f aca="false">F1246-G1246</f>
        <v>-23</v>
      </c>
      <c r="Q1246" s="1" t="n">
        <f aca="false">F1246+G1246</f>
        <v>43</v>
      </c>
      <c r="R1246" s="1" t="str">
        <f aca="false">IF(H1246=M1246,"Home",IF(H1246=N1246,"Away",IF(H1246="PICK","Pick","N/A")))</f>
        <v>Away</v>
      </c>
      <c r="S1246" s="1" t="n">
        <f aca="false">IF(R1246="Home",P1246,IF(R1246="Away",-P1246,""))</f>
        <v>23</v>
      </c>
      <c r="T1246" s="1" t="str">
        <f aca="false">IF(R1246="Pick","No Line",IF(S1246="","N/A",IF(S1246+I1246&gt;0,"Favorite Covered",IF(S1246+I1246&lt;0,"Underdog Covered","Push"))))</f>
        <v>Favorite Covered</v>
      </c>
      <c r="U1246" s="1" t="str">
        <f aca="false">IF(Q1246&gt;J1246,"Over",IF(Q1246&lt;J1246,"Under","Push"))</f>
        <v>Under</v>
      </c>
    </row>
    <row r="1247" customFormat="false" ht="15" hidden="false" customHeight="false" outlineLevel="0" collapsed="false">
      <c r="A1247" s="1" t="s">
        <v>440</v>
      </c>
      <c r="B1247" s="1" t="n">
        <v>2014</v>
      </c>
      <c r="C1247" s="1" t="s">
        <v>215</v>
      </c>
      <c r="D1247" s="1" t="s">
        <v>73</v>
      </c>
      <c r="E1247" s="1" t="s">
        <v>63</v>
      </c>
      <c r="F1247" s="1" t="n">
        <v>34</v>
      </c>
      <c r="G1247" s="1" t="n">
        <v>17</v>
      </c>
      <c r="H1247" s="1" t="s">
        <v>64</v>
      </c>
      <c r="I1247" s="1" t="n">
        <v>-7</v>
      </c>
      <c r="J1247" s="1" t="n">
        <v>46</v>
      </c>
      <c r="K1247" s="1" t="s">
        <v>167</v>
      </c>
      <c r="L1247" s="1" t="b">
        <f aca="false">FALSE()</f>
        <v>0</v>
      </c>
      <c r="M1247" s="1" t="str">
        <f aca="false">VLOOKUP(D1247,'Team Reference'!$A:$B,2,FALSE())</f>
        <v>DET</v>
      </c>
      <c r="N1247" s="1" t="str">
        <f aca="false">VLOOKUP(E1247,'Team Reference'!$A:$B,2,FALSE())</f>
        <v>CHI</v>
      </c>
      <c r="O1247" s="1" t="str">
        <f aca="false">IF(F1247&gt;G1247,M1247,IF(G1247&gt;F1247,N1247,"Tie"))</f>
        <v>DET</v>
      </c>
      <c r="P1247" s="1" t="n">
        <f aca="false">F1247-G1247</f>
        <v>17</v>
      </c>
      <c r="Q1247" s="1" t="n">
        <f aca="false">F1247+G1247</f>
        <v>51</v>
      </c>
      <c r="R1247" s="1" t="str">
        <f aca="false">IF(H1247=M1247,"Home",IF(H1247=N1247,"Away",IF(H1247="PICK","Pick","N/A")))</f>
        <v>Away</v>
      </c>
      <c r="S1247" s="1" t="n">
        <f aca="false">IF(R1247="Home",P1247,IF(R1247="Away",-P1247,""))</f>
        <v>-17</v>
      </c>
      <c r="T1247" s="1" t="str">
        <f aca="false">IF(R1247="Pick","No Line",IF(S1247="","N/A",IF(S1247+I1247&gt;0,"Favorite Covered",IF(S1247+I1247&lt;0,"Underdog Covered","Push"))))</f>
        <v>Underdog Covered</v>
      </c>
      <c r="U1247" s="1" t="str">
        <f aca="false">IF(Q1247&gt;J1247,"Over",IF(Q1247&lt;J1247,"Under","Push"))</f>
        <v>Over</v>
      </c>
    </row>
    <row r="1248" customFormat="false" ht="15" hidden="false" customHeight="false" outlineLevel="0" collapsed="false">
      <c r="A1248" s="1" t="s">
        <v>440</v>
      </c>
      <c r="B1248" s="1" t="n">
        <v>2014</v>
      </c>
      <c r="C1248" s="1" t="s">
        <v>215</v>
      </c>
      <c r="D1248" s="1" t="s">
        <v>108</v>
      </c>
      <c r="E1248" s="1" t="s">
        <v>110</v>
      </c>
      <c r="F1248" s="1" t="n">
        <v>3</v>
      </c>
      <c r="G1248" s="1" t="n">
        <v>19</v>
      </c>
      <c r="H1248" s="1" t="s">
        <v>111</v>
      </c>
      <c r="I1248" s="1" t="n">
        <v>-1.5</v>
      </c>
      <c r="J1248" s="1" t="n">
        <v>40.5</v>
      </c>
      <c r="K1248" s="1" t="s">
        <v>408</v>
      </c>
      <c r="L1248" s="1" t="b">
        <f aca="false">FALSE()</f>
        <v>0</v>
      </c>
      <c r="M1248" s="1" t="str">
        <f aca="false">VLOOKUP(D1248,'Team Reference'!$A:$B,2,FALSE())</f>
        <v>SF</v>
      </c>
      <c r="N1248" s="1" t="str">
        <f aca="false">VLOOKUP(E1248,'Team Reference'!$A:$B,2,FALSE())</f>
        <v>SEA</v>
      </c>
      <c r="O1248" s="1" t="str">
        <f aca="false">IF(F1248&gt;G1248,M1248,IF(G1248&gt;F1248,N1248,"Tie"))</f>
        <v>SEA</v>
      </c>
      <c r="P1248" s="1" t="n">
        <f aca="false">F1248-G1248</f>
        <v>-16</v>
      </c>
      <c r="Q1248" s="1" t="n">
        <f aca="false">F1248+G1248</f>
        <v>22</v>
      </c>
      <c r="R1248" s="1" t="str">
        <f aca="false">IF(H1248=M1248,"Home",IF(H1248=N1248,"Away",IF(H1248="PICK","Pick","N/A")))</f>
        <v>Away</v>
      </c>
      <c r="S1248" s="1" t="n">
        <f aca="false">IF(R1248="Home",P1248,IF(R1248="Away",-P1248,""))</f>
        <v>16</v>
      </c>
      <c r="T1248" s="1" t="str">
        <f aca="false">IF(R1248="Pick","No Line",IF(S1248="","N/A",IF(S1248+I1248&gt;0,"Favorite Covered",IF(S1248+I1248&lt;0,"Underdog Covered","Push"))))</f>
        <v>Favorite Covered</v>
      </c>
      <c r="U1248" s="1" t="str">
        <f aca="false">IF(Q1248&gt;J1248,"Over",IF(Q1248&lt;J1248,"Under","Push"))</f>
        <v>Under</v>
      </c>
    </row>
    <row r="1249" customFormat="false" ht="15" hidden="false" customHeight="false" outlineLevel="0" collapsed="false">
      <c r="A1249" s="1" t="s">
        <v>441</v>
      </c>
      <c r="B1249" s="1" t="n">
        <v>2014</v>
      </c>
      <c r="C1249" s="1" t="s">
        <v>215</v>
      </c>
      <c r="D1249" s="1" t="s">
        <v>55</v>
      </c>
      <c r="E1249" s="1" t="s">
        <v>53</v>
      </c>
      <c r="F1249" s="1" t="n">
        <v>29</v>
      </c>
      <c r="G1249" s="1" t="n">
        <v>18</v>
      </c>
      <c r="H1249" s="1" t="s">
        <v>56</v>
      </c>
      <c r="I1249" s="1" t="n">
        <v>-1.5</v>
      </c>
      <c r="J1249" s="1" t="n">
        <v>45</v>
      </c>
      <c r="K1249" s="1" t="s">
        <v>161</v>
      </c>
      <c r="L1249" s="1" t="b">
        <f aca="false">FALSE()</f>
        <v>0</v>
      </c>
      <c r="M1249" s="1" t="str">
        <f aca="false">VLOOKUP(D1249,'Team Reference'!$A:$B,2,FALSE())</f>
        <v>ATL</v>
      </c>
      <c r="N1249" s="1" t="str">
        <f aca="false">VLOOKUP(E1249,'Team Reference'!$A:$B,2,FALSE())</f>
        <v>ARI</v>
      </c>
      <c r="O1249" s="1" t="str">
        <f aca="false">IF(F1249&gt;G1249,M1249,IF(G1249&gt;F1249,N1249,"Tie"))</f>
        <v>ATL</v>
      </c>
      <c r="P1249" s="1" t="n">
        <f aca="false">F1249-G1249</f>
        <v>11</v>
      </c>
      <c r="Q1249" s="1" t="n">
        <f aca="false">F1249+G1249</f>
        <v>47</v>
      </c>
      <c r="R1249" s="1" t="str">
        <f aca="false">IF(H1249=M1249,"Home",IF(H1249=N1249,"Away",IF(H1249="PICK","Pick","N/A")))</f>
        <v>Home</v>
      </c>
      <c r="S1249" s="1" t="n">
        <f aca="false">IF(R1249="Home",P1249,IF(R1249="Away",-P1249,""))</f>
        <v>11</v>
      </c>
      <c r="T1249" s="1" t="str">
        <f aca="false">IF(R1249="Pick","No Line",IF(S1249="","N/A",IF(S1249+I1249&gt;0,"Favorite Covered",IF(S1249+I1249&lt;0,"Underdog Covered","Push"))))</f>
        <v>Favorite Covered</v>
      </c>
      <c r="U1249" s="1" t="str">
        <f aca="false">IF(Q1249&gt;J1249,"Over",IF(Q1249&lt;J1249,"Under","Push"))</f>
        <v>Over</v>
      </c>
    </row>
    <row r="1250" customFormat="false" ht="15" hidden="false" customHeight="false" outlineLevel="0" collapsed="false">
      <c r="A1250" s="1" t="s">
        <v>441</v>
      </c>
      <c r="B1250" s="1" t="n">
        <v>2014</v>
      </c>
      <c r="C1250" s="1" t="s">
        <v>215</v>
      </c>
      <c r="D1250" s="1" t="s">
        <v>57</v>
      </c>
      <c r="E1250" s="1" t="s">
        <v>107</v>
      </c>
      <c r="F1250" s="1" t="n">
        <v>33</v>
      </c>
      <c r="G1250" s="1" t="n">
        <v>34</v>
      </c>
      <c r="H1250" s="1" t="s">
        <v>86</v>
      </c>
      <c r="I1250" s="1" t="n">
        <v>-6.5</v>
      </c>
      <c r="J1250" s="1" t="n">
        <v>46</v>
      </c>
      <c r="K1250" s="1" t="s">
        <v>178</v>
      </c>
      <c r="L1250" s="1" t="b">
        <f aca="false">FALSE()</f>
        <v>0</v>
      </c>
      <c r="M1250" s="1" t="str">
        <f aca="false">VLOOKUP(D1250,'Team Reference'!$A:$B,2,FALSE())</f>
        <v>BAL</v>
      </c>
      <c r="N1250" s="1" t="str">
        <f aca="false">VLOOKUP(E1250,'Team Reference'!$A:$B,2,FALSE())</f>
        <v>LAC</v>
      </c>
      <c r="O1250" s="1" t="str">
        <f aca="false">IF(F1250&gt;G1250,M1250,IF(G1250&gt;F1250,N1250,"Tie"))</f>
        <v>LAC</v>
      </c>
      <c r="P1250" s="1" t="n">
        <f aca="false">F1250-G1250</f>
        <v>-1</v>
      </c>
      <c r="Q1250" s="1" t="n">
        <f aca="false">F1250+G1250</f>
        <v>67</v>
      </c>
      <c r="R1250" s="1" t="str">
        <f aca="false">IF(H1250=M1250,"Home",IF(H1250=N1250,"Away",IF(H1250="PICK","Pick","N/A")))</f>
        <v>Away</v>
      </c>
      <c r="S1250" s="1" t="n">
        <f aca="false">IF(R1250="Home",P1250,IF(R1250="Away",-P1250,""))</f>
        <v>1</v>
      </c>
      <c r="T1250" s="1" t="str">
        <f aca="false">IF(R1250="Pick","No Line",IF(S1250="","N/A",IF(S1250+I1250&gt;0,"Favorite Covered",IF(S1250+I1250&lt;0,"Underdog Covered","Push"))))</f>
        <v>Underdog Covered</v>
      </c>
      <c r="U1250" s="1" t="str">
        <f aca="false">IF(Q1250&gt;J1250,"Over",IF(Q1250&lt;J1250,"Under","Push"))</f>
        <v>Over</v>
      </c>
    </row>
    <row r="1251" customFormat="false" ht="15" hidden="false" customHeight="false" outlineLevel="0" collapsed="false">
      <c r="A1251" s="1" t="s">
        <v>441</v>
      </c>
      <c r="B1251" s="1" t="n">
        <v>2014</v>
      </c>
      <c r="C1251" s="1" t="s">
        <v>215</v>
      </c>
      <c r="D1251" s="1" t="s">
        <v>59</v>
      </c>
      <c r="E1251" s="1" t="s">
        <v>67</v>
      </c>
      <c r="F1251" s="1" t="n">
        <v>26</v>
      </c>
      <c r="G1251" s="1" t="n">
        <v>10</v>
      </c>
      <c r="H1251" s="1" t="s">
        <v>68</v>
      </c>
      <c r="I1251" s="1" t="n">
        <v>-3</v>
      </c>
      <c r="J1251" s="1" t="n">
        <v>42</v>
      </c>
      <c r="K1251" s="1" t="s">
        <v>144</v>
      </c>
      <c r="L1251" s="1" t="b">
        <f aca="false">FALSE()</f>
        <v>0</v>
      </c>
      <c r="M1251" s="1" t="str">
        <f aca="false">VLOOKUP(D1251,'Team Reference'!$A:$B,2,FALSE())</f>
        <v>BUF</v>
      </c>
      <c r="N1251" s="1" t="str">
        <f aca="false">VLOOKUP(E1251,'Team Reference'!$A:$B,2,FALSE())</f>
        <v>CLE</v>
      </c>
      <c r="O1251" s="1" t="str">
        <f aca="false">IF(F1251&gt;G1251,M1251,IF(G1251&gt;F1251,N1251,"Tie"))</f>
        <v>BUF</v>
      </c>
      <c r="P1251" s="1" t="n">
        <f aca="false">F1251-G1251</f>
        <v>16</v>
      </c>
      <c r="Q1251" s="1" t="n">
        <f aca="false">F1251+G1251</f>
        <v>36</v>
      </c>
      <c r="R1251" s="1" t="str">
        <f aca="false">IF(H1251=M1251,"Home",IF(H1251=N1251,"Away",IF(H1251="PICK","Pick","N/A")))</f>
        <v>Away</v>
      </c>
      <c r="S1251" s="1" t="n">
        <f aca="false">IF(R1251="Home",P1251,IF(R1251="Away",-P1251,""))</f>
        <v>-16</v>
      </c>
      <c r="T1251" s="1" t="str">
        <f aca="false">IF(R1251="Pick","No Line",IF(S1251="","N/A",IF(S1251+I1251&gt;0,"Favorite Covered",IF(S1251+I1251&lt;0,"Underdog Covered","Push"))))</f>
        <v>Underdog Covered</v>
      </c>
      <c r="U1251" s="1" t="str">
        <f aca="false">IF(Q1251&gt;J1251,"Over",IF(Q1251&lt;J1251,"Under","Push"))</f>
        <v>Under</v>
      </c>
    </row>
    <row r="1252" customFormat="false" ht="15" hidden="false" customHeight="false" outlineLevel="0" collapsed="false">
      <c r="A1252" s="1" t="s">
        <v>441</v>
      </c>
      <c r="B1252" s="1" t="n">
        <v>2014</v>
      </c>
      <c r="C1252" s="1" t="s">
        <v>215</v>
      </c>
      <c r="D1252" s="1" t="s">
        <v>75</v>
      </c>
      <c r="E1252" s="1" t="s">
        <v>93</v>
      </c>
      <c r="F1252" s="1" t="n">
        <v>26</v>
      </c>
      <c r="G1252" s="1" t="n">
        <v>21</v>
      </c>
      <c r="H1252" s="1" t="s">
        <v>94</v>
      </c>
      <c r="I1252" s="1" t="n">
        <v>-3</v>
      </c>
      <c r="J1252" s="1" t="n">
        <v>58</v>
      </c>
      <c r="K1252" s="1" t="s">
        <v>168</v>
      </c>
      <c r="L1252" s="1" t="b">
        <f aca="false">FALSE()</f>
        <v>0</v>
      </c>
      <c r="M1252" s="1" t="str">
        <f aca="false">VLOOKUP(D1252,'Team Reference'!$A:$B,2,FALSE())</f>
        <v>GB</v>
      </c>
      <c r="N1252" s="1" t="str">
        <f aca="false">VLOOKUP(E1252,'Team Reference'!$A:$B,2,FALSE())</f>
        <v>NE</v>
      </c>
      <c r="O1252" s="1" t="str">
        <f aca="false">IF(F1252&gt;G1252,M1252,IF(G1252&gt;F1252,N1252,"Tie"))</f>
        <v>GB</v>
      </c>
      <c r="P1252" s="1" t="n">
        <f aca="false">F1252-G1252</f>
        <v>5</v>
      </c>
      <c r="Q1252" s="1" t="n">
        <f aca="false">F1252+G1252</f>
        <v>47</v>
      </c>
      <c r="R1252" s="1" t="str">
        <f aca="false">IF(H1252=M1252,"Home",IF(H1252=N1252,"Away",IF(H1252="PICK","Pick","N/A")))</f>
        <v>Away</v>
      </c>
      <c r="S1252" s="1" t="n">
        <f aca="false">IF(R1252="Home",P1252,IF(R1252="Away",-P1252,""))</f>
        <v>-5</v>
      </c>
      <c r="T1252" s="1" t="str">
        <f aca="false">IF(R1252="Pick","No Line",IF(S1252="","N/A",IF(S1252+I1252&gt;0,"Favorite Covered",IF(S1252+I1252&lt;0,"Underdog Covered","Push"))))</f>
        <v>Underdog Covered</v>
      </c>
      <c r="U1252" s="1" t="str">
        <f aca="false">IF(Q1252&gt;J1252,"Over",IF(Q1252&lt;J1252,"Under","Push"))</f>
        <v>Under</v>
      </c>
    </row>
    <row r="1253" customFormat="false" ht="15" hidden="false" customHeight="false" outlineLevel="0" collapsed="false">
      <c r="A1253" s="1" t="s">
        <v>441</v>
      </c>
      <c r="B1253" s="1" t="n">
        <v>2014</v>
      </c>
      <c r="C1253" s="1" t="s">
        <v>215</v>
      </c>
      <c r="D1253" s="1" t="s">
        <v>77</v>
      </c>
      <c r="E1253" s="1" t="s">
        <v>115</v>
      </c>
      <c r="F1253" s="1" t="n">
        <v>45</v>
      </c>
      <c r="G1253" s="1" t="n">
        <v>21</v>
      </c>
      <c r="H1253" s="1" t="s">
        <v>116</v>
      </c>
      <c r="I1253" s="1" t="n">
        <v>-7</v>
      </c>
      <c r="J1253" s="1" t="n">
        <v>42.5</v>
      </c>
      <c r="K1253" s="1" t="s">
        <v>146</v>
      </c>
      <c r="L1253" s="1" t="b">
        <f aca="false">FALSE()</f>
        <v>0</v>
      </c>
      <c r="M1253" s="1" t="str">
        <f aca="false">VLOOKUP(D1253,'Team Reference'!$A:$B,2,FALSE())</f>
        <v>HOU</v>
      </c>
      <c r="N1253" s="1" t="str">
        <f aca="false">VLOOKUP(E1253,'Team Reference'!$A:$B,2,FALSE())</f>
        <v>TEN</v>
      </c>
      <c r="O1253" s="1" t="str">
        <f aca="false">IF(F1253&gt;G1253,M1253,IF(G1253&gt;F1253,N1253,"Tie"))</f>
        <v>HOU</v>
      </c>
      <c r="P1253" s="1" t="n">
        <f aca="false">F1253-G1253</f>
        <v>24</v>
      </c>
      <c r="Q1253" s="1" t="n">
        <f aca="false">F1253+G1253</f>
        <v>66</v>
      </c>
      <c r="R1253" s="1" t="str">
        <f aca="false">IF(H1253=M1253,"Home",IF(H1253=N1253,"Away",IF(H1253="PICK","Pick","N/A")))</f>
        <v>Away</v>
      </c>
      <c r="S1253" s="1" t="n">
        <f aca="false">IF(R1253="Home",P1253,IF(R1253="Away",-P1253,""))</f>
        <v>-24</v>
      </c>
      <c r="T1253" s="1" t="str">
        <f aca="false">IF(R1253="Pick","No Line",IF(S1253="","N/A",IF(S1253+I1253&gt;0,"Favorite Covered",IF(S1253+I1253&lt;0,"Underdog Covered","Push"))))</f>
        <v>Underdog Covered</v>
      </c>
      <c r="U1253" s="1" t="str">
        <f aca="false">IF(Q1253&gt;J1253,"Over",IF(Q1253&lt;J1253,"Under","Push"))</f>
        <v>Over</v>
      </c>
    </row>
    <row r="1254" customFormat="false" ht="15" hidden="false" customHeight="false" outlineLevel="0" collapsed="false">
      <c r="A1254" s="1" t="s">
        <v>441</v>
      </c>
      <c r="B1254" s="1" t="n">
        <v>2014</v>
      </c>
      <c r="C1254" s="1" t="s">
        <v>215</v>
      </c>
      <c r="D1254" s="1" t="s">
        <v>79</v>
      </c>
      <c r="E1254" s="1" t="s">
        <v>117</v>
      </c>
      <c r="F1254" s="1" t="n">
        <v>49</v>
      </c>
      <c r="G1254" s="1" t="n">
        <v>27</v>
      </c>
      <c r="H1254" s="1" t="s">
        <v>118</v>
      </c>
      <c r="I1254" s="1" t="n">
        <v>-8</v>
      </c>
      <c r="J1254" s="1" t="n">
        <v>49</v>
      </c>
      <c r="K1254" s="1" t="s">
        <v>169</v>
      </c>
      <c r="L1254" s="1" t="b">
        <f aca="false">FALSE()</f>
        <v>0</v>
      </c>
      <c r="M1254" s="1" t="str">
        <f aca="false">VLOOKUP(D1254,'Team Reference'!$A:$B,2,FALSE())</f>
        <v>IND</v>
      </c>
      <c r="N1254" s="1" t="str">
        <f aca="false">VLOOKUP(E1254,'Team Reference'!$A:$B,2,FALSE())</f>
        <v>WAS</v>
      </c>
      <c r="O1254" s="1" t="str">
        <f aca="false">IF(F1254&gt;G1254,M1254,IF(G1254&gt;F1254,N1254,"Tie"))</f>
        <v>IND</v>
      </c>
      <c r="P1254" s="1" t="n">
        <f aca="false">F1254-G1254</f>
        <v>22</v>
      </c>
      <c r="Q1254" s="1" t="n">
        <f aca="false">F1254+G1254</f>
        <v>76</v>
      </c>
      <c r="R1254" s="1" t="str">
        <f aca="false">IF(H1254=M1254,"Home",IF(H1254=N1254,"Away",IF(H1254="PICK","Pick","N/A")))</f>
        <v>Away</v>
      </c>
      <c r="S1254" s="1" t="n">
        <f aca="false">IF(R1254="Home",P1254,IF(R1254="Away",-P1254,""))</f>
        <v>-22</v>
      </c>
      <c r="T1254" s="1" t="str">
        <f aca="false">IF(R1254="Pick","No Line",IF(S1254="","N/A",IF(S1254+I1254&gt;0,"Favorite Covered",IF(S1254+I1254&lt;0,"Underdog Covered","Push"))))</f>
        <v>Underdog Covered</v>
      </c>
      <c r="U1254" s="1" t="str">
        <f aca="false">IF(Q1254&gt;J1254,"Over",IF(Q1254&lt;J1254,"Under","Push"))</f>
        <v>Over</v>
      </c>
    </row>
    <row r="1255" customFormat="false" ht="15" hidden="false" customHeight="false" outlineLevel="0" collapsed="false">
      <c r="A1255" s="1" t="s">
        <v>441</v>
      </c>
      <c r="B1255" s="1" t="n">
        <v>2014</v>
      </c>
      <c r="C1255" s="1" t="s">
        <v>215</v>
      </c>
      <c r="D1255" s="1" t="s">
        <v>81</v>
      </c>
      <c r="E1255" s="1" t="s">
        <v>97</v>
      </c>
      <c r="F1255" s="1" t="n">
        <v>25</v>
      </c>
      <c r="G1255" s="1" t="n">
        <v>24</v>
      </c>
      <c r="H1255" s="1" t="s">
        <v>82</v>
      </c>
      <c r="I1255" s="1" t="n">
        <v>-3</v>
      </c>
      <c r="J1255" s="1" t="n">
        <v>44</v>
      </c>
      <c r="K1255" s="1" t="s">
        <v>147</v>
      </c>
      <c r="L1255" s="1" t="b">
        <f aca="false">FALSE()</f>
        <v>0</v>
      </c>
      <c r="M1255" s="1" t="str">
        <f aca="false">VLOOKUP(D1255,'Team Reference'!$A:$B,2,FALSE())</f>
        <v>JAX</v>
      </c>
      <c r="N1255" s="1" t="str">
        <f aca="false">VLOOKUP(E1255,'Team Reference'!$A:$B,2,FALSE())</f>
        <v>NYG</v>
      </c>
      <c r="O1255" s="1" t="str">
        <f aca="false">IF(F1255&gt;G1255,M1255,IF(G1255&gt;F1255,N1255,"Tie"))</f>
        <v>JAX</v>
      </c>
      <c r="P1255" s="1" t="n">
        <f aca="false">F1255-G1255</f>
        <v>1</v>
      </c>
      <c r="Q1255" s="1" t="n">
        <f aca="false">F1255+G1255</f>
        <v>49</v>
      </c>
      <c r="R1255" s="1" t="str">
        <f aca="false">IF(H1255=M1255,"Home",IF(H1255=N1255,"Away",IF(H1255="PICK","Pick","N/A")))</f>
        <v>Home</v>
      </c>
      <c r="S1255" s="1" t="n">
        <f aca="false">IF(R1255="Home",P1255,IF(R1255="Away",-P1255,""))</f>
        <v>1</v>
      </c>
      <c r="T1255" s="1" t="str">
        <f aca="false">IF(R1255="Pick","No Line",IF(S1255="","N/A",IF(S1255+I1255&gt;0,"Favorite Covered",IF(S1255+I1255&lt;0,"Underdog Covered","Push"))))</f>
        <v>Underdog Covered</v>
      </c>
      <c r="U1255" s="1" t="str">
        <f aca="false">IF(Q1255&gt;J1255,"Over",IF(Q1255&lt;J1255,"Under","Push"))</f>
        <v>Over</v>
      </c>
    </row>
    <row r="1256" customFormat="false" ht="15" hidden="false" customHeight="false" outlineLevel="0" collapsed="false">
      <c r="A1256" s="1" t="s">
        <v>441</v>
      </c>
      <c r="B1256" s="1" t="n">
        <v>2014</v>
      </c>
      <c r="C1256" s="1" t="s">
        <v>215</v>
      </c>
      <c r="D1256" s="1" t="s">
        <v>83</v>
      </c>
      <c r="E1256" s="1" t="s">
        <v>71</v>
      </c>
      <c r="F1256" s="1" t="n">
        <v>16</v>
      </c>
      <c r="G1256" s="1" t="n">
        <v>29</v>
      </c>
      <c r="H1256" s="1" t="s">
        <v>200</v>
      </c>
      <c r="I1256" s="1" t="n">
        <v>0</v>
      </c>
      <c r="J1256" s="1" t="n">
        <v>49.5</v>
      </c>
      <c r="K1256" s="1" t="s">
        <v>158</v>
      </c>
      <c r="L1256" s="1" t="b">
        <f aca="false">FALSE()</f>
        <v>0</v>
      </c>
      <c r="M1256" s="1" t="str">
        <f aca="false">VLOOKUP(D1256,'Team Reference'!$A:$B,2,FALSE())</f>
        <v>KC</v>
      </c>
      <c r="N1256" s="1" t="str">
        <f aca="false">VLOOKUP(E1256,'Team Reference'!$A:$B,2,FALSE())</f>
        <v>DEN</v>
      </c>
      <c r="O1256" s="1" t="str">
        <f aca="false">IF(F1256&gt;G1256,M1256,IF(G1256&gt;F1256,N1256,"Tie"))</f>
        <v>DEN</v>
      </c>
      <c r="P1256" s="1" t="n">
        <f aca="false">F1256-G1256</f>
        <v>-13</v>
      </c>
      <c r="Q1256" s="1" t="n">
        <f aca="false">F1256+G1256</f>
        <v>45</v>
      </c>
      <c r="R1256" s="1" t="str">
        <f aca="false">IF(H1256=M1256,"Home",IF(H1256=N1256,"Away",IF(H1256="PICK","Pick","N/A")))</f>
        <v>Pick</v>
      </c>
      <c r="S1256" s="1" t="str">
        <f aca="false">IF(R1256="Home",P1256,IF(R1256="Away",-P1256,""))</f>
        <v/>
      </c>
      <c r="T1256" s="1" t="str">
        <f aca="false">IF(R1256="Pick","No Line",IF(S1256="","N/A",IF(S1256+I1256&gt;0,"Favorite Covered",IF(S1256+I1256&lt;0,"Underdog Covered","Push"))))</f>
        <v>No Line</v>
      </c>
      <c r="U1256" s="1" t="str">
        <f aca="false">IF(Q1256&gt;J1256,"Over",IF(Q1256&lt;J1256,"Under","Push"))</f>
        <v>Under</v>
      </c>
    </row>
    <row r="1257" customFormat="false" ht="15" hidden="false" customHeight="false" outlineLevel="0" collapsed="false">
      <c r="A1257" s="1" t="s">
        <v>441</v>
      </c>
      <c r="B1257" s="1" t="n">
        <v>2014</v>
      </c>
      <c r="C1257" s="1" t="s">
        <v>215</v>
      </c>
      <c r="D1257" s="1" t="s">
        <v>91</v>
      </c>
      <c r="E1257" s="1" t="s">
        <v>61</v>
      </c>
      <c r="F1257" s="1" t="n">
        <v>31</v>
      </c>
      <c r="G1257" s="1" t="n">
        <v>13</v>
      </c>
      <c r="H1257" s="1" t="s">
        <v>62</v>
      </c>
      <c r="I1257" s="1" t="n">
        <v>-2.5</v>
      </c>
      <c r="J1257" s="1" t="n">
        <v>41.5</v>
      </c>
      <c r="K1257" s="1" t="s">
        <v>407</v>
      </c>
      <c r="L1257" s="1" t="b">
        <f aca="false">FALSE()</f>
        <v>0</v>
      </c>
      <c r="M1257" s="1" t="str">
        <f aca="false">VLOOKUP(D1257,'Team Reference'!$A:$B,2,FALSE())</f>
        <v>MIN</v>
      </c>
      <c r="N1257" s="1" t="str">
        <f aca="false">VLOOKUP(E1257,'Team Reference'!$A:$B,2,FALSE())</f>
        <v>CAR</v>
      </c>
      <c r="O1257" s="1" t="str">
        <f aca="false">IF(F1257&gt;G1257,M1257,IF(G1257&gt;F1257,N1257,"Tie"))</f>
        <v>MIN</v>
      </c>
      <c r="P1257" s="1" t="n">
        <f aca="false">F1257-G1257</f>
        <v>18</v>
      </c>
      <c r="Q1257" s="1" t="n">
        <f aca="false">F1257+G1257</f>
        <v>44</v>
      </c>
      <c r="R1257" s="1" t="str">
        <f aca="false">IF(H1257=M1257,"Home",IF(H1257=N1257,"Away",IF(H1257="PICK","Pick","N/A")))</f>
        <v>Away</v>
      </c>
      <c r="S1257" s="1" t="n">
        <f aca="false">IF(R1257="Home",P1257,IF(R1257="Away",-P1257,""))</f>
        <v>-18</v>
      </c>
      <c r="T1257" s="1" t="str">
        <f aca="false">IF(R1257="Pick","No Line",IF(S1257="","N/A",IF(S1257+I1257&gt;0,"Favorite Covered",IF(S1257+I1257&lt;0,"Underdog Covered","Push"))))</f>
        <v>Underdog Covered</v>
      </c>
      <c r="U1257" s="1" t="str">
        <f aca="false">IF(Q1257&gt;J1257,"Over",IF(Q1257&lt;J1257,"Under","Push"))</f>
        <v>Over</v>
      </c>
    </row>
    <row r="1258" customFormat="false" ht="15" hidden="false" customHeight="false" outlineLevel="0" collapsed="false">
      <c r="A1258" s="1" t="s">
        <v>441</v>
      </c>
      <c r="B1258" s="1" t="n">
        <v>2014</v>
      </c>
      <c r="C1258" s="1" t="s">
        <v>215</v>
      </c>
      <c r="D1258" s="1" t="s">
        <v>105</v>
      </c>
      <c r="E1258" s="1" t="s">
        <v>95</v>
      </c>
      <c r="F1258" s="1" t="n">
        <v>32</v>
      </c>
      <c r="G1258" s="1" t="n">
        <v>35</v>
      </c>
      <c r="H1258" s="1" t="s">
        <v>96</v>
      </c>
      <c r="I1258" s="1" t="n">
        <v>-3.5</v>
      </c>
      <c r="J1258" s="1" t="n">
        <v>54.5</v>
      </c>
      <c r="K1258" s="1" t="s">
        <v>151</v>
      </c>
      <c r="L1258" s="1" t="b">
        <f aca="false">FALSE()</f>
        <v>0</v>
      </c>
      <c r="M1258" s="1" t="str">
        <f aca="false">VLOOKUP(D1258,'Team Reference'!$A:$B,2,FALSE())</f>
        <v>PIT</v>
      </c>
      <c r="N1258" s="1" t="str">
        <f aca="false">VLOOKUP(E1258,'Team Reference'!$A:$B,2,FALSE())</f>
        <v>NO</v>
      </c>
      <c r="O1258" s="1" t="str">
        <f aca="false">IF(F1258&gt;G1258,M1258,IF(G1258&gt;F1258,N1258,"Tie"))</f>
        <v>NO</v>
      </c>
      <c r="P1258" s="1" t="n">
        <f aca="false">F1258-G1258</f>
        <v>-3</v>
      </c>
      <c r="Q1258" s="1" t="n">
        <f aca="false">F1258+G1258</f>
        <v>67</v>
      </c>
      <c r="R1258" s="1" t="str">
        <f aca="false">IF(H1258=M1258,"Home",IF(H1258=N1258,"Away",IF(H1258="PICK","Pick","N/A")))</f>
        <v>Away</v>
      </c>
      <c r="S1258" s="1" t="n">
        <f aca="false">IF(R1258="Home",P1258,IF(R1258="Away",-P1258,""))</f>
        <v>3</v>
      </c>
      <c r="T1258" s="1" t="str">
        <f aca="false">IF(R1258="Pick","No Line",IF(S1258="","N/A",IF(S1258+I1258&gt;0,"Favorite Covered",IF(S1258+I1258&lt;0,"Underdog Covered","Push"))))</f>
        <v>Underdog Covered</v>
      </c>
      <c r="U1258" s="1" t="str">
        <f aca="false">IF(Q1258&gt;J1258,"Over",IF(Q1258&lt;J1258,"Under","Push"))</f>
        <v>Over</v>
      </c>
    </row>
    <row r="1259" customFormat="false" ht="15" hidden="false" customHeight="false" outlineLevel="0" collapsed="false">
      <c r="A1259" s="1" t="s">
        <v>441</v>
      </c>
      <c r="B1259" s="1" t="n">
        <v>2014</v>
      </c>
      <c r="C1259" s="1" t="s">
        <v>215</v>
      </c>
      <c r="D1259" s="1" t="s">
        <v>112</v>
      </c>
      <c r="E1259" s="1" t="s">
        <v>101</v>
      </c>
      <c r="F1259" s="1" t="n">
        <v>52</v>
      </c>
      <c r="G1259" s="1" t="n">
        <v>0</v>
      </c>
      <c r="H1259" s="1" t="s">
        <v>102</v>
      </c>
      <c r="I1259" s="1" t="n">
        <v>-6</v>
      </c>
      <c r="J1259" s="1" t="n">
        <v>43</v>
      </c>
      <c r="K1259" s="1" t="s">
        <v>153</v>
      </c>
      <c r="L1259" s="1" t="b">
        <f aca="false">FALSE()</f>
        <v>0</v>
      </c>
      <c r="M1259" s="1" t="str">
        <f aca="false">VLOOKUP(D1259,'Team Reference'!$A:$B,2,FALSE())</f>
        <v>LAR</v>
      </c>
      <c r="N1259" s="1" t="str">
        <f aca="false">VLOOKUP(E1259,'Team Reference'!$A:$B,2,FALSE())</f>
        <v>OAK</v>
      </c>
      <c r="O1259" s="1" t="str">
        <f aca="false">IF(F1259&gt;G1259,M1259,IF(G1259&gt;F1259,N1259,"Tie"))</f>
        <v>LAR</v>
      </c>
      <c r="P1259" s="1" t="n">
        <f aca="false">F1259-G1259</f>
        <v>52</v>
      </c>
      <c r="Q1259" s="1" t="n">
        <f aca="false">F1259+G1259</f>
        <v>52</v>
      </c>
      <c r="R1259" s="1" t="str">
        <f aca="false">IF(H1259=M1259,"Home",IF(H1259=N1259,"Away",IF(H1259="PICK","Pick","N/A")))</f>
        <v>Away</v>
      </c>
      <c r="S1259" s="1" t="n">
        <f aca="false">IF(R1259="Home",P1259,IF(R1259="Away",-P1259,""))</f>
        <v>-52</v>
      </c>
      <c r="T1259" s="1" t="str">
        <f aca="false">IF(R1259="Pick","No Line",IF(S1259="","N/A",IF(S1259+I1259&gt;0,"Favorite Covered",IF(S1259+I1259&lt;0,"Underdog Covered","Push"))))</f>
        <v>Underdog Covered</v>
      </c>
      <c r="U1259" s="1" t="str">
        <f aca="false">IF(Q1259&gt;J1259,"Over",IF(Q1259&lt;J1259,"Under","Push"))</f>
        <v>Over</v>
      </c>
    </row>
    <row r="1260" customFormat="false" ht="15" hidden="false" customHeight="false" outlineLevel="0" collapsed="false">
      <c r="A1260" s="1" t="s">
        <v>441</v>
      </c>
      <c r="B1260" s="1" t="n">
        <v>2014</v>
      </c>
      <c r="C1260" s="1" t="s">
        <v>215</v>
      </c>
      <c r="D1260" s="1" t="s">
        <v>113</v>
      </c>
      <c r="E1260" s="1" t="s">
        <v>65</v>
      </c>
      <c r="F1260" s="1" t="n">
        <v>13</v>
      </c>
      <c r="G1260" s="1" t="n">
        <v>14</v>
      </c>
      <c r="H1260" s="1" t="s">
        <v>114</v>
      </c>
      <c r="I1260" s="1" t="n">
        <v>-6</v>
      </c>
      <c r="J1260" s="1" t="n">
        <v>43.5</v>
      </c>
      <c r="K1260" s="1" t="s">
        <v>154</v>
      </c>
      <c r="L1260" s="1" t="b">
        <f aca="false">FALSE()</f>
        <v>0</v>
      </c>
      <c r="M1260" s="1" t="str">
        <f aca="false">VLOOKUP(D1260,'Team Reference'!$A:$B,2,FALSE())</f>
        <v>TB</v>
      </c>
      <c r="N1260" s="1" t="str">
        <f aca="false">VLOOKUP(E1260,'Team Reference'!$A:$B,2,FALSE())</f>
        <v>CIN</v>
      </c>
      <c r="O1260" s="1" t="str">
        <f aca="false">IF(F1260&gt;G1260,M1260,IF(G1260&gt;F1260,N1260,"Tie"))</f>
        <v>CIN</v>
      </c>
      <c r="P1260" s="1" t="n">
        <f aca="false">F1260-G1260</f>
        <v>-1</v>
      </c>
      <c r="Q1260" s="1" t="n">
        <f aca="false">F1260+G1260</f>
        <v>27</v>
      </c>
      <c r="R1260" s="1" t="str">
        <f aca="false">IF(H1260=M1260,"Home",IF(H1260=N1260,"Away",IF(H1260="PICK","Pick","N/A")))</f>
        <v>Home</v>
      </c>
      <c r="S1260" s="1" t="n">
        <f aca="false">IF(R1260="Home",P1260,IF(R1260="Away",-P1260,""))</f>
        <v>-1</v>
      </c>
      <c r="T1260" s="1" t="str">
        <f aca="false">IF(R1260="Pick","No Line",IF(S1260="","N/A",IF(S1260+I1260&gt;0,"Favorite Covered",IF(S1260+I1260&lt;0,"Underdog Covered","Push"))))</f>
        <v>Underdog Covered</v>
      </c>
      <c r="U1260" s="1" t="str">
        <f aca="false">IF(Q1260&gt;J1260,"Over",IF(Q1260&lt;J1260,"Under","Push"))</f>
        <v>Under</v>
      </c>
    </row>
    <row r="1261" customFormat="false" ht="15" hidden="false" customHeight="false" outlineLevel="0" collapsed="false">
      <c r="A1261" s="1" t="s">
        <v>442</v>
      </c>
      <c r="B1261" s="1" t="n">
        <v>2014</v>
      </c>
      <c r="C1261" s="1" t="s">
        <v>215</v>
      </c>
      <c r="D1261" s="1" t="s">
        <v>99</v>
      </c>
      <c r="E1261" s="1" t="s">
        <v>89</v>
      </c>
      <c r="F1261" s="1" t="n">
        <v>13</v>
      </c>
      <c r="G1261" s="1" t="n">
        <v>16</v>
      </c>
      <c r="H1261" s="1" t="s">
        <v>100</v>
      </c>
      <c r="I1261" s="1" t="n">
        <v>-7</v>
      </c>
      <c r="J1261" s="1" t="n">
        <v>41.5</v>
      </c>
      <c r="K1261" s="1" t="s">
        <v>149</v>
      </c>
      <c r="L1261" s="1" t="b">
        <f aca="false">FALSE()</f>
        <v>0</v>
      </c>
      <c r="M1261" s="1" t="str">
        <f aca="false">VLOOKUP(D1261,'Team Reference'!$A:$B,2,FALSE())</f>
        <v>NYJ</v>
      </c>
      <c r="N1261" s="1" t="str">
        <f aca="false">VLOOKUP(E1261,'Team Reference'!$A:$B,2,FALSE())</f>
        <v>MIA</v>
      </c>
      <c r="O1261" s="1" t="str">
        <f aca="false">IF(F1261&gt;G1261,M1261,IF(G1261&gt;F1261,N1261,"Tie"))</f>
        <v>MIA</v>
      </c>
      <c r="P1261" s="1" t="n">
        <f aca="false">F1261-G1261</f>
        <v>-3</v>
      </c>
      <c r="Q1261" s="1" t="n">
        <f aca="false">F1261+G1261</f>
        <v>29</v>
      </c>
      <c r="R1261" s="1" t="str">
        <f aca="false">IF(H1261=M1261,"Home",IF(H1261=N1261,"Away",IF(H1261="PICK","Pick","N/A")))</f>
        <v>Home</v>
      </c>
      <c r="S1261" s="1" t="n">
        <f aca="false">IF(R1261="Home",P1261,IF(R1261="Away",-P1261,""))</f>
        <v>-3</v>
      </c>
      <c r="T1261" s="1" t="str">
        <f aca="false">IF(R1261="Pick","No Line",IF(S1261="","N/A",IF(S1261+I1261&gt;0,"Favorite Covered",IF(S1261+I1261&lt;0,"Underdog Covered","Push"))))</f>
        <v>Underdog Covered</v>
      </c>
      <c r="U1261" s="1" t="str">
        <f aca="false">IF(Q1261&gt;J1261,"Over",IF(Q1261&lt;J1261,"Under","Push"))</f>
        <v>Under</v>
      </c>
    </row>
    <row r="1262" customFormat="false" ht="15" hidden="false" customHeight="false" outlineLevel="0" collapsed="false">
      <c r="A1262" s="1" t="s">
        <v>443</v>
      </c>
      <c r="B1262" s="1" t="n">
        <v>2014</v>
      </c>
      <c r="C1262" s="1" t="s">
        <v>219</v>
      </c>
      <c r="D1262" s="1" t="s">
        <v>63</v>
      </c>
      <c r="E1262" s="1" t="s">
        <v>69</v>
      </c>
      <c r="F1262" s="1" t="n">
        <v>28</v>
      </c>
      <c r="G1262" s="1" t="n">
        <v>41</v>
      </c>
      <c r="H1262" s="1" t="s">
        <v>64</v>
      </c>
      <c r="I1262" s="1" t="n">
        <v>-3.5</v>
      </c>
      <c r="J1262" s="1" t="n">
        <v>50</v>
      </c>
      <c r="K1262" s="1" t="s">
        <v>145</v>
      </c>
      <c r="L1262" s="1" t="b">
        <f aca="false">FALSE()</f>
        <v>0</v>
      </c>
      <c r="M1262" s="1" t="str">
        <f aca="false">VLOOKUP(D1262,'Team Reference'!$A:$B,2,FALSE())</f>
        <v>CHI</v>
      </c>
      <c r="N1262" s="1" t="str">
        <f aca="false">VLOOKUP(E1262,'Team Reference'!$A:$B,2,FALSE())</f>
        <v>DAL</v>
      </c>
      <c r="O1262" s="1" t="str">
        <f aca="false">IF(F1262&gt;G1262,M1262,IF(G1262&gt;F1262,N1262,"Tie"))</f>
        <v>DAL</v>
      </c>
      <c r="P1262" s="1" t="n">
        <f aca="false">F1262-G1262</f>
        <v>-13</v>
      </c>
      <c r="Q1262" s="1" t="n">
        <f aca="false">F1262+G1262</f>
        <v>69</v>
      </c>
      <c r="R1262" s="1" t="str">
        <f aca="false">IF(H1262=M1262,"Home",IF(H1262=N1262,"Away",IF(H1262="PICK","Pick","N/A")))</f>
        <v>Home</v>
      </c>
      <c r="S1262" s="1" t="n">
        <f aca="false">IF(R1262="Home",P1262,IF(R1262="Away",-P1262,""))</f>
        <v>-13</v>
      </c>
      <c r="T1262" s="1" t="str">
        <f aca="false">IF(R1262="Pick","No Line",IF(S1262="","N/A",IF(S1262+I1262&gt;0,"Favorite Covered",IF(S1262+I1262&lt;0,"Underdog Covered","Push"))))</f>
        <v>Underdog Covered</v>
      </c>
      <c r="U1262" s="1" t="str">
        <f aca="false">IF(Q1262&gt;J1262,"Over",IF(Q1262&lt;J1262,"Under","Push"))</f>
        <v>Over</v>
      </c>
    </row>
    <row r="1263" customFormat="false" ht="15" hidden="false" customHeight="false" outlineLevel="0" collapsed="false">
      <c r="A1263" s="1" t="s">
        <v>444</v>
      </c>
      <c r="B1263" s="1" t="n">
        <v>2014</v>
      </c>
      <c r="C1263" s="1" t="s">
        <v>219</v>
      </c>
      <c r="D1263" s="1" t="s">
        <v>53</v>
      </c>
      <c r="E1263" s="1" t="s">
        <v>83</v>
      </c>
      <c r="F1263" s="1" t="n">
        <v>17</v>
      </c>
      <c r="G1263" s="1" t="n">
        <v>14</v>
      </c>
      <c r="H1263" s="1" t="s">
        <v>54</v>
      </c>
      <c r="I1263" s="1" t="n">
        <v>-2.5</v>
      </c>
      <c r="J1263" s="1" t="n">
        <v>41</v>
      </c>
      <c r="K1263" s="1" t="s">
        <v>177</v>
      </c>
      <c r="L1263" s="1" t="b">
        <f aca="false">FALSE()</f>
        <v>0</v>
      </c>
      <c r="M1263" s="1" t="str">
        <f aca="false">VLOOKUP(D1263,'Team Reference'!$A:$B,2,FALSE())</f>
        <v>ARI</v>
      </c>
      <c r="N1263" s="1" t="str">
        <f aca="false">VLOOKUP(E1263,'Team Reference'!$A:$B,2,FALSE())</f>
        <v>KC</v>
      </c>
      <c r="O1263" s="1" t="str">
        <f aca="false">IF(F1263&gt;G1263,M1263,IF(G1263&gt;F1263,N1263,"Tie"))</f>
        <v>ARI</v>
      </c>
      <c r="P1263" s="1" t="n">
        <f aca="false">F1263-G1263</f>
        <v>3</v>
      </c>
      <c r="Q1263" s="1" t="n">
        <f aca="false">F1263+G1263</f>
        <v>31</v>
      </c>
      <c r="R1263" s="1" t="str">
        <f aca="false">IF(H1263=M1263,"Home",IF(H1263=N1263,"Away",IF(H1263="PICK","Pick","N/A")))</f>
        <v>Home</v>
      </c>
      <c r="S1263" s="1" t="n">
        <f aca="false">IF(R1263="Home",P1263,IF(R1263="Away",-P1263,""))</f>
        <v>3</v>
      </c>
      <c r="T1263" s="1" t="str">
        <f aca="false">IF(R1263="Pick","No Line",IF(S1263="","N/A",IF(S1263+I1263&gt;0,"Favorite Covered",IF(S1263+I1263&lt;0,"Underdog Covered","Push"))))</f>
        <v>Favorite Covered</v>
      </c>
      <c r="U1263" s="1" t="str">
        <f aca="false">IF(Q1263&gt;J1263,"Over",IF(Q1263&lt;J1263,"Under","Push"))</f>
        <v>Under</v>
      </c>
    </row>
    <row r="1264" customFormat="false" ht="15" hidden="false" customHeight="false" outlineLevel="0" collapsed="false">
      <c r="A1264" s="1" t="s">
        <v>444</v>
      </c>
      <c r="B1264" s="1" t="n">
        <v>2014</v>
      </c>
      <c r="C1264" s="1" t="s">
        <v>219</v>
      </c>
      <c r="D1264" s="1" t="s">
        <v>65</v>
      </c>
      <c r="E1264" s="1" t="s">
        <v>105</v>
      </c>
      <c r="F1264" s="1" t="n">
        <v>21</v>
      </c>
      <c r="G1264" s="1" t="n">
        <v>42</v>
      </c>
      <c r="H1264" s="1" t="s">
        <v>106</v>
      </c>
      <c r="I1264" s="1" t="n">
        <v>-3</v>
      </c>
      <c r="J1264" s="1" t="n">
        <v>47.5</v>
      </c>
      <c r="K1264" s="1" t="s">
        <v>163</v>
      </c>
      <c r="L1264" s="1" t="b">
        <f aca="false">FALSE()</f>
        <v>0</v>
      </c>
      <c r="M1264" s="1" t="str">
        <f aca="false">VLOOKUP(D1264,'Team Reference'!$A:$B,2,FALSE())</f>
        <v>CIN</v>
      </c>
      <c r="N1264" s="1" t="str">
        <f aca="false">VLOOKUP(E1264,'Team Reference'!$A:$B,2,FALSE())</f>
        <v>PIT</v>
      </c>
      <c r="O1264" s="1" t="str">
        <f aca="false">IF(F1264&gt;G1264,M1264,IF(G1264&gt;F1264,N1264,"Tie"))</f>
        <v>PIT</v>
      </c>
      <c r="P1264" s="1" t="n">
        <f aca="false">F1264-G1264</f>
        <v>-21</v>
      </c>
      <c r="Q1264" s="1" t="n">
        <f aca="false">F1264+G1264</f>
        <v>63</v>
      </c>
      <c r="R1264" s="1" t="str">
        <f aca="false">IF(H1264=M1264,"Home",IF(H1264=N1264,"Away",IF(H1264="PICK","Pick","N/A")))</f>
        <v>Away</v>
      </c>
      <c r="S1264" s="1" t="n">
        <f aca="false">IF(R1264="Home",P1264,IF(R1264="Away",-P1264,""))</f>
        <v>21</v>
      </c>
      <c r="T1264" s="1" t="str">
        <f aca="false">IF(R1264="Pick","No Line",IF(S1264="","N/A",IF(S1264+I1264&gt;0,"Favorite Covered",IF(S1264+I1264&lt;0,"Underdog Covered","Push"))))</f>
        <v>Favorite Covered</v>
      </c>
      <c r="U1264" s="1" t="str">
        <f aca="false">IF(Q1264&gt;J1264,"Over",IF(Q1264&lt;J1264,"Under","Push"))</f>
        <v>Over</v>
      </c>
    </row>
    <row r="1265" customFormat="false" ht="15" hidden="false" customHeight="false" outlineLevel="0" collapsed="false">
      <c r="A1265" s="1" t="s">
        <v>444</v>
      </c>
      <c r="B1265" s="1" t="n">
        <v>2014</v>
      </c>
      <c r="C1265" s="1" t="s">
        <v>219</v>
      </c>
      <c r="D1265" s="1" t="s">
        <v>67</v>
      </c>
      <c r="E1265" s="1" t="s">
        <v>79</v>
      </c>
      <c r="F1265" s="1" t="n">
        <v>24</v>
      </c>
      <c r="G1265" s="1" t="n">
        <v>25</v>
      </c>
      <c r="H1265" s="1" t="s">
        <v>68</v>
      </c>
      <c r="I1265" s="1" t="n">
        <v>-3</v>
      </c>
      <c r="J1265" s="1" t="n">
        <v>50</v>
      </c>
      <c r="K1265" s="1" t="s">
        <v>164</v>
      </c>
      <c r="L1265" s="1" t="b">
        <f aca="false">FALSE()</f>
        <v>0</v>
      </c>
      <c r="M1265" s="1" t="str">
        <f aca="false">VLOOKUP(D1265,'Team Reference'!$A:$B,2,FALSE())</f>
        <v>CLE</v>
      </c>
      <c r="N1265" s="1" t="str">
        <f aca="false">VLOOKUP(E1265,'Team Reference'!$A:$B,2,FALSE())</f>
        <v>IND</v>
      </c>
      <c r="O1265" s="1" t="str">
        <f aca="false">IF(F1265&gt;G1265,M1265,IF(G1265&gt;F1265,N1265,"Tie"))</f>
        <v>IND</v>
      </c>
      <c r="P1265" s="1" t="n">
        <f aca="false">F1265-G1265</f>
        <v>-1</v>
      </c>
      <c r="Q1265" s="1" t="n">
        <f aca="false">F1265+G1265</f>
        <v>49</v>
      </c>
      <c r="R1265" s="1" t="str">
        <f aca="false">IF(H1265=M1265,"Home",IF(H1265=N1265,"Away",IF(H1265="PICK","Pick","N/A")))</f>
        <v>Home</v>
      </c>
      <c r="S1265" s="1" t="n">
        <f aca="false">IF(R1265="Home",P1265,IF(R1265="Away",-P1265,""))</f>
        <v>-1</v>
      </c>
      <c r="T1265" s="1" t="str">
        <f aca="false">IF(R1265="Pick","No Line",IF(S1265="","N/A",IF(S1265+I1265&gt;0,"Favorite Covered",IF(S1265+I1265&lt;0,"Underdog Covered","Push"))))</f>
        <v>Underdog Covered</v>
      </c>
      <c r="U1265" s="1" t="str">
        <f aca="false">IF(Q1265&gt;J1265,"Over",IF(Q1265&lt;J1265,"Under","Push"))</f>
        <v>Under</v>
      </c>
    </row>
    <row r="1266" customFormat="false" ht="15" hidden="false" customHeight="false" outlineLevel="0" collapsed="false">
      <c r="A1266" s="1" t="s">
        <v>444</v>
      </c>
      <c r="B1266" s="1" t="n">
        <v>2014</v>
      </c>
      <c r="C1266" s="1" t="s">
        <v>219</v>
      </c>
      <c r="D1266" s="1" t="s">
        <v>71</v>
      </c>
      <c r="E1266" s="1" t="s">
        <v>59</v>
      </c>
      <c r="F1266" s="1" t="n">
        <v>24</v>
      </c>
      <c r="G1266" s="1" t="n">
        <v>17</v>
      </c>
      <c r="H1266" s="1" t="s">
        <v>60</v>
      </c>
      <c r="I1266" s="1" t="n">
        <v>-9</v>
      </c>
      <c r="J1266" s="1" t="n">
        <v>47</v>
      </c>
      <c r="K1266" s="1" t="s">
        <v>166</v>
      </c>
      <c r="L1266" s="1" t="b">
        <f aca="false">FALSE()</f>
        <v>0</v>
      </c>
      <c r="M1266" s="1" t="str">
        <f aca="false">VLOOKUP(D1266,'Team Reference'!$A:$B,2,FALSE())</f>
        <v>DEN</v>
      </c>
      <c r="N1266" s="1" t="str">
        <f aca="false">VLOOKUP(E1266,'Team Reference'!$A:$B,2,FALSE())</f>
        <v>BUF</v>
      </c>
      <c r="O1266" s="1" t="str">
        <f aca="false">IF(F1266&gt;G1266,M1266,IF(G1266&gt;F1266,N1266,"Tie"))</f>
        <v>DEN</v>
      </c>
      <c r="P1266" s="1" t="n">
        <f aca="false">F1266-G1266</f>
        <v>7</v>
      </c>
      <c r="Q1266" s="1" t="n">
        <f aca="false">F1266+G1266</f>
        <v>41</v>
      </c>
      <c r="R1266" s="1" t="str">
        <f aca="false">IF(H1266=M1266,"Home",IF(H1266=N1266,"Away",IF(H1266="PICK","Pick","N/A")))</f>
        <v>Away</v>
      </c>
      <c r="S1266" s="1" t="n">
        <f aca="false">IF(R1266="Home",P1266,IF(R1266="Away",-P1266,""))</f>
        <v>-7</v>
      </c>
      <c r="T1266" s="1" t="str">
        <f aca="false">IF(R1266="Pick","No Line",IF(S1266="","N/A",IF(S1266+I1266&gt;0,"Favorite Covered",IF(S1266+I1266&lt;0,"Underdog Covered","Push"))))</f>
        <v>Underdog Covered</v>
      </c>
      <c r="U1266" s="1" t="str">
        <f aca="false">IF(Q1266&gt;J1266,"Over",IF(Q1266&lt;J1266,"Under","Push"))</f>
        <v>Under</v>
      </c>
    </row>
    <row r="1267" customFormat="false" ht="15" hidden="false" customHeight="false" outlineLevel="0" collapsed="false">
      <c r="A1267" s="1" t="s">
        <v>444</v>
      </c>
      <c r="B1267" s="1" t="n">
        <v>2014</v>
      </c>
      <c r="C1267" s="1" t="s">
        <v>219</v>
      </c>
      <c r="D1267" s="1" t="s">
        <v>73</v>
      </c>
      <c r="E1267" s="1" t="s">
        <v>113</v>
      </c>
      <c r="F1267" s="1" t="n">
        <v>34</v>
      </c>
      <c r="G1267" s="1" t="n">
        <v>17</v>
      </c>
      <c r="H1267" s="1" t="s">
        <v>114</v>
      </c>
      <c r="I1267" s="1" t="n">
        <v>-10.5</v>
      </c>
      <c r="J1267" s="1" t="n">
        <v>42</v>
      </c>
      <c r="K1267" s="1" t="s">
        <v>167</v>
      </c>
      <c r="L1267" s="1" t="b">
        <f aca="false">FALSE()</f>
        <v>0</v>
      </c>
      <c r="M1267" s="1" t="str">
        <f aca="false">VLOOKUP(D1267,'Team Reference'!$A:$B,2,FALSE())</f>
        <v>DET</v>
      </c>
      <c r="N1267" s="1" t="str">
        <f aca="false">VLOOKUP(E1267,'Team Reference'!$A:$B,2,FALSE())</f>
        <v>TB</v>
      </c>
      <c r="O1267" s="1" t="str">
        <f aca="false">IF(F1267&gt;G1267,M1267,IF(G1267&gt;F1267,N1267,"Tie"))</f>
        <v>DET</v>
      </c>
      <c r="P1267" s="1" t="n">
        <f aca="false">F1267-G1267</f>
        <v>17</v>
      </c>
      <c r="Q1267" s="1" t="n">
        <f aca="false">F1267+G1267</f>
        <v>51</v>
      </c>
      <c r="R1267" s="1" t="str">
        <f aca="false">IF(H1267=M1267,"Home",IF(H1267=N1267,"Away",IF(H1267="PICK","Pick","N/A")))</f>
        <v>Away</v>
      </c>
      <c r="S1267" s="1" t="n">
        <f aca="false">IF(R1267="Home",P1267,IF(R1267="Away",-P1267,""))</f>
        <v>-17</v>
      </c>
      <c r="T1267" s="1" t="str">
        <f aca="false">IF(R1267="Pick","No Line",IF(S1267="","N/A",IF(S1267+I1267&gt;0,"Favorite Covered",IF(S1267+I1267&lt;0,"Underdog Covered","Push"))))</f>
        <v>Underdog Covered</v>
      </c>
      <c r="U1267" s="1" t="str">
        <f aca="false">IF(Q1267&gt;J1267,"Over",IF(Q1267&lt;J1267,"Under","Push"))</f>
        <v>Over</v>
      </c>
    </row>
    <row r="1268" customFormat="false" ht="15" hidden="false" customHeight="false" outlineLevel="0" collapsed="false">
      <c r="A1268" s="1" t="s">
        <v>444</v>
      </c>
      <c r="B1268" s="1" t="n">
        <v>2014</v>
      </c>
      <c r="C1268" s="1" t="s">
        <v>219</v>
      </c>
      <c r="D1268" s="1" t="s">
        <v>81</v>
      </c>
      <c r="E1268" s="1" t="s">
        <v>77</v>
      </c>
      <c r="F1268" s="1" t="n">
        <v>13</v>
      </c>
      <c r="G1268" s="1" t="n">
        <v>27</v>
      </c>
      <c r="H1268" s="1" t="s">
        <v>82</v>
      </c>
      <c r="I1268" s="1" t="n">
        <v>-6.5</v>
      </c>
      <c r="J1268" s="1" t="n">
        <v>42</v>
      </c>
      <c r="K1268" s="1" t="s">
        <v>147</v>
      </c>
      <c r="L1268" s="1" t="b">
        <f aca="false">FALSE()</f>
        <v>0</v>
      </c>
      <c r="M1268" s="1" t="str">
        <f aca="false">VLOOKUP(D1268,'Team Reference'!$A:$B,2,FALSE())</f>
        <v>JAX</v>
      </c>
      <c r="N1268" s="1" t="str">
        <f aca="false">VLOOKUP(E1268,'Team Reference'!$A:$B,2,FALSE())</f>
        <v>HOU</v>
      </c>
      <c r="O1268" s="1" t="str">
        <f aca="false">IF(F1268&gt;G1268,M1268,IF(G1268&gt;F1268,N1268,"Tie"))</f>
        <v>HOU</v>
      </c>
      <c r="P1268" s="1" t="n">
        <f aca="false">F1268-G1268</f>
        <v>-14</v>
      </c>
      <c r="Q1268" s="1" t="n">
        <f aca="false">F1268+G1268</f>
        <v>40</v>
      </c>
      <c r="R1268" s="1" t="str">
        <f aca="false">IF(H1268=M1268,"Home",IF(H1268=N1268,"Away",IF(H1268="PICK","Pick","N/A")))</f>
        <v>Home</v>
      </c>
      <c r="S1268" s="1" t="n">
        <f aca="false">IF(R1268="Home",P1268,IF(R1268="Away",-P1268,""))</f>
        <v>-14</v>
      </c>
      <c r="T1268" s="1" t="str">
        <f aca="false">IF(R1268="Pick","No Line",IF(S1268="","N/A",IF(S1268+I1268&gt;0,"Favorite Covered",IF(S1268+I1268&lt;0,"Underdog Covered","Push"))))</f>
        <v>Underdog Covered</v>
      </c>
      <c r="U1268" s="1" t="str">
        <f aca="false">IF(Q1268&gt;J1268,"Over",IF(Q1268&lt;J1268,"Under","Push"))</f>
        <v>Under</v>
      </c>
    </row>
    <row r="1269" customFormat="false" ht="15" hidden="false" customHeight="false" outlineLevel="0" collapsed="false">
      <c r="A1269" s="1" t="s">
        <v>444</v>
      </c>
      <c r="B1269" s="1" t="n">
        <v>2014</v>
      </c>
      <c r="C1269" s="1" t="s">
        <v>219</v>
      </c>
      <c r="D1269" s="1" t="s">
        <v>89</v>
      </c>
      <c r="E1269" s="1" t="s">
        <v>57</v>
      </c>
      <c r="F1269" s="1" t="n">
        <v>13</v>
      </c>
      <c r="G1269" s="1" t="n">
        <v>28</v>
      </c>
      <c r="H1269" s="1" t="s">
        <v>58</v>
      </c>
      <c r="I1269" s="1" t="n">
        <v>-3</v>
      </c>
      <c r="J1269" s="1" t="n">
        <v>45</v>
      </c>
      <c r="K1269" s="1" t="s">
        <v>179</v>
      </c>
      <c r="L1269" s="1" t="b">
        <f aca="false">FALSE()</f>
        <v>0</v>
      </c>
      <c r="M1269" s="1" t="str">
        <f aca="false">VLOOKUP(D1269,'Team Reference'!$A:$B,2,FALSE())</f>
        <v>MIA</v>
      </c>
      <c r="N1269" s="1" t="str">
        <f aca="false">VLOOKUP(E1269,'Team Reference'!$A:$B,2,FALSE())</f>
        <v>BAL</v>
      </c>
      <c r="O1269" s="1" t="str">
        <f aca="false">IF(F1269&gt;G1269,M1269,IF(G1269&gt;F1269,N1269,"Tie"))</f>
        <v>BAL</v>
      </c>
      <c r="P1269" s="1" t="n">
        <f aca="false">F1269-G1269</f>
        <v>-15</v>
      </c>
      <c r="Q1269" s="1" t="n">
        <f aca="false">F1269+G1269</f>
        <v>41</v>
      </c>
      <c r="R1269" s="1" t="str">
        <f aca="false">IF(H1269=M1269,"Home",IF(H1269=N1269,"Away",IF(H1269="PICK","Pick","N/A")))</f>
        <v>Away</v>
      </c>
      <c r="S1269" s="1" t="n">
        <f aca="false">IF(R1269="Home",P1269,IF(R1269="Away",-P1269,""))</f>
        <v>15</v>
      </c>
      <c r="T1269" s="1" t="str">
        <f aca="false">IF(R1269="Pick","No Line",IF(S1269="","N/A",IF(S1269+I1269&gt;0,"Favorite Covered",IF(S1269+I1269&lt;0,"Underdog Covered","Push"))))</f>
        <v>Favorite Covered</v>
      </c>
      <c r="U1269" s="1" t="str">
        <f aca="false">IF(Q1269&gt;J1269,"Over",IF(Q1269&lt;J1269,"Under","Push"))</f>
        <v>Under</v>
      </c>
    </row>
    <row r="1270" customFormat="false" ht="15" hidden="false" customHeight="false" outlineLevel="0" collapsed="false">
      <c r="A1270" s="1" t="s">
        <v>444</v>
      </c>
      <c r="B1270" s="1" t="n">
        <v>2014</v>
      </c>
      <c r="C1270" s="1" t="s">
        <v>219</v>
      </c>
      <c r="D1270" s="1" t="s">
        <v>91</v>
      </c>
      <c r="E1270" s="1" t="s">
        <v>99</v>
      </c>
      <c r="F1270" s="1" t="n">
        <v>30</v>
      </c>
      <c r="G1270" s="1" t="n">
        <v>24</v>
      </c>
      <c r="H1270" s="1" t="s">
        <v>100</v>
      </c>
      <c r="I1270" s="1" t="n">
        <v>-4</v>
      </c>
      <c r="J1270" s="1" t="n">
        <v>40</v>
      </c>
      <c r="K1270" s="1" t="s">
        <v>407</v>
      </c>
      <c r="L1270" s="1" t="b">
        <f aca="false">FALSE()</f>
        <v>0</v>
      </c>
      <c r="M1270" s="1" t="str">
        <f aca="false">VLOOKUP(D1270,'Team Reference'!$A:$B,2,FALSE())</f>
        <v>MIN</v>
      </c>
      <c r="N1270" s="1" t="str">
        <f aca="false">VLOOKUP(E1270,'Team Reference'!$A:$B,2,FALSE())</f>
        <v>NYJ</v>
      </c>
      <c r="O1270" s="1" t="str">
        <f aca="false">IF(F1270&gt;G1270,M1270,IF(G1270&gt;F1270,N1270,"Tie"))</f>
        <v>MIN</v>
      </c>
      <c r="P1270" s="1" t="n">
        <f aca="false">F1270-G1270</f>
        <v>6</v>
      </c>
      <c r="Q1270" s="1" t="n">
        <f aca="false">F1270+G1270</f>
        <v>54</v>
      </c>
      <c r="R1270" s="1" t="str">
        <f aca="false">IF(H1270=M1270,"Home",IF(H1270=N1270,"Away",IF(H1270="PICK","Pick","N/A")))</f>
        <v>Away</v>
      </c>
      <c r="S1270" s="1" t="n">
        <f aca="false">IF(R1270="Home",P1270,IF(R1270="Away",-P1270,""))</f>
        <v>-6</v>
      </c>
      <c r="T1270" s="1" t="str">
        <f aca="false">IF(R1270="Pick","No Line",IF(S1270="","N/A",IF(S1270+I1270&gt;0,"Favorite Covered",IF(S1270+I1270&lt;0,"Underdog Covered","Push"))))</f>
        <v>Underdog Covered</v>
      </c>
      <c r="U1270" s="1" t="str">
        <f aca="false">IF(Q1270&gt;J1270,"Over",IF(Q1270&lt;J1270,"Under","Push"))</f>
        <v>Over</v>
      </c>
    </row>
    <row r="1271" customFormat="false" ht="15" hidden="false" customHeight="false" outlineLevel="0" collapsed="false">
      <c r="A1271" s="1" t="s">
        <v>444</v>
      </c>
      <c r="B1271" s="1" t="n">
        <v>2014</v>
      </c>
      <c r="C1271" s="1" t="s">
        <v>219</v>
      </c>
      <c r="D1271" s="1" t="s">
        <v>95</v>
      </c>
      <c r="E1271" s="1" t="s">
        <v>61</v>
      </c>
      <c r="F1271" s="1" t="n">
        <v>10</v>
      </c>
      <c r="G1271" s="1" t="n">
        <v>41</v>
      </c>
      <c r="H1271" s="1" t="s">
        <v>62</v>
      </c>
      <c r="I1271" s="1" t="n">
        <v>-9.5</v>
      </c>
      <c r="J1271" s="1" t="n">
        <v>50.5</v>
      </c>
      <c r="K1271" s="1" t="s">
        <v>142</v>
      </c>
      <c r="L1271" s="1" t="b">
        <f aca="false">FALSE()</f>
        <v>0</v>
      </c>
      <c r="M1271" s="1" t="str">
        <f aca="false">VLOOKUP(D1271,'Team Reference'!$A:$B,2,FALSE())</f>
        <v>NO</v>
      </c>
      <c r="N1271" s="1" t="str">
        <f aca="false">VLOOKUP(E1271,'Team Reference'!$A:$B,2,FALSE())</f>
        <v>CAR</v>
      </c>
      <c r="O1271" s="1" t="str">
        <f aca="false">IF(F1271&gt;G1271,M1271,IF(G1271&gt;F1271,N1271,"Tie"))</f>
        <v>CAR</v>
      </c>
      <c r="P1271" s="1" t="n">
        <f aca="false">F1271-G1271</f>
        <v>-31</v>
      </c>
      <c r="Q1271" s="1" t="n">
        <f aca="false">F1271+G1271</f>
        <v>51</v>
      </c>
      <c r="R1271" s="1" t="str">
        <f aca="false">IF(H1271=M1271,"Home",IF(H1271=N1271,"Away",IF(H1271="PICK","Pick","N/A")))</f>
        <v>Away</v>
      </c>
      <c r="S1271" s="1" t="n">
        <f aca="false">IF(R1271="Home",P1271,IF(R1271="Away",-P1271,""))</f>
        <v>31</v>
      </c>
      <c r="T1271" s="1" t="str">
        <f aca="false">IF(R1271="Pick","No Line",IF(S1271="","N/A",IF(S1271+I1271&gt;0,"Favorite Covered",IF(S1271+I1271&lt;0,"Underdog Covered","Push"))))</f>
        <v>Favorite Covered</v>
      </c>
      <c r="U1271" s="1" t="str">
        <f aca="false">IF(Q1271&gt;J1271,"Over",IF(Q1271&lt;J1271,"Under","Push"))</f>
        <v>Over</v>
      </c>
    </row>
    <row r="1272" customFormat="false" ht="15" hidden="false" customHeight="false" outlineLevel="0" collapsed="false">
      <c r="A1272" s="1" t="s">
        <v>444</v>
      </c>
      <c r="B1272" s="1" t="n">
        <v>2014</v>
      </c>
      <c r="C1272" s="1" t="s">
        <v>219</v>
      </c>
      <c r="D1272" s="1" t="s">
        <v>101</v>
      </c>
      <c r="E1272" s="1" t="s">
        <v>108</v>
      </c>
      <c r="F1272" s="1" t="n">
        <v>24</v>
      </c>
      <c r="G1272" s="1" t="n">
        <v>13</v>
      </c>
      <c r="H1272" s="1" t="s">
        <v>102</v>
      </c>
      <c r="I1272" s="1" t="n">
        <v>-8.5</v>
      </c>
      <c r="J1272" s="1" t="n">
        <v>40.5</v>
      </c>
      <c r="K1272" s="1" t="s">
        <v>171</v>
      </c>
      <c r="L1272" s="1" t="b">
        <f aca="false">FALSE()</f>
        <v>0</v>
      </c>
      <c r="M1272" s="1" t="str">
        <f aca="false">VLOOKUP(D1272,'Team Reference'!$A:$B,2,FALSE())</f>
        <v>OAK</v>
      </c>
      <c r="N1272" s="1" t="str">
        <f aca="false">VLOOKUP(E1272,'Team Reference'!$A:$B,2,FALSE())</f>
        <v>SF</v>
      </c>
      <c r="O1272" s="1" t="str">
        <f aca="false">IF(F1272&gt;G1272,M1272,IF(G1272&gt;F1272,N1272,"Tie"))</f>
        <v>OAK</v>
      </c>
      <c r="P1272" s="1" t="n">
        <f aca="false">F1272-G1272</f>
        <v>11</v>
      </c>
      <c r="Q1272" s="1" t="n">
        <f aca="false">F1272+G1272</f>
        <v>37</v>
      </c>
      <c r="R1272" s="1" t="str">
        <f aca="false">IF(H1272=M1272,"Home",IF(H1272=N1272,"Away",IF(H1272="PICK","Pick","N/A")))</f>
        <v>Home</v>
      </c>
      <c r="S1272" s="1" t="n">
        <f aca="false">IF(R1272="Home",P1272,IF(R1272="Away",-P1272,""))</f>
        <v>11</v>
      </c>
      <c r="T1272" s="1" t="str">
        <f aca="false">IF(R1272="Pick","No Line",IF(S1272="","N/A",IF(S1272+I1272&gt;0,"Favorite Covered",IF(S1272+I1272&lt;0,"Underdog Covered","Push"))))</f>
        <v>Favorite Covered</v>
      </c>
      <c r="U1272" s="1" t="str">
        <f aca="false">IF(Q1272&gt;J1272,"Over",IF(Q1272&lt;J1272,"Under","Push"))</f>
        <v>Under</v>
      </c>
    </row>
    <row r="1273" customFormat="false" ht="15" hidden="false" customHeight="false" outlineLevel="0" collapsed="false">
      <c r="A1273" s="1" t="s">
        <v>444</v>
      </c>
      <c r="B1273" s="1" t="n">
        <v>2014</v>
      </c>
      <c r="C1273" s="1" t="s">
        <v>219</v>
      </c>
      <c r="D1273" s="1" t="s">
        <v>103</v>
      </c>
      <c r="E1273" s="1" t="s">
        <v>110</v>
      </c>
      <c r="F1273" s="1" t="n">
        <v>14</v>
      </c>
      <c r="G1273" s="1" t="n">
        <v>24</v>
      </c>
      <c r="H1273" s="1" t="s">
        <v>104</v>
      </c>
      <c r="I1273" s="1" t="n">
        <v>-1.5</v>
      </c>
      <c r="J1273" s="1" t="n">
        <v>48</v>
      </c>
      <c r="K1273" s="1" t="s">
        <v>150</v>
      </c>
      <c r="L1273" s="1" t="b">
        <f aca="false">FALSE()</f>
        <v>0</v>
      </c>
      <c r="M1273" s="1" t="str">
        <f aca="false">VLOOKUP(D1273,'Team Reference'!$A:$B,2,FALSE())</f>
        <v>PHI</v>
      </c>
      <c r="N1273" s="1" t="str">
        <f aca="false">VLOOKUP(E1273,'Team Reference'!$A:$B,2,FALSE())</f>
        <v>SEA</v>
      </c>
      <c r="O1273" s="1" t="str">
        <f aca="false">IF(F1273&gt;G1273,M1273,IF(G1273&gt;F1273,N1273,"Tie"))</f>
        <v>SEA</v>
      </c>
      <c r="P1273" s="1" t="n">
        <f aca="false">F1273-G1273</f>
        <v>-10</v>
      </c>
      <c r="Q1273" s="1" t="n">
        <f aca="false">F1273+G1273</f>
        <v>38</v>
      </c>
      <c r="R1273" s="1" t="str">
        <f aca="false">IF(H1273=M1273,"Home",IF(H1273=N1273,"Away",IF(H1273="PICK","Pick","N/A")))</f>
        <v>Home</v>
      </c>
      <c r="S1273" s="1" t="n">
        <f aca="false">IF(R1273="Home",P1273,IF(R1273="Away",-P1273,""))</f>
        <v>-10</v>
      </c>
      <c r="T1273" s="1" t="str">
        <f aca="false">IF(R1273="Pick","No Line",IF(S1273="","N/A",IF(S1273+I1273&gt;0,"Favorite Covered",IF(S1273+I1273&lt;0,"Underdog Covered","Push"))))</f>
        <v>Underdog Covered</v>
      </c>
      <c r="U1273" s="1" t="str">
        <f aca="false">IF(Q1273&gt;J1273,"Over",IF(Q1273&lt;J1273,"Under","Push"))</f>
        <v>Under</v>
      </c>
    </row>
    <row r="1274" customFormat="false" ht="15" hidden="false" customHeight="false" outlineLevel="0" collapsed="false">
      <c r="A1274" s="1" t="s">
        <v>444</v>
      </c>
      <c r="B1274" s="1" t="n">
        <v>2014</v>
      </c>
      <c r="C1274" s="1" t="s">
        <v>219</v>
      </c>
      <c r="D1274" s="1" t="s">
        <v>107</v>
      </c>
      <c r="E1274" s="1" t="s">
        <v>93</v>
      </c>
      <c r="F1274" s="1" t="n">
        <v>14</v>
      </c>
      <c r="G1274" s="1" t="n">
        <v>23</v>
      </c>
      <c r="H1274" s="1" t="s">
        <v>86</v>
      </c>
      <c r="I1274" s="1" t="n">
        <v>-4</v>
      </c>
      <c r="J1274" s="1" t="n">
        <v>54</v>
      </c>
      <c r="K1274" s="1" t="s">
        <v>172</v>
      </c>
      <c r="L1274" s="1" t="b">
        <f aca="false">FALSE()</f>
        <v>0</v>
      </c>
      <c r="M1274" s="1" t="str">
        <f aca="false">VLOOKUP(D1274,'Team Reference'!$A:$B,2,FALSE())</f>
        <v>LAC</v>
      </c>
      <c r="N1274" s="1" t="str">
        <f aca="false">VLOOKUP(E1274,'Team Reference'!$A:$B,2,FALSE())</f>
        <v>NE</v>
      </c>
      <c r="O1274" s="1" t="str">
        <f aca="false">IF(F1274&gt;G1274,M1274,IF(G1274&gt;F1274,N1274,"Tie"))</f>
        <v>NE</v>
      </c>
      <c r="P1274" s="1" t="n">
        <f aca="false">F1274-G1274</f>
        <v>-9</v>
      </c>
      <c r="Q1274" s="1" t="n">
        <f aca="false">F1274+G1274</f>
        <v>37</v>
      </c>
      <c r="R1274" s="1" t="str">
        <f aca="false">IF(H1274=M1274,"Home",IF(H1274=N1274,"Away",IF(H1274="PICK","Pick","N/A")))</f>
        <v>Home</v>
      </c>
      <c r="S1274" s="1" t="n">
        <f aca="false">IF(R1274="Home",P1274,IF(R1274="Away",-P1274,""))</f>
        <v>-9</v>
      </c>
      <c r="T1274" s="1" t="str">
        <f aca="false">IF(R1274="Pick","No Line",IF(S1274="","N/A",IF(S1274+I1274&gt;0,"Favorite Covered",IF(S1274+I1274&lt;0,"Underdog Covered","Push"))))</f>
        <v>Underdog Covered</v>
      </c>
      <c r="U1274" s="1" t="str">
        <f aca="false">IF(Q1274&gt;J1274,"Over",IF(Q1274&lt;J1274,"Under","Push"))</f>
        <v>Under</v>
      </c>
    </row>
    <row r="1275" customFormat="false" ht="15" hidden="false" customHeight="false" outlineLevel="0" collapsed="false">
      <c r="A1275" s="1" t="s">
        <v>444</v>
      </c>
      <c r="B1275" s="1" t="n">
        <v>2014</v>
      </c>
      <c r="C1275" s="1" t="s">
        <v>219</v>
      </c>
      <c r="D1275" s="1" t="s">
        <v>115</v>
      </c>
      <c r="E1275" s="1" t="s">
        <v>97</v>
      </c>
      <c r="F1275" s="1" t="n">
        <v>7</v>
      </c>
      <c r="G1275" s="1" t="n">
        <v>36</v>
      </c>
      <c r="H1275" s="1" t="s">
        <v>116</v>
      </c>
      <c r="I1275" s="1" t="n">
        <v>-3</v>
      </c>
      <c r="J1275" s="1" t="n">
        <v>46.5</v>
      </c>
      <c r="K1275" s="1" t="s">
        <v>155</v>
      </c>
      <c r="L1275" s="1" t="b">
        <f aca="false">FALSE()</f>
        <v>0</v>
      </c>
      <c r="M1275" s="1" t="str">
        <f aca="false">VLOOKUP(D1275,'Team Reference'!$A:$B,2,FALSE())</f>
        <v>TEN</v>
      </c>
      <c r="N1275" s="1" t="str">
        <f aca="false">VLOOKUP(E1275,'Team Reference'!$A:$B,2,FALSE())</f>
        <v>NYG</v>
      </c>
      <c r="O1275" s="1" t="str">
        <f aca="false">IF(F1275&gt;G1275,M1275,IF(G1275&gt;F1275,N1275,"Tie"))</f>
        <v>NYG</v>
      </c>
      <c r="P1275" s="1" t="n">
        <f aca="false">F1275-G1275</f>
        <v>-29</v>
      </c>
      <c r="Q1275" s="1" t="n">
        <f aca="false">F1275+G1275</f>
        <v>43</v>
      </c>
      <c r="R1275" s="1" t="str">
        <f aca="false">IF(H1275=M1275,"Home",IF(H1275=N1275,"Away",IF(H1275="PICK","Pick","N/A")))</f>
        <v>Home</v>
      </c>
      <c r="S1275" s="1" t="n">
        <f aca="false">IF(R1275="Home",P1275,IF(R1275="Away",-P1275,""))</f>
        <v>-29</v>
      </c>
      <c r="T1275" s="1" t="str">
        <f aca="false">IF(R1275="Pick","No Line",IF(S1275="","N/A",IF(S1275+I1275&gt;0,"Favorite Covered",IF(S1275+I1275&lt;0,"Underdog Covered","Push"))))</f>
        <v>Underdog Covered</v>
      </c>
      <c r="U1275" s="1" t="str">
        <f aca="false">IF(Q1275&gt;J1275,"Over",IF(Q1275&lt;J1275,"Under","Push"))</f>
        <v>Under</v>
      </c>
    </row>
    <row r="1276" customFormat="false" ht="15" hidden="false" customHeight="false" outlineLevel="0" collapsed="false">
      <c r="A1276" s="1" t="s">
        <v>444</v>
      </c>
      <c r="B1276" s="1" t="n">
        <v>2014</v>
      </c>
      <c r="C1276" s="1" t="s">
        <v>219</v>
      </c>
      <c r="D1276" s="1" t="s">
        <v>117</v>
      </c>
      <c r="E1276" s="1" t="s">
        <v>112</v>
      </c>
      <c r="F1276" s="1" t="n">
        <v>0</v>
      </c>
      <c r="G1276" s="1" t="n">
        <v>24</v>
      </c>
      <c r="H1276" s="1" t="s">
        <v>118</v>
      </c>
      <c r="I1276" s="1" t="n">
        <v>-3</v>
      </c>
      <c r="J1276" s="1" t="n">
        <v>44.5</v>
      </c>
      <c r="K1276" s="1" t="s">
        <v>156</v>
      </c>
      <c r="L1276" s="1" t="b">
        <f aca="false">FALSE()</f>
        <v>0</v>
      </c>
      <c r="M1276" s="1" t="str">
        <f aca="false">VLOOKUP(D1276,'Team Reference'!$A:$B,2,FALSE())</f>
        <v>WAS</v>
      </c>
      <c r="N1276" s="1" t="str">
        <f aca="false">VLOOKUP(E1276,'Team Reference'!$A:$B,2,FALSE())</f>
        <v>LAR</v>
      </c>
      <c r="O1276" s="1" t="str">
        <f aca="false">IF(F1276&gt;G1276,M1276,IF(G1276&gt;F1276,N1276,"Tie"))</f>
        <v>LAR</v>
      </c>
      <c r="P1276" s="1" t="n">
        <f aca="false">F1276-G1276</f>
        <v>-24</v>
      </c>
      <c r="Q1276" s="1" t="n">
        <f aca="false">F1276+G1276</f>
        <v>24</v>
      </c>
      <c r="R1276" s="1" t="str">
        <f aca="false">IF(H1276=M1276,"Home",IF(H1276=N1276,"Away",IF(H1276="PICK","Pick","N/A")))</f>
        <v>Home</v>
      </c>
      <c r="S1276" s="1" t="n">
        <f aca="false">IF(R1276="Home",P1276,IF(R1276="Away",-P1276,""))</f>
        <v>-24</v>
      </c>
      <c r="T1276" s="1" t="str">
        <f aca="false">IF(R1276="Pick","No Line",IF(S1276="","N/A",IF(S1276+I1276&gt;0,"Favorite Covered",IF(S1276+I1276&lt;0,"Underdog Covered","Push"))))</f>
        <v>Underdog Covered</v>
      </c>
      <c r="U1276" s="1" t="str">
        <f aca="false">IF(Q1276&gt;J1276,"Over",IF(Q1276&lt;J1276,"Under","Push"))</f>
        <v>Under</v>
      </c>
    </row>
    <row r="1277" customFormat="false" ht="15" hidden="false" customHeight="false" outlineLevel="0" collapsed="false">
      <c r="A1277" s="1" t="s">
        <v>445</v>
      </c>
      <c r="B1277" s="1" t="n">
        <v>2014</v>
      </c>
      <c r="C1277" s="1" t="s">
        <v>219</v>
      </c>
      <c r="D1277" s="1" t="s">
        <v>75</v>
      </c>
      <c r="E1277" s="1" t="s">
        <v>55</v>
      </c>
      <c r="F1277" s="1" t="n">
        <v>43</v>
      </c>
      <c r="G1277" s="1" t="n">
        <v>37</v>
      </c>
      <c r="H1277" s="1" t="s">
        <v>56</v>
      </c>
      <c r="I1277" s="1" t="n">
        <v>-13.5</v>
      </c>
      <c r="J1277" s="1" t="n">
        <v>55</v>
      </c>
      <c r="K1277" s="1" t="s">
        <v>168</v>
      </c>
      <c r="L1277" s="1" t="b">
        <f aca="false">FALSE()</f>
        <v>0</v>
      </c>
      <c r="M1277" s="1" t="str">
        <f aca="false">VLOOKUP(D1277,'Team Reference'!$A:$B,2,FALSE())</f>
        <v>GB</v>
      </c>
      <c r="N1277" s="1" t="str">
        <f aca="false">VLOOKUP(E1277,'Team Reference'!$A:$B,2,FALSE())</f>
        <v>ATL</v>
      </c>
      <c r="O1277" s="1" t="str">
        <f aca="false">IF(F1277&gt;G1277,M1277,IF(G1277&gt;F1277,N1277,"Tie"))</f>
        <v>GB</v>
      </c>
      <c r="P1277" s="1" t="n">
        <f aca="false">F1277-G1277</f>
        <v>6</v>
      </c>
      <c r="Q1277" s="1" t="n">
        <f aca="false">F1277+G1277</f>
        <v>80</v>
      </c>
      <c r="R1277" s="1" t="str">
        <f aca="false">IF(H1277=M1277,"Home",IF(H1277=N1277,"Away",IF(H1277="PICK","Pick","N/A")))</f>
        <v>Away</v>
      </c>
      <c r="S1277" s="1" t="n">
        <f aca="false">IF(R1277="Home",P1277,IF(R1277="Away",-P1277,""))</f>
        <v>-6</v>
      </c>
      <c r="T1277" s="1" t="str">
        <f aca="false">IF(R1277="Pick","No Line",IF(S1277="","N/A",IF(S1277+I1277&gt;0,"Favorite Covered",IF(S1277+I1277&lt;0,"Underdog Covered","Push"))))</f>
        <v>Underdog Covered</v>
      </c>
      <c r="U1277" s="1" t="str">
        <f aca="false">IF(Q1277&gt;J1277,"Over",IF(Q1277&lt;J1277,"Under","Push"))</f>
        <v>Over</v>
      </c>
    </row>
    <row r="1278" customFormat="false" ht="15" hidden="false" customHeight="false" outlineLevel="0" collapsed="false">
      <c r="A1278" s="1" t="s">
        <v>446</v>
      </c>
      <c r="B1278" s="1" t="n">
        <v>2014</v>
      </c>
      <c r="C1278" s="1" t="s">
        <v>223</v>
      </c>
      <c r="D1278" s="1" t="s">
        <v>112</v>
      </c>
      <c r="E1278" s="1" t="s">
        <v>53</v>
      </c>
      <c r="F1278" s="1" t="n">
        <v>6</v>
      </c>
      <c r="G1278" s="1" t="n">
        <v>12</v>
      </c>
      <c r="H1278" s="1" t="s">
        <v>54</v>
      </c>
      <c r="I1278" s="1" t="n">
        <v>-6</v>
      </c>
      <c r="J1278" s="1" t="n">
        <v>40.5</v>
      </c>
      <c r="K1278" s="1" t="s">
        <v>153</v>
      </c>
      <c r="L1278" s="1" t="b">
        <f aca="false">FALSE()</f>
        <v>0</v>
      </c>
      <c r="M1278" s="1" t="str">
        <f aca="false">VLOOKUP(D1278,'Team Reference'!$A:$B,2,FALSE())</f>
        <v>LAR</v>
      </c>
      <c r="N1278" s="1" t="str">
        <f aca="false">VLOOKUP(E1278,'Team Reference'!$A:$B,2,FALSE())</f>
        <v>ARI</v>
      </c>
      <c r="O1278" s="1" t="str">
        <f aca="false">IF(F1278&gt;G1278,M1278,IF(G1278&gt;F1278,N1278,"Tie"))</f>
        <v>ARI</v>
      </c>
      <c r="P1278" s="1" t="n">
        <f aca="false">F1278-G1278</f>
        <v>-6</v>
      </c>
      <c r="Q1278" s="1" t="n">
        <f aca="false">F1278+G1278</f>
        <v>18</v>
      </c>
      <c r="R1278" s="1" t="str">
        <f aca="false">IF(H1278=M1278,"Home",IF(H1278=N1278,"Away",IF(H1278="PICK","Pick","N/A")))</f>
        <v>Away</v>
      </c>
      <c r="S1278" s="1" t="n">
        <f aca="false">IF(R1278="Home",P1278,IF(R1278="Away",-P1278,""))</f>
        <v>6</v>
      </c>
      <c r="T1278" s="1" t="str">
        <f aca="false">IF(R1278="Pick","No Line",IF(S1278="","N/A",IF(S1278+I1278&gt;0,"Favorite Covered",IF(S1278+I1278&lt;0,"Underdog Covered","Push"))))</f>
        <v>Push</v>
      </c>
      <c r="U1278" s="1" t="str">
        <f aca="false">IF(Q1278&gt;J1278,"Over",IF(Q1278&lt;J1278,"Under","Push"))</f>
        <v>Under</v>
      </c>
    </row>
    <row r="1279" customFormat="false" ht="15" hidden="false" customHeight="false" outlineLevel="0" collapsed="false">
      <c r="A1279" s="1" t="s">
        <v>447</v>
      </c>
      <c r="B1279" s="1" t="n">
        <v>2014</v>
      </c>
      <c r="C1279" s="1" t="s">
        <v>223</v>
      </c>
      <c r="D1279" s="1" t="s">
        <v>55</v>
      </c>
      <c r="E1279" s="1" t="s">
        <v>105</v>
      </c>
      <c r="F1279" s="1" t="n">
        <v>20</v>
      </c>
      <c r="G1279" s="1" t="n">
        <v>27</v>
      </c>
      <c r="H1279" s="1" t="s">
        <v>56</v>
      </c>
      <c r="I1279" s="1" t="n">
        <v>-3</v>
      </c>
      <c r="J1279" s="1" t="n">
        <v>55.5</v>
      </c>
      <c r="K1279" s="1" t="s">
        <v>161</v>
      </c>
      <c r="L1279" s="1" t="b">
        <f aca="false">FALSE()</f>
        <v>0</v>
      </c>
      <c r="M1279" s="1" t="str">
        <f aca="false">VLOOKUP(D1279,'Team Reference'!$A:$B,2,FALSE())</f>
        <v>ATL</v>
      </c>
      <c r="N1279" s="1" t="str">
        <f aca="false">VLOOKUP(E1279,'Team Reference'!$A:$B,2,FALSE())</f>
        <v>PIT</v>
      </c>
      <c r="O1279" s="1" t="str">
        <f aca="false">IF(F1279&gt;G1279,M1279,IF(G1279&gt;F1279,N1279,"Tie"))</f>
        <v>PIT</v>
      </c>
      <c r="P1279" s="1" t="n">
        <f aca="false">F1279-G1279</f>
        <v>-7</v>
      </c>
      <c r="Q1279" s="1" t="n">
        <f aca="false">F1279+G1279</f>
        <v>47</v>
      </c>
      <c r="R1279" s="1" t="str">
        <f aca="false">IF(H1279=M1279,"Home",IF(H1279=N1279,"Away",IF(H1279="PICK","Pick","N/A")))</f>
        <v>Home</v>
      </c>
      <c r="S1279" s="1" t="n">
        <f aca="false">IF(R1279="Home",P1279,IF(R1279="Away",-P1279,""))</f>
        <v>-7</v>
      </c>
      <c r="T1279" s="1" t="str">
        <f aca="false">IF(R1279="Pick","No Line",IF(S1279="","N/A",IF(S1279+I1279&gt;0,"Favorite Covered",IF(S1279+I1279&lt;0,"Underdog Covered","Push"))))</f>
        <v>Underdog Covered</v>
      </c>
      <c r="U1279" s="1" t="str">
        <f aca="false">IF(Q1279&gt;J1279,"Over",IF(Q1279&lt;J1279,"Under","Push"))</f>
        <v>Under</v>
      </c>
    </row>
    <row r="1280" customFormat="false" ht="15" hidden="false" customHeight="false" outlineLevel="0" collapsed="false">
      <c r="A1280" s="1" t="s">
        <v>447</v>
      </c>
      <c r="B1280" s="1" t="n">
        <v>2014</v>
      </c>
      <c r="C1280" s="1" t="s">
        <v>223</v>
      </c>
      <c r="D1280" s="1" t="s">
        <v>57</v>
      </c>
      <c r="E1280" s="1" t="s">
        <v>81</v>
      </c>
      <c r="F1280" s="1" t="n">
        <v>20</v>
      </c>
      <c r="G1280" s="1" t="n">
        <v>12</v>
      </c>
      <c r="H1280" s="1" t="s">
        <v>82</v>
      </c>
      <c r="I1280" s="1" t="n">
        <v>-14</v>
      </c>
      <c r="J1280" s="1" t="n">
        <v>44.5</v>
      </c>
      <c r="K1280" s="1" t="s">
        <v>178</v>
      </c>
      <c r="L1280" s="1" t="b">
        <f aca="false">FALSE()</f>
        <v>0</v>
      </c>
      <c r="M1280" s="1" t="str">
        <f aca="false">VLOOKUP(D1280,'Team Reference'!$A:$B,2,FALSE())</f>
        <v>BAL</v>
      </c>
      <c r="N1280" s="1" t="str">
        <f aca="false">VLOOKUP(E1280,'Team Reference'!$A:$B,2,FALSE())</f>
        <v>JAX</v>
      </c>
      <c r="O1280" s="1" t="str">
        <f aca="false">IF(F1280&gt;G1280,M1280,IF(G1280&gt;F1280,N1280,"Tie"))</f>
        <v>BAL</v>
      </c>
      <c r="P1280" s="1" t="n">
        <f aca="false">F1280-G1280</f>
        <v>8</v>
      </c>
      <c r="Q1280" s="1" t="n">
        <f aca="false">F1280+G1280</f>
        <v>32</v>
      </c>
      <c r="R1280" s="1" t="str">
        <f aca="false">IF(H1280=M1280,"Home",IF(H1280=N1280,"Away",IF(H1280="PICK","Pick","N/A")))</f>
        <v>Away</v>
      </c>
      <c r="S1280" s="1" t="n">
        <f aca="false">IF(R1280="Home",P1280,IF(R1280="Away",-P1280,""))</f>
        <v>-8</v>
      </c>
      <c r="T1280" s="1" t="str">
        <f aca="false">IF(R1280="Pick","No Line",IF(S1280="","N/A",IF(S1280+I1280&gt;0,"Favorite Covered",IF(S1280+I1280&lt;0,"Underdog Covered","Push"))))</f>
        <v>Underdog Covered</v>
      </c>
      <c r="U1280" s="1" t="str">
        <f aca="false">IF(Q1280&gt;J1280,"Over",IF(Q1280&lt;J1280,"Under","Push"))</f>
        <v>Under</v>
      </c>
    </row>
    <row r="1281" customFormat="false" ht="15" hidden="false" customHeight="false" outlineLevel="0" collapsed="false">
      <c r="A1281" s="1" t="s">
        <v>447</v>
      </c>
      <c r="B1281" s="1" t="n">
        <v>2014</v>
      </c>
      <c r="C1281" s="1" t="s">
        <v>223</v>
      </c>
      <c r="D1281" s="1" t="s">
        <v>59</v>
      </c>
      <c r="E1281" s="1" t="s">
        <v>75</v>
      </c>
      <c r="F1281" s="1" t="n">
        <v>21</v>
      </c>
      <c r="G1281" s="1" t="n">
        <v>13</v>
      </c>
      <c r="H1281" s="1" t="s">
        <v>60</v>
      </c>
      <c r="I1281" s="1" t="n">
        <v>-3.5</v>
      </c>
      <c r="J1281" s="1" t="n">
        <v>50</v>
      </c>
      <c r="K1281" s="1" t="s">
        <v>144</v>
      </c>
      <c r="L1281" s="1" t="b">
        <f aca="false">FALSE()</f>
        <v>0</v>
      </c>
      <c r="M1281" s="1" t="str">
        <f aca="false">VLOOKUP(D1281,'Team Reference'!$A:$B,2,FALSE())</f>
        <v>BUF</v>
      </c>
      <c r="N1281" s="1" t="str">
        <f aca="false">VLOOKUP(E1281,'Team Reference'!$A:$B,2,FALSE())</f>
        <v>GB</v>
      </c>
      <c r="O1281" s="1" t="str">
        <f aca="false">IF(F1281&gt;G1281,M1281,IF(G1281&gt;F1281,N1281,"Tie"))</f>
        <v>BUF</v>
      </c>
      <c r="P1281" s="1" t="n">
        <f aca="false">F1281-G1281</f>
        <v>8</v>
      </c>
      <c r="Q1281" s="1" t="n">
        <f aca="false">F1281+G1281</f>
        <v>34</v>
      </c>
      <c r="R1281" s="1" t="str">
        <f aca="false">IF(H1281=M1281,"Home",IF(H1281=N1281,"Away",IF(H1281="PICK","Pick","N/A")))</f>
        <v>Home</v>
      </c>
      <c r="S1281" s="1" t="n">
        <f aca="false">IF(R1281="Home",P1281,IF(R1281="Away",-P1281,""))</f>
        <v>8</v>
      </c>
      <c r="T1281" s="1" t="str">
        <f aca="false">IF(R1281="Pick","No Line",IF(S1281="","N/A",IF(S1281+I1281&gt;0,"Favorite Covered",IF(S1281+I1281&lt;0,"Underdog Covered","Push"))))</f>
        <v>Favorite Covered</v>
      </c>
      <c r="U1281" s="1" t="str">
        <f aca="false">IF(Q1281&gt;J1281,"Over",IF(Q1281&lt;J1281,"Under","Push"))</f>
        <v>Under</v>
      </c>
    </row>
    <row r="1282" customFormat="false" ht="15" hidden="false" customHeight="false" outlineLevel="0" collapsed="false">
      <c r="A1282" s="1" t="s">
        <v>447</v>
      </c>
      <c r="B1282" s="1" t="n">
        <v>2014</v>
      </c>
      <c r="C1282" s="1" t="s">
        <v>223</v>
      </c>
      <c r="D1282" s="1" t="s">
        <v>61</v>
      </c>
      <c r="E1282" s="1" t="s">
        <v>113</v>
      </c>
      <c r="F1282" s="1" t="n">
        <v>19</v>
      </c>
      <c r="G1282" s="1" t="n">
        <v>17</v>
      </c>
      <c r="H1282" s="1" t="s">
        <v>114</v>
      </c>
      <c r="I1282" s="1" t="n">
        <v>-3.5</v>
      </c>
      <c r="J1282" s="1" t="n">
        <v>41.5</v>
      </c>
      <c r="K1282" s="1" t="s">
        <v>162</v>
      </c>
      <c r="L1282" s="1" t="b">
        <f aca="false">FALSE()</f>
        <v>0</v>
      </c>
      <c r="M1282" s="1" t="str">
        <f aca="false">VLOOKUP(D1282,'Team Reference'!$A:$B,2,FALSE())</f>
        <v>CAR</v>
      </c>
      <c r="N1282" s="1" t="str">
        <f aca="false">VLOOKUP(E1282,'Team Reference'!$A:$B,2,FALSE())</f>
        <v>TB</v>
      </c>
      <c r="O1282" s="1" t="str">
        <f aca="false">IF(F1282&gt;G1282,M1282,IF(G1282&gt;F1282,N1282,"Tie"))</f>
        <v>CAR</v>
      </c>
      <c r="P1282" s="1" t="n">
        <f aca="false">F1282-G1282</f>
        <v>2</v>
      </c>
      <c r="Q1282" s="1" t="n">
        <f aca="false">F1282+G1282</f>
        <v>36</v>
      </c>
      <c r="R1282" s="1" t="str">
        <f aca="false">IF(H1282=M1282,"Home",IF(H1282=N1282,"Away",IF(H1282="PICK","Pick","N/A")))</f>
        <v>Away</v>
      </c>
      <c r="S1282" s="1" t="n">
        <f aca="false">IF(R1282="Home",P1282,IF(R1282="Away",-P1282,""))</f>
        <v>-2</v>
      </c>
      <c r="T1282" s="1" t="str">
        <f aca="false">IF(R1282="Pick","No Line",IF(S1282="","N/A",IF(S1282+I1282&gt;0,"Favorite Covered",IF(S1282+I1282&lt;0,"Underdog Covered","Push"))))</f>
        <v>Underdog Covered</v>
      </c>
      <c r="U1282" s="1" t="str">
        <f aca="false">IF(Q1282&gt;J1282,"Over",IF(Q1282&lt;J1282,"Under","Push"))</f>
        <v>Under</v>
      </c>
    </row>
    <row r="1283" customFormat="false" ht="15" hidden="false" customHeight="false" outlineLevel="0" collapsed="false">
      <c r="A1283" s="1" t="s">
        <v>447</v>
      </c>
      <c r="B1283" s="1" t="n">
        <v>2014</v>
      </c>
      <c r="C1283" s="1" t="s">
        <v>223</v>
      </c>
      <c r="D1283" s="1" t="s">
        <v>67</v>
      </c>
      <c r="E1283" s="1" t="s">
        <v>65</v>
      </c>
      <c r="F1283" s="1" t="n">
        <v>0</v>
      </c>
      <c r="G1283" s="1" t="n">
        <v>30</v>
      </c>
      <c r="H1283" s="1" t="s">
        <v>66</v>
      </c>
      <c r="I1283" s="1" t="n">
        <v>-2</v>
      </c>
      <c r="J1283" s="1" t="n">
        <v>43.5</v>
      </c>
      <c r="K1283" s="1" t="s">
        <v>164</v>
      </c>
      <c r="L1283" s="1" t="b">
        <f aca="false">FALSE()</f>
        <v>0</v>
      </c>
      <c r="M1283" s="1" t="str">
        <f aca="false">VLOOKUP(D1283,'Team Reference'!$A:$B,2,FALSE())</f>
        <v>CLE</v>
      </c>
      <c r="N1283" s="1" t="str">
        <f aca="false">VLOOKUP(E1283,'Team Reference'!$A:$B,2,FALSE())</f>
        <v>CIN</v>
      </c>
      <c r="O1283" s="1" t="str">
        <f aca="false">IF(F1283&gt;G1283,M1283,IF(G1283&gt;F1283,N1283,"Tie"))</f>
        <v>CIN</v>
      </c>
      <c r="P1283" s="1" t="n">
        <f aca="false">F1283-G1283</f>
        <v>-30</v>
      </c>
      <c r="Q1283" s="1" t="n">
        <f aca="false">F1283+G1283</f>
        <v>30</v>
      </c>
      <c r="R1283" s="1" t="str">
        <f aca="false">IF(H1283=M1283,"Home",IF(H1283=N1283,"Away",IF(H1283="PICK","Pick","N/A")))</f>
        <v>Away</v>
      </c>
      <c r="S1283" s="1" t="n">
        <f aca="false">IF(R1283="Home",P1283,IF(R1283="Away",-P1283,""))</f>
        <v>30</v>
      </c>
      <c r="T1283" s="1" t="str">
        <f aca="false">IF(R1283="Pick","No Line",IF(S1283="","N/A",IF(S1283+I1283&gt;0,"Favorite Covered",IF(S1283+I1283&lt;0,"Underdog Covered","Push"))))</f>
        <v>Favorite Covered</v>
      </c>
      <c r="U1283" s="1" t="str">
        <f aca="false">IF(Q1283&gt;J1283,"Over",IF(Q1283&lt;J1283,"Under","Push"))</f>
        <v>Under</v>
      </c>
    </row>
    <row r="1284" customFormat="false" ht="15" hidden="false" customHeight="false" outlineLevel="0" collapsed="false">
      <c r="A1284" s="1" t="s">
        <v>447</v>
      </c>
      <c r="B1284" s="1" t="n">
        <v>2014</v>
      </c>
      <c r="C1284" s="1" t="s">
        <v>223</v>
      </c>
      <c r="D1284" s="1" t="s">
        <v>73</v>
      </c>
      <c r="E1284" s="1" t="s">
        <v>91</v>
      </c>
      <c r="F1284" s="1" t="n">
        <v>16</v>
      </c>
      <c r="G1284" s="1" t="n">
        <v>14</v>
      </c>
      <c r="H1284" s="1" t="s">
        <v>92</v>
      </c>
      <c r="I1284" s="1" t="n">
        <v>-8</v>
      </c>
      <c r="J1284" s="1" t="n">
        <v>42</v>
      </c>
      <c r="K1284" s="1" t="s">
        <v>167</v>
      </c>
      <c r="L1284" s="1" t="b">
        <f aca="false">FALSE()</f>
        <v>0</v>
      </c>
      <c r="M1284" s="1" t="str">
        <f aca="false">VLOOKUP(D1284,'Team Reference'!$A:$B,2,FALSE())</f>
        <v>DET</v>
      </c>
      <c r="N1284" s="1" t="str">
        <f aca="false">VLOOKUP(E1284,'Team Reference'!$A:$B,2,FALSE())</f>
        <v>MIN</v>
      </c>
      <c r="O1284" s="1" t="str">
        <f aca="false">IF(F1284&gt;G1284,M1284,IF(G1284&gt;F1284,N1284,"Tie"))</f>
        <v>DET</v>
      </c>
      <c r="P1284" s="1" t="n">
        <f aca="false">F1284-G1284</f>
        <v>2</v>
      </c>
      <c r="Q1284" s="1" t="n">
        <f aca="false">F1284+G1284</f>
        <v>30</v>
      </c>
      <c r="R1284" s="1" t="str">
        <f aca="false">IF(H1284=M1284,"Home",IF(H1284=N1284,"Away",IF(H1284="PICK","Pick","N/A")))</f>
        <v>Away</v>
      </c>
      <c r="S1284" s="1" t="n">
        <f aca="false">IF(R1284="Home",P1284,IF(R1284="Away",-P1284,""))</f>
        <v>-2</v>
      </c>
      <c r="T1284" s="1" t="str">
        <f aca="false">IF(R1284="Pick","No Line",IF(S1284="","N/A",IF(S1284+I1284&gt;0,"Favorite Covered",IF(S1284+I1284&lt;0,"Underdog Covered","Push"))))</f>
        <v>Underdog Covered</v>
      </c>
      <c r="U1284" s="1" t="str">
        <f aca="false">IF(Q1284&gt;J1284,"Over",IF(Q1284&lt;J1284,"Under","Push"))</f>
        <v>Under</v>
      </c>
    </row>
    <row r="1285" customFormat="false" ht="15" hidden="false" customHeight="false" outlineLevel="0" collapsed="false">
      <c r="A1285" s="1" t="s">
        <v>447</v>
      </c>
      <c r="B1285" s="1" t="n">
        <v>2014</v>
      </c>
      <c r="C1285" s="1" t="s">
        <v>223</v>
      </c>
      <c r="D1285" s="1" t="s">
        <v>79</v>
      </c>
      <c r="E1285" s="1" t="s">
        <v>77</v>
      </c>
      <c r="F1285" s="1" t="n">
        <v>17</v>
      </c>
      <c r="G1285" s="1" t="n">
        <v>10</v>
      </c>
      <c r="H1285" s="1" t="s">
        <v>78</v>
      </c>
      <c r="I1285" s="1" t="n">
        <v>-7</v>
      </c>
      <c r="J1285" s="1" t="n">
        <v>49</v>
      </c>
      <c r="K1285" s="1" t="s">
        <v>169</v>
      </c>
      <c r="L1285" s="1" t="b">
        <f aca="false">FALSE()</f>
        <v>0</v>
      </c>
      <c r="M1285" s="1" t="str">
        <f aca="false">VLOOKUP(D1285,'Team Reference'!$A:$B,2,FALSE())</f>
        <v>IND</v>
      </c>
      <c r="N1285" s="1" t="str">
        <f aca="false">VLOOKUP(E1285,'Team Reference'!$A:$B,2,FALSE())</f>
        <v>HOU</v>
      </c>
      <c r="O1285" s="1" t="str">
        <f aca="false">IF(F1285&gt;G1285,M1285,IF(G1285&gt;F1285,N1285,"Tie"))</f>
        <v>IND</v>
      </c>
      <c r="P1285" s="1" t="n">
        <f aca="false">F1285-G1285</f>
        <v>7</v>
      </c>
      <c r="Q1285" s="1" t="n">
        <f aca="false">F1285+G1285</f>
        <v>27</v>
      </c>
      <c r="R1285" s="1" t="str">
        <f aca="false">IF(H1285=M1285,"Home",IF(H1285=N1285,"Away",IF(H1285="PICK","Pick","N/A")))</f>
        <v>Away</v>
      </c>
      <c r="S1285" s="1" t="n">
        <f aca="false">IF(R1285="Home",P1285,IF(R1285="Away",-P1285,""))</f>
        <v>-7</v>
      </c>
      <c r="T1285" s="1" t="str">
        <f aca="false">IF(R1285="Pick","No Line",IF(S1285="","N/A",IF(S1285+I1285&gt;0,"Favorite Covered",IF(S1285+I1285&lt;0,"Underdog Covered","Push"))))</f>
        <v>Underdog Covered</v>
      </c>
      <c r="U1285" s="1" t="str">
        <f aca="false">IF(Q1285&gt;J1285,"Over",IF(Q1285&lt;J1285,"Under","Push"))</f>
        <v>Under</v>
      </c>
    </row>
    <row r="1286" customFormat="false" ht="15" hidden="false" customHeight="false" outlineLevel="0" collapsed="false">
      <c r="A1286" s="1" t="s">
        <v>447</v>
      </c>
      <c r="B1286" s="1" t="n">
        <v>2014</v>
      </c>
      <c r="C1286" s="1" t="s">
        <v>223</v>
      </c>
      <c r="D1286" s="1" t="s">
        <v>83</v>
      </c>
      <c r="E1286" s="1" t="s">
        <v>101</v>
      </c>
      <c r="F1286" s="1" t="n">
        <v>31</v>
      </c>
      <c r="G1286" s="1" t="n">
        <v>13</v>
      </c>
      <c r="H1286" s="1" t="s">
        <v>102</v>
      </c>
      <c r="I1286" s="1" t="n">
        <v>-11</v>
      </c>
      <c r="J1286" s="1" t="n">
        <v>41.5</v>
      </c>
      <c r="K1286" s="1" t="s">
        <v>158</v>
      </c>
      <c r="L1286" s="1" t="b">
        <f aca="false">FALSE()</f>
        <v>0</v>
      </c>
      <c r="M1286" s="1" t="str">
        <f aca="false">VLOOKUP(D1286,'Team Reference'!$A:$B,2,FALSE())</f>
        <v>KC</v>
      </c>
      <c r="N1286" s="1" t="str">
        <f aca="false">VLOOKUP(E1286,'Team Reference'!$A:$B,2,FALSE())</f>
        <v>OAK</v>
      </c>
      <c r="O1286" s="1" t="str">
        <f aca="false">IF(F1286&gt;G1286,M1286,IF(G1286&gt;F1286,N1286,"Tie"))</f>
        <v>KC</v>
      </c>
      <c r="P1286" s="1" t="n">
        <f aca="false">F1286-G1286</f>
        <v>18</v>
      </c>
      <c r="Q1286" s="1" t="n">
        <f aca="false">F1286+G1286</f>
        <v>44</v>
      </c>
      <c r="R1286" s="1" t="str">
        <f aca="false">IF(H1286=M1286,"Home",IF(H1286=N1286,"Away",IF(H1286="PICK","Pick","N/A")))</f>
        <v>Away</v>
      </c>
      <c r="S1286" s="1" t="n">
        <f aca="false">IF(R1286="Home",P1286,IF(R1286="Away",-P1286,""))</f>
        <v>-18</v>
      </c>
      <c r="T1286" s="1" t="str">
        <f aca="false">IF(R1286="Pick","No Line",IF(S1286="","N/A",IF(S1286+I1286&gt;0,"Favorite Covered",IF(S1286+I1286&lt;0,"Underdog Covered","Push"))))</f>
        <v>Underdog Covered</v>
      </c>
      <c r="U1286" s="1" t="str">
        <f aca="false">IF(Q1286&gt;J1286,"Over",IF(Q1286&lt;J1286,"Under","Push"))</f>
        <v>Over</v>
      </c>
    </row>
    <row r="1287" customFormat="false" ht="15" hidden="false" customHeight="false" outlineLevel="0" collapsed="false">
      <c r="A1287" s="1" t="s">
        <v>447</v>
      </c>
      <c r="B1287" s="1" t="n">
        <v>2014</v>
      </c>
      <c r="C1287" s="1" t="s">
        <v>223</v>
      </c>
      <c r="D1287" s="1" t="s">
        <v>93</v>
      </c>
      <c r="E1287" s="1" t="s">
        <v>89</v>
      </c>
      <c r="F1287" s="1" t="n">
        <v>41</v>
      </c>
      <c r="G1287" s="1" t="n">
        <v>13</v>
      </c>
      <c r="H1287" s="1" t="s">
        <v>90</v>
      </c>
      <c r="I1287" s="1" t="n">
        <v>-9</v>
      </c>
      <c r="J1287" s="1" t="n">
        <v>48</v>
      </c>
      <c r="K1287" s="1" t="s">
        <v>148</v>
      </c>
      <c r="L1287" s="1" t="b">
        <f aca="false">FALSE()</f>
        <v>0</v>
      </c>
      <c r="M1287" s="1" t="str">
        <f aca="false">VLOOKUP(D1287,'Team Reference'!$A:$B,2,FALSE())</f>
        <v>NE</v>
      </c>
      <c r="N1287" s="1" t="str">
        <f aca="false">VLOOKUP(E1287,'Team Reference'!$A:$B,2,FALSE())</f>
        <v>MIA</v>
      </c>
      <c r="O1287" s="1" t="str">
        <f aca="false">IF(F1287&gt;G1287,M1287,IF(G1287&gt;F1287,N1287,"Tie"))</f>
        <v>NE</v>
      </c>
      <c r="P1287" s="1" t="n">
        <f aca="false">F1287-G1287</f>
        <v>28</v>
      </c>
      <c r="Q1287" s="1" t="n">
        <f aca="false">F1287+G1287</f>
        <v>54</v>
      </c>
      <c r="R1287" s="1" t="str">
        <f aca="false">IF(H1287=M1287,"Home",IF(H1287=N1287,"Away",IF(H1287="PICK","Pick","N/A")))</f>
        <v>Away</v>
      </c>
      <c r="S1287" s="1" t="n">
        <f aca="false">IF(R1287="Home",P1287,IF(R1287="Away",-P1287,""))</f>
        <v>-28</v>
      </c>
      <c r="T1287" s="1" t="str">
        <f aca="false">IF(R1287="Pick","No Line",IF(S1287="","N/A",IF(S1287+I1287&gt;0,"Favorite Covered",IF(S1287+I1287&lt;0,"Underdog Covered","Push"))))</f>
        <v>Underdog Covered</v>
      </c>
      <c r="U1287" s="1" t="str">
        <f aca="false">IF(Q1287&gt;J1287,"Over",IF(Q1287&lt;J1287,"Under","Push"))</f>
        <v>Over</v>
      </c>
    </row>
    <row r="1288" customFormat="false" ht="15" hidden="false" customHeight="false" outlineLevel="0" collapsed="false">
      <c r="A1288" s="1" t="s">
        <v>447</v>
      </c>
      <c r="B1288" s="1" t="n">
        <v>2014</v>
      </c>
      <c r="C1288" s="1" t="s">
        <v>223</v>
      </c>
      <c r="D1288" s="1" t="s">
        <v>97</v>
      </c>
      <c r="E1288" s="1" t="s">
        <v>117</v>
      </c>
      <c r="F1288" s="1" t="n">
        <v>24</v>
      </c>
      <c r="G1288" s="1" t="n">
        <v>13</v>
      </c>
      <c r="H1288" s="1" t="s">
        <v>118</v>
      </c>
      <c r="I1288" s="1" t="n">
        <v>-7</v>
      </c>
      <c r="J1288" s="1" t="n">
        <v>46.5</v>
      </c>
      <c r="K1288" s="1" t="s">
        <v>149</v>
      </c>
      <c r="L1288" s="1" t="b">
        <f aca="false">FALSE()</f>
        <v>0</v>
      </c>
      <c r="M1288" s="1" t="str">
        <f aca="false">VLOOKUP(D1288,'Team Reference'!$A:$B,2,FALSE())</f>
        <v>NYG</v>
      </c>
      <c r="N1288" s="1" t="str">
        <f aca="false">VLOOKUP(E1288,'Team Reference'!$A:$B,2,FALSE())</f>
        <v>WAS</v>
      </c>
      <c r="O1288" s="1" t="str">
        <f aca="false">IF(F1288&gt;G1288,M1288,IF(G1288&gt;F1288,N1288,"Tie"))</f>
        <v>NYG</v>
      </c>
      <c r="P1288" s="1" t="n">
        <f aca="false">F1288-G1288</f>
        <v>11</v>
      </c>
      <c r="Q1288" s="1" t="n">
        <f aca="false">F1288+G1288</f>
        <v>37</v>
      </c>
      <c r="R1288" s="1" t="str">
        <f aca="false">IF(H1288=M1288,"Home",IF(H1288=N1288,"Away",IF(H1288="PICK","Pick","N/A")))</f>
        <v>Away</v>
      </c>
      <c r="S1288" s="1" t="n">
        <f aca="false">IF(R1288="Home",P1288,IF(R1288="Away",-P1288,""))</f>
        <v>-11</v>
      </c>
      <c r="T1288" s="1" t="str">
        <f aca="false">IF(R1288="Pick","No Line",IF(S1288="","N/A",IF(S1288+I1288&gt;0,"Favorite Covered",IF(S1288+I1288&lt;0,"Underdog Covered","Push"))))</f>
        <v>Underdog Covered</v>
      </c>
      <c r="U1288" s="1" t="str">
        <f aca="false">IF(Q1288&gt;J1288,"Over",IF(Q1288&lt;J1288,"Under","Push"))</f>
        <v>Under</v>
      </c>
    </row>
    <row r="1289" customFormat="false" ht="15" hidden="false" customHeight="false" outlineLevel="0" collapsed="false">
      <c r="A1289" s="1" t="s">
        <v>447</v>
      </c>
      <c r="B1289" s="1" t="n">
        <v>2014</v>
      </c>
      <c r="C1289" s="1" t="s">
        <v>223</v>
      </c>
      <c r="D1289" s="1" t="s">
        <v>103</v>
      </c>
      <c r="E1289" s="1" t="s">
        <v>69</v>
      </c>
      <c r="F1289" s="1" t="n">
        <v>27</v>
      </c>
      <c r="G1289" s="1" t="n">
        <v>38</v>
      </c>
      <c r="H1289" s="1" t="s">
        <v>70</v>
      </c>
      <c r="I1289" s="1" t="n">
        <v>-3.5</v>
      </c>
      <c r="J1289" s="1" t="n">
        <v>55</v>
      </c>
      <c r="K1289" s="1" t="s">
        <v>150</v>
      </c>
      <c r="L1289" s="1" t="b">
        <f aca="false">FALSE()</f>
        <v>0</v>
      </c>
      <c r="M1289" s="1" t="str">
        <f aca="false">VLOOKUP(D1289,'Team Reference'!$A:$B,2,FALSE())</f>
        <v>PHI</v>
      </c>
      <c r="N1289" s="1" t="str">
        <f aca="false">VLOOKUP(E1289,'Team Reference'!$A:$B,2,FALSE())</f>
        <v>DAL</v>
      </c>
      <c r="O1289" s="1" t="str">
        <f aca="false">IF(F1289&gt;G1289,M1289,IF(G1289&gt;F1289,N1289,"Tie"))</f>
        <v>DAL</v>
      </c>
      <c r="P1289" s="1" t="n">
        <f aca="false">F1289-G1289</f>
        <v>-11</v>
      </c>
      <c r="Q1289" s="1" t="n">
        <f aca="false">F1289+G1289</f>
        <v>65</v>
      </c>
      <c r="R1289" s="1" t="str">
        <f aca="false">IF(H1289=M1289,"Home",IF(H1289=N1289,"Away",IF(H1289="PICK","Pick","N/A")))</f>
        <v>Away</v>
      </c>
      <c r="S1289" s="1" t="n">
        <f aca="false">IF(R1289="Home",P1289,IF(R1289="Away",-P1289,""))</f>
        <v>11</v>
      </c>
      <c r="T1289" s="1" t="str">
        <f aca="false">IF(R1289="Pick","No Line",IF(S1289="","N/A",IF(S1289+I1289&gt;0,"Favorite Covered",IF(S1289+I1289&lt;0,"Underdog Covered","Push"))))</f>
        <v>Favorite Covered</v>
      </c>
      <c r="U1289" s="1" t="str">
        <f aca="false">IF(Q1289&gt;J1289,"Over",IF(Q1289&lt;J1289,"Under","Push"))</f>
        <v>Over</v>
      </c>
    </row>
    <row r="1290" customFormat="false" ht="15" hidden="false" customHeight="false" outlineLevel="0" collapsed="false">
      <c r="A1290" s="1" t="s">
        <v>447</v>
      </c>
      <c r="B1290" s="1" t="n">
        <v>2014</v>
      </c>
      <c r="C1290" s="1" t="s">
        <v>223</v>
      </c>
      <c r="D1290" s="1" t="s">
        <v>107</v>
      </c>
      <c r="E1290" s="1" t="s">
        <v>71</v>
      </c>
      <c r="F1290" s="1" t="n">
        <v>10</v>
      </c>
      <c r="G1290" s="1" t="n">
        <v>22</v>
      </c>
      <c r="H1290" s="1" t="s">
        <v>86</v>
      </c>
      <c r="I1290" s="1" t="n">
        <v>-4</v>
      </c>
      <c r="J1290" s="1" t="n">
        <v>49.5</v>
      </c>
      <c r="K1290" s="1" t="s">
        <v>172</v>
      </c>
      <c r="L1290" s="1" t="b">
        <f aca="false">FALSE()</f>
        <v>0</v>
      </c>
      <c r="M1290" s="1" t="str">
        <f aca="false">VLOOKUP(D1290,'Team Reference'!$A:$B,2,FALSE())</f>
        <v>LAC</v>
      </c>
      <c r="N1290" s="1" t="str">
        <f aca="false">VLOOKUP(E1290,'Team Reference'!$A:$B,2,FALSE())</f>
        <v>DEN</v>
      </c>
      <c r="O1290" s="1" t="str">
        <f aca="false">IF(F1290&gt;G1290,M1290,IF(G1290&gt;F1290,N1290,"Tie"))</f>
        <v>DEN</v>
      </c>
      <c r="P1290" s="1" t="n">
        <f aca="false">F1290-G1290</f>
        <v>-12</v>
      </c>
      <c r="Q1290" s="1" t="n">
        <f aca="false">F1290+G1290</f>
        <v>32</v>
      </c>
      <c r="R1290" s="1" t="str">
        <f aca="false">IF(H1290=M1290,"Home",IF(H1290=N1290,"Away",IF(H1290="PICK","Pick","N/A")))</f>
        <v>Home</v>
      </c>
      <c r="S1290" s="1" t="n">
        <f aca="false">IF(R1290="Home",P1290,IF(R1290="Away",-P1290,""))</f>
        <v>-12</v>
      </c>
      <c r="T1290" s="1" t="str">
        <f aca="false">IF(R1290="Pick","No Line",IF(S1290="","N/A",IF(S1290+I1290&gt;0,"Favorite Covered",IF(S1290+I1290&lt;0,"Underdog Covered","Push"))))</f>
        <v>Underdog Covered</v>
      </c>
      <c r="U1290" s="1" t="str">
        <f aca="false">IF(Q1290&gt;J1290,"Over",IF(Q1290&lt;J1290,"Under","Push"))</f>
        <v>Under</v>
      </c>
    </row>
    <row r="1291" customFormat="false" ht="15" hidden="false" customHeight="false" outlineLevel="0" collapsed="false">
      <c r="A1291" s="1" t="s">
        <v>447</v>
      </c>
      <c r="B1291" s="1" t="n">
        <v>2014</v>
      </c>
      <c r="C1291" s="1" t="s">
        <v>223</v>
      </c>
      <c r="D1291" s="1" t="s">
        <v>110</v>
      </c>
      <c r="E1291" s="1" t="s">
        <v>108</v>
      </c>
      <c r="F1291" s="1" t="n">
        <v>17</v>
      </c>
      <c r="G1291" s="1" t="n">
        <v>7</v>
      </c>
      <c r="H1291" s="1" t="s">
        <v>109</v>
      </c>
      <c r="I1291" s="1" t="n">
        <v>-9.5</v>
      </c>
      <c r="J1291" s="1" t="n">
        <v>38.5</v>
      </c>
      <c r="K1291" s="1" t="s">
        <v>152</v>
      </c>
      <c r="L1291" s="1" t="b">
        <f aca="false">FALSE()</f>
        <v>0</v>
      </c>
      <c r="M1291" s="1" t="str">
        <f aca="false">VLOOKUP(D1291,'Team Reference'!$A:$B,2,FALSE())</f>
        <v>SEA</v>
      </c>
      <c r="N1291" s="1" t="str">
        <f aca="false">VLOOKUP(E1291,'Team Reference'!$A:$B,2,FALSE())</f>
        <v>SF</v>
      </c>
      <c r="O1291" s="1" t="str">
        <f aca="false">IF(F1291&gt;G1291,M1291,IF(G1291&gt;F1291,N1291,"Tie"))</f>
        <v>SEA</v>
      </c>
      <c r="P1291" s="1" t="n">
        <f aca="false">F1291-G1291</f>
        <v>10</v>
      </c>
      <c r="Q1291" s="1" t="n">
        <f aca="false">F1291+G1291</f>
        <v>24</v>
      </c>
      <c r="R1291" s="1" t="str">
        <f aca="false">IF(H1291=M1291,"Home",IF(H1291=N1291,"Away",IF(H1291="PICK","Pick","N/A")))</f>
        <v>Away</v>
      </c>
      <c r="S1291" s="1" t="n">
        <f aca="false">IF(R1291="Home",P1291,IF(R1291="Away",-P1291,""))</f>
        <v>-10</v>
      </c>
      <c r="T1291" s="1" t="str">
        <f aca="false">IF(R1291="Pick","No Line",IF(S1291="","N/A",IF(S1291+I1291&gt;0,"Favorite Covered",IF(S1291+I1291&lt;0,"Underdog Covered","Push"))))</f>
        <v>Underdog Covered</v>
      </c>
      <c r="U1291" s="1" t="str">
        <f aca="false">IF(Q1291&gt;J1291,"Over",IF(Q1291&lt;J1291,"Under","Push"))</f>
        <v>Under</v>
      </c>
    </row>
    <row r="1292" customFormat="false" ht="15" hidden="false" customHeight="false" outlineLevel="0" collapsed="false">
      <c r="A1292" s="1" t="s">
        <v>447</v>
      </c>
      <c r="B1292" s="1" t="n">
        <v>2014</v>
      </c>
      <c r="C1292" s="1" t="s">
        <v>223</v>
      </c>
      <c r="D1292" s="1" t="s">
        <v>115</v>
      </c>
      <c r="E1292" s="1" t="s">
        <v>99</v>
      </c>
      <c r="F1292" s="1" t="n">
        <v>11</v>
      </c>
      <c r="G1292" s="1" t="n">
        <v>16</v>
      </c>
      <c r="H1292" s="1" t="s">
        <v>116</v>
      </c>
      <c r="I1292" s="1" t="n">
        <v>-3</v>
      </c>
      <c r="J1292" s="1" t="n">
        <v>41.5</v>
      </c>
      <c r="K1292" s="1" t="s">
        <v>155</v>
      </c>
      <c r="L1292" s="1" t="b">
        <f aca="false">FALSE()</f>
        <v>0</v>
      </c>
      <c r="M1292" s="1" t="str">
        <f aca="false">VLOOKUP(D1292,'Team Reference'!$A:$B,2,FALSE())</f>
        <v>TEN</v>
      </c>
      <c r="N1292" s="1" t="str">
        <f aca="false">VLOOKUP(E1292,'Team Reference'!$A:$B,2,FALSE())</f>
        <v>NYJ</v>
      </c>
      <c r="O1292" s="1" t="str">
        <f aca="false">IF(F1292&gt;G1292,M1292,IF(G1292&gt;F1292,N1292,"Tie"))</f>
        <v>NYJ</v>
      </c>
      <c r="P1292" s="1" t="n">
        <f aca="false">F1292-G1292</f>
        <v>-5</v>
      </c>
      <c r="Q1292" s="1" t="n">
        <f aca="false">F1292+G1292</f>
        <v>27</v>
      </c>
      <c r="R1292" s="1" t="str">
        <f aca="false">IF(H1292=M1292,"Home",IF(H1292=N1292,"Away",IF(H1292="PICK","Pick","N/A")))</f>
        <v>Home</v>
      </c>
      <c r="S1292" s="1" t="n">
        <f aca="false">IF(R1292="Home",P1292,IF(R1292="Away",-P1292,""))</f>
        <v>-5</v>
      </c>
      <c r="T1292" s="1" t="str">
        <f aca="false">IF(R1292="Pick","No Line",IF(S1292="","N/A",IF(S1292+I1292&gt;0,"Favorite Covered",IF(S1292+I1292&lt;0,"Underdog Covered","Push"))))</f>
        <v>Underdog Covered</v>
      </c>
      <c r="U1292" s="1" t="str">
        <f aca="false">IF(Q1292&gt;J1292,"Over",IF(Q1292&lt;J1292,"Under","Push"))</f>
        <v>Under</v>
      </c>
    </row>
    <row r="1293" customFormat="false" ht="15" hidden="false" customHeight="false" outlineLevel="0" collapsed="false">
      <c r="A1293" s="1" t="s">
        <v>448</v>
      </c>
      <c r="B1293" s="1" t="n">
        <v>2014</v>
      </c>
      <c r="C1293" s="1" t="s">
        <v>223</v>
      </c>
      <c r="D1293" s="1" t="s">
        <v>63</v>
      </c>
      <c r="E1293" s="1" t="s">
        <v>95</v>
      </c>
      <c r="F1293" s="1" t="n">
        <v>15</v>
      </c>
      <c r="G1293" s="1" t="n">
        <v>31</v>
      </c>
      <c r="H1293" s="1" t="s">
        <v>64</v>
      </c>
      <c r="I1293" s="1" t="n">
        <v>-3.5</v>
      </c>
      <c r="J1293" s="1" t="n">
        <v>53.5</v>
      </c>
      <c r="K1293" s="1" t="s">
        <v>145</v>
      </c>
      <c r="L1293" s="1" t="b">
        <f aca="false">FALSE()</f>
        <v>0</v>
      </c>
      <c r="M1293" s="1" t="str">
        <f aca="false">VLOOKUP(D1293,'Team Reference'!$A:$B,2,FALSE())</f>
        <v>CHI</v>
      </c>
      <c r="N1293" s="1" t="str">
        <f aca="false">VLOOKUP(E1293,'Team Reference'!$A:$B,2,FALSE())</f>
        <v>NO</v>
      </c>
      <c r="O1293" s="1" t="str">
        <f aca="false">IF(F1293&gt;G1293,M1293,IF(G1293&gt;F1293,N1293,"Tie"))</f>
        <v>NO</v>
      </c>
      <c r="P1293" s="1" t="n">
        <f aca="false">F1293-G1293</f>
        <v>-16</v>
      </c>
      <c r="Q1293" s="1" t="n">
        <f aca="false">F1293+G1293</f>
        <v>46</v>
      </c>
      <c r="R1293" s="1" t="str">
        <f aca="false">IF(H1293=M1293,"Home",IF(H1293=N1293,"Away",IF(H1293="PICK","Pick","N/A")))</f>
        <v>Home</v>
      </c>
      <c r="S1293" s="1" t="n">
        <f aca="false">IF(R1293="Home",P1293,IF(R1293="Away",-P1293,""))</f>
        <v>-16</v>
      </c>
      <c r="T1293" s="1" t="str">
        <f aca="false">IF(R1293="Pick","No Line",IF(S1293="","N/A",IF(S1293+I1293&gt;0,"Favorite Covered",IF(S1293+I1293&lt;0,"Underdog Covered","Push"))))</f>
        <v>Underdog Covered</v>
      </c>
      <c r="U1293" s="1" t="str">
        <f aca="false">IF(Q1293&gt;J1293,"Over",IF(Q1293&lt;J1293,"Under","Push"))</f>
        <v>Under</v>
      </c>
    </row>
    <row r="1294" customFormat="false" ht="15" hidden="false" customHeight="false" outlineLevel="0" collapsed="false">
      <c r="A1294" s="1" t="s">
        <v>449</v>
      </c>
      <c r="B1294" s="1" t="n">
        <v>2014</v>
      </c>
      <c r="C1294" s="1" t="s">
        <v>227</v>
      </c>
      <c r="D1294" s="1" t="s">
        <v>81</v>
      </c>
      <c r="E1294" s="1" t="s">
        <v>115</v>
      </c>
      <c r="F1294" s="1" t="n">
        <v>21</v>
      </c>
      <c r="G1294" s="1" t="n">
        <v>13</v>
      </c>
      <c r="H1294" s="1" t="s">
        <v>116</v>
      </c>
      <c r="I1294" s="1" t="n">
        <v>-4.5</v>
      </c>
      <c r="J1294" s="1" t="n">
        <v>39</v>
      </c>
      <c r="K1294" s="1" t="s">
        <v>147</v>
      </c>
      <c r="L1294" s="1" t="b">
        <f aca="false">FALSE()</f>
        <v>0</v>
      </c>
      <c r="M1294" s="1" t="str">
        <f aca="false">VLOOKUP(D1294,'Team Reference'!$A:$B,2,FALSE())</f>
        <v>JAX</v>
      </c>
      <c r="N1294" s="1" t="str">
        <f aca="false">VLOOKUP(E1294,'Team Reference'!$A:$B,2,FALSE())</f>
        <v>TEN</v>
      </c>
      <c r="O1294" s="1" t="str">
        <f aca="false">IF(F1294&gt;G1294,M1294,IF(G1294&gt;F1294,N1294,"Tie"))</f>
        <v>JAX</v>
      </c>
      <c r="P1294" s="1" t="n">
        <f aca="false">F1294-G1294</f>
        <v>8</v>
      </c>
      <c r="Q1294" s="1" t="n">
        <f aca="false">F1294+G1294</f>
        <v>34</v>
      </c>
      <c r="R1294" s="1" t="str">
        <f aca="false">IF(H1294=M1294,"Home",IF(H1294=N1294,"Away",IF(H1294="PICK","Pick","N/A")))</f>
        <v>Away</v>
      </c>
      <c r="S1294" s="1" t="n">
        <f aca="false">IF(R1294="Home",P1294,IF(R1294="Away",-P1294,""))</f>
        <v>-8</v>
      </c>
      <c r="T1294" s="1" t="str">
        <f aca="false">IF(R1294="Pick","No Line",IF(S1294="","N/A",IF(S1294+I1294&gt;0,"Favorite Covered",IF(S1294+I1294&lt;0,"Underdog Covered","Push"))))</f>
        <v>Underdog Covered</v>
      </c>
      <c r="U1294" s="1" t="str">
        <f aca="false">IF(Q1294&gt;J1294,"Over",IF(Q1294&lt;J1294,"Under","Push"))</f>
        <v>Under</v>
      </c>
    </row>
    <row r="1295" customFormat="false" ht="15" hidden="false" customHeight="false" outlineLevel="0" collapsed="false">
      <c r="A1295" s="1" t="s">
        <v>450</v>
      </c>
      <c r="B1295" s="1" t="n">
        <v>2014</v>
      </c>
      <c r="C1295" s="1" t="s">
        <v>227</v>
      </c>
      <c r="D1295" s="1" t="s">
        <v>108</v>
      </c>
      <c r="E1295" s="1" t="s">
        <v>107</v>
      </c>
      <c r="F1295" s="1" t="n">
        <v>35</v>
      </c>
      <c r="G1295" s="1" t="n">
        <v>38</v>
      </c>
      <c r="H1295" s="1" t="s">
        <v>86</v>
      </c>
      <c r="I1295" s="1" t="n">
        <v>-1.5</v>
      </c>
      <c r="J1295" s="1" t="n">
        <v>40.5</v>
      </c>
      <c r="K1295" s="1" t="s">
        <v>408</v>
      </c>
      <c r="L1295" s="1" t="b">
        <f aca="false">FALSE()</f>
        <v>0</v>
      </c>
      <c r="M1295" s="1" t="str">
        <f aca="false">VLOOKUP(D1295,'Team Reference'!$A:$B,2,FALSE())</f>
        <v>SF</v>
      </c>
      <c r="N1295" s="1" t="str">
        <f aca="false">VLOOKUP(E1295,'Team Reference'!$A:$B,2,FALSE())</f>
        <v>LAC</v>
      </c>
      <c r="O1295" s="1" t="str">
        <f aca="false">IF(F1295&gt;G1295,M1295,IF(G1295&gt;F1295,N1295,"Tie"))</f>
        <v>LAC</v>
      </c>
      <c r="P1295" s="1" t="n">
        <f aca="false">F1295-G1295</f>
        <v>-3</v>
      </c>
      <c r="Q1295" s="1" t="n">
        <f aca="false">F1295+G1295</f>
        <v>73</v>
      </c>
      <c r="R1295" s="1" t="str">
        <f aca="false">IF(H1295=M1295,"Home",IF(H1295=N1295,"Away",IF(H1295="PICK","Pick","N/A")))</f>
        <v>Away</v>
      </c>
      <c r="S1295" s="1" t="n">
        <f aca="false">IF(R1295="Home",P1295,IF(R1295="Away",-P1295,""))</f>
        <v>3</v>
      </c>
      <c r="T1295" s="1" t="str">
        <f aca="false">IF(R1295="Pick","No Line",IF(S1295="","N/A",IF(S1295+I1295&gt;0,"Favorite Covered",IF(S1295+I1295&lt;0,"Underdog Covered","Push"))))</f>
        <v>Favorite Covered</v>
      </c>
      <c r="U1295" s="1" t="str">
        <f aca="false">IF(Q1295&gt;J1295,"Over",IF(Q1295&lt;J1295,"Under","Push"))</f>
        <v>Over</v>
      </c>
    </row>
    <row r="1296" customFormat="false" ht="15" hidden="false" customHeight="false" outlineLevel="0" collapsed="false">
      <c r="A1296" s="1" t="s">
        <v>450</v>
      </c>
      <c r="B1296" s="1" t="n">
        <v>2014</v>
      </c>
      <c r="C1296" s="1" t="s">
        <v>227</v>
      </c>
      <c r="D1296" s="1" t="s">
        <v>117</v>
      </c>
      <c r="E1296" s="1" t="s">
        <v>103</v>
      </c>
      <c r="F1296" s="1" t="n">
        <v>27</v>
      </c>
      <c r="G1296" s="1" t="n">
        <v>24</v>
      </c>
      <c r="H1296" s="1" t="s">
        <v>118</v>
      </c>
      <c r="I1296" s="1" t="n">
        <v>-7</v>
      </c>
      <c r="J1296" s="1" t="n">
        <v>51</v>
      </c>
      <c r="K1296" s="1" t="s">
        <v>156</v>
      </c>
      <c r="L1296" s="1" t="b">
        <f aca="false">FALSE()</f>
        <v>0</v>
      </c>
      <c r="M1296" s="1" t="str">
        <f aca="false">VLOOKUP(D1296,'Team Reference'!$A:$B,2,FALSE())</f>
        <v>WAS</v>
      </c>
      <c r="N1296" s="1" t="str">
        <f aca="false">VLOOKUP(E1296,'Team Reference'!$A:$B,2,FALSE())</f>
        <v>PHI</v>
      </c>
      <c r="O1296" s="1" t="str">
        <f aca="false">IF(F1296&gt;G1296,M1296,IF(G1296&gt;F1296,N1296,"Tie"))</f>
        <v>WAS</v>
      </c>
      <c r="P1296" s="1" t="n">
        <f aca="false">F1296-G1296</f>
        <v>3</v>
      </c>
      <c r="Q1296" s="1" t="n">
        <f aca="false">F1296+G1296</f>
        <v>51</v>
      </c>
      <c r="R1296" s="1" t="str">
        <f aca="false">IF(H1296=M1296,"Home",IF(H1296=N1296,"Away",IF(H1296="PICK","Pick","N/A")))</f>
        <v>Home</v>
      </c>
      <c r="S1296" s="1" t="n">
        <f aca="false">IF(R1296="Home",P1296,IF(R1296="Away",-P1296,""))</f>
        <v>3</v>
      </c>
      <c r="T1296" s="1" t="str">
        <f aca="false">IF(R1296="Pick","No Line",IF(S1296="","N/A",IF(S1296+I1296&gt;0,"Favorite Covered",IF(S1296+I1296&lt;0,"Underdog Covered","Push"))))</f>
        <v>Underdog Covered</v>
      </c>
      <c r="U1296" s="1" t="str">
        <f aca="false">IF(Q1296&gt;J1296,"Over",IF(Q1296&lt;J1296,"Under","Push"))</f>
        <v>Push</v>
      </c>
    </row>
    <row r="1297" customFormat="false" ht="15" hidden="false" customHeight="false" outlineLevel="0" collapsed="false">
      <c r="A1297" s="1" t="s">
        <v>451</v>
      </c>
      <c r="B1297" s="1" t="n">
        <v>2014</v>
      </c>
      <c r="C1297" s="1" t="s">
        <v>227</v>
      </c>
      <c r="D1297" s="1" t="s">
        <v>53</v>
      </c>
      <c r="E1297" s="1" t="s">
        <v>110</v>
      </c>
      <c r="F1297" s="1" t="n">
        <v>6</v>
      </c>
      <c r="G1297" s="1" t="n">
        <v>35</v>
      </c>
      <c r="H1297" s="1" t="s">
        <v>54</v>
      </c>
      <c r="I1297" s="1" t="n">
        <v>-9.5</v>
      </c>
      <c r="J1297" s="1" t="n">
        <v>36.5</v>
      </c>
      <c r="K1297" s="1" t="s">
        <v>177</v>
      </c>
      <c r="L1297" s="1" t="b">
        <f aca="false">FALSE()</f>
        <v>0</v>
      </c>
      <c r="M1297" s="1" t="str">
        <f aca="false">VLOOKUP(D1297,'Team Reference'!$A:$B,2,FALSE())</f>
        <v>ARI</v>
      </c>
      <c r="N1297" s="1" t="str">
        <f aca="false">VLOOKUP(E1297,'Team Reference'!$A:$B,2,FALSE())</f>
        <v>SEA</v>
      </c>
      <c r="O1297" s="1" t="str">
        <f aca="false">IF(F1297&gt;G1297,M1297,IF(G1297&gt;F1297,N1297,"Tie"))</f>
        <v>SEA</v>
      </c>
      <c r="P1297" s="1" t="n">
        <f aca="false">F1297-G1297</f>
        <v>-29</v>
      </c>
      <c r="Q1297" s="1" t="n">
        <f aca="false">F1297+G1297</f>
        <v>41</v>
      </c>
      <c r="R1297" s="1" t="str">
        <f aca="false">IF(H1297=M1297,"Home",IF(H1297=N1297,"Away",IF(H1297="PICK","Pick","N/A")))</f>
        <v>Home</v>
      </c>
      <c r="S1297" s="1" t="n">
        <f aca="false">IF(R1297="Home",P1297,IF(R1297="Away",-P1297,""))</f>
        <v>-29</v>
      </c>
      <c r="T1297" s="1" t="str">
        <f aca="false">IF(R1297="Pick","No Line",IF(S1297="","N/A",IF(S1297+I1297&gt;0,"Favorite Covered",IF(S1297+I1297&lt;0,"Underdog Covered","Push"))))</f>
        <v>Underdog Covered</v>
      </c>
      <c r="U1297" s="1" t="str">
        <f aca="false">IF(Q1297&gt;J1297,"Over",IF(Q1297&lt;J1297,"Under","Push"))</f>
        <v>Over</v>
      </c>
    </row>
    <row r="1298" customFormat="false" ht="15" hidden="false" customHeight="false" outlineLevel="0" collapsed="false">
      <c r="A1298" s="1" t="s">
        <v>451</v>
      </c>
      <c r="B1298" s="1" t="n">
        <v>2014</v>
      </c>
      <c r="C1298" s="1" t="s">
        <v>227</v>
      </c>
      <c r="D1298" s="1" t="s">
        <v>61</v>
      </c>
      <c r="E1298" s="1" t="s">
        <v>67</v>
      </c>
      <c r="F1298" s="1" t="n">
        <v>17</v>
      </c>
      <c r="G1298" s="1" t="n">
        <v>13</v>
      </c>
      <c r="H1298" s="1" t="s">
        <v>68</v>
      </c>
      <c r="I1298" s="1" t="n">
        <v>-6</v>
      </c>
      <c r="J1298" s="1" t="n">
        <v>40</v>
      </c>
      <c r="K1298" s="1" t="s">
        <v>162</v>
      </c>
      <c r="L1298" s="1" t="b">
        <f aca="false">FALSE()</f>
        <v>0</v>
      </c>
      <c r="M1298" s="1" t="str">
        <f aca="false">VLOOKUP(D1298,'Team Reference'!$A:$B,2,FALSE())</f>
        <v>CAR</v>
      </c>
      <c r="N1298" s="1" t="str">
        <f aca="false">VLOOKUP(E1298,'Team Reference'!$A:$B,2,FALSE())</f>
        <v>CLE</v>
      </c>
      <c r="O1298" s="1" t="str">
        <f aca="false">IF(F1298&gt;G1298,M1298,IF(G1298&gt;F1298,N1298,"Tie"))</f>
        <v>CAR</v>
      </c>
      <c r="P1298" s="1" t="n">
        <f aca="false">F1298-G1298</f>
        <v>4</v>
      </c>
      <c r="Q1298" s="1" t="n">
        <f aca="false">F1298+G1298</f>
        <v>30</v>
      </c>
      <c r="R1298" s="1" t="str">
        <f aca="false">IF(H1298=M1298,"Home",IF(H1298=N1298,"Away",IF(H1298="PICK","Pick","N/A")))</f>
        <v>Away</v>
      </c>
      <c r="S1298" s="1" t="n">
        <f aca="false">IF(R1298="Home",P1298,IF(R1298="Away",-P1298,""))</f>
        <v>-4</v>
      </c>
      <c r="T1298" s="1" t="str">
        <f aca="false">IF(R1298="Pick","No Line",IF(S1298="","N/A",IF(S1298+I1298&gt;0,"Favorite Covered",IF(S1298+I1298&lt;0,"Underdog Covered","Push"))))</f>
        <v>Underdog Covered</v>
      </c>
      <c r="U1298" s="1" t="str">
        <f aca="false">IF(Q1298&gt;J1298,"Over",IF(Q1298&lt;J1298,"Under","Push"))</f>
        <v>Under</v>
      </c>
    </row>
    <row r="1299" customFormat="false" ht="15" hidden="false" customHeight="false" outlineLevel="0" collapsed="false">
      <c r="A1299" s="1" t="s">
        <v>451</v>
      </c>
      <c r="B1299" s="1" t="n">
        <v>2014</v>
      </c>
      <c r="C1299" s="1" t="s">
        <v>227</v>
      </c>
      <c r="D1299" s="1" t="s">
        <v>63</v>
      </c>
      <c r="E1299" s="1" t="s">
        <v>73</v>
      </c>
      <c r="F1299" s="1" t="n">
        <v>14</v>
      </c>
      <c r="G1299" s="1" t="n">
        <v>20</v>
      </c>
      <c r="H1299" s="1" t="s">
        <v>64</v>
      </c>
      <c r="I1299" s="1" t="n">
        <v>-10</v>
      </c>
      <c r="J1299" s="1" t="n">
        <v>44.5</v>
      </c>
      <c r="K1299" s="1" t="s">
        <v>145</v>
      </c>
      <c r="L1299" s="1" t="b">
        <f aca="false">FALSE()</f>
        <v>0</v>
      </c>
      <c r="M1299" s="1" t="str">
        <f aca="false">VLOOKUP(D1299,'Team Reference'!$A:$B,2,FALSE())</f>
        <v>CHI</v>
      </c>
      <c r="N1299" s="1" t="str">
        <f aca="false">VLOOKUP(E1299,'Team Reference'!$A:$B,2,FALSE())</f>
        <v>DET</v>
      </c>
      <c r="O1299" s="1" t="str">
        <f aca="false">IF(F1299&gt;G1299,M1299,IF(G1299&gt;F1299,N1299,"Tie"))</f>
        <v>DET</v>
      </c>
      <c r="P1299" s="1" t="n">
        <f aca="false">F1299-G1299</f>
        <v>-6</v>
      </c>
      <c r="Q1299" s="1" t="n">
        <f aca="false">F1299+G1299</f>
        <v>34</v>
      </c>
      <c r="R1299" s="1" t="str">
        <f aca="false">IF(H1299=M1299,"Home",IF(H1299=N1299,"Away",IF(H1299="PICK","Pick","N/A")))</f>
        <v>Home</v>
      </c>
      <c r="S1299" s="1" t="n">
        <f aca="false">IF(R1299="Home",P1299,IF(R1299="Away",-P1299,""))</f>
        <v>-6</v>
      </c>
      <c r="T1299" s="1" t="str">
        <f aca="false">IF(R1299="Pick","No Line",IF(S1299="","N/A",IF(S1299+I1299&gt;0,"Favorite Covered",IF(S1299+I1299&lt;0,"Underdog Covered","Push"))))</f>
        <v>Underdog Covered</v>
      </c>
      <c r="U1299" s="1" t="str">
        <f aca="false">IF(Q1299&gt;J1299,"Over",IF(Q1299&lt;J1299,"Under","Push"))</f>
        <v>Under</v>
      </c>
    </row>
    <row r="1300" customFormat="false" ht="15" hidden="false" customHeight="false" outlineLevel="0" collapsed="false">
      <c r="A1300" s="1" t="s">
        <v>451</v>
      </c>
      <c r="B1300" s="1" t="n">
        <v>2014</v>
      </c>
      <c r="C1300" s="1" t="s">
        <v>227</v>
      </c>
      <c r="D1300" s="1" t="s">
        <v>69</v>
      </c>
      <c r="E1300" s="1" t="s">
        <v>79</v>
      </c>
      <c r="F1300" s="1" t="n">
        <v>42</v>
      </c>
      <c r="G1300" s="1" t="n">
        <v>7</v>
      </c>
      <c r="H1300" s="1" t="s">
        <v>80</v>
      </c>
      <c r="I1300" s="1" t="n">
        <v>-3.5</v>
      </c>
      <c r="J1300" s="1" t="n">
        <v>53.5</v>
      </c>
      <c r="K1300" s="1" t="s">
        <v>165</v>
      </c>
      <c r="L1300" s="1" t="b">
        <f aca="false">FALSE()</f>
        <v>0</v>
      </c>
      <c r="M1300" s="1" t="str">
        <f aca="false">VLOOKUP(D1300,'Team Reference'!$A:$B,2,FALSE())</f>
        <v>DAL</v>
      </c>
      <c r="N1300" s="1" t="str">
        <f aca="false">VLOOKUP(E1300,'Team Reference'!$A:$B,2,FALSE())</f>
        <v>IND</v>
      </c>
      <c r="O1300" s="1" t="str">
        <f aca="false">IF(F1300&gt;G1300,M1300,IF(G1300&gt;F1300,N1300,"Tie"))</f>
        <v>DAL</v>
      </c>
      <c r="P1300" s="1" t="n">
        <f aca="false">F1300-G1300</f>
        <v>35</v>
      </c>
      <c r="Q1300" s="1" t="n">
        <f aca="false">F1300+G1300</f>
        <v>49</v>
      </c>
      <c r="R1300" s="1" t="str">
        <f aca="false">IF(H1300=M1300,"Home",IF(H1300=N1300,"Away",IF(H1300="PICK","Pick","N/A")))</f>
        <v>Away</v>
      </c>
      <c r="S1300" s="1" t="n">
        <f aca="false">IF(R1300="Home",P1300,IF(R1300="Away",-P1300,""))</f>
        <v>-35</v>
      </c>
      <c r="T1300" s="1" t="str">
        <f aca="false">IF(R1300="Pick","No Line",IF(S1300="","N/A",IF(S1300+I1300&gt;0,"Favorite Covered",IF(S1300+I1300&lt;0,"Underdog Covered","Push"))))</f>
        <v>Underdog Covered</v>
      </c>
      <c r="U1300" s="1" t="str">
        <f aca="false">IF(Q1300&gt;J1300,"Over",IF(Q1300&lt;J1300,"Under","Push"))</f>
        <v>Under</v>
      </c>
    </row>
    <row r="1301" customFormat="false" ht="15" hidden="false" customHeight="false" outlineLevel="0" collapsed="false">
      <c r="A1301" s="1" t="s">
        <v>451</v>
      </c>
      <c r="B1301" s="1" t="n">
        <v>2014</v>
      </c>
      <c r="C1301" s="1" t="s">
        <v>227</v>
      </c>
      <c r="D1301" s="1" t="s">
        <v>77</v>
      </c>
      <c r="E1301" s="1" t="s">
        <v>57</v>
      </c>
      <c r="F1301" s="1" t="n">
        <v>25</v>
      </c>
      <c r="G1301" s="1" t="n">
        <v>13</v>
      </c>
      <c r="H1301" s="1" t="s">
        <v>78</v>
      </c>
      <c r="I1301" s="1" t="n">
        <v>-6.5</v>
      </c>
      <c r="J1301" s="1" t="n">
        <v>41.5</v>
      </c>
      <c r="K1301" s="1" t="s">
        <v>146</v>
      </c>
      <c r="L1301" s="1" t="b">
        <f aca="false">FALSE()</f>
        <v>0</v>
      </c>
      <c r="M1301" s="1" t="str">
        <f aca="false">VLOOKUP(D1301,'Team Reference'!$A:$B,2,FALSE())</f>
        <v>HOU</v>
      </c>
      <c r="N1301" s="1" t="str">
        <f aca="false">VLOOKUP(E1301,'Team Reference'!$A:$B,2,FALSE())</f>
        <v>BAL</v>
      </c>
      <c r="O1301" s="1" t="str">
        <f aca="false">IF(F1301&gt;G1301,M1301,IF(G1301&gt;F1301,N1301,"Tie"))</f>
        <v>HOU</v>
      </c>
      <c r="P1301" s="1" t="n">
        <f aca="false">F1301-G1301</f>
        <v>12</v>
      </c>
      <c r="Q1301" s="1" t="n">
        <f aca="false">F1301+G1301</f>
        <v>38</v>
      </c>
      <c r="R1301" s="1" t="str">
        <f aca="false">IF(H1301=M1301,"Home",IF(H1301=N1301,"Away",IF(H1301="PICK","Pick","N/A")))</f>
        <v>Home</v>
      </c>
      <c r="S1301" s="1" t="n">
        <f aca="false">IF(R1301="Home",P1301,IF(R1301="Away",-P1301,""))</f>
        <v>12</v>
      </c>
      <c r="T1301" s="1" t="str">
        <f aca="false">IF(R1301="Pick","No Line",IF(S1301="","N/A",IF(S1301+I1301&gt;0,"Favorite Covered",IF(S1301+I1301&lt;0,"Underdog Covered","Push"))))</f>
        <v>Favorite Covered</v>
      </c>
      <c r="U1301" s="1" t="str">
        <f aca="false">IF(Q1301&gt;J1301,"Over",IF(Q1301&lt;J1301,"Under","Push"))</f>
        <v>Under</v>
      </c>
    </row>
    <row r="1302" customFormat="false" ht="15" hidden="false" customHeight="false" outlineLevel="0" collapsed="false">
      <c r="A1302" s="1" t="s">
        <v>451</v>
      </c>
      <c r="B1302" s="1" t="n">
        <v>2014</v>
      </c>
      <c r="C1302" s="1" t="s">
        <v>227</v>
      </c>
      <c r="D1302" s="1" t="s">
        <v>89</v>
      </c>
      <c r="E1302" s="1" t="s">
        <v>91</v>
      </c>
      <c r="F1302" s="1" t="n">
        <v>37</v>
      </c>
      <c r="G1302" s="1" t="n">
        <v>35</v>
      </c>
      <c r="H1302" s="1" t="s">
        <v>92</v>
      </c>
      <c r="I1302" s="1" t="n">
        <v>-4.5</v>
      </c>
      <c r="J1302" s="1" t="n">
        <v>42.5</v>
      </c>
      <c r="K1302" s="1" t="s">
        <v>179</v>
      </c>
      <c r="L1302" s="1" t="b">
        <f aca="false">FALSE()</f>
        <v>0</v>
      </c>
      <c r="M1302" s="1" t="str">
        <f aca="false">VLOOKUP(D1302,'Team Reference'!$A:$B,2,FALSE())</f>
        <v>MIA</v>
      </c>
      <c r="N1302" s="1" t="str">
        <f aca="false">VLOOKUP(E1302,'Team Reference'!$A:$B,2,FALSE())</f>
        <v>MIN</v>
      </c>
      <c r="O1302" s="1" t="str">
        <f aca="false">IF(F1302&gt;G1302,M1302,IF(G1302&gt;F1302,N1302,"Tie"))</f>
        <v>MIA</v>
      </c>
      <c r="P1302" s="1" t="n">
        <f aca="false">F1302-G1302</f>
        <v>2</v>
      </c>
      <c r="Q1302" s="1" t="n">
        <f aca="false">F1302+G1302</f>
        <v>72</v>
      </c>
      <c r="R1302" s="1" t="str">
        <f aca="false">IF(H1302=M1302,"Home",IF(H1302=N1302,"Away",IF(H1302="PICK","Pick","N/A")))</f>
        <v>Away</v>
      </c>
      <c r="S1302" s="1" t="n">
        <f aca="false">IF(R1302="Home",P1302,IF(R1302="Away",-P1302,""))</f>
        <v>-2</v>
      </c>
      <c r="T1302" s="1" t="str">
        <f aca="false">IF(R1302="Pick","No Line",IF(S1302="","N/A",IF(S1302+I1302&gt;0,"Favorite Covered",IF(S1302+I1302&lt;0,"Underdog Covered","Push"))))</f>
        <v>Underdog Covered</v>
      </c>
      <c r="U1302" s="1" t="str">
        <f aca="false">IF(Q1302&gt;J1302,"Over",IF(Q1302&lt;J1302,"Under","Push"))</f>
        <v>Over</v>
      </c>
    </row>
    <row r="1303" customFormat="false" ht="15" hidden="false" customHeight="false" outlineLevel="0" collapsed="false">
      <c r="A1303" s="1" t="s">
        <v>451</v>
      </c>
      <c r="B1303" s="1" t="n">
        <v>2014</v>
      </c>
      <c r="C1303" s="1" t="s">
        <v>227</v>
      </c>
      <c r="D1303" s="1" t="s">
        <v>95</v>
      </c>
      <c r="E1303" s="1" t="s">
        <v>55</v>
      </c>
      <c r="F1303" s="1" t="n">
        <v>14</v>
      </c>
      <c r="G1303" s="1" t="n">
        <v>30</v>
      </c>
      <c r="H1303" s="1" t="s">
        <v>56</v>
      </c>
      <c r="I1303" s="1" t="n">
        <v>-6</v>
      </c>
      <c r="J1303" s="1" t="n">
        <v>56</v>
      </c>
      <c r="K1303" s="1" t="s">
        <v>142</v>
      </c>
      <c r="L1303" s="1" t="b">
        <f aca="false">FALSE()</f>
        <v>0</v>
      </c>
      <c r="M1303" s="1" t="str">
        <f aca="false">VLOOKUP(D1303,'Team Reference'!$A:$B,2,FALSE())</f>
        <v>NO</v>
      </c>
      <c r="N1303" s="1" t="str">
        <f aca="false">VLOOKUP(E1303,'Team Reference'!$A:$B,2,FALSE())</f>
        <v>ATL</v>
      </c>
      <c r="O1303" s="1" t="str">
        <f aca="false">IF(F1303&gt;G1303,M1303,IF(G1303&gt;F1303,N1303,"Tie"))</f>
        <v>ATL</v>
      </c>
      <c r="P1303" s="1" t="n">
        <f aca="false">F1303-G1303</f>
        <v>-16</v>
      </c>
      <c r="Q1303" s="1" t="n">
        <f aca="false">F1303+G1303</f>
        <v>44</v>
      </c>
      <c r="R1303" s="1" t="str">
        <f aca="false">IF(H1303=M1303,"Home",IF(H1303=N1303,"Away",IF(H1303="PICK","Pick","N/A")))</f>
        <v>Away</v>
      </c>
      <c r="S1303" s="1" t="n">
        <f aca="false">IF(R1303="Home",P1303,IF(R1303="Away",-P1303,""))</f>
        <v>16</v>
      </c>
      <c r="T1303" s="1" t="str">
        <f aca="false">IF(R1303="Pick","No Line",IF(S1303="","N/A",IF(S1303+I1303&gt;0,"Favorite Covered",IF(S1303+I1303&lt;0,"Underdog Covered","Push"))))</f>
        <v>Favorite Covered</v>
      </c>
      <c r="U1303" s="1" t="str">
        <f aca="false">IF(Q1303&gt;J1303,"Over",IF(Q1303&lt;J1303,"Under","Push"))</f>
        <v>Under</v>
      </c>
    </row>
    <row r="1304" customFormat="false" ht="15" hidden="false" customHeight="false" outlineLevel="0" collapsed="false">
      <c r="A1304" s="1" t="s">
        <v>451</v>
      </c>
      <c r="B1304" s="1" t="n">
        <v>2014</v>
      </c>
      <c r="C1304" s="1" t="s">
        <v>227</v>
      </c>
      <c r="D1304" s="1" t="s">
        <v>99</v>
      </c>
      <c r="E1304" s="1" t="s">
        <v>93</v>
      </c>
      <c r="F1304" s="1" t="n">
        <v>16</v>
      </c>
      <c r="G1304" s="1" t="n">
        <v>17</v>
      </c>
      <c r="H1304" s="1" t="s">
        <v>100</v>
      </c>
      <c r="I1304" s="1" t="n">
        <v>-9.5</v>
      </c>
      <c r="J1304" s="1" t="n">
        <v>47</v>
      </c>
      <c r="K1304" s="1" t="s">
        <v>149</v>
      </c>
      <c r="L1304" s="1" t="b">
        <f aca="false">FALSE()</f>
        <v>0</v>
      </c>
      <c r="M1304" s="1" t="str">
        <f aca="false">VLOOKUP(D1304,'Team Reference'!$A:$B,2,FALSE())</f>
        <v>NYJ</v>
      </c>
      <c r="N1304" s="1" t="str">
        <f aca="false">VLOOKUP(E1304,'Team Reference'!$A:$B,2,FALSE())</f>
        <v>NE</v>
      </c>
      <c r="O1304" s="1" t="str">
        <f aca="false">IF(F1304&gt;G1304,M1304,IF(G1304&gt;F1304,N1304,"Tie"))</f>
        <v>NE</v>
      </c>
      <c r="P1304" s="1" t="n">
        <f aca="false">F1304-G1304</f>
        <v>-1</v>
      </c>
      <c r="Q1304" s="1" t="n">
        <f aca="false">F1304+G1304</f>
        <v>33</v>
      </c>
      <c r="R1304" s="1" t="str">
        <f aca="false">IF(H1304=M1304,"Home",IF(H1304=N1304,"Away",IF(H1304="PICK","Pick","N/A")))</f>
        <v>Home</v>
      </c>
      <c r="S1304" s="1" t="n">
        <f aca="false">IF(R1304="Home",P1304,IF(R1304="Away",-P1304,""))</f>
        <v>-1</v>
      </c>
      <c r="T1304" s="1" t="str">
        <f aca="false">IF(R1304="Pick","No Line",IF(S1304="","N/A",IF(S1304+I1304&gt;0,"Favorite Covered",IF(S1304+I1304&lt;0,"Underdog Covered","Push"))))</f>
        <v>Underdog Covered</v>
      </c>
      <c r="U1304" s="1" t="str">
        <f aca="false">IF(Q1304&gt;J1304,"Over",IF(Q1304&lt;J1304,"Under","Push"))</f>
        <v>Under</v>
      </c>
    </row>
    <row r="1305" customFormat="false" ht="15" hidden="false" customHeight="false" outlineLevel="0" collapsed="false">
      <c r="A1305" s="1" t="s">
        <v>451</v>
      </c>
      <c r="B1305" s="1" t="n">
        <v>2014</v>
      </c>
      <c r="C1305" s="1" t="s">
        <v>227</v>
      </c>
      <c r="D1305" s="1" t="s">
        <v>101</v>
      </c>
      <c r="E1305" s="1" t="s">
        <v>59</v>
      </c>
      <c r="F1305" s="1" t="n">
        <v>26</v>
      </c>
      <c r="G1305" s="1" t="n">
        <v>24</v>
      </c>
      <c r="H1305" s="1" t="s">
        <v>102</v>
      </c>
      <c r="I1305" s="1" t="n">
        <v>-6.5</v>
      </c>
      <c r="J1305" s="1" t="n">
        <v>41.5</v>
      </c>
      <c r="K1305" s="1" t="s">
        <v>171</v>
      </c>
      <c r="L1305" s="1" t="b">
        <f aca="false">FALSE()</f>
        <v>0</v>
      </c>
      <c r="M1305" s="1" t="str">
        <f aca="false">VLOOKUP(D1305,'Team Reference'!$A:$B,2,FALSE())</f>
        <v>OAK</v>
      </c>
      <c r="N1305" s="1" t="str">
        <f aca="false">VLOOKUP(E1305,'Team Reference'!$A:$B,2,FALSE())</f>
        <v>BUF</v>
      </c>
      <c r="O1305" s="1" t="str">
        <f aca="false">IF(F1305&gt;G1305,M1305,IF(G1305&gt;F1305,N1305,"Tie"))</f>
        <v>OAK</v>
      </c>
      <c r="P1305" s="1" t="n">
        <f aca="false">F1305-G1305</f>
        <v>2</v>
      </c>
      <c r="Q1305" s="1" t="n">
        <f aca="false">F1305+G1305</f>
        <v>50</v>
      </c>
      <c r="R1305" s="1" t="str">
        <f aca="false">IF(H1305=M1305,"Home",IF(H1305=N1305,"Away",IF(H1305="PICK","Pick","N/A")))</f>
        <v>Home</v>
      </c>
      <c r="S1305" s="1" t="n">
        <f aca="false">IF(R1305="Home",P1305,IF(R1305="Away",-P1305,""))</f>
        <v>2</v>
      </c>
      <c r="T1305" s="1" t="str">
        <f aca="false">IF(R1305="Pick","No Line",IF(S1305="","N/A",IF(S1305+I1305&gt;0,"Favorite Covered",IF(S1305+I1305&lt;0,"Underdog Covered","Push"))))</f>
        <v>Underdog Covered</v>
      </c>
      <c r="U1305" s="1" t="str">
        <f aca="false">IF(Q1305&gt;J1305,"Over",IF(Q1305&lt;J1305,"Under","Push"))</f>
        <v>Over</v>
      </c>
    </row>
    <row r="1306" customFormat="false" ht="15" hidden="false" customHeight="false" outlineLevel="0" collapsed="false">
      <c r="A1306" s="1" t="s">
        <v>451</v>
      </c>
      <c r="B1306" s="1" t="n">
        <v>2014</v>
      </c>
      <c r="C1306" s="1" t="s">
        <v>227</v>
      </c>
      <c r="D1306" s="1" t="s">
        <v>105</v>
      </c>
      <c r="E1306" s="1" t="s">
        <v>83</v>
      </c>
      <c r="F1306" s="1" t="n">
        <v>20</v>
      </c>
      <c r="G1306" s="1" t="n">
        <v>12</v>
      </c>
      <c r="H1306" s="1" t="s">
        <v>84</v>
      </c>
      <c r="I1306" s="1" t="n">
        <v>-2.5</v>
      </c>
      <c r="J1306" s="1" t="n">
        <v>49.5</v>
      </c>
      <c r="K1306" s="1" t="s">
        <v>151</v>
      </c>
      <c r="L1306" s="1" t="b">
        <f aca="false">FALSE()</f>
        <v>0</v>
      </c>
      <c r="M1306" s="1" t="str">
        <f aca="false">VLOOKUP(D1306,'Team Reference'!$A:$B,2,FALSE())</f>
        <v>PIT</v>
      </c>
      <c r="N1306" s="1" t="str">
        <f aca="false">VLOOKUP(E1306,'Team Reference'!$A:$B,2,FALSE())</f>
        <v>KC</v>
      </c>
      <c r="O1306" s="1" t="str">
        <f aca="false">IF(F1306&gt;G1306,M1306,IF(G1306&gt;F1306,N1306,"Tie"))</f>
        <v>PIT</v>
      </c>
      <c r="P1306" s="1" t="n">
        <f aca="false">F1306-G1306</f>
        <v>8</v>
      </c>
      <c r="Q1306" s="1" t="n">
        <f aca="false">F1306+G1306</f>
        <v>32</v>
      </c>
      <c r="R1306" s="1" t="str">
        <f aca="false">IF(H1306=M1306,"Home",IF(H1306=N1306,"Away",IF(H1306="PICK","Pick","N/A")))</f>
        <v>Away</v>
      </c>
      <c r="S1306" s="1" t="n">
        <f aca="false">IF(R1306="Home",P1306,IF(R1306="Away",-P1306,""))</f>
        <v>-8</v>
      </c>
      <c r="T1306" s="1" t="str">
        <f aca="false">IF(R1306="Pick","No Line",IF(S1306="","N/A",IF(S1306+I1306&gt;0,"Favorite Covered",IF(S1306+I1306&lt;0,"Underdog Covered","Push"))))</f>
        <v>Underdog Covered</v>
      </c>
      <c r="U1306" s="1" t="str">
        <f aca="false">IF(Q1306&gt;J1306,"Over",IF(Q1306&lt;J1306,"Under","Push"))</f>
        <v>Under</v>
      </c>
    </row>
    <row r="1307" customFormat="false" ht="15" hidden="false" customHeight="false" outlineLevel="0" collapsed="false">
      <c r="A1307" s="1" t="s">
        <v>451</v>
      </c>
      <c r="B1307" s="1" t="n">
        <v>2014</v>
      </c>
      <c r="C1307" s="1" t="s">
        <v>227</v>
      </c>
      <c r="D1307" s="1" t="s">
        <v>112</v>
      </c>
      <c r="E1307" s="1" t="s">
        <v>97</v>
      </c>
      <c r="F1307" s="1" t="n">
        <v>27</v>
      </c>
      <c r="G1307" s="1" t="n">
        <v>37</v>
      </c>
      <c r="H1307" s="1" t="s">
        <v>98</v>
      </c>
      <c r="I1307" s="1" t="n">
        <v>-6.5</v>
      </c>
      <c r="J1307" s="1" t="n">
        <v>43.5</v>
      </c>
      <c r="K1307" s="1" t="s">
        <v>153</v>
      </c>
      <c r="L1307" s="1" t="b">
        <f aca="false">FALSE()</f>
        <v>0</v>
      </c>
      <c r="M1307" s="1" t="str">
        <f aca="false">VLOOKUP(D1307,'Team Reference'!$A:$B,2,FALSE())</f>
        <v>LAR</v>
      </c>
      <c r="N1307" s="1" t="str">
        <f aca="false">VLOOKUP(E1307,'Team Reference'!$A:$B,2,FALSE())</f>
        <v>NYG</v>
      </c>
      <c r="O1307" s="1" t="str">
        <f aca="false">IF(F1307&gt;G1307,M1307,IF(G1307&gt;F1307,N1307,"Tie"))</f>
        <v>NYG</v>
      </c>
      <c r="P1307" s="1" t="n">
        <f aca="false">F1307-G1307</f>
        <v>-10</v>
      </c>
      <c r="Q1307" s="1" t="n">
        <f aca="false">F1307+G1307</f>
        <v>64</v>
      </c>
      <c r="R1307" s="1" t="str">
        <f aca="false">IF(H1307=M1307,"Home",IF(H1307=N1307,"Away",IF(H1307="PICK","Pick","N/A")))</f>
        <v>Away</v>
      </c>
      <c r="S1307" s="1" t="n">
        <f aca="false">IF(R1307="Home",P1307,IF(R1307="Away",-P1307,""))</f>
        <v>10</v>
      </c>
      <c r="T1307" s="1" t="str">
        <f aca="false">IF(R1307="Pick","No Line",IF(S1307="","N/A",IF(S1307+I1307&gt;0,"Favorite Covered",IF(S1307+I1307&lt;0,"Underdog Covered","Push"))))</f>
        <v>Favorite Covered</v>
      </c>
      <c r="U1307" s="1" t="str">
        <f aca="false">IF(Q1307&gt;J1307,"Over",IF(Q1307&lt;J1307,"Under","Push"))</f>
        <v>Over</v>
      </c>
    </row>
    <row r="1308" customFormat="false" ht="15" hidden="false" customHeight="false" outlineLevel="0" collapsed="false">
      <c r="A1308" s="1" t="s">
        <v>451</v>
      </c>
      <c r="B1308" s="1" t="n">
        <v>2014</v>
      </c>
      <c r="C1308" s="1" t="s">
        <v>227</v>
      </c>
      <c r="D1308" s="1" t="s">
        <v>113</v>
      </c>
      <c r="E1308" s="1" t="s">
        <v>75</v>
      </c>
      <c r="F1308" s="1" t="n">
        <v>3</v>
      </c>
      <c r="G1308" s="1" t="n">
        <v>20</v>
      </c>
      <c r="H1308" s="1" t="s">
        <v>114</v>
      </c>
      <c r="I1308" s="1" t="n">
        <v>-11.5</v>
      </c>
      <c r="J1308" s="1" t="n">
        <v>49</v>
      </c>
      <c r="K1308" s="1" t="s">
        <v>154</v>
      </c>
      <c r="L1308" s="1" t="b">
        <f aca="false">FALSE()</f>
        <v>0</v>
      </c>
      <c r="M1308" s="1" t="str">
        <f aca="false">VLOOKUP(D1308,'Team Reference'!$A:$B,2,FALSE())</f>
        <v>TB</v>
      </c>
      <c r="N1308" s="1" t="str">
        <f aca="false">VLOOKUP(E1308,'Team Reference'!$A:$B,2,FALSE())</f>
        <v>GB</v>
      </c>
      <c r="O1308" s="1" t="str">
        <f aca="false">IF(F1308&gt;G1308,M1308,IF(G1308&gt;F1308,N1308,"Tie"))</f>
        <v>GB</v>
      </c>
      <c r="P1308" s="1" t="n">
        <f aca="false">F1308-G1308</f>
        <v>-17</v>
      </c>
      <c r="Q1308" s="1" t="n">
        <f aca="false">F1308+G1308</f>
        <v>23</v>
      </c>
      <c r="R1308" s="1" t="str">
        <f aca="false">IF(H1308=M1308,"Home",IF(H1308=N1308,"Away",IF(H1308="PICK","Pick","N/A")))</f>
        <v>Home</v>
      </c>
      <c r="S1308" s="1" t="n">
        <f aca="false">IF(R1308="Home",P1308,IF(R1308="Away",-P1308,""))</f>
        <v>-17</v>
      </c>
      <c r="T1308" s="1" t="str">
        <f aca="false">IF(R1308="Pick","No Line",IF(S1308="","N/A",IF(S1308+I1308&gt;0,"Favorite Covered",IF(S1308+I1308&lt;0,"Underdog Covered","Push"))))</f>
        <v>Underdog Covered</v>
      </c>
      <c r="U1308" s="1" t="str">
        <f aca="false">IF(Q1308&gt;J1308,"Over",IF(Q1308&lt;J1308,"Under","Push"))</f>
        <v>Under</v>
      </c>
    </row>
    <row r="1309" customFormat="false" ht="15" hidden="false" customHeight="false" outlineLevel="0" collapsed="false">
      <c r="A1309" s="1" t="s">
        <v>452</v>
      </c>
      <c r="B1309" s="1" t="n">
        <v>2014</v>
      </c>
      <c r="C1309" s="1" t="s">
        <v>227</v>
      </c>
      <c r="D1309" s="1" t="s">
        <v>65</v>
      </c>
      <c r="E1309" s="1" t="s">
        <v>71</v>
      </c>
      <c r="F1309" s="1" t="n">
        <v>37</v>
      </c>
      <c r="G1309" s="1" t="n">
        <v>28</v>
      </c>
      <c r="H1309" s="1" t="s">
        <v>66</v>
      </c>
      <c r="I1309" s="1" t="n">
        <v>-3.5</v>
      </c>
      <c r="J1309" s="1" t="n">
        <v>47.5</v>
      </c>
      <c r="K1309" s="1" t="s">
        <v>163</v>
      </c>
      <c r="L1309" s="1" t="b">
        <f aca="false">FALSE()</f>
        <v>0</v>
      </c>
      <c r="M1309" s="1" t="str">
        <f aca="false">VLOOKUP(D1309,'Team Reference'!$A:$B,2,FALSE())</f>
        <v>CIN</v>
      </c>
      <c r="N1309" s="1" t="str">
        <f aca="false">VLOOKUP(E1309,'Team Reference'!$A:$B,2,FALSE())</f>
        <v>DEN</v>
      </c>
      <c r="O1309" s="1" t="str">
        <f aca="false">IF(F1309&gt;G1309,M1309,IF(G1309&gt;F1309,N1309,"Tie"))</f>
        <v>CIN</v>
      </c>
      <c r="P1309" s="1" t="n">
        <f aca="false">F1309-G1309</f>
        <v>9</v>
      </c>
      <c r="Q1309" s="1" t="n">
        <f aca="false">F1309+G1309</f>
        <v>65</v>
      </c>
      <c r="R1309" s="1" t="str">
        <f aca="false">IF(H1309=M1309,"Home",IF(H1309=N1309,"Away",IF(H1309="PICK","Pick","N/A")))</f>
        <v>Home</v>
      </c>
      <c r="S1309" s="1" t="n">
        <f aca="false">IF(R1309="Home",P1309,IF(R1309="Away",-P1309,""))</f>
        <v>9</v>
      </c>
      <c r="T1309" s="1" t="str">
        <f aca="false">IF(R1309="Pick","No Line",IF(S1309="","N/A",IF(S1309+I1309&gt;0,"Favorite Covered",IF(S1309+I1309&lt;0,"Underdog Covered","Push"))))</f>
        <v>Favorite Covered</v>
      </c>
      <c r="U1309" s="1" t="str">
        <f aca="false">IF(Q1309&gt;J1309,"Over",IF(Q1309&lt;J1309,"Under","Push"))</f>
        <v>Over</v>
      </c>
    </row>
    <row r="1310" customFormat="false" ht="15" hidden="false" customHeight="false" outlineLevel="0" collapsed="false">
      <c r="A1310" s="1" t="s">
        <v>453</v>
      </c>
      <c r="B1310" s="1" t="n">
        <v>2014</v>
      </c>
      <c r="C1310" s="1" t="s">
        <v>233</v>
      </c>
      <c r="D1310" s="1" t="s">
        <v>55</v>
      </c>
      <c r="E1310" s="1" t="s">
        <v>61</v>
      </c>
      <c r="F1310" s="1" t="n">
        <v>3</v>
      </c>
      <c r="G1310" s="1" t="n">
        <v>34</v>
      </c>
      <c r="H1310" s="1" t="s">
        <v>62</v>
      </c>
      <c r="I1310" s="1" t="n">
        <v>-3</v>
      </c>
      <c r="J1310" s="1" t="n">
        <v>48</v>
      </c>
      <c r="K1310" s="1" t="s">
        <v>161</v>
      </c>
      <c r="L1310" s="1" t="b">
        <f aca="false">FALSE()</f>
        <v>0</v>
      </c>
      <c r="M1310" s="1" t="str">
        <f aca="false">VLOOKUP(D1310,'Team Reference'!$A:$B,2,FALSE())</f>
        <v>ATL</v>
      </c>
      <c r="N1310" s="1" t="str">
        <f aca="false">VLOOKUP(E1310,'Team Reference'!$A:$B,2,FALSE())</f>
        <v>CAR</v>
      </c>
      <c r="O1310" s="1" t="str">
        <f aca="false">IF(F1310&gt;G1310,M1310,IF(G1310&gt;F1310,N1310,"Tie"))</f>
        <v>CAR</v>
      </c>
      <c r="P1310" s="1" t="n">
        <f aca="false">F1310-G1310</f>
        <v>-31</v>
      </c>
      <c r="Q1310" s="1" t="n">
        <f aca="false">F1310+G1310</f>
        <v>37</v>
      </c>
      <c r="R1310" s="1" t="str">
        <f aca="false">IF(H1310=M1310,"Home",IF(H1310=N1310,"Away",IF(H1310="PICK","Pick","N/A")))</f>
        <v>Away</v>
      </c>
      <c r="S1310" s="1" t="n">
        <f aca="false">IF(R1310="Home",P1310,IF(R1310="Away",-P1310,""))</f>
        <v>31</v>
      </c>
      <c r="T1310" s="1" t="str">
        <f aca="false">IF(R1310="Pick","No Line",IF(S1310="","N/A",IF(S1310+I1310&gt;0,"Favorite Covered",IF(S1310+I1310&lt;0,"Underdog Covered","Push"))))</f>
        <v>Favorite Covered</v>
      </c>
      <c r="U1310" s="1" t="str">
        <f aca="false">IF(Q1310&gt;J1310,"Over",IF(Q1310&lt;J1310,"Under","Push"))</f>
        <v>Under</v>
      </c>
    </row>
    <row r="1311" customFormat="false" ht="15" hidden="false" customHeight="false" outlineLevel="0" collapsed="false">
      <c r="A1311" s="1" t="s">
        <v>453</v>
      </c>
      <c r="B1311" s="1" t="n">
        <v>2014</v>
      </c>
      <c r="C1311" s="1" t="s">
        <v>233</v>
      </c>
      <c r="D1311" s="1" t="s">
        <v>57</v>
      </c>
      <c r="E1311" s="1" t="s">
        <v>67</v>
      </c>
      <c r="F1311" s="1" t="n">
        <v>20</v>
      </c>
      <c r="G1311" s="1" t="n">
        <v>10</v>
      </c>
      <c r="H1311" s="1" t="s">
        <v>68</v>
      </c>
      <c r="I1311" s="1" t="n">
        <v>-14</v>
      </c>
      <c r="J1311" s="1" t="n">
        <v>40</v>
      </c>
      <c r="K1311" s="1" t="s">
        <v>178</v>
      </c>
      <c r="L1311" s="1" t="b">
        <f aca="false">FALSE()</f>
        <v>0</v>
      </c>
      <c r="M1311" s="1" t="str">
        <f aca="false">VLOOKUP(D1311,'Team Reference'!$A:$B,2,FALSE())</f>
        <v>BAL</v>
      </c>
      <c r="N1311" s="1" t="str">
        <f aca="false">VLOOKUP(E1311,'Team Reference'!$A:$B,2,FALSE())</f>
        <v>CLE</v>
      </c>
      <c r="O1311" s="1" t="str">
        <f aca="false">IF(F1311&gt;G1311,M1311,IF(G1311&gt;F1311,N1311,"Tie"))</f>
        <v>BAL</v>
      </c>
      <c r="P1311" s="1" t="n">
        <f aca="false">F1311-G1311</f>
        <v>10</v>
      </c>
      <c r="Q1311" s="1" t="n">
        <f aca="false">F1311+G1311</f>
        <v>30</v>
      </c>
      <c r="R1311" s="1" t="str">
        <f aca="false">IF(H1311=M1311,"Home",IF(H1311=N1311,"Away",IF(H1311="PICK","Pick","N/A")))</f>
        <v>Away</v>
      </c>
      <c r="S1311" s="1" t="n">
        <f aca="false">IF(R1311="Home",P1311,IF(R1311="Away",-P1311,""))</f>
        <v>-10</v>
      </c>
      <c r="T1311" s="1" t="str">
        <f aca="false">IF(R1311="Pick","No Line",IF(S1311="","N/A",IF(S1311+I1311&gt;0,"Favorite Covered",IF(S1311+I1311&lt;0,"Underdog Covered","Push"))))</f>
        <v>Underdog Covered</v>
      </c>
      <c r="U1311" s="1" t="str">
        <f aca="false">IF(Q1311&gt;J1311,"Over",IF(Q1311&lt;J1311,"Under","Push"))</f>
        <v>Under</v>
      </c>
    </row>
    <row r="1312" customFormat="false" ht="15" hidden="false" customHeight="false" outlineLevel="0" collapsed="false">
      <c r="A1312" s="1" t="s">
        <v>453</v>
      </c>
      <c r="B1312" s="1" t="n">
        <v>2014</v>
      </c>
      <c r="C1312" s="1" t="s">
        <v>233</v>
      </c>
      <c r="D1312" s="1" t="s">
        <v>71</v>
      </c>
      <c r="E1312" s="1" t="s">
        <v>101</v>
      </c>
      <c r="F1312" s="1" t="n">
        <v>47</v>
      </c>
      <c r="G1312" s="1" t="n">
        <v>14</v>
      </c>
      <c r="H1312" s="1" t="s">
        <v>102</v>
      </c>
      <c r="I1312" s="1" t="n">
        <v>-15.5</v>
      </c>
      <c r="J1312" s="1" t="n">
        <v>48.5</v>
      </c>
      <c r="K1312" s="1" t="s">
        <v>166</v>
      </c>
      <c r="L1312" s="1" t="b">
        <f aca="false">FALSE()</f>
        <v>0</v>
      </c>
      <c r="M1312" s="1" t="str">
        <f aca="false">VLOOKUP(D1312,'Team Reference'!$A:$B,2,FALSE())</f>
        <v>DEN</v>
      </c>
      <c r="N1312" s="1" t="str">
        <f aca="false">VLOOKUP(E1312,'Team Reference'!$A:$B,2,FALSE())</f>
        <v>OAK</v>
      </c>
      <c r="O1312" s="1" t="str">
        <f aca="false">IF(F1312&gt;G1312,M1312,IF(G1312&gt;F1312,N1312,"Tie"))</f>
        <v>DEN</v>
      </c>
      <c r="P1312" s="1" t="n">
        <f aca="false">F1312-G1312</f>
        <v>33</v>
      </c>
      <c r="Q1312" s="1" t="n">
        <f aca="false">F1312+G1312</f>
        <v>61</v>
      </c>
      <c r="R1312" s="1" t="str">
        <f aca="false">IF(H1312=M1312,"Home",IF(H1312=N1312,"Away",IF(H1312="PICK","Pick","N/A")))</f>
        <v>Away</v>
      </c>
      <c r="S1312" s="1" t="n">
        <f aca="false">IF(R1312="Home",P1312,IF(R1312="Away",-P1312,""))</f>
        <v>-33</v>
      </c>
      <c r="T1312" s="1" t="str">
        <f aca="false">IF(R1312="Pick","No Line",IF(S1312="","N/A",IF(S1312+I1312&gt;0,"Favorite Covered",IF(S1312+I1312&lt;0,"Underdog Covered","Push"))))</f>
        <v>Underdog Covered</v>
      </c>
      <c r="U1312" s="1" t="str">
        <f aca="false">IF(Q1312&gt;J1312,"Over",IF(Q1312&lt;J1312,"Under","Push"))</f>
        <v>Over</v>
      </c>
    </row>
    <row r="1313" customFormat="false" ht="15" hidden="false" customHeight="false" outlineLevel="0" collapsed="false">
      <c r="A1313" s="1" t="s">
        <v>453</v>
      </c>
      <c r="B1313" s="1" t="n">
        <v>2014</v>
      </c>
      <c r="C1313" s="1" t="s">
        <v>233</v>
      </c>
      <c r="D1313" s="1" t="s">
        <v>75</v>
      </c>
      <c r="E1313" s="1" t="s">
        <v>73</v>
      </c>
      <c r="F1313" s="1" t="n">
        <v>30</v>
      </c>
      <c r="G1313" s="1" t="n">
        <v>20</v>
      </c>
      <c r="H1313" s="1" t="s">
        <v>74</v>
      </c>
      <c r="I1313" s="1" t="n">
        <v>-8.5</v>
      </c>
      <c r="J1313" s="1" t="n">
        <v>47</v>
      </c>
      <c r="K1313" s="1" t="s">
        <v>168</v>
      </c>
      <c r="L1313" s="1" t="b">
        <f aca="false">FALSE()</f>
        <v>0</v>
      </c>
      <c r="M1313" s="1" t="str">
        <f aca="false">VLOOKUP(D1313,'Team Reference'!$A:$B,2,FALSE())</f>
        <v>GB</v>
      </c>
      <c r="N1313" s="1" t="str">
        <f aca="false">VLOOKUP(E1313,'Team Reference'!$A:$B,2,FALSE())</f>
        <v>DET</v>
      </c>
      <c r="O1313" s="1" t="str">
        <f aca="false">IF(F1313&gt;G1313,M1313,IF(G1313&gt;F1313,N1313,"Tie"))</f>
        <v>GB</v>
      </c>
      <c r="P1313" s="1" t="n">
        <f aca="false">F1313-G1313</f>
        <v>10</v>
      </c>
      <c r="Q1313" s="1" t="n">
        <f aca="false">F1313+G1313</f>
        <v>50</v>
      </c>
      <c r="R1313" s="1" t="str">
        <f aca="false">IF(H1313=M1313,"Home",IF(H1313=N1313,"Away",IF(H1313="PICK","Pick","N/A")))</f>
        <v>Away</v>
      </c>
      <c r="S1313" s="1" t="n">
        <f aca="false">IF(R1313="Home",P1313,IF(R1313="Away",-P1313,""))</f>
        <v>-10</v>
      </c>
      <c r="T1313" s="1" t="str">
        <f aca="false">IF(R1313="Pick","No Line",IF(S1313="","N/A",IF(S1313+I1313&gt;0,"Favorite Covered",IF(S1313+I1313&lt;0,"Underdog Covered","Push"))))</f>
        <v>Underdog Covered</v>
      </c>
      <c r="U1313" s="1" t="str">
        <f aca="false">IF(Q1313&gt;J1313,"Over",IF(Q1313&lt;J1313,"Under","Push"))</f>
        <v>Over</v>
      </c>
    </row>
    <row r="1314" customFormat="false" ht="15" hidden="false" customHeight="false" outlineLevel="0" collapsed="false">
      <c r="A1314" s="1" t="s">
        <v>453</v>
      </c>
      <c r="B1314" s="1" t="n">
        <v>2014</v>
      </c>
      <c r="C1314" s="1" t="s">
        <v>233</v>
      </c>
      <c r="D1314" s="1" t="s">
        <v>77</v>
      </c>
      <c r="E1314" s="1" t="s">
        <v>81</v>
      </c>
      <c r="F1314" s="1" t="n">
        <v>23</v>
      </c>
      <c r="G1314" s="1" t="n">
        <v>17</v>
      </c>
      <c r="H1314" s="1" t="s">
        <v>82</v>
      </c>
      <c r="I1314" s="1" t="n">
        <v>-8.5</v>
      </c>
      <c r="J1314" s="1" t="n">
        <v>38.5</v>
      </c>
      <c r="K1314" s="1" t="s">
        <v>146</v>
      </c>
      <c r="L1314" s="1" t="b">
        <f aca="false">FALSE()</f>
        <v>0</v>
      </c>
      <c r="M1314" s="1" t="str">
        <f aca="false">VLOOKUP(D1314,'Team Reference'!$A:$B,2,FALSE())</f>
        <v>HOU</v>
      </c>
      <c r="N1314" s="1" t="str">
        <f aca="false">VLOOKUP(E1314,'Team Reference'!$A:$B,2,FALSE())</f>
        <v>JAX</v>
      </c>
      <c r="O1314" s="1" t="str">
        <f aca="false">IF(F1314&gt;G1314,M1314,IF(G1314&gt;F1314,N1314,"Tie"))</f>
        <v>HOU</v>
      </c>
      <c r="P1314" s="1" t="n">
        <f aca="false">F1314-G1314</f>
        <v>6</v>
      </c>
      <c r="Q1314" s="1" t="n">
        <f aca="false">F1314+G1314</f>
        <v>40</v>
      </c>
      <c r="R1314" s="1" t="str">
        <f aca="false">IF(H1314=M1314,"Home",IF(H1314=N1314,"Away",IF(H1314="PICK","Pick","N/A")))</f>
        <v>Away</v>
      </c>
      <c r="S1314" s="1" t="n">
        <f aca="false">IF(R1314="Home",P1314,IF(R1314="Away",-P1314,""))</f>
        <v>-6</v>
      </c>
      <c r="T1314" s="1" t="str">
        <f aca="false">IF(R1314="Pick","No Line",IF(S1314="","N/A",IF(S1314+I1314&gt;0,"Favorite Covered",IF(S1314+I1314&lt;0,"Underdog Covered","Push"))))</f>
        <v>Underdog Covered</v>
      </c>
      <c r="U1314" s="1" t="str">
        <f aca="false">IF(Q1314&gt;J1314,"Over",IF(Q1314&lt;J1314,"Under","Push"))</f>
        <v>Over</v>
      </c>
    </row>
    <row r="1315" customFormat="false" ht="15" hidden="false" customHeight="false" outlineLevel="0" collapsed="false">
      <c r="A1315" s="1" t="s">
        <v>453</v>
      </c>
      <c r="B1315" s="1" t="n">
        <v>2014</v>
      </c>
      <c r="C1315" s="1" t="s">
        <v>233</v>
      </c>
      <c r="D1315" s="1" t="s">
        <v>83</v>
      </c>
      <c r="E1315" s="1" t="s">
        <v>107</v>
      </c>
      <c r="F1315" s="1" t="n">
        <v>19</v>
      </c>
      <c r="G1315" s="1" t="n">
        <v>7</v>
      </c>
      <c r="H1315" s="1" t="s">
        <v>86</v>
      </c>
      <c r="I1315" s="1" t="n">
        <v>-3</v>
      </c>
      <c r="J1315" s="1" t="n">
        <v>42</v>
      </c>
      <c r="K1315" s="1" t="s">
        <v>158</v>
      </c>
      <c r="L1315" s="1" t="b">
        <f aca="false">FALSE()</f>
        <v>0</v>
      </c>
      <c r="M1315" s="1" t="str">
        <f aca="false">VLOOKUP(D1315,'Team Reference'!$A:$B,2,FALSE())</f>
        <v>KC</v>
      </c>
      <c r="N1315" s="1" t="str">
        <f aca="false">VLOOKUP(E1315,'Team Reference'!$A:$B,2,FALSE())</f>
        <v>LAC</v>
      </c>
      <c r="O1315" s="1" t="str">
        <f aca="false">IF(F1315&gt;G1315,M1315,IF(G1315&gt;F1315,N1315,"Tie"))</f>
        <v>KC</v>
      </c>
      <c r="P1315" s="1" t="n">
        <f aca="false">F1315-G1315</f>
        <v>12</v>
      </c>
      <c r="Q1315" s="1" t="n">
        <f aca="false">F1315+G1315</f>
        <v>26</v>
      </c>
      <c r="R1315" s="1" t="str">
        <f aca="false">IF(H1315=M1315,"Home",IF(H1315=N1315,"Away",IF(H1315="PICK","Pick","N/A")))</f>
        <v>Away</v>
      </c>
      <c r="S1315" s="1" t="n">
        <f aca="false">IF(R1315="Home",P1315,IF(R1315="Away",-P1315,""))</f>
        <v>-12</v>
      </c>
      <c r="T1315" s="1" t="str">
        <f aca="false">IF(R1315="Pick","No Line",IF(S1315="","N/A",IF(S1315+I1315&gt;0,"Favorite Covered",IF(S1315+I1315&lt;0,"Underdog Covered","Push"))))</f>
        <v>Underdog Covered</v>
      </c>
      <c r="U1315" s="1" t="str">
        <f aca="false">IF(Q1315&gt;J1315,"Over",IF(Q1315&lt;J1315,"Under","Push"))</f>
        <v>Under</v>
      </c>
    </row>
    <row r="1316" customFormat="false" ht="15" hidden="false" customHeight="false" outlineLevel="0" collapsed="false">
      <c r="A1316" s="1" t="s">
        <v>453</v>
      </c>
      <c r="B1316" s="1" t="n">
        <v>2014</v>
      </c>
      <c r="C1316" s="1" t="s">
        <v>233</v>
      </c>
      <c r="D1316" s="1" t="s">
        <v>89</v>
      </c>
      <c r="E1316" s="1" t="s">
        <v>99</v>
      </c>
      <c r="F1316" s="1" t="n">
        <v>24</v>
      </c>
      <c r="G1316" s="1" t="n">
        <v>37</v>
      </c>
      <c r="H1316" s="1" t="s">
        <v>100</v>
      </c>
      <c r="I1316" s="1" t="n">
        <v>-7</v>
      </c>
      <c r="J1316" s="1" t="n">
        <v>41</v>
      </c>
      <c r="K1316" s="1" t="s">
        <v>179</v>
      </c>
      <c r="L1316" s="1" t="b">
        <f aca="false">FALSE()</f>
        <v>0</v>
      </c>
      <c r="M1316" s="1" t="str">
        <f aca="false">VLOOKUP(D1316,'Team Reference'!$A:$B,2,FALSE())</f>
        <v>MIA</v>
      </c>
      <c r="N1316" s="1" t="str">
        <f aca="false">VLOOKUP(E1316,'Team Reference'!$A:$B,2,FALSE())</f>
        <v>NYJ</v>
      </c>
      <c r="O1316" s="1" t="str">
        <f aca="false">IF(F1316&gt;G1316,M1316,IF(G1316&gt;F1316,N1316,"Tie"))</f>
        <v>NYJ</v>
      </c>
      <c r="P1316" s="1" t="n">
        <f aca="false">F1316-G1316</f>
        <v>-13</v>
      </c>
      <c r="Q1316" s="1" t="n">
        <f aca="false">F1316+G1316</f>
        <v>61</v>
      </c>
      <c r="R1316" s="1" t="str">
        <f aca="false">IF(H1316=M1316,"Home",IF(H1316=N1316,"Away",IF(H1316="PICK","Pick","N/A")))</f>
        <v>Away</v>
      </c>
      <c r="S1316" s="1" t="n">
        <f aca="false">IF(R1316="Home",P1316,IF(R1316="Away",-P1316,""))</f>
        <v>13</v>
      </c>
      <c r="T1316" s="1" t="str">
        <f aca="false">IF(R1316="Pick","No Line",IF(S1316="","N/A",IF(S1316+I1316&gt;0,"Favorite Covered",IF(S1316+I1316&lt;0,"Underdog Covered","Push"))))</f>
        <v>Favorite Covered</v>
      </c>
      <c r="U1316" s="1" t="str">
        <f aca="false">IF(Q1316&gt;J1316,"Over",IF(Q1316&lt;J1316,"Under","Push"))</f>
        <v>Over</v>
      </c>
    </row>
    <row r="1317" customFormat="false" ht="15" hidden="false" customHeight="false" outlineLevel="0" collapsed="false">
      <c r="A1317" s="1" t="s">
        <v>453</v>
      </c>
      <c r="B1317" s="1" t="n">
        <v>2014</v>
      </c>
      <c r="C1317" s="1" t="s">
        <v>233</v>
      </c>
      <c r="D1317" s="1" t="s">
        <v>91</v>
      </c>
      <c r="E1317" s="1" t="s">
        <v>63</v>
      </c>
      <c r="F1317" s="1" t="n">
        <v>13</v>
      </c>
      <c r="G1317" s="1" t="n">
        <v>9</v>
      </c>
      <c r="H1317" s="1" t="s">
        <v>64</v>
      </c>
      <c r="I1317" s="1" t="n">
        <v>-7</v>
      </c>
      <c r="J1317" s="1" t="n">
        <v>47.5</v>
      </c>
      <c r="K1317" s="1" t="s">
        <v>407</v>
      </c>
      <c r="L1317" s="1" t="b">
        <f aca="false">FALSE()</f>
        <v>0</v>
      </c>
      <c r="M1317" s="1" t="str">
        <f aca="false">VLOOKUP(D1317,'Team Reference'!$A:$B,2,FALSE())</f>
        <v>MIN</v>
      </c>
      <c r="N1317" s="1" t="str">
        <f aca="false">VLOOKUP(E1317,'Team Reference'!$A:$B,2,FALSE())</f>
        <v>CHI</v>
      </c>
      <c r="O1317" s="1" t="str">
        <f aca="false">IF(F1317&gt;G1317,M1317,IF(G1317&gt;F1317,N1317,"Tie"))</f>
        <v>MIN</v>
      </c>
      <c r="P1317" s="1" t="n">
        <f aca="false">F1317-G1317</f>
        <v>4</v>
      </c>
      <c r="Q1317" s="1" t="n">
        <f aca="false">F1317+G1317</f>
        <v>22</v>
      </c>
      <c r="R1317" s="1" t="str">
        <f aca="false">IF(H1317=M1317,"Home",IF(H1317=N1317,"Away",IF(H1317="PICK","Pick","N/A")))</f>
        <v>Away</v>
      </c>
      <c r="S1317" s="1" t="n">
        <f aca="false">IF(R1317="Home",P1317,IF(R1317="Away",-P1317,""))</f>
        <v>-4</v>
      </c>
      <c r="T1317" s="1" t="str">
        <f aca="false">IF(R1317="Pick","No Line",IF(S1317="","N/A",IF(S1317+I1317&gt;0,"Favorite Covered",IF(S1317+I1317&lt;0,"Underdog Covered","Push"))))</f>
        <v>Underdog Covered</v>
      </c>
      <c r="U1317" s="1" t="str">
        <f aca="false">IF(Q1317&gt;J1317,"Over",IF(Q1317&lt;J1317,"Under","Push"))</f>
        <v>Under</v>
      </c>
    </row>
    <row r="1318" customFormat="false" ht="15" hidden="false" customHeight="false" outlineLevel="0" collapsed="false">
      <c r="A1318" s="1" t="s">
        <v>453</v>
      </c>
      <c r="B1318" s="1" t="n">
        <v>2014</v>
      </c>
      <c r="C1318" s="1" t="s">
        <v>233</v>
      </c>
      <c r="D1318" s="1" t="s">
        <v>93</v>
      </c>
      <c r="E1318" s="1" t="s">
        <v>59</v>
      </c>
      <c r="F1318" s="1" t="n">
        <v>9</v>
      </c>
      <c r="G1318" s="1" t="n">
        <v>17</v>
      </c>
      <c r="H1318" s="1" t="s">
        <v>60</v>
      </c>
      <c r="I1318" s="1" t="n">
        <v>-4.5</v>
      </c>
      <c r="J1318" s="1" t="n">
        <v>43.5</v>
      </c>
      <c r="K1318" s="1" t="s">
        <v>148</v>
      </c>
      <c r="L1318" s="1" t="b">
        <f aca="false">FALSE()</f>
        <v>0</v>
      </c>
      <c r="M1318" s="1" t="str">
        <f aca="false">VLOOKUP(D1318,'Team Reference'!$A:$B,2,FALSE())</f>
        <v>NE</v>
      </c>
      <c r="N1318" s="1" t="str">
        <f aca="false">VLOOKUP(E1318,'Team Reference'!$A:$B,2,FALSE())</f>
        <v>BUF</v>
      </c>
      <c r="O1318" s="1" t="str">
        <f aca="false">IF(F1318&gt;G1318,M1318,IF(G1318&gt;F1318,N1318,"Tie"))</f>
        <v>BUF</v>
      </c>
      <c r="P1318" s="1" t="n">
        <f aca="false">F1318-G1318</f>
        <v>-8</v>
      </c>
      <c r="Q1318" s="1" t="n">
        <f aca="false">F1318+G1318</f>
        <v>26</v>
      </c>
      <c r="R1318" s="1" t="str">
        <f aca="false">IF(H1318=M1318,"Home",IF(H1318=N1318,"Away",IF(H1318="PICK","Pick","N/A")))</f>
        <v>Away</v>
      </c>
      <c r="S1318" s="1" t="n">
        <f aca="false">IF(R1318="Home",P1318,IF(R1318="Away",-P1318,""))</f>
        <v>8</v>
      </c>
      <c r="T1318" s="1" t="str">
        <f aca="false">IF(R1318="Pick","No Line",IF(S1318="","N/A",IF(S1318+I1318&gt;0,"Favorite Covered",IF(S1318+I1318&lt;0,"Underdog Covered","Push"))))</f>
        <v>Favorite Covered</v>
      </c>
      <c r="U1318" s="1" t="str">
        <f aca="false">IF(Q1318&gt;J1318,"Over",IF(Q1318&lt;J1318,"Under","Push"))</f>
        <v>Under</v>
      </c>
    </row>
    <row r="1319" customFormat="false" ht="15" hidden="false" customHeight="false" outlineLevel="0" collapsed="false">
      <c r="A1319" s="1" t="s">
        <v>453</v>
      </c>
      <c r="B1319" s="1" t="n">
        <v>2014</v>
      </c>
      <c r="C1319" s="1" t="s">
        <v>233</v>
      </c>
      <c r="D1319" s="1" t="s">
        <v>97</v>
      </c>
      <c r="E1319" s="1" t="s">
        <v>103</v>
      </c>
      <c r="F1319" s="1" t="n">
        <v>26</v>
      </c>
      <c r="G1319" s="1" t="n">
        <v>34</v>
      </c>
      <c r="H1319" s="1" t="s">
        <v>104</v>
      </c>
      <c r="I1319" s="1" t="n">
        <v>-1</v>
      </c>
      <c r="J1319" s="1" t="n">
        <v>52</v>
      </c>
      <c r="K1319" s="1" t="s">
        <v>149</v>
      </c>
      <c r="L1319" s="1" t="b">
        <f aca="false">FALSE()</f>
        <v>0</v>
      </c>
      <c r="M1319" s="1" t="str">
        <f aca="false">VLOOKUP(D1319,'Team Reference'!$A:$B,2,FALSE())</f>
        <v>NYG</v>
      </c>
      <c r="N1319" s="1" t="str">
        <f aca="false">VLOOKUP(E1319,'Team Reference'!$A:$B,2,FALSE())</f>
        <v>PHI</v>
      </c>
      <c r="O1319" s="1" t="str">
        <f aca="false">IF(F1319&gt;G1319,M1319,IF(G1319&gt;F1319,N1319,"Tie"))</f>
        <v>PHI</v>
      </c>
      <c r="P1319" s="1" t="n">
        <f aca="false">F1319-G1319</f>
        <v>-8</v>
      </c>
      <c r="Q1319" s="1" t="n">
        <f aca="false">F1319+G1319</f>
        <v>60</v>
      </c>
      <c r="R1319" s="1" t="str">
        <f aca="false">IF(H1319=M1319,"Home",IF(H1319=N1319,"Away",IF(H1319="PICK","Pick","N/A")))</f>
        <v>Away</v>
      </c>
      <c r="S1319" s="1" t="n">
        <f aca="false">IF(R1319="Home",P1319,IF(R1319="Away",-P1319,""))</f>
        <v>8</v>
      </c>
      <c r="T1319" s="1" t="str">
        <f aca="false">IF(R1319="Pick","No Line",IF(S1319="","N/A",IF(S1319+I1319&gt;0,"Favorite Covered",IF(S1319+I1319&lt;0,"Underdog Covered","Push"))))</f>
        <v>Favorite Covered</v>
      </c>
      <c r="U1319" s="1" t="str">
        <f aca="false">IF(Q1319&gt;J1319,"Over",IF(Q1319&lt;J1319,"Under","Push"))</f>
        <v>Over</v>
      </c>
    </row>
    <row r="1320" customFormat="false" ht="15" hidden="false" customHeight="false" outlineLevel="0" collapsed="false">
      <c r="A1320" s="1" t="s">
        <v>453</v>
      </c>
      <c r="B1320" s="1" t="n">
        <v>2014</v>
      </c>
      <c r="C1320" s="1" t="s">
        <v>233</v>
      </c>
      <c r="D1320" s="1" t="s">
        <v>105</v>
      </c>
      <c r="E1320" s="1" t="s">
        <v>65</v>
      </c>
      <c r="F1320" s="1" t="n">
        <v>27</v>
      </c>
      <c r="G1320" s="1" t="n">
        <v>17</v>
      </c>
      <c r="H1320" s="1" t="s">
        <v>66</v>
      </c>
      <c r="I1320" s="1" t="n">
        <v>-3</v>
      </c>
      <c r="J1320" s="1" t="n">
        <v>48.5</v>
      </c>
      <c r="K1320" s="1" t="s">
        <v>151</v>
      </c>
      <c r="L1320" s="1" t="b">
        <f aca="false">FALSE()</f>
        <v>0</v>
      </c>
      <c r="M1320" s="1" t="str">
        <f aca="false">VLOOKUP(D1320,'Team Reference'!$A:$B,2,FALSE())</f>
        <v>PIT</v>
      </c>
      <c r="N1320" s="1" t="str">
        <f aca="false">VLOOKUP(E1320,'Team Reference'!$A:$B,2,FALSE())</f>
        <v>CIN</v>
      </c>
      <c r="O1320" s="1" t="str">
        <f aca="false">IF(F1320&gt;G1320,M1320,IF(G1320&gt;F1320,N1320,"Tie"))</f>
        <v>PIT</v>
      </c>
      <c r="P1320" s="1" t="n">
        <f aca="false">F1320-G1320</f>
        <v>10</v>
      </c>
      <c r="Q1320" s="1" t="n">
        <f aca="false">F1320+G1320</f>
        <v>44</v>
      </c>
      <c r="R1320" s="1" t="str">
        <f aca="false">IF(H1320=M1320,"Home",IF(H1320=N1320,"Away",IF(H1320="PICK","Pick","N/A")))</f>
        <v>Away</v>
      </c>
      <c r="S1320" s="1" t="n">
        <f aca="false">IF(R1320="Home",P1320,IF(R1320="Away",-P1320,""))</f>
        <v>-10</v>
      </c>
      <c r="T1320" s="1" t="str">
        <f aca="false">IF(R1320="Pick","No Line",IF(S1320="","N/A",IF(S1320+I1320&gt;0,"Favorite Covered",IF(S1320+I1320&lt;0,"Underdog Covered","Push"))))</f>
        <v>Underdog Covered</v>
      </c>
      <c r="U1320" s="1" t="str">
        <f aca="false">IF(Q1320&gt;J1320,"Over",IF(Q1320&lt;J1320,"Under","Push"))</f>
        <v>Under</v>
      </c>
    </row>
    <row r="1321" customFormat="false" ht="15" hidden="false" customHeight="false" outlineLevel="0" collapsed="false">
      <c r="A1321" s="1" t="s">
        <v>453</v>
      </c>
      <c r="B1321" s="1" t="n">
        <v>2014</v>
      </c>
      <c r="C1321" s="1" t="s">
        <v>233</v>
      </c>
      <c r="D1321" s="1" t="s">
        <v>108</v>
      </c>
      <c r="E1321" s="1" t="s">
        <v>53</v>
      </c>
      <c r="F1321" s="1" t="n">
        <v>20</v>
      </c>
      <c r="G1321" s="1" t="n">
        <v>17</v>
      </c>
      <c r="H1321" s="1" t="s">
        <v>54</v>
      </c>
      <c r="I1321" s="1" t="n">
        <v>-6.5</v>
      </c>
      <c r="J1321" s="1" t="n">
        <v>37.5</v>
      </c>
      <c r="K1321" s="1" t="s">
        <v>408</v>
      </c>
      <c r="L1321" s="1" t="b">
        <f aca="false">FALSE()</f>
        <v>0</v>
      </c>
      <c r="M1321" s="1" t="str">
        <f aca="false">VLOOKUP(D1321,'Team Reference'!$A:$B,2,FALSE())</f>
        <v>SF</v>
      </c>
      <c r="N1321" s="1" t="str">
        <f aca="false">VLOOKUP(E1321,'Team Reference'!$A:$B,2,FALSE())</f>
        <v>ARI</v>
      </c>
      <c r="O1321" s="1" t="str">
        <f aca="false">IF(F1321&gt;G1321,M1321,IF(G1321&gt;F1321,N1321,"Tie"))</f>
        <v>SF</v>
      </c>
      <c r="P1321" s="1" t="n">
        <f aca="false">F1321-G1321</f>
        <v>3</v>
      </c>
      <c r="Q1321" s="1" t="n">
        <f aca="false">F1321+G1321</f>
        <v>37</v>
      </c>
      <c r="R1321" s="1" t="str">
        <f aca="false">IF(H1321=M1321,"Home",IF(H1321=N1321,"Away",IF(H1321="PICK","Pick","N/A")))</f>
        <v>Away</v>
      </c>
      <c r="S1321" s="1" t="n">
        <f aca="false">IF(R1321="Home",P1321,IF(R1321="Away",-P1321,""))</f>
        <v>-3</v>
      </c>
      <c r="T1321" s="1" t="str">
        <f aca="false">IF(R1321="Pick","No Line",IF(S1321="","N/A",IF(S1321+I1321&gt;0,"Favorite Covered",IF(S1321+I1321&lt;0,"Underdog Covered","Push"))))</f>
        <v>Underdog Covered</v>
      </c>
      <c r="U1321" s="1" t="str">
        <f aca="false">IF(Q1321&gt;J1321,"Over",IF(Q1321&lt;J1321,"Under","Push"))</f>
        <v>Under</v>
      </c>
    </row>
    <row r="1322" customFormat="false" ht="15" hidden="false" customHeight="false" outlineLevel="0" collapsed="false">
      <c r="A1322" s="1" t="s">
        <v>453</v>
      </c>
      <c r="B1322" s="1" t="n">
        <v>2014</v>
      </c>
      <c r="C1322" s="1" t="s">
        <v>233</v>
      </c>
      <c r="D1322" s="1" t="s">
        <v>110</v>
      </c>
      <c r="E1322" s="1" t="s">
        <v>112</v>
      </c>
      <c r="F1322" s="1" t="n">
        <v>20</v>
      </c>
      <c r="G1322" s="1" t="n">
        <v>6</v>
      </c>
      <c r="H1322" s="1" t="s">
        <v>88</v>
      </c>
      <c r="I1322" s="1" t="n">
        <v>-11.5</v>
      </c>
      <c r="J1322" s="1" t="n">
        <v>41.5</v>
      </c>
      <c r="K1322" s="1" t="s">
        <v>152</v>
      </c>
      <c r="L1322" s="1" t="b">
        <f aca="false">FALSE()</f>
        <v>0</v>
      </c>
      <c r="M1322" s="1" t="str">
        <f aca="false">VLOOKUP(D1322,'Team Reference'!$A:$B,2,FALSE())</f>
        <v>SEA</v>
      </c>
      <c r="N1322" s="1" t="str">
        <f aca="false">VLOOKUP(E1322,'Team Reference'!$A:$B,2,FALSE())</f>
        <v>LAR</v>
      </c>
      <c r="O1322" s="1" t="str">
        <f aca="false">IF(F1322&gt;G1322,M1322,IF(G1322&gt;F1322,N1322,"Tie"))</f>
        <v>SEA</v>
      </c>
      <c r="P1322" s="1" t="n">
        <f aca="false">F1322-G1322</f>
        <v>14</v>
      </c>
      <c r="Q1322" s="1" t="n">
        <f aca="false">F1322+G1322</f>
        <v>26</v>
      </c>
      <c r="R1322" s="1" t="str">
        <f aca="false">IF(H1322=M1322,"Home",IF(H1322=N1322,"Away",IF(H1322="PICK","Pick","N/A")))</f>
        <v>Away</v>
      </c>
      <c r="S1322" s="1" t="n">
        <f aca="false">IF(R1322="Home",P1322,IF(R1322="Away",-P1322,""))</f>
        <v>-14</v>
      </c>
      <c r="T1322" s="1" t="str">
        <f aca="false">IF(R1322="Pick","No Line",IF(S1322="","N/A",IF(S1322+I1322&gt;0,"Favorite Covered",IF(S1322+I1322&lt;0,"Underdog Covered","Push"))))</f>
        <v>Underdog Covered</v>
      </c>
      <c r="U1322" s="1" t="str">
        <f aca="false">IF(Q1322&gt;J1322,"Over",IF(Q1322&lt;J1322,"Under","Push"))</f>
        <v>Under</v>
      </c>
    </row>
    <row r="1323" customFormat="false" ht="15" hidden="false" customHeight="false" outlineLevel="0" collapsed="false">
      <c r="A1323" s="1" t="s">
        <v>453</v>
      </c>
      <c r="B1323" s="1" t="n">
        <v>2014</v>
      </c>
      <c r="C1323" s="1" t="s">
        <v>233</v>
      </c>
      <c r="D1323" s="1" t="s">
        <v>113</v>
      </c>
      <c r="E1323" s="1" t="s">
        <v>95</v>
      </c>
      <c r="F1323" s="1" t="n">
        <v>20</v>
      </c>
      <c r="G1323" s="1" t="n">
        <v>23</v>
      </c>
      <c r="H1323" s="1" t="s">
        <v>114</v>
      </c>
      <c r="I1323" s="1" t="n">
        <v>-6</v>
      </c>
      <c r="J1323" s="1" t="n">
        <v>46.5</v>
      </c>
      <c r="K1323" s="1" t="s">
        <v>154</v>
      </c>
      <c r="L1323" s="1" t="b">
        <f aca="false">FALSE()</f>
        <v>0</v>
      </c>
      <c r="M1323" s="1" t="str">
        <f aca="false">VLOOKUP(D1323,'Team Reference'!$A:$B,2,FALSE())</f>
        <v>TB</v>
      </c>
      <c r="N1323" s="1" t="str">
        <f aca="false">VLOOKUP(E1323,'Team Reference'!$A:$B,2,FALSE())</f>
        <v>NO</v>
      </c>
      <c r="O1323" s="1" t="str">
        <f aca="false">IF(F1323&gt;G1323,M1323,IF(G1323&gt;F1323,N1323,"Tie"))</f>
        <v>NO</v>
      </c>
      <c r="P1323" s="1" t="n">
        <f aca="false">F1323-G1323</f>
        <v>-3</v>
      </c>
      <c r="Q1323" s="1" t="n">
        <f aca="false">F1323+G1323</f>
        <v>43</v>
      </c>
      <c r="R1323" s="1" t="str">
        <f aca="false">IF(H1323=M1323,"Home",IF(H1323=N1323,"Away",IF(H1323="PICK","Pick","N/A")))</f>
        <v>Home</v>
      </c>
      <c r="S1323" s="1" t="n">
        <f aca="false">IF(R1323="Home",P1323,IF(R1323="Away",-P1323,""))</f>
        <v>-3</v>
      </c>
      <c r="T1323" s="1" t="str">
        <f aca="false">IF(R1323="Pick","No Line",IF(S1323="","N/A",IF(S1323+I1323&gt;0,"Favorite Covered",IF(S1323+I1323&lt;0,"Underdog Covered","Push"))))</f>
        <v>Underdog Covered</v>
      </c>
      <c r="U1323" s="1" t="str">
        <f aca="false">IF(Q1323&gt;J1323,"Over",IF(Q1323&lt;J1323,"Under","Push"))</f>
        <v>Under</v>
      </c>
    </row>
    <row r="1324" customFormat="false" ht="15" hidden="false" customHeight="false" outlineLevel="0" collapsed="false">
      <c r="A1324" s="1" t="s">
        <v>453</v>
      </c>
      <c r="B1324" s="1" t="n">
        <v>2014</v>
      </c>
      <c r="C1324" s="1" t="s">
        <v>233</v>
      </c>
      <c r="D1324" s="1" t="s">
        <v>115</v>
      </c>
      <c r="E1324" s="1" t="s">
        <v>79</v>
      </c>
      <c r="F1324" s="1" t="n">
        <v>10</v>
      </c>
      <c r="G1324" s="1" t="n">
        <v>27</v>
      </c>
      <c r="H1324" s="1" t="s">
        <v>116</v>
      </c>
      <c r="I1324" s="1" t="n">
        <v>-7.5</v>
      </c>
      <c r="J1324" s="1" t="n">
        <v>46.5</v>
      </c>
      <c r="K1324" s="1" t="s">
        <v>155</v>
      </c>
      <c r="L1324" s="1" t="b">
        <f aca="false">FALSE()</f>
        <v>0</v>
      </c>
      <c r="M1324" s="1" t="str">
        <f aca="false">VLOOKUP(D1324,'Team Reference'!$A:$B,2,FALSE())</f>
        <v>TEN</v>
      </c>
      <c r="N1324" s="1" t="str">
        <f aca="false">VLOOKUP(E1324,'Team Reference'!$A:$B,2,FALSE())</f>
        <v>IND</v>
      </c>
      <c r="O1324" s="1" t="str">
        <f aca="false">IF(F1324&gt;G1324,M1324,IF(G1324&gt;F1324,N1324,"Tie"))</f>
        <v>IND</v>
      </c>
      <c r="P1324" s="1" t="n">
        <f aca="false">F1324-G1324</f>
        <v>-17</v>
      </c>
      <c r="Q1324" s="1" t="n">
        <f aca="false">F1324+G1324</f>
        <v>37</v>
      </c>
      <c r="R1324" s="1" t="str">
        <f aca="false">IF(H1324=M1324,"Home",IF(H1324=N1324,"Away",IF(H1324="PICK","Pick","N/A")))</f>
        <v>Home</v>
      </c>
      <c r="S1324" s="1" t="n">
        <f aca="false">IF(R1324="Home",P1324,IF(R1324="Away",-P1324,""))</f>
        <v>-17</v>
      </c>
      <c r="T1324" s="1" t="str">
        <f aca="false">IF(R1324="Pick","No Line",IF(S1324="","N/A",IF(S1324+I1324&gt;0,"Favorite Covered",IF(S1324+I1324&lt;0,"Underdog Covered","Push"))))</f>
        <v>Underdog Covered</v>
      </c>
      <c r="U1324" s="1" t="str">
        <f aca="false">IF(Q1324&gt;J1324,"Over",IF(Q1324&lt;J1324,"Under","Push"))</f>
        <v>Under</v>
      </c>
    </row>
    <row r="1325" customFormat="false" ht="15" hidden="false" customHeight="false" outlineLevel="0" collapsed="false">
      <c r="A1325" s="1" t="s">
        <v>453</v>
      </c>
      <c r="B1325" s="1" t="n">
        <v>2014</v>
      </c>
      <c r="C1325" s="1" t="s">
        <v>233</v>
      </c>
      <c r="D1325" s="1" t="s">
        <v>117</v>
      </c>
      <c r="E1325" s="1" t="s">
        <v>69</v>
      </c>
      <c r="F1325" s="1" t="n">
        <v>17</v>
      </c>
      <c r="G1325" s="1" t="n">
        <v>44</v>
      </c>
      <c r="H1325" s="1" t="s">
        <v>118</v>
      </c>
      <c r="I1325" s="1" t="n">
        <v>-6</v>
      </c>
      <c r="J1325" s="1" t="n">
        <v>47.5</v>
      </c>
      <c r="K1325" s="1" t="s">
        <v>156</v>
      </c>
      <c r="L1325" s="1" t="b">
        <f aca="false">FALSE()</f>
        <v>0</v>
      </c>
      <c r="M1325" s="1" t="str">
        <f aca="false">VLOOKUP(D1325,'Team Reference'!$A:$B,2,FALSE())</f>
        <v>WAS</v>
      </c>
      <c r="N1325" s="1" t="str">
        <f aca="false">VLOOKUP(E1325,'Team Reference'!$A:$B,2,FALSE())</f>
        <v>DAL</v>
      </c>
      <c r="O1325" s="1" t="str">
        <f aca="false">IF(F1325&gt;G1325,M1325,IF(G1325&gt;F1325,N1325,"Tie"))</f>
        <v>DAL</v>
      </c>
      <c r="P1325" s="1" t="n">
        <f aca="false">F1325-G1325</f>
        <v>-27</v>
      </c>
      <c r="Q1325" s="1" t="n">
        <f aca="false">F1325+G1325</f>
        <v>61</v>
      </c>
      <c r="R1325" s="1" t="str">
        <f aca="false">IF(H1325=M1325,"Home",IF(H1325=N1325,"Away",IF(H1325="PICK","Pick","N/A")))</f>
        <v>Home</v>
      </c>
      <c r="S1325" s="1" t="n">
        <f aca="false">IF(R1325="Home",P1325,IF(R1325="Away",-P1325,""))</f>
        <v>-27</v>
      </c>
      <c r="T1325" s="1" t="str">
        <f aca="false">IF(R1325="Pick","No Line",IF(S1325="","N/A",IF(S1325+I1325&gt;0,"Favorite Covered",IF(S1325+I1325&lt;0,"Underdog Covered","Push"))))</f>
        <v>Underdog Covered</v>
      </c>
      <c r="U1325" s="1" t="str">
        <f aca="false">IF(Q1325&gt;J1325,"Over",IF(Q1325&lt;J1325,"Under","Push"))</f>
        <v>Over</v>
      </c>
    </row>
    <row r="1326" customFormat="false" ht="15" hidden="false" customHeight="false" outlineLevel="0" collapsed="false">
      <c r="A1326" s="1" t="s">
        <v>454</v>
      </c>
      <c r="B1326" s="1" t="n">
        <v>2014</v>
      </c>
      <c r="C1326" s="1" t="s">
        <v>235</v>
      </c>
      <c r="D1326" s="1" t="s">
        <v>61</v>
      </c>
      <c r="E1326" s="1" t="s">
        <v>53</v>
      </c>
      <c r="F1326" s="1" t="n">
        <v>27</v>
      </c>
      <c r="G1326" s="1" t="n">
        <v>16</v>
      </c>
      <c r="H1326" s="1" t="s">
        <v>62</v>
      </c>
      <c r="I1326" s="1" t="n">
        <v>-6</v>
      </c>
      <c r="J1326" s="1" t="n">
        <v>37.5</v>
      </c>
      <c r="K1326" s="1" t="s">
        <v>162</v>
      </c>
      <c r="L1326" s="1" t="b">
        <f aca="false">TRUE()</f>
        <v>1</v>
      </c>
      <c r="M1326" s="1" t="str">
        <f aca="false">VLOOKUP(D1326,'Team Reference'!$A:$B,2,FALSE())</f>
        <v>CAR</v>
      </c>
      <c r="N1326" s="1" t="str">
        <f aca="false">VLOOKUP(E1326,'Team Reference'!$A:$B,2,FALSE())</f>
        <v>ARI</v>
      </c>
      <c r="O1326" s="1" t="str">
        <f aca="false">IF(F1326&gt;G1326,M1326,IF(G1326&gt;F1326,N1326,"Tie"))</f>
        <v>CAR</v>
      </c>
      <c r="P1326" s="1" t="n">
        <f aca="false">F1326-G1326</f>
        <v>11</v>
      </c>
      <c r="Q1326" s="1" t="n">
        <f aca="false">F1326+G1326</f>
        <v>43</v>
      </c>
      <c r="R1326" s="1" t="str">
        <f aca="false">IF(H1326=M1326,"Home",IF(H1326=N1326,"Away",IF(H1326="PICK","Pick","N/A")))</f>
        <v>Home</v>
      </c>
      <c r="S1326" s="1" t="n">
        <f aca="false">IF(R1326="Home",P1326,IF(R1326="Away",-P1326,""))</f>
        <v>11</v>
      </c>
      <c r="T1326" s="1" t="str">
        <f aca="false">IF(R1326="Pick","No Line",IF(S1326="","N/A",IF(S1326+I1326&gt;0,"Favorite Covered",IF(S1326+I1326&lt;0,"Underdog Covered","Push"))))</f>
        <v>Favorite Covered</v>
      </c>
      <c r="U1326" s="1" t="str">
        <f aca="false">IF(Q1326&gt;J1326,"Over",IF(Q1326&lt;J1326,"Under","Push"))</f>
        <v>Over</v>
      </c>
    </row>
    <row r="1327" customFormat="false" ht="15" hidden="false" customHeight="false" outlineLevel="0" collapsed="false">
      <c r="A1327" s="1" t="s">
        <v>454</v>
      </c>
      <c r="B1327" s="1" t="n">
        <v>2014</v>
      </c>
      <c r="C1327" s="1" t="s">
        <v>235</v>
      </c>
      <c r="D1327" s="1" t="s">
        <v>105</v>
      </c>
      <c r="E1327" s="1" t="s">
        <v>57</v>
      </c>
      <c r="F1327" s="1" t="n">
        <v>17</v>
      </c>
      <c r="G1327" s="1" t="n">
        <v>30</v>
      </c>
      <c r="H1327" s="1" t="s">
        <v>106</v>
      </c>
      <c r="I1327" s="1" t="n">
        <v>-3</v>
      </c>
      <c r="J1327" s="1" t="n">
        <v>45</v>
      </c>
      <c r="L1327" s="1" t="b">
        <f aca="false">TRUE()</f>
        <v>1</v>
      </c>
      <c r="M1327" s="1" t="str">
        <f aca="false">VLOOKUP(D1327,'Team Reference'!$A:$B,2,FALSE())</f>
        <v>PIT</v>
      </c>
      <c r="N1327" s="1" t="str">
        <f aca="false">VLOOKUP(E1327,'Team Reference'!$A:$B,2,FALSE())</f>
        <v>BAL</v>
      </c>
      <c r="O1327" s="1" t="str">
        <f aca="false">IF(F1327&gt;G1327,M1327,IF(G1327&gt;F1327,N1327,"Tie"))</f>
        <v>BAL</v>
      </c>
      <c r="P1327" s="1" t="n">
        <f aca="false">F1327-G1327</f>
        <v>-13</v>
      </c>
      <c r="Q1327" s="1" t="n">
        <f aca="false">F1327+G1327</f>
        <v>47</v>
      </c>
      <c r="R1327" s="1" t="str">
        <f aca="false">IF(H1327=M1327,"Home",IF(H1327=N1327,"Away",IF(H1327="PICK","Pick","N/A")))</f>
        <v>Home</v>
      </c>
      <c r="S1327" s="1" t="n">
        <f aca="false">IF(R1327="Home",P1327,IF(R1327="Away",-P1327,""))</f>
        <v>-13</v>
      </c>
      <c r="T1327" s="1" t="str">
        <f aca="false">IF(R1327="Pick","No Line",IF(S1327="","N/A",IF(S1327+I1327&gt;0,"Favorite Covered",IF(S1327+I1327&lt;0,"Underdog Covered","Push"))))</f>
        <v>Underdog Covered</v>
      </c>
      <c r="U1327" s="1" t="str">
        <f aca="false">IF(Q1327&gt;J1327,"Over",IF(Q1327&lt;J1327,"Under","Push"))</f>
        <v>Over</v>
      </c>
    </row>
    <row r="1328" customFormat="false" ht="15" hidden="false" customHeight="false" outlineLevel="0" collapsed="false">
      <c r="A1328" s="1" t="s">
        <v>455</v>
      </c>
      <c r="B1328" s="1" t="n">
        <v>2014</v>
      </c>
      <c r="C1328" s="1" t="s">
        <v>235</v>
      </c>
      <c r="D1328" s="1" t="s">
        <v>69</v>
      </c>
      <c r="E1328" s="1" t="s">
        <v>73</v>
      </c>
      <c r="F1328" s="1" t="n">
        <v>24</v>
      </c>
      <c r="G1328" s="1" t="n">
        <v>20</v>
      </c>
      <c r="H1328" s="1" t="s">
        <v>70</v>
      </c>
      <c r="I1328" s="1" t="n">
        <v>-6.5</v>
      </c>
      <c r="J1328" s="1" t="n">
        <v>48.5</v>
      </c>
      <c r="K1328" s="1" t="s">
        <v>165</v>
      </c>
      <c r="L1328" s="1" t="b">
        <f aca="false">TRUE()</f>
        <v>1</v>
      </c>
      <c r="M1328" s="1" t="str">
        <f aca="false">VLOOKUP(D1328,'Team Reference'!$A:$B,2,FALSE())</f>
        <v>DAL</v>
      </c>
      <c r="N1328" s="1" t="str">
        <f aca="false">VLOOKUP(E1328,'Team Reference'!$A:$B,2,FALSE())</f>
        <v>DET</v>
      </c>
      <c r="O1328" s="1" t="str">
        <f aca="false">IF(F1328&gt;G1328,M1328,IF(G1328&gt;F1328,N1328,"Tie"))</f>
        <v>DAL</v>
      </c>
      <c r="P1328" s="1" t="n">
        <f aca="false">F1328-G1328</f>
        <v>4</v>
      </c>
      <c r="Q1328" s="1" t="n">
        <f aca="false">F1328+G1328</f>
        <v>44</v>
      </c>
      <c r="R1328" s="1" t="str">
        <f aca="false">IF(H1328=M1328,"Home",IF(H1328=N1328,"Away",IF(H1328="PICK","Pick","N/A")))</f>
        <v>Home</v>
      </c>
      <c r="S1328" s="1" t="n">
        <f aca="false">IF(R1328="Home",P1328,IF(R1328="Away",-P1328,""))</f>
        <v>4</v>
      </c>
      <c r="T1328" s="1" t="str">
        <f aca="false">IF(R1328="Pick","No Line",IF(S1328="","N/A",IF(S1328+I1328&gt;0,"Favorite Covered",IF(S1328+I1328&lt;0,"Underdog Covered","Push"))))</f>
        <v>Underdog Covered</v>
      </c>
      <c r="U1328" s="1" t="str">
        <f aca="false">IF(Q1328&gt;J1328,"Over",IF(Q1328&lt;J1328,"Under","Push"))</f>
        <v>Under</v>
      </c>
    </row>
    <row r="1329" customFormat="false" ht="15" hidden="false" customHeight="false" outlineLevel="0" collapsed="false">
      <c r="A1329" s="1" t="s">
        <v>455</v>
      </c>
      <c r="B1329" s="1" t="n">
        <v>2014</v>
      </c>
      <c r="C1329" s="1" t="s">
        <v>235</v>
      </c>
      <c r="D1329" s="1" t="s">
        <v>79</v>
      </c>
      <c r="E1329" s="1" t="s">
        <v>65</v>
      </c>
      <c r="F1329" s="1" t="n">
        <v>26</v>
      </c>
      <c r="G1329" s="1" t="n">
        <v>10</v>
      </c>
      <c r="H1329" s="1" t="s">
        <v>80</v>
      </c>
      <c r="I1329" s="1" t="n">
        <v>-3</v>
      </c>
      <c r="J1329" s="1" t="n">
        <v>48</v>
      </c>
      <c r="L1329" s="1" t="b">
        <f aca="false">TRUE()</f>
        <v>1</v>
      </c>
      <c r="M1329" s="1" t="str">
        <f aca="false">VLOOKUP(D1329,'Team Reference'!$A:$B,2,FALSE())</f>
        <v>IND</v>
      </c>
      <c r="N1329" s="1" t="str">
        <f aca="false">VLOOKUP(E1329,'Team Reference'!$A:$B,2,FALSE())</f>
        <v>CIN</v>
      </c>
      <c r="O1329" s="1" t="str">
        <f aca="false">IF(F1329&gt;G1329,M1329,IF(G1329&gt;F1329,N1329,"Tie"))</f>
        <v>IND</v>
      </c>
      <c r="P1329" s="1" t="n">
        <f aca="false">F1329-G1329</f>
        <v>16</v>
      </c>
      <c r="Q1329" s="1" t="n">
        <f aca="false">F1329+G1329</f>
        <v>36</v>
      </c>
      <c r="R1329" s="1" t="str">
        <f aca="false">IF(H1329=M1329,"Home",IF(H1329=N1329,"Away",IF(H1329="PICK","Pick","N/A")))</f>
        <v>Home</v>
      </c>
      <c r="S1329" s="1" t="n">
        <f aca="false">IF(R1329="Home",P1329,IF(R1329="Away",-P1329,""))</f>
        <v>16</v>
      </c>
      <c r="T1329" s="1" t="str">
        <f aca="false">IF(R1329="Pick","No Line",IF(S1329="","N/A",IF(S1329+I1329&gt;0,"Favorite Covered",IF(S1329+I1329&lt;0,"Underdog Covered","Push"))))</f>
        <v>Favorite Covered</v>
      </c>
      <c r="U1329" s="1" t="str">
        <f aca="false">IF(Q1329&gt;J1329,"Over",IF(Q1329&lt;J1329,"Under","Push"))</f>
        <v>Under</v>
      </c>
    </row>
    <row r="1330" customFormat="false" ht="15" hidden="false" customHeight="false" outlineLevel="0" collapsed="false">
      <c r="A1330" s="1" t="s">
        <v>456</v>
      </c>
      <c r="B1330" s="1" t="n">
        <v>2014</v>
      </c>
      <c r="C1330" s="1" t="s">
        <v>238</v>
      </c>
      <c r="D1330" s="1" t="s">
        <v>93</v>
      </c>
      <c r="E1330" s="1" t="s">
        <v>57</v>
      </c>
      <c r="F1330" s="1" t="n">
        <v>35</v>
      </c>
      <c r="G1330" s="1" t="n">
        <v>31</v>
      </c>
      <c r="H1330" s="1" t="s">
        <v>94</v>
      </c>
      <c r="I1330" s="1" t="n">
        <v>-7</v>
      </c>
      <c r="J1330" s="1" t="n">
        <v>47.5</v>
      </c>
      <c r="L1330" s="1" t="b">
        <f aca="false">TRUE()</f>
        <v>1</v>
      </c>
      <c r="M1330" s="1" t="str">
        <f aca="false">VLOOKUP(D1330,'Team Reference'!$A:$B,2,FALSE())</f>
        <v>NE</v>
      </c>
      <c r="N1330" s="1" t="str">
        <f aca="false">VLOOKUP(E1330,'Team Reference'!$A:$B,2,FALSE())</f>
        <v>BAL</v>
      </c>
      <c r="O1330" s="1" t="str">
        <f aca="false">IF(F1330&gt;G1330,M1330,IF(G1330&gt;F1330,N1330,"Tie"))</f>
        <v>NE</v>
      </c>
      <c r="P1330" s="1" t="n">
        <f aca="false">F1330-G1330</f>
        <v>4</v>
      </c>
      <c r="Q1330" s="1" t="n">
        <f aca="false">F1330+G1330</f>
        <v>66</v>
      </c>
      <c r="R1330" s="1" t="str">
        <f aca="false">IF(H1330=M1330,"Home",IF(H1330=N1330,"Away",IF(H1330="PICK","Pick","N/A")))</f>
        <v>Home</v>
      </c>
      <c r="S1330" s="1" t="n">
        <f aca="false">IF(R1330="Home",P1330,IF(R1330="Away",-P1330,""))</f>
        <v>4</v>
      </c>
      <c r="T1330" s="1" t="str">
        <f aca="false">IF(R1330="Pick","No Line",IF(S1330="","N/A",IF(S1330+I1330&gt;0,"Favorite Covered",IF(S1330+I1330&lt;0,"Underdog Covered","Push"))))</f>
        <v>Underdog Covered</v>
      </c>
      <c r="U1330" s="1" t="str">
        <f aca="false">IF(Q1330&gt;J1330,"Over",IF(Q1330&lt;J1330,"Under","Push"))</f>
        <v>Over</v>
      </c>
    </row>
    <row r="1331" customFormat="false" ht="15" hidden="false" customHeight="false" outlineLevel="0" collapsed="false">
      <c r="A1331" s="1" t="s">
        <v>456</v>
      </c>
      <c r="B1331" s="1" t="n">
        <v>2014</v>
      </c>
      <c r="C1331" s="1" t="s">
        <v>238</v>
      </c>
      <c r="D1331" s="1" t="s">
        <v>110</v>
      </c>
      <c r="E1331" s="1" t="s">
        <v>61</v>
      </c>
      <c r="F1331" s="1" t="n">
        <v>31</v>
      </c>
      <c r="G1331" s="1" t="n">
        <v>17</v>
      </c>
      <c r="H1331" s="1" t="s">
        <v>111</v>
      </c>
      <c r="I1331" s="1" t="n">
        <v>-11.5</v>
      </c>
      <c r="J1331" s="1" t="n">
        <v>39.5</v>
      </c>
      <c r="L1331" s="1" t="b">
        <f aca="false">TRUE()</f>
        <v>1</v>
      </c>
      <c r="M1331" s="1" t="str">
        <f aca="false">VLOOKUP(D1331,'Team Reference'!$A:$B,2,FALSE())</f>
        <v>SEA</v>
      </c>
      <c r="N1331" s="1" t="str">
        <f aca="false">VLOOKUP(E1331,'Team Reference'!$A:$B,2,FALSE())</f>
        <v>CAR</v>
      </c>
      <c r="O1331" s="1" t="str">
        <f aca="false">IF(F1331&gt;G1331,M1331,IF(G1331&gt;F1331,N1331,"Tie"))</f>
        <v>SEA</v>
      </c>
      <c r="P1331" s="1" t="n">
        <f aca="false">F1331-G1331</f>
        <v>14</v>
      </c>
      <c r="Q1331" s="1" t="n">
        <f aca="false">F1331+G1331</f>
        <v>48</v>
      </c>
      <c r="R1331" s="1" t="str">
        <f aca="false">IF(H1331=M1331,"Home",IF(H1331=N1331,"Away",IF(H1331="PICK","Pick","N/A")))</f>
        <v>Home</v>
      </c>
      <c r="S1331" s="1" t="n">
        <f aca="false">IF(R1331="Home",P1331,IF(R1331="Away",-P1331,""))</f>
        <v>14</v>
      </c>
      <c r="T1331" s="1" t="str">
        <f aca="false">IF(R1331="Pick","No Line",IF(S1331="","N/A",IF(S1331+I1331&gt;0,"Favorite Covered",IF(S1331+I1331&lt;0,"Underdog Covered","Push"))))</f>
        <v>Favorite Covered</v>
      </c>
      <c r="U1331" s="1" t="str">
        <f aca="false">IF(Q1331&gt;J1331,"Over",IF(Q1331&lt;J1331,"Under","Push"))</f>
        <v>Over</v>
      </c>
    </row>
    <row r="1332" customFormat="false" ht="15" hidden="false" customHeight="false" outlineLevel="0" collapsed="false">
      <c r="A1332" s="1" t="s">
        <v>457</v>
      </c>
      <c r="B1332" s="1" t="n">
        <v>2014</v>
      </c>
      <c r="C1332" s="1" t="s">
        <v>238</v>
      </c>
      <c r="D1332" s="1" t="s">
        <v>71</v>
      </c>
      <c r="E1332" s="1" t="s">
        <v>79</v>
      </c>
      <c r="F1332" s="1" t="n">
        <v>13</v>
      </c>
      <c r="G1332" s="1" t="n">
        <v>24</v>
      </c>
      <c r="H1332" s="1" t="s">
        <v>72</v>
      </c>
      <c r="I1332" s="1" t="n">
        <v>-7</v>
      </c>
      <c r="J1332" s="1" t="n">
        <v>53.5</v>
      </c>
      <c r="L1332" s="1" t="b">
        <f aca="false">TRUE()</f>
        <v>1</v>
      </c>
      <c r="M1332" s="1" t="str">
        <f aca="false">VLOOKUP(D1332,'Team Reference'!$A:$B,2,FALSE())</f>
        <v>DEN</v>
      </c>
      <c r="N1332" s="1" t="str">
        <f aca="false">VLOOKUP(E1332,'Team Reference'!$A:$B,2,FALSE())</f>
        <v>IND</v>
      </c>
      <c r="O1332" s="1" t="str">
        <f aca="false">IF(F1332&gt;G1332,M1332,IF(G1332&gt;F1332,N1332,"Tie"))</f>
        <v>IND</v>
      </c>
      <c r="P1332" s="1" t="n">
        <f aca="false">F1332-G1332</f>
        <v>-11</v>
      </c>
      <c r="Q1332" s="1" t="n">
        <f aca="false">F1332+G1332</f>
        <v>37</v>
      </c>
      <c r="R1332" s="1" t="str">
        <f aca="false">IF(H1332=M1332,"Home",IF(H1332=N1332,"Away",IF(H1332="PICK","Pick","N/A")))</f>
        <v>Home</v>
      </c>
      <c r="S1332" s="1" t="n">
        <f aca="false">IF(R1332="Home",P1332,IF(R1332="Away",-P1332,""))</f>
        <v>-11</v>
      </c>
      <c r="T1332" s="1" t="str">
        <f aca="false">IF(R1332="Pick","No Line",IF(S1332="","N/A",IF(S1332+I1332&gt;0,"Favorite Covered",IF(S1332+I1332&lt;0,"Underdog Covered","Push"))))</f>
        <v>Underdog Covered</v>
      </c>
      <c r="U1332" s="1" t="str">
        <f aca="false">IF(Q1332&gt;J1332,"Over",IF(Q1332&lt;J1332,"Under","Push"))</f>
        <v>Under</v>
      </c>
    </row>
    <row r="1333" customFormat="false" ht="15" hidden="false" customHeight="false" outlineLevel="0" collapsed="false">
      <c r="A1333" s="1" t="s">
        <v>457</v>
      </c>
      <c r="B1333" s="1" t="n">
        <v>2014</v>
      </c>
      <c r="C1333" s="1" t="s">
        <v>238</v>
      </c>
      <c r="D1333" s="1" t="s">
        <v>75</v>
      </c>
      <c r="E1333" s="1" t="s">
        <v>69</v>
      </c>
      <c r="F1333" s="1" t="n">
        <v>26</v>
      </c>
      <c r="G1333" s="1" t="n">
        <v>21</v>
      </c>
      <c r="H1333" s="1" t="s">
        <v>76</v>
      </c>
      <c r="I1333" s="1" t="n">
        <v>-6</v>
      </c>
      <c r="J1333" s="1" t="n">
        <v>51.5</v>
      </c>
      <c r="L1333" s="1" t="b">
        <f aca="false">TRUE()</f>
        <v>1</v>
      </c>
      <c r="M1333" s="1" t="str">
        <f aca="false">VLOOKUP(D1333,'Team Reference'!$A:$B,2,FALSE())</f>
        <v>GB</v>
      </c>
      <c r="N1333" s="1" t="str">
        <f aca="false">VLOOKUP(E1333,'Team Reference'!$A:$B,2,FALSE())</f>
        <v>DAL</v>
      </c>
      <c r="O1333" s="1" t="str">
        <f aca="false">IF(F1333&gt;G1333,M1333,IF(G1333&gt;F1333,N1333,"Tie"))</f>
        <v>GB</v>
      </c>
      <c r="P1333" s="1" t="n">
        <f aca="false">F1333-G1333</f>
        <v>5</v>
      </c>
      <c r="Q1333" s="1" t="n">
        <f aca="false">F1333+G1333</f>
        <v>47</v>
      </c>
      <c r="R1333" s="1" t="str">
        <f aca="false">IF(H1333=M1333,"Home",IF(H1333=N1333,"Away",IF(H1333="PICK","Pick","N/A")))</f>
        <v>Home</v>
      </c>
      <c r="S1333" s="1" t="n">
        <f aca="false">IF(R1333="Home",P1333,IF(R1333="Away",-P1333,""))</f>
        <v>5</v>
      </c>
      <c r="T1333" s="1" t="str">
        <f aca="false">IF(R1333="Pick","No Line",IF(S1333="","N/A",IF(S1333+I1333&gt;0,"Favorite Covered",IF(S1333+I1333&lt;0,"Underdog Covered","Push"))))</f>
        <v>Underdog Covered</v>
      </c>
      <c r="U1333" s="1" t="str">
        <f aca="false">IF(Q1333&gt;J1333,"Over",IF(Q1333&lt;J1333,"Under","Push"))</f>
        <v>Under</v>
      </c>
    </row>
    <row r="1334" customFormat="false" ht="15" hidden="false" customHeight="false" outlineLevel="0" collapsed="false">
      <c r="A1334" s="1" t="s">
        <v>458</v>
      </c>
      <c r="B1334" s="1" t="n">
        <v>2014</v>
      </c>
      <c r="C1334" s="1" t="s">
        <v>241</v>
      </c>
      <c r="D1334" s="1" t="s">
        <v>93</v>
      </c>
      <c r="E1334" s="1" t="s">
        <v>79</v>
      </c>
      <c r="F1334" s="1" t="n">
        <v>45</v>
      </c>
      <c r="G1334" s="1" t="n">
        <v>7</v>
      </c>
      <c r="H1334" s="1" t="s">
        <v>94</v>
      </c>
      <c r="I1334" s="1" t="n">
        <v>-7</v>
      </c>
      <c r="J1334" s="1" t="n">
        <v>52</v>
      </c>
      <c r="L1334" s="1" t="b">
        <f aca="false">TRUE()</f>
        <v>1</v>
      </c>
      <c r="M1334" s="1" t="str">
        <f aca="false">VLOOKUP(D1334,'Team Reference'!$A:$B,2,FALSE())</f>
        <v>NE</v>
      </c>
      <c r="N1334" s="1" t="str">
        <f aca="false">VLOOKUP(E1334,'Team Reference'!$A:$B,2,FALSE())</f>
        <v>IND</v>
      </c>
      <c r="O1334" s="1" t="str">
        <f aca="false">IF(F1334&gt;G1334,M1334,IF(G1334&gt;F1334,N1334,"Tie"))</f>
        <v>NE</v>
      </c>
      <c r="P1334" s="1" t="n">
        <f aca="false">F1334-G1334</f>
        <v>38</v>
      </c>
      <c r="Q1334" s="1" t="n">
        <f aca="false">F1334+G1334</f>
        <v>52</v>
      </c>
      <c r="R1334" s="1" t="str">
        <f aca="false">IF(H1334=M1334,"Home",IF(H1334=N1334,"Away",IF(H1334="PICK","Pick","N/A")))</f>
        <v>Home</v>
      </c>
      <c r="S1334" s="1" t="n">
        <f aca="false">IF(R1334="Home",P1334,IF(R1334="Away",-P1334,""))</f>
        <v>38</v>
      </c>
      <c r="T1334" s="1" t="str">
        <f aca="false">IF(R1334="Pick","No Line",IF(S1334="","N/A",IF(S1334+I1334&gt;0,"Favorite Covered",IF(S1334+I1334&lt;0,"Underdog Covered","Push"))))</f>
        <v>Favorite Covered</v>
      </c>
      <c r="U1334" s="1" t="str">
        <f aca="false">IF(Q1334&gt;J1334,"Over",IF(Q1334&lt;J1334,"Under","Push"))</f>
        <v>Push</v>
      </c>
    </row>
    <row r="1335" customFormat="false" ht="15" hidden="false" customHeight="false" outlineLevel="0" collapsed="false">
      <c r="A1335" s="1" t="s">
        <v>458</v>
      </c>
      <c r="B1335" s="1" t="n">
        <v>2014</v>
      </c>
      <c r="C1335" s="1" t="s">
        <v>241</v>
      </c>
      <c r="D1335" s="1" t="s">
        <v>110</v>
      </c>
      <c r="E1335" s="1" t="s">
        <v>75</v>
      </c>
      <c r="F1335" s="1" t="n">
        <v>28</v>
      </c>
      <c r="G1335" s="1" t="n">
        <v>22</v>
      </c>
      <c r="H1335" s="1" t="s">
        <v>111</v>
      </c>
      <c r="I1335" s="1" t="n">
        <v>-8.5</v>
      </c>
      <c r="J1335" s="1" t="n">
        <v>45</v>
      </c>
      <c r="L1335" s="1" t="b">
        <f aca="false">TRUE()</f>
        <v>1</v>
      </c>
      <c r="M1335" s="1" t="str">
        <f aca="false">VLOOKUP(D1335,'Team Reference'!$A:$B,2,FALSE())</f>
        <v>SEA</v>
      </c>
      <c r="N1335" s="1" t="str">
        <f aca="false">VLOOKUP(E1335,'Team Reference'!$A:$B,2,FALSE())</f>
        <v>GB</v>
      </c>
      <c r="O1335" s="1" t="str">
        <f aca="false">IF(F1335&gt;G1335,M1335,IF(G1335&gt;F1335,N1335,"Tie"))</f>
        <v>SEA</v>
      </c>
      <c r="P1335" s="1" t="n">
        <f aca="false">F1335-G1335</f>
        <v>6</v>
      </c>
      <c r="Q1335" s="1" t="n">
        <f aca="false">F1335+G1335</f>
        <v>50</v>
      </c>
      <c r="R1335" s="1" t="str">
        <f aca="false">IF(H1335=M1335,"Home",IF(H1335=N1335,"Away",IF(H1335="PICK","Pick","N/A")))</f>
        <v>Home</v>
      </c>
      <c r="S1335" s="1" t="n">
        <f aca="false">IF(R1335="Home",P1335,IF(R1335="Away",-P1335,""))</f>
        <v>6</v>
      </c>
      <c r="T1335" s="1" t="str">
        <f aca="false">IF(R1335="Pick","No Line",IF(S1335="","N/A",IF(S1335+I1335&gt;0,"Favorite Covered",IF(S1335+I1335&lt;0,"Underdog Covered","Push"))))</f>
        <v>Underdog Covered</v>
      </c>
      <c r="U1335" s="1" t="str">
        <f aca="false">IF(Q1335&gt;J1335,"Over",IF(Q1335&lt;J1335,"Under","Push"))</f>
        <v>Over</v>
      </c>
    </row>
    <row r="1336" customFormat="false" ht="15" hidden="false" customHeight="false" outlineLevel="0" collapsed="false">
      <c r="A1336" s="1" t="s">
        <v>459</v>
      </c>
      <c r="B1336" s="1" t="n">
        <v>2014</v>
      </c>
      <c r="C1336" s="1" t="s">
        <v>243</v>
      </c>
      <c r="D1336" s="1" t="s">
        <v>93</v>
      </c>
      <c r="E1336" s="1" t="s">
        <v>110</v>
      </c>
      <c r="F1336" s="1" t="n">
        <v>28</v>
      </c>
      <c r="G1336" s="1" t="n">
        <v>24</v>
      </c>
      <c r="H1336" s="1" t="s">
        <v>111</v>
      </c>
      <c r="I1336" s="1" t="n">
        <v>-1</v>
      </c>
      <c r="J1336" s="1" t="n">
        <v>47.5</v>
      </c>
      <c r="K1336" s="1" t="s">
        <v>177</v>
      </c>
      <c r="L1336" s="1" t="b">
        <f aca="false">TRUE()</f>
        <v>1</v>
      </c>
      <c r="M1336" s="1" t="str">
        <f aca="false">VLOOKUP(D1336,'Team Reference'!$A:$B,2,FALSE())</f>
        <v>NE</v>
      </c>
      <c r="N1336" s="1" t="str">
        <f aca="false">VLOOKUP(E1336,'Team Reference'!$A:$B,2,FALSE())</f>
        <v>SEA</v>
      </c>
      <c r="O1336" s="1" t="str">
        <f aca="false">IF(F1336&gt;G1336,M1336,IF(G1336&gt;F1336,N1336,"Tie"))</f>
        <v>NE</v>
      </c>
      <c r="P1336" s="1" t="n">
        <f aca="false">F1336-G1336</f>
        <v>4</v>
      </c>
      <c r="Q1336" s="1" t="n">
        <f aca="false">F1336+G1336</f>
        <v>52</v>
      </c>
      <c r="R1336" s="1" t="str">
        <f aca="false">IF(H1336=M1336,"Home",IF(H1336=N1336,"Away",IF(H1336="PICK","Pick","N/A")))</f>
        <v>Away</v>
      </c>
      <c r="S1336" s="1" t="n">
        <f aca="false">IF(R1336="Home",P1336,IF(R1336="Away",-P1336,""))</f>
        <v>-4</v>
      </c>
      <c r="T1336" s="1" t="str">
        <f aca="false">IF(R1336="Pick","No Line",IF(S1336="","N/A",IF(S1336+I1336&gt;0,"Favorite Covered",IF(S1336+I1336&lt;0,"Underdog Covered","Push"))))</f>
        <v>Underdog Covered</v>
      </c>
      <c r="U1336" s="1" t="str">
        <f aca="false">IF(Q1336&gt;J1336,"Over",IF(Q1336&lt;J1336,"Under","Push"))</f>
        <v>Over</v>
      </c>
    </row>
    <row r="1337" customFormat="false" ht="15" hidden="false" customHeight="false" outlineLevel="0" collapsed="false">
      <c r="A1337" s="1" t="s">
        <v>460</v>
      </c>
      <c r="B1337" s="1" t="n">
        <v>2015</v>
      </c>
      <c r="C1337" s="1" t="s">
        <v>141</v>
      </c>
      <c r="D1337" s="1" t="s">
        <v>93</v>
      </c>
      <c r="E1337" s="1" t="s">
        <v>105</v>
      </c>
      <c r="F1337" s="1" t="n">
        <v>28</v>
      </c>
      <c r="G1337" s="1" t="n">
        <v>21</v>
      </c>
      <c r="H1337" s="1" t="s">
        <v>94</v>
      </c>
      <c r="I1337" s="1" t="n">
        <v>-7</v>
      </c>
      <c r="J1337" s="1" t="n">
        <v>51</v>
      </c>
      <c r="K1337" s="1" t="s">
        <v>148</v>
      </c>
      <c r="L1337" s="1" t="b">
        <f aca="false">FALSE()</f>
        <v>0</v>
      </c>
      <c r="M1337" s="1" t="str">
        <f aca="false">VLOOKUP(D1337,'Team Reference'!$A:$B,2,FALSE())</f>
        <v>NE</v>
      </c>
      <c r="N1337" s="1" t="str">
        <f aca="false">VLOOKUP(E1337,'Team Reference'!$A:$B,2,FALSE())</f>
        <v>PIT</v>
      </c>
      <c r="O1337" s="1" t="str">
        <f aca="false">IF(F1337&gt;G1337,M1337,IF(G1337&gt;F1337,N1337,"Tie"))</f>
        <v>NE</v>
      </c>
      <c r="P1337" s="1" t="n">
        <f aca="false">F1337-G1337</f>
        <v>7</v>
      </c>
      <c r="Q1337" s="1" t="n">
        <f aca="false">F1337+G1337</f>
        <v>49</v>
      </c>
      <c r="R1337" s="1" t="str">
        <f aca="false">IF(H1337=M1337,"Home",IF(H1337=N1337,"Away",IF(H1337="PICK","Pick","N/A")))</f>
        <v>Home</v>
      </c>
      <c r="S1337" s="1" t="n">
        <f aca="false">IF(R1337="Home",P1337,IF(R1337="Away",-P1337,""))</f>
        <v>7</v>
      </c>
      <c r="T1337" s="1" t="str">
        <f aca="false">IF(R1337="Pick","No Line",IF(S1337="","N/A",IF(S1337+I1337&gt;0,"Favorite Covered",IF(S1337+I1337&lt;0,"Underdog Covered","Push"))))</f>
        <v>Push</v>
      </c>
      <c r="U1337" s="1" t="str">
        <f aca="false">IF(Q1337&gt;J1337,"Over",IF(Q1337&lt;J1337,"Under","Push"))</f>
        <v>Under</v>
      </c>
    </row>
    <row r="1338" customFormat="false" ht="15" hidden="false" customHeight="false" outlineLevel="0" collapsed="false">
      <c r="A1338" s="1" t="s">
        <v>461</v>
      </c>
      <c r="B1338" s="1" t="n">
        <v>2015</v>
      </c>
      <c r="C1338" s="1" t="s">
        <v>141</v>
      </c>
      <c r="D1338" s="1" t="s">
        <v>53</v>
      </c>
      <c r="E1338" s="1" t="s">
        <v>95</v>
      </c>
      <c r="F1338" s="1" t="n">
        <v>31</v>
      </c>
      <c r="G1338" s="1" t="n">
        <v>19</v>
      </c>
      <c r="H1338" s="1" t="s">
        <v>54</v>
      </c>
      <c r="I1338" s="1" t="n">
        <v>-2.5</v>
      </c>
      <c r="J1338" s="1" t="n">
        <v>48.5</v>
      </c>
      <c r="K1338" s="1" t="s">
        <v>177</v>
      </c>
      <c r="L1338" s="1" t="b">
        <f aca="false">FALSE()</f>
        <v>0</v>
      </c>
      <c r="M1338" s="1" t="str">
        <f aca="false">VLOOKUP(D1338,'Team Reference'!$A:$B,2,FALSE())</f>
        <v>ARI</v>
      </c>
      <c r="N1338" s="1" t="str">
        <f aca="false">VLOOKUP(E1338,'Team Reference'!$A:$B,2,FALSE())</f>
        <v>NO</v>
      </c>
      <c r="O1338" s="1" t="str">
        <f aca="false">IF(F1338&gt;G1338,M1338,IF(G1338&gt;F1338,N1338,"Tie"))</f>
        <v>ARI</v>
      </c>
      <c r="P1338" s="1" t="n">
        <f aca="false">F1338-G1338</f>
        <v>12</v>
      </c>
      <c r="Q1338" s="1" t="n">
        <f aca="false">F1338+G1338</f>
        <v>50</v>
      </c>
      <c r="R1338" s="1" t="str">
        <f aca="false">IF(H1338=M1338,"Home",IF(H1338=N1338,"Away",IF(H1338="PICK","Pick","N/A")))</f>
        <v>Home</v>
      </c>
      <c r="S1338" s="1" t="n">
        <f aca="false">IF(R1338="Home",P1338,IF(R1338="Away",-P1338,""))</f>
        <v>12</v>
      </c>
      <c r="T1338" s="1" t="str">
        <f aca="false">IF(R1338="Pick","No Line",IF(S1338="","N/A",IF(S1338+I1338&gt;0,"Favorite Covered",IF(S1338+I1338&lt;0,"Underdog Covered","Push"))))</f>
        <v>Favorite Covered</v>
      </c>
      <c r="U1338" s="1" t="str">
        <f aca="false">IF(Q1338&gt;J1338,"Over",IF(Q1338&lt;J1338,"Under","Push"))</f>
        <v>Over</v>
      </c>
    </row>
    <row r="1339" customFormat="false" ht="15" hidden="false" customHeight="false" outlineLevel="0" collapsed="false">
      <c r="A1339" s="1" t="s">
        <v>461</v>
      </c>
      <c r="B1339" s="1" t="n">
        <v>2015</v>
      </c>
      <c r="C1339" s="1" t="s">
        <v>141</v>
      </c>
      <c r="D1339" s="1" t="s">
        <v>59</v>
      </c>
      <c r="E1339" s="1" t="s">
        <v>79</v>
      </c>
      <c r="F1339" s="1" t="n">
        <v>27</v>
      </c>
      <c r="G1339" s="1" t="n">
        <v>14</v>
      </c>
      <c r="H1339" s="1" t="s">
        <v>80</v>
      </c>
      <c r="I1339" s="1" t="n">
        <v>-1</v>
      </c>
      <c r="J1339" s="1" t="n">
        <v>44.5</v>
      </c>
      <c r="K1339" s="1" t="s">
        <v>144</v>
      </c>
      <c r="L1339" s="1" t="b">
        <f aca="false">FALSE()</f>
        <v>0</v>
      </c>
      <c r="M1339" s="1" t="str">
        <f aca="false">VLOOKUP(D1339,'Team Reference'!$A:$B,2,FALSE())</f>
        <v>BUF</v>
      </c>
      <c r="N1339" s="1" t="str">
        <f aca="false">VLOOKUP(E1339,'Team Reference'!$A:$B,2,FALSE())</f>
        <v>IND</v>
      </c>
      <c r="O1339" s="1" t="str">
        <f aca="false">IF(F1339&gt;G1339,M1339,IF(G1339&gt;F1339,N1339,"Tie"))</f>
        <v>BUF</v>
      </c>
      <c r="P1339" s="1" t="n">
        <f aca="false">F1339-G1339</f>
        <v>13</v>
      </c>
      <c r="Q1339" s="1" t="n">
        <f aca="false">F1339+G1339</f>
        <v>41</v>
      </c>
      <c r="R1339" s="1" t="str">
        <f aca="false">IF(H1339=M1339,"Home",IF(H1339=N1339,"Away",IF(H1339="PICK","Pick","N/A")))</f>
        <v>Away</v>
      </c>
      <c r="S1339" s="1" t="n">
        <f aca="false">IF(R1339="Home",P1339,IF(R1339="Away",-P1339,""))</f>
        <v>-13</v>
      </c>
      <c r="T1339" s="1" t="str">
        <f aca="false">IF(R1339="Pick","No Line",IF(S1339="","N/A",IF(S1339+I1339&gt;0,"Favorite Covered",IF(S1339+I1339&lt;0,"Underdog Covered","Push"))))</f>
        <v>Underdog Covered</v>
      </c>
      <c r="U1339" s="1" t="str">
        <f aca="false">IF(Q1339&gt;J1339,"Over",IF(Q1339&lt;J1339,"Under","Push"))</f>
        <v>Under</v>
      </c>
    </row>
    <row r="1340" customFormat="false" ht="15" hidden="false" customHeight="false" outlineLevel="0" collapsed="false">
      <c r="A1340" s="1" t="s">
        <v>461</v>
      </c>
      <c r="B1340" s="1" t="n">
        <v>2015</v>
      </c>
      <c r="C1340" s="1" t="s">
        <v>141</v>
      </c>
      <c r="D1340" s="1" t="s">
        <v>63</v>
      </c>
      <c r="E1340" s="1" t="s">
        <v>75</v>
      </c>
      <c r="F1340" s="1" t="n">
        <v>23</v>
      </c>
      <c r="G1340" s="1" t="n">
        <v>31</v>
      </c>
      <c r="H1340" s="1" t="s">
        <v>76</v>
      </c>
      <c r="I1340" s="1" t="n">
        <v>-6.5</v>
      </c>
      <c r="J1340" s="1" t="n">
        <v>48.5</v>
      </c>
      <c r="K1340" s="1" t="s">
        <v>145</v>
      </c>
      <c r="L1340" s="1" t="b">
        <f aca="false">FALSE()</f>
        <v>0</v>
      </c>
      <c r="M1340" s="1" t="str">
        <f aca="false">VLOOKUP(D1340,'Team Reference'!$A:$B,2,FALSE())</f>
        <v>CHI</v>
      </c>
      <c r="N1340" s="1" t="str">
        <f aca="false">VLOOKUP(E1340,'Team Reference'!$A:$B,2,FALSE())</f>
        <v>GB</v>
      </c>
      <c r="O1340" s="1" t="str">
        <f aca="false">IF(F1340&gt;G1340,M1340,IF(G1340&gt;F1340,N1340,"Tie"))</f>
        <v>GB</v>
      </c>
      <c r="P1340" s="1" t="n">
        <f aca="false">F1340-G1340</f>
        <v>-8</v>
      </c>
      <c r="Q1340" s="1" t="n">
        <f aca="false">F1340+G1340</f>
        <v>54</v>
      </c>
      <c r="R1340" s="1" t="str">
        <f aca="false">IF(H1340=M1340,"Home",IF(H1340=N1340,"Away",IF(H1340="PICK","Pick","N/A")))</f>
        <v>Away</v>
      </c>
      <c r="S1340" s="1" t="n">
        <f aca="false">IF(R1340="Home",P1340,IF(R1340="Away",-P1340,""))</f>
        <v>8</v>
      </c>
      <c r="T1340" s="1" t="str">
        <f aca="false">IF(R1340="Pick","No Line",IF(S1340="","N/A",IF(S1340+I1340&gt;0,"Favorite Covered",IF(S1340+I1340&lt;0,"Underdog Covered","Push"))))</f>
        <v>Favorite Covered</v>
      </c>
      <c r="U1340" s="1" t="str">
        <f aca="false">IF(Q1340&gt;J1340,"Over",IF(Q1340&lt;J1340,"Under","Push"))</f>
        <v>Over</v>
      </c>
    </row>
    <row r="1341" customFormat="false" ht="15" hidden="false" customHeight="false" outlineLevel="0" collapsed="false">
      <c r="A1341" s="1" t="s">
        <v>461</v>
      </c>
      <c r="B1341" s="1" t="n">
        <v>2015</v>
      </c>
      <c r="C1341" s="1" t="s">
        <v>141</v>
      </c>
      <c r="D1341" s="1" t="s">
        <v>69</v>
      </c>
      <c r="E1341" s="1" t="s">
        <v>97</v>
      </c>
      <c r="F1341" s="1" t="n">
        <v>27</v>
      </c>
      <c r="G1341" s="1" t="n">
        <v>26</v>
      </c>
      <c r="H1341" s="1" t="s">
        <v>70</v>
      </c>
      <c r="I1341" s="1" t="n">
        <v>-7</v>
      </c>
      <c r="J1341" s="1" t="n">
        <v>52.5</v>
      </c>
      <c r="K1341" s="1" t="s">
        <v>165</v>
      </c>
      <c r="L1341" s="1" t="b">
        <f aca="false">FALSE()</f>
        <v>0</v>
      </c>
      <c r="M1341" s="1" t="str">
        <f aca="false">VLOOKUP(D1341,'Team Reference'!$A:$B,2,FALSE())</f>
        <v>DAL</v>
      </c>
      <c r="N1341" s="1" t="str">
        <f aca="false">VLOOKUP(E1341,'Team Reference'!$A:$B,2,FALSE())</f>
        <v>NYG</v>
      </c>
      <c r="O1341" s="1" t="str">
        <f aca="false">IF(F1341&gt;G1341,M1341,IF(G1341&gt;F1341,N1341,"Tie"))</f>
        <v>DAL</v>
      </c>
      <c r="P1341" s="1" t="n">
        <f aca="false">F1341-G1341</f>
        <v>1</v>
      </c>
      <c r="Q1341" s="1" t="n">
        <f aca="false">F1341+G1341</f>
        <v>53</v>
      </c>
      <c r="R1341" s="1" t="str">
        <f aca="false">IF(H1341=M1341,"Home",IF(H1341=N1341,"Away",IF(H1341="PICK","Pick","N/A")))</f>
        <v>Home</v>
      </c>
      <c r="S1341" s="1" t="n">
        <f aca="false">IF(R1341="Home",P1341,IF(R1341="Away",-P1341,""))</f>
        <v>1</v>
      </c>
      <c r="T1341" s="1" t="str">
        <f aca="false">IF(R1341="Pick","No Line",IF(S1341="","N/A",IF(S1341+I1341&gt;0,"Favorite Covered",IF(S1341+I1341&lt;0,"Underdog Covered","Push"))))</f>
        <v>Underdog Covered</v>
      </c>
      <c r="U1341" s="1" t="str">
        <f aca="false">IF(Q1341&gt;J1341,"Over",IF(Q1341&lt;J1341,"Under","Push"))</f>
        <v>Over</v>
      </c>
    </row>
    <row r="1342" customFormat="false" ht="15" hidden="false" customHeight="false" outlineLevel="0" collapsed="false">
      <c r="A1342" s="1" t="s">
        <v>461</v>
      </c>
      <c r="B1342" s="1" t="n">
        <v>2015</v>
      </c>
      <c r="C1342" s="1" t="s">
        <v>141</v>
      </c>
      <c r="D1342" s="1" t="s">
        <v>71</v>
      </c>
      <c r="E1342" s="1" t="s">
        <v>57</v>
      </c>
      <c r="F1342" s="1" t="n">
        <v>19</v>
      </c>
      <c r="G1342" s="1" t="n">
        <v>13</v>
      </c>
      <c r="H1342" s="1" t="s">
        <v>72</v>
      </c>
      <c r="I1342" s="1" t="n">
        <v>-4.5</v>
      </c>
      <c r="J1342" s="1" t="n">
        <v>46.5</v>
      </c>
      <c r="K1342" s="1" t="s">
        <v>166</v>
      </c>
      <c r="L1342" s="1" t="b">
        <f aca="false">FALSE()</f>
        <v>0</v>
      </c>
      <c r="M1342" s="1" t="str">
        <f aca="false">VLOOKUP(D1342,'Team Reference'!$A:$B,2,FALSE())</f>
        <v>DEN</v>
      </c>
      <c r="N1342" s="1" t="str">
        <f aca="false">VLOOKUP(E1342,'Team Reference'!$A:$B,2,FALSE())</f>
        <v>BAL</v>
      </c>
      <c r="O1342" s="1" t="str">
        <f aca="false">IF(F1342&gt;G1342,M1342,IF(G1342&gt;F1342,N1342,"Tie"))</f>
        <v>DEN</v>
      </c>
      <c r="P1342" s="1" t="n">
        <f aca="false">F1342-G1342</f>
        <v>6</v>
      </c>
      <c r="Q1342" s="1" t="n">
        <f aca="false">F1342+G1342</f>
        <v>32</v>
      </c>
      <c r="R1342" s="1" t="str">
        <f aca="false">IF(H1342=M1342,"Home",IF(H1342=N1342,"Away",IF(H1342="PICK","Pick","N/A")))</f>
        <v>Home</v>
      </c>
      <c r="S1342" s="1" t="n">
        <f aca="false">IF(R1342="Home",P1342,IF(R1342="Away",-P1342,""))</f>
        <v>6</v>
      </c>
      <c r="T1342" s="1" t="str">
        <f aca="false">IF(R1342="Pick","No Line",IF(S1342="","N/A",IF(S1342+I1342&gt;0,"Favorite Covered",IF(S1342+I1342&lt;0,"Underdog Covered","Push"))))</f>
        <v>Favorite Covered</v>
      </c>
      <c r="U1342" s="1" t="str">
        <f aca="false">IF(Q1342&gt;J1342,"Over",IF(Q1342&lt;J1342,"Under","Push"))</f>
        <v>Under</v>
      </c>
    </row>
    <row r="1343" customFormat="false" ht="15" hidden="false" customHeight="false" outlineLevel="0" collapsed="false">
      <c r="A1343" s="1" t="s">
        <v>461</v>
      </c>
      <c r="B1343" s="1" t="n">
        <v>2015</v>
      </c>
      <c r="C1343" s="1" t="s">
        <v>141</v>
      </c>
      <c r="D1343" s="1" t="s">
        <v>77</v>
      </c>
      <c r="E1343" s="1" t="s">
        <v>83</v>
      </c>
      <c r="F1343" s="1" t="n">
        <v>20</v>
      </c>
      <c r="G1343" s="1" t="n">
        <v>27</v>
      </c>
      <c r="H1343" s="1" t="s">
        <v>84</v>
      </c>
      <c r="I1343" s="1" t="n">
        <v>-1</v>
      </c>
      <c r="J1343" s="1" t="n">
        <v>40.5</v>
      </c>
      <c r="K1343" s="1" t="s">
        <v>146</v>
      </c>
      <c r="L1343" s="1" t="b">
        <f aca="false">FALSE()</f>
        <v>0</v>
      </c>
      <c r="M1343" s="1" t="str">
        <f aca="false">VLOOKUP(D1343,'Team Reference'!$A:$B,2,FALSE())</f>
        <v>HOU</v>
      </c>
      <c r="N1343" s="1" t="str">
        <f aca="false">VLOOKUP(E1343,'Team Reference'!$A:$B,2,FALSE())</f>
        <v>KC</v>
      </c>
      <c r="O1343" s="1" t="str">
        <f aca="false">IF(F1343&gt;G1343,M1343,IF(G1343&gt;F1343,N1343,"Tie"))</f>
        <v>KC</v>
      </c>
      <c r="P1343" s="1" t="n">
        <f aca="false">F1343-G1343</f>
        <v>-7</v>
      </c>
      <c r="Q1343" s="1" t="n">
        <f aca="false">F1343+G1343</f>
        <v>47</v>
      </c>
      <c r="R1343" s="1" t="str">
        <f aca="false">IF(H1343=M1343,"Home",IF(H1343=N1343,"Away",IF(H1343="PICK","Pick","N/A")))</f>
        <v>Away</v>
      </c>
      <c r="S1343" s="1" t="n">
        <f aca="false">IF(R1343="Home",P1343,IF(R1343="Away",-P1343,""))</f>
        <v>7</v>
      </c>
      <c r="T1343" s="1" t="str">
        <f aca="false">IF(R1343="Pick","No Line",IF(S1343="","N/A",IF(S1343+I1343&gt;0,"Favorite Covered",IF(S1343+I1343&lt;0,"Underdog Covered","Push"))))</f>
        <v>Favorite Covered</v>
      </c>
      <c r="U1343" s="1" t="str">
        <f aca="false">IF(Q1343&gt;J1343,"Over",IF(Q1343&lt;J1343,"Under","Push"))</f>
        <v>Over</v>
      </c>
    </row>
    <row r="1344" customFormat="false" ht="15" hidden="false" customHeight="false" outlineLevel="0" collapsed="false">
      <c r="A1344" s="1" t="s">
        <v>461</v>
      </c>
      <c r="B1344" s="1" t="n">
        <v>2015</v>
      </c>
      <c r="C1344" s="1" t="s">
        <v>141</v>
      </c>
      <c r="D1344" s="1" t="s">
        <v>81</v>
      </c>
      <c r="E1344" s="1" t="s">
        <v>61</v>
      </c>
      <c r="F1344" s="1" t="n">
        <v>9</v>
      </c>
      <c r="G1344" s="1" t="n">
        <v>20</v>
      </c>
      <c r="H1344" s="1" t="s">
        <v>62</v>
      </c>
      <c r="I1344" s="1" t="n">
        <v>-3</v>
      </c>
      <c r="J1344" s="1" t="n">
        <v>41</v>
      </c>
      <c r="K1344" s="1" t="s">
        <v>147</v>
      </c>
      <c r="L1344" s="1" t="b">
        <f aca="false">FALSE()</f>
        <v>0</v>
      </c>
      <c r="M1344" s="1" t="str">
        <f aca="false">VLOOKUP(D1344,'Team Reference'!$A:$B,2,FALSE())</f>
        <v>JAX</v>
      </c>
      <c r="N1344" s="1" t="str">
        <f aca="false">VLOOKUP(E1344,'Team Reference'!$A:$B,2,FALSE())</f>
        <v>CAR</v>
      </c>
      <c r="O1344" s="1" t="str">
        <f aca="false">IF(F1344&gt;G1344,M1344,IF(G1344&gt;F1344,N1344,"Tie"))</f>
        <v>CAR</v>
      </c>
      <c r="P1344" s="1" t="n">
        <f aca="false">F1344-G1344</f>
        <v>-11</v>
      </c>
      <c r="Q1344" s="1" t="n">
        <f aca="false">F1344+G1344</f>
        <v>29</v>
      </c>
      <c r="R1344" s="1" t="str">
        <f aca="false">IF(H1344=M1344,"Home",IF(H1344=N1344,"Away",IF(H1344="PICK","Pick","N/A")))</f>
        <v>Away</v>
      </c>
      <c r="S1344" s="1" t="n">
        <f aca="false">IF(R1344="Home",P1344,IF(R1344="Away",-P1344,""))</f>
        <v>11</v>
      </c>
      <c r="T1344" s="1" t="str">
        <f aca="false">IF(R1344="Pick","No Line",IF(S1344="","N/A",IF(S1344+I1344&gt;0,"Favorite Covered",IF(S1344+I1344&lt;0,"Underdog Covered","Push"))))</f>
        <v>Favorite Covered</v>
      </c>
      <c r="U1344" s="1" t="str">
        <f aca="false">IF(Q1344&gt;J1344,"Over",IF(Q1344&lt;J1344,"Under","Push"))</f>
        <v>Under</v>
      </c>
    </row>
    <row r="1345" customFormat="false" ht="15" hidden="false" customHeight="false" outlineLevel="0" collapsed="false">
      <c r="A1345" s="1" t="s">
        <v>461</v>
      </c>
      <c r="B1345" s="1" t="n">
        <v>2015</v>
      </c>
      <c r="C1345" s="1" t="s">
        <v>141</v>
      </c>
      <c r="D1345" s="1" t="s">
        <v>99</v>
      </c>
      <c r="E1345" s="1" t="s">
        <v>67</v>
      </c>
      <c r="F1345" s="1" t="n">
        <v>31</v>
      </c>
      <c r="G1345" s="1" t="n">
        <v>10</v>
      </c>
      <c r="H1345" s="1" t="s">
        <v>100</v>
      </c>
      <c r="I1345" s="1" t="n">
        <v>-3.5</v>
      </c>
      <c r="J1345" s="1" t="n">
        <v>38.5</v>
      </c>
      <c r="K1345" s="1" t="s">
        <v>149</v>
      </c>
      <c r="L1345" s="1" t="b">
        <f aca="false">FALSE()</f>
        <v>0</v>
      </c>
      <c r="M1345" s="1" t="str">
        <f aca="false">VLOOKUP(D1345,'Team Reference'!$A:$B,2,FALSE())</f>
        <v>NYJ</v>
      </c>
      <c r="N1345" s="1" t="str">
        <f aca="false">VLOOKUP(E1345,'Team Reference'!$A:$B,2,FALSE())</f>
        <v>CLE</v>
      </c>
      <c r="O1345" s="1" t="str">
        <f aca="false">IF(F1345&gt;G1345,M1345,IF(G1345&gt;F1345,N1345,"Tie"))</f>
        <v>NYJ</v>
      </c>
      <c r="P1345" s="1" t="n">
        <f aca="false">F1345-G1345</f>
        <v>21</v>
      </c>
      <c r="Q1345" s="1" t="n">
        <f aca="false">F1345+G1345</f>
        <v>41</v>
      </c>
      <c r="R1345" s="1" t="str">
        <f aca="false">IF(H1345=M1345,"Home",IF(H1345=N1345,"Away",IF(H1345="PICK","Pick","N/A")))</f>
        <v>Home</v>
      </c>
      <c r="S1345" s="1" t="n">
        <f aca="false">IF(R1345="Home",P1345,IF(R1345="Away",-P1345,""))</f>
        <v>21</v>
      </c>
      <c r="T1345" s="1" t="str">
        <f aca="false">IF(R1345="Pick","No Line",IF(S1345="","N/A",IF(S1345+I1345&gt;0,"Favorite Covered",IF(S1345+I1345&lt;0,"Underdog Covered","Push"))))</f>
        <v>Favorite Covered</v>
      </c>
      <c r="U1345" s="1" t="str">
        <f aca="false">IF(Q1345&gt;J1345,"Over",IF(Q1345&lt;J1345,"Under","Push"))</f>
        <v>Over</v>
      </c>
    </row>
    <row r="1346" customFormat="false" ht="15" hidden="false" customHeight="false" outlineLevel="0" collapsed="false">
      <c r="A1346" s="1" t="s">
        <v>461</v>
      </c>
      <c r="B1346" s="1" t="n">
        <v>2015</v>
      </c>
      <c r="C1346" s="1" t="s">
        <v>141</v>
      </c>
      <c r="D1346" s="1" t="s">
        <v>101</v>
      </c>
      <c r="E1346" s="1" t="s">
        <v>65</v>
      </c>
      <c r="F1346" s="1" t="n">
        <v>13</v>
      </c>
      <c r="G1346" s="1" t="n">
        <v>33</v>
      </c>
      <c r="H1346" s="1" t="s">
        <v>102</v>
      </c>
      <c r="I1346" s="1" t="n">
        <v>-3</v>
      </c>
      <c r="J1346" s="1" t="n">
        <v>43</v>
      </c>
      <c r="K1346" s="1" t="s">
        <v>171</v>
      </c>
      <c r="L1346" s="1" t="b">
        <f aca="false">FALSE()</f>
        <v>0</v>
      </c>
      <c r="M1346" s="1" t="str">
        <f aca="false">VLOOKUP(D1346,'Team Reference'!$A:$B,2,FALSE())</f>
        <v>OAK</v>
      </c>
      <c r="N1346" s="1" t="str">
        <f aca="false">VLOOKUP(E1346,'Team Reference'!$A:$B,2,FALSE())</f>
        <v>CIN</v>
      </c>
      <c r="O1346" s="1" t="str">
        <f aca="false">IF(F1346&gt;G1346,M1346,IF(G1346&gt;F1346,N1346,"Tie"))</f>
        <v>CIN</v>
      </c>
      <c r="P1346" s="1" t="n">
        <f aca="false">F1346-G1346</f>
        <v>-20</v>
      </c>
      <c r="Q1346" s="1" t="n">
        <f aca="false">F1346+G1346</f>
        <v>46</v>
      </c>
      <c r="R1346" s="1" t="str">
        <f aca="false">IF(H1346=M1346,"Home",IF(H1346=N1346,"Away",IF(H1346="PICK","Pick","N/A")))</f>
        <v>Home</v>
      </c>
      <c r="S1346" s="1" t="n">
        <f aca="false">IF(R1346="Home",P1346,IF(R1346="Away",-P1346,""))</f>
        <v>-20</v>
      </c>
      <c r="T1346" s="1" t="str">
        <f aca="false">IF(R1346="Pick","No Line",IF(S1346="","N/A",IF(S1346+I1346&gt;0,"Favorite Covered",IF(S1346+I1346&lt;0,"Underdog Covered","Push"))))</f>
        <v>Underdog Covered</v>
      </c>
      <c r="U1346" s="1" t="str">
        <f aca="false">IF(Q1346&gt;J1346,"Over",IF(Q1346&lt;J1346,"Under","Push"))</f>
        <v>Over</v>
      </c>
    </row>
    <row r="1347" customFormat="false" ht="15" hidden="false" customHeight="false" outlineLevel="0" collapsed="false">
      <c r="A1347" s="1" t="s">
        <v>461</v>
      </c>
      <c r="B1347" s="1" t="n">
        <v>2015</v>
      </c>
      <c r="C1347" s="1" t="s">
        <v>141</v>
      </c>
      <c r="D1347" s="1" t="s">
        <v>107</v>
      </c>
      <c r="E1347" s="1" t="s">
        <v>73</v>
      </c>
      <c r="F1347" s="1" t="n">
        <v>33</v>
      </c>
      <c r="G1347" s="1" t="n">
        <v>28</v>
      </c>
      <c r="H1347" s="1" t="s">
        <v>86</v>
      </c>
      <c r="I1347" s="1" t="n">
        <v>-3.5</v>
      </c>
      <c r="J1347" s="1" t="n">
        <v>45.5</v>
      </c>
      <c r="K1347" s="1" t="s">
        <v>172</v>
      </c>
      <c r="L1347" s="1" t="b">
        <f aca="false">FALSE()</f>
        <v>0</v>
      </c>
      <c r="M1347" s="1" t="str">
        <f aca="false">VLOOKUP(D1347,'Team Reference'!$A:$B,2,FALSE())</f>
        <v>LAC</v>
      </c>
      <c r="N1347" s="1" t="str">
        <f aca="false">VLOOKUP(E1347,'Team Reference'!$A:$B,2,FALSE())</f>
        <v>DET</v>
      </c>
      <c r="O1347" s="1" t="str">
        <f aca="false">IF(F1347&gt;G1347,M1347,IF(G1347&gt;F1347,N1347,"Tie"))</f>
        <v>LAC</v>
      </c>
      <c r="P1347" s="1" t="n">
        <f aca="false">F1347-G1347</f>
        <v>5</v>
      </c>
      <c r="Q1347" s="1" t="n">
        <f aca="false">F1347+G1347</f>
        <v>61</v>
      </c>
      <c r="R1347" s="1" t="str">
        <f aca="false">IF(H1347=M1347,"Home",IF(H1347=N1347,"Away",IF(H1347="PICK","Pick","N/A")))</f>
        <v>Home</v>
      </c>
      <c r="S1347" s="1" t="n">
        <f aca="false">IF(R1347="Home",P1347,IF(R1347="Away",-P1347,""))</f>
        <v>5</v>
      </c>
      <c r="T1347" s="1" t="str">
        <f aca="false">IF(R1347="Pick","No Line",IF(S1347="","N/A",IF(S1347+I1347&gt;0,"Favorite Covered",IF(S1347+I1347&lt;0,"Underdog Covered","Push"))))</f>
        <v>Favorite Covered</v>
      </c>
      <c r="U1347" s="1" t="str">
        <f aca="false">IF(Q1347&gt;J1347,"Over",IF(Q1347&lt;J1347,"Under","Push"))</f>
        <v>Over</v>
      </c>
    </row>
    <row r="1348" customFormat="false" ht="15" hidden="false" customHeight="false" outlineLevel="0" collapsed="false">
      <c r="A1348" s="1" t="s">
        <v>461</v>
      </c>
      <c r="B1348" s="1" t="n">
        <v>2015</v>
      </c>
      <c r="C1348" s="1" t="s">
        <v>141</v>
      </c>
      <c r="D1348" s="1" t="s">
        <v>112</v>
      </c>
      <c r="E1348" s="1" t="s">
        <v>110</v>
      </c>
      <c r="F1348" s="1" t="n">
        <v>34</v>
      </c>
      <c r="G1348" s="1" t="n">
        <v>31</v>
      </c>
      <c r="H1348" s="1" t="s">
        <v>111</v>
      </c>
      <c r="I1348" s="1" t="n">
        <v>-3.5</v>
      </c>
      <c r="J1348" s="1" t="n">
        <v>41</v>
      </c>
      <c r="K1348" s="1" t="s">
        <v>153</v>
      </c>
      <c r="L1348" s="1" t="b">
        <f aca="false">FALSE()</f>
        <v>0</v>
      </c>
      <c r="M1348" s="1" t="str">
        <f aca="false">VLOOKUP(D1348,'Team Reference'!$A:$B,2,FALSE())</f>
        <v>LAR</v>
      </c>
      <c r="N1348" s="1" t="str">
        <f aca="false">VLOOKUP(E1348,'Team Reference'!$A:$B,2,FALSE())</f>
        <v>SEA</v>
      </c>
      <c r="O1348" s="1" t="str">
        <f aca="false">IF(F1348&gt;G1348,M1348,IF(G1348&gt;F1348,N1348,"Tie"))</f>
        <v>LAR</v>
      </c>
      <c r="P1348" s="1" t="n">
        <f aca="false">F1348-G1348</f>
        <v>3</v>
      </c>
      <c r="Q1348" s="1" t="n">
        <f aca="false">F1348+G1348</f>
        <v>65</v>
      </c>
      <c r="R1348" s="1" t="str">
        <f aca="false">IF(H1348=M1348,"Home",IF(H1348=N1348,"Away",IF(H1348="PICK","Pick","N/A")))</f>
        <v>Away</v>
      </c>
      <c r="S1348" s="1" t="n">
        <f aca="false">IF(R1348="Home",P1348,IF(R1348="Away",-P1348,""))</f>
        <v>-3</v>
      </c>
      <c r="T1348" s="1" t="str">
        <f aca="false">IF(R1348="Pick","No Line",IF(S1348="","N/A",IF(S1348+I1348&gt;0,"Favorite Covered",IF(S1348+I1348&lt;0,"Underdog Covered","Push"))))</f>
        <v>Underdog Covered</v>
      </c>
      <c r="U1348" s="1" t="str">
        <f aca="false">IF(Q1348&gt;J1348,"Over",IF(Q1348&lt;J1348,"Under","Push"))</f>
        <v>Over</v>
      </c>
    </row>
    <row r="1349" customFormat="false" ht="15" hidden="false" customHeight="false" outlineLevel="0" collapsed="false">
      <c r="A1349" s="1" t="s">
        <v>461</v>
      </c>
      <c r="B1349" s="1" t="n">
        <v>2015</v>
      </c>
      <c r="C1349" s="1" t="s">
        <v>141</v>
      </c>
      <c r="D1349" s="1" t="s">
        <v>113</v>
      </c>
      <c r="E1349" s="1" t="s">
        <v>115</v>
      </c>
      <c r="F1349" s="1" t="n">
        <v>14</v>
      </c>
      <c r="G1349" s="1" t="n">
        <v>42</v>
      </c>
      <c r="H1349" s="1" t="s">
        <v>114</v>
      </c>
      <c r="I1349" s="1" t="n">
        <v>-3</v>
      </c>
      <c r="J1349" s="1" t="n">
        <v>40.5</v>
      </c>
      <c r="K1349" s="1" t="s">
        <v>154</v>
      </c>
      <c r="L1349" s="1" t="b">
        <f aca="false">FALSE()</f>
        <v>0</v>
      </c>
      <c r="M1349" s="1" t="str">
        <f aca="false">VLOOKUP(D1349,'Team Reference'!$A:$B,2,FALSE())</f>
        <v>TB</v>
      </c>
      <c r="N1349" s="1" t="str">
        <f aca="false">VLOOKUP(E1349,'Team Reference'!$A:$B,2,FALSE())</f>
        <v>TEN</v>
      </c>
      <c r="O1349" s="1" t="str">
        <f aca="false">IF(F1349&gt;G1349,M1349,IF(G1349&gt;F1349,N1349,"Tie"))</f>
        <v>TEN</v>
      </c>
      <c r="P1349" s="1" t="n">
        <f aca="false">F1349-G1349</f>
        <v>-28</v>
      </c>
      <c r="Q1349" s="1" t="n">
        <f aca="false">F1349+G1349</f>
        <v>56</v>
      </c>
      <c r="R1349" s="1" t="str">
        <f aca="false">IF(H1349=M1349,"Home",IF(H1349=N1349,"Away",IF(H1349="PICK","Pick","N/A")))</f>
        <v>Home</v>
      </c>
      <c r="S1349" s="1" t="n">
        <f aca="false">IF(R1349="Home",P1349,IF(R1349="Away",-P1349,""))</f>
        <v>-28</v>
      </c>
      <c r="T1349" s="1" t="str">
        <f aca="false">IF(R1349="Pick","No Line",IF(S1349="","N/A",IF(S1349+I1349&gt;0,"Favorite Covered",IF(S1349+I1349&lt;0,"Underdog Covered","Push"))))</f>
        <v>Underdog Covered</v>
      </c>
      <c r="U1349" s="1" t="str">
        <f aca="false">IF(Q1349&gt;J1349,"Over",IF(Q1349&lt;J1349,"Under","Push"))</f>
        <v>Over</v>
      </c>
    </row>
    <row r="1350" customFormat="false" ht="15" hidden="false" customHeight="false" outlineLevel="0" collapsed="false">
      <c r="A1350" s="1" t="s">
        <v>461</v>
      </c>
      <c r="B1350" s="1" t="n">
        <v>2015</v>
      </c>
      <c r="C1350" s="1" t="s">
        <v>141</v>
      </c>
      <c r="D1350" s="1" t="s">
        <v>117</v>
      </c>
      <c r="E1350" s="1" t="s">
        <v>89</v>
      </c>
      <c r="F1350" s="1" t="n">
        <v>10</v>
      </c>
      <c r="G1350" s="1" t="n">
        <v>17</v>
      </c>
      <c r="H1350" s="1" t="s">
        <v>90</v>
      </c>
      <c r="I1350" s="1" t="n">
        <v>-4</v>
      </c>
      <c r="J1350" s="1" t="n">
        <v>45.5</v>
      </c>
      <c r="K1350" s="1" t="s">
        <v>156</v>
      </c>
      <c r="L1350" s="1" t="b">
        <f aca="false">FALSE()</f>
        <v>0</v>
      </c>
      <c r="M1350" s="1" t="str">
        <f aca="false">VLOOKUP(D1350,'Team Reference'!$A:$B,2,FALSE())</f>
        <v>WAS</v>
      </c>
      <c r="N1350" s="1" t="str">
        <f aca="false">VLOOKUP(E1350,'Team Reference'!$A:$B,2,FALSE())</f>
        <v>MIA</v>
      </c>
      <c r="O1350" s="1" t="str">
        <f aca="false">IF(F1350&gt;G1350,M1350,IF(G1350&gt;F1350,N1350,"Tie"))</f>
        <v>MIA</v>
      </c>
      <c r="P1350" s="1" t="n">
        <f aca="false">F1350-G1350</f>
        <v>-7</v>
      </c>
      <c r="Q1350" s="1" t="n">
        <f aca="false">F1350+G1350</f>
        <v>27</v>
      </c>
      <c r="R1350" s="1" t="str">
        <f aca="false">IF(H1350=M1350,"Home",IF(H1350=N1350,"Away",IF(H1350="PICK","Pick","N/A")))</f>
        <v>Away</v>
      </c>
      <c r="S1350" s="1" t="n">
        <f aca="false">IF(R1350="Home",P1350,IF(R1350="Away",-P1350,""))</f>
        <v>7</v>
      </c>
      <c r="T1350" s="1" t="str">
        <f aca="false">IF(R1350="Pick","No Line",IF(S1350="","N/A",IF(S1350+I1350&gt;0,"Favorite Covered",IF(S1350+I1350&lt;0,"Underdog Covered","Push"))))</f>
        <v>Favorite Covered</v>
      </c>
      <c r="U1350" s="1" t="str">
        <f aca="false">IF(Q1350&gt;J1350,"Over",IF(Q1350&lt;J1350,"Under","Push"))</f>
        <v>Under</v>
      </c>
    </row>
    <row r="1351" customFormat="false" ht="15" hidden="false" customHeight="false" outlineLevel="0" collapsed="false">
      <c r="A1351" s="1" t="s">
        <v>462</v>
      </c>
      <c r="B1351" s="1" t="n">
        <v>2015</v>
      </c>
      <c r="C1351" s="1" t="s">
        <v>141</v>
      </c>
      <c r="D1351" s="1" t="s">
        <v>55</v>
      </c>
      <c r="E1351" s="1" t="s">
        <v>103</v>
      </c>
      <c r="F1351" s="1" t="n">
        <v>26</v>
      </c>
      <c r="G1351" s="1" t="n">
        <v>24</v>
      </c>
      <c r="H1351" s="1" t="s">
        <v>104</v>
      </c>
      <c r="I1351" s="1" t="n">
        <v>-3</v>
      </c>
      <c r="J1351" s="1" t="n">
        <v>56</v>
      </c>
      <c r="K1351" s="1" t="s">
        <v>161</v>
      </c>
      <c r="L1351" s="1" t="b">
        <f aca="false">FALSE()</f>
        <v>0</v>
      </c>
      <c r="M1351" s="1" t="str">
        <f aca="false">VLOOKUP(D1351,'Team Reference'!$A:$B,2,FALSE())</f>
        <v>ATL</v>
      </c>
      <c r="N1351" s="1" t="str">
        <f aca="false">VLOOKUP(E1351,'Team Reference'!$A:$B,2,FALSE())</f>
        <v>PHI</v>
      </c>
      <c r="O1351" s="1" t="str">
        <f aca="false">IF(F1351&gt;G1351,M1351,IF(G1351&gt;F1351,N1351,"Tie"))</f>
        <v>ATL</v>
      </c>
      <c r="P1351" s="1" t="n">
        <f aca="false">F1351-G1351</f>
        <v>2</v>
      </c>
      <c r="Q1351" s="1" t="n">
        <f aca="false">F1351+G1351</f>
        <v>50</v>
      </c>
      <c r="R1351" s="1" t="str">
        <f aca="false">IF(H1351=M1351,"Home",IF(H1351=N1351,"Away",IF(H1351="PICK","Pick","N/A")))</f>
        <v>Away</v>
      </c>
      <c r="S1351" s="1" t="n">
        <f aca="false">IF(R1351="Home",P1351,IF(R1351="Away",-P1351,""))</f>
        <v>-2</v>
      </c>
      <c r="T1351" s="1" t="str">
        <f aca="false">IF(R1351="Pick","No Line",IF(S1351="","N/A",IF(S1351+I1351&gt;0,"Favorite Covered",IF(S1351+I1351&lt;0,"Underdog Covered","Push"))))</f>
        <v>Underdog Covered</v>
      </c>
      <c r="U1351" s="1" t="str">
        <f aca="false">IF(Q1351&gt;J1351,"Over",IF(Q1351&lt;J1351,"Under","Push"))</f>
        <v>Under</v>
      </c>
    </row>
    <row r="1352" customFormat="false" ht="15" hidden="false" customHeight="false" outlineLevel="0" collapsed="false">
      <c r="A1352" s="1" t="s">
        <v>462</v>
      </c>
      <c r="B1352" s="1" t="n">
        <v>2015</v>
      </c>
      <c r="C1352" s="1" t="s">
        <v>141</v>
      </c>
      <c r="D1352" s="1" t="s">
        <v>108</v>
      </c>
      <c r="E1352" s="1" t="s">
        <v>91</v>
      </c>
      <c r="F1352" s="1" t="n">
        <v>20</v>
      </c>
      <c r="G1352" s="1" t="n">
        <v>3</v>
      </c>
      <c r="H1352" s="1" t="s">
        <v>92</v>
      </c>
      <c r="I1352" s="1" t="n">
        <v>-2.5</v>
      </c>
      <c r="J1352" s="1" t="n">
        <v>42.5</v>
      </c>
      <c r="K1352" s="1" t="s">
        <v>408</v>
      </c>
      <c r="L1352" s="1" t="b">
        <f aca="false">FALSE()</f>
        <v>0</v>
      </c>
      <c r="M1352" s="1" t="str">
        <f aca="false">VLOOKUP(D1352,'Team Reference'!$A:$B,2,FALSE())</f>
        <v>SF</v>
      </c>
      <c r="N1352" s="1" t="str">
        <f aca="false">VLOOKUP(E1352,'Team Reference'!$A:$B,2,FALSE())</f>
        <v>MIN</v>
      </c>
      <c r="O1352" s="1" t="str">
        <f aca="false">IF(F1352&gt;G1352,M1352,IF(G1352&gt;F1352,N1352,"Tie"))</f>
        <v>SF</v>
      </c>
      <c r="P1352" s="1" t="n">
        <f aca="false">F1352-G1352</f>
        <v>17</v>
      </c>
      <c r="Q1352" s="1" t="n">
        <f aca="false">F1352+G1352</f>
        <v>23</v>
      </c>
      <c r="R1352" s="1" t="str">
        <f aca="false">IF(H1352=M1352,"Home",IF(H1352=N1352,"Away",IF(H1352="PICK","Pick","N/A")))</f>
        <v>Away</v>
      </c>
      <c r="S1352" s="1" t="n">
        <f aca="false">IF(R1352="Home",P1352,IF(R1352="Away",-P1352,""))</f>
        <v>-17</v>
      </c>
      <c r="T1352" s="1" t="str">
        <f aca="false">IF(R1352="Pick","No Line",IF(S1352="","N/A",IF(S1352+I1352&gt;0,"Favorite Covered",IF(S1352+I1352&lt;0,"Underdog Covered","Push"))))</f>
        <v>Underdog Covered</v>
      </c>
      <c r="U1352" s="1" t="str">
        <f aca="false">IF(Q1352&gt;J1352,"Over",IF(Q1352&lt;J1352,"Under","Push"))</f>
        <v>Under</v>
      </c>
    </row>
    <row r="1353" customFormat="false" ht="15" hidden="false" customHeight="false" outlineLevel="0" collapsed="false">
      <c r="A1353" s="1" t="s">
        <v>463</v>
      </c>
      <c r="B1353" s="1" t="n">
        <v>2015</v>
      </c>
      <c r="C1353" s="1" t="s">
        <v>160</v>
      </c>
      <c r="D1353" s="1" t="s">
        <v>83</v>
      </c>
      <c r="E1353" s="1" t="s">
        <v>71</v>
      </c>
      <c r="F1353" s="1" t="n">
        <v>24</v>
      </c>
      <c r="G1353" s="1" t="n">
        <v>31</v>
      </c>
      <c r="H1353" s="1" t="s">
        <v>84</v>
      </c>
      <c r="I1353" s="1" t="n">
        <v>-3</v>
      </c>
      <c r="J1353" s="1" t="n">
        <v>42</v>
      </c>
      <c r="K1353" s="1" t="s">
        <v>158</v>
      </c>
      <c r="L1353" s="1" t="b">
        <f aca="false">FALSE()</f>
        <v>0</v>
      </c>
      <c r="M1353" s="1" t="str">
        <f aca="false">VLOOKUP(D1353,'Team Reference'!$A:$B,2,FALSE())</f>
        <v>KC</v>
      </c>
      <c r="N1353" s="1" t="str">
        <f aca="false">VLOOKUP(E1353,'Team Reference'!$A:$B,2,FALSE())</f>
        <v>DEN</v>
      </c>
      <c r="O1353" s="1" t="str">
        <f aca="false">IF(F1353&gt;G1353,M1353,IF(G1353&gt;F1353,N1353,"Tie"))</f>
        <v>DEN</v>
      </c>
      <c r="P1353" s="1" t="n">
        <f aca="false">F1353-G1353</f>
        <v>-7</v>
      </c>
      <c r="Q1353" s="1" t="n">
        <f aca="false">F1353+G1353</f>
        <v>55</v>
      </c>
      <c r="R1353" s="1" t="str">
        <f aca="false">IF(H1353=M1353,"Home",IF(H1353=N1353,"Away",IF(H1353="PICK","Pick","N/A")))</f>
        <v>Home</v>
      </c>
      <c r="S1353" s="1" t="n">
        <f aca="false">IF(R1353="Home",P1353,IF(R1353="Away",-P1353,""))</f>
        <v>-7</v>
      </c>
      <c r="T1353" s="1" t="str">
        <f aca="false">IF(R1353="Pick","No Line",IF(S1353="","N/A",IF(S1353+I1353&gt;0,"Favorite Covered",IF(S1353+I1353&lt;0,"Underdog Covered","Push"))))</f>
        <v>Underdog Covered</v>
      </c>
      <c r="U1353" s="1" t="str">
        <f aca="false">IF(Q1353&gt;J1353,"Over",IF(Q1353&lt;J1353,"Under","Push"))</f>
        <v>Over</v>
      </c>
    </row>
    <row r="1354" customFormat="false" ht="15" hidden="false" customHeight="false" outlineLevel="0" collapsed="false">
      <c r="A1354" s="1" t="s">
        <v>464</v>
      </c>
      <c r="B1354" s="1" t="n">
        <v>2015</v>
      </c>
      <c r="C1354" s="1" t="s">
        <v>160</v>
      </c>
      <c r="D1354" s="1" t="s">
        <v>59</v>
      </c>
      <c r="E1354" s="1" t="s">
        <v>93</v>
      </c>
      <c r="F1354" s="1" t="n">
        <v>32</v>
      </c>
      <c r="G1354" s="1" t="n">
        <v>40</v>
      </c>
      <c r="H1354" s="1" t="s">
        <v>60</v>
      </c>
      <c r="I1354" s="1" t="n">
        <v>-1</v>
      </c>
      <c r="J1354" s="1" t="n">
        <v>44.5</v>
      </c>
      <c r="K1354" s="1" t="s">
        <v>144</v>
      </c>
      <c r="L1354" s="1" t="b">
        <f aca="false">FALSE()</f>
        <v>0</v>
      </c>
      <c r="M1354" s="1" t="str">
        <f aca="false">VLOOKUP(D1354,'Team Reference'!$A:$B,2,FALSE())</f>
        <v>BUF</v>
      </c>
      <c r="N1354" s="1" t="str">
        <f aca="false">VLOOKUP(E1354,'Team Reference'!$A:$B,2,FALSE())</f>
        <v>NE</v>
      </c>
      <c r="O1354" s="1" t="str">
        <f aca="false">IF(F1354&gt;G1354,M1354,IF(G1354&gt;F1354,N1354,"Tie"))</f>
        <v>NE</v>
      </c>
      <c r="P1354" s="1" t="n">
        <f aca="false">F1354-G1354</f>
        <v>-8</v>
      </c>
      <c r="Q1354" s="1" t="n">
        <f aca="false">F1354+G1354</f>
        <v>72</v>
      </c>
      <c r="R1354" s="1" t="str">
        <f aca="false">IF(H1354=M1354,"Home",IF(H1354=N1354,"Away",IF(H1354="PICK","Pick","N/A")))</f>
        <v>Home</v>
      </c>
      <c r="S1354" s="1" t="n">
        <f aca="false">IF(R1354="Home",P1354,IF(R1354="Away",-P1354,""))</f>
        <v>-8</v>
      </c>
      <c r="T1354" s="1" t="str">
        <f aca="false">IF(R1354="Pick","No Line",IF(S1354="","N/A",IF(S1354+I1354&gt;0,"Favorite Covered",IF(S1354+I1354&lt;0,"Underdog Covered","Push"))))</f>
        <v>Underdog Covered</v>
      </c>
      <c r="U1354" s="1" t="str">
        <f aca="false">IF(Q1354&gt;J1354,"Over",IF(Q1354&lt;J1354,"Under","Push"))</f>
        <v>Over</v>
      </c>
    </row>
    <row r="1355" customFormat="false" ht="15" hidden="false" customHeight="false" outlineLevel="0" collapsed="false">
      <c r="A1355" s="1" t="s">
        <v>464</v>
      </c>
      <c r="B1355" s="1" t="n">
        <v>2015</v>
      </c>
      <c r="C1355" s="1" t="s">
        <v>160</v>
      </c>
      <c r="D1355" s="1" t="s">
        <v>61</v>
      </c>
      <c r="E1355" s="1" t="s">
        <v>77</v>
      </c>
      <c r="F1355" s="1" t="n">
        <v>24</v>
      </c>
      <c r="G1355" s="1" t="n">
        <v>17</v>
      </c>
      <c r="H1355" s="1" t="s">
        <v>62</v>
      </c>
      <c r="I1355" s="1" t="n">
        <v>-3</v>
      </c>
      <c r="J1355" s="1" t="n">
        <v>41</v>
      </c>
      <c r="K1355" s="1" t="s">
        <v>162</v>
      </c>
      <c r="L1355" s="1" t="b">
        <f aca="false">FALSE()</f>
        <v>0</v>
      </c>
      <c r="M1355" s="1" t="str">
        <f aca="false">VLOOKUP(D1355,'Team Reference'!$A:$B,2,FALSE())</f>
        <v>CAR</v>
      </c>
      <c r="N1355" s="1" t="str">
        <f aca="false">VLOOKUP(E1355,'Team Reference'!$A:$B,2,FALSE())</f>
        <v>HOU</v>
      </c>
      <c r="O1355" s="1" t="str">
        <f aca="false">IF(F1355&gt;G1355,M1355,IF(G1355&gt;F1355,N1355,"Tie"))</f>
        <v>CAR</v>
      </c>
      <c r="P1355" s="1" t="n">
        <f aca="false">F1355-G1355</f>
        <v>7</v>
      </c>
      <c r="Q1355" s="1" t="n">
        <f aca="false">F1355+G1355</f>
        <v>41</v>
      </c>
      <c r="R1355" s="1" t="str">
        <f aca="false">IF(H1355=M1355,"Home",IF(H1355=N1355,"Away",IF(H1355="PICK","Pick","N/A")))</f>
        <v>Home</v>
      </c>
      <c r="S1355" s="1" t="n">
        <f aca="false">IF(R1355="Home",P1355,IF(R1355="Away",-P1355,""))</f>
        <v>7</v>
      </c>
      <c r="T1355" s="1" t="str">
        <f aca="false">IF(R1355="Pick","No Line",IF(S1355="","N/A",IF(S1355+I1355&gt;0,"Favorite Covered",IF(S1355+I1355&lt;0,"Underdog Covered","Push"))))</f>
        <v>Favorite Covered</v>
      </c>
      <c r="U1355" s="1" t="str">
        <f aca="false">IF(Q1355&gt;J1355,"Over",IF(Q1355&lt;J1355,"Under","Push"))</f>
        <v>Push</v>
      </c>
    </row>
    <row r="1356" customFormat="false" ht="15" hidden="false" customHeight="false" outlineLevel="0" collapsed="false">
      <c r="A1356" s="1" t="s">
        <v>464</v>
      </c>
      <c r="B1356" s="1" t="n">
        <v>2015</v>
      </c>
      <c r="C1356" s="1" t="s">
        <v>160</v>
      </c>
      <c r="D1356" s="1" t="s">
        <v>63</v>
      </c>
      <c r="E1356" s="1" t="s">
        <v>53</v>
      </c>
      <c r="F1356" s="1" t="n">
        <v>23</v>
      </c>
      <c r="G1356" s="1" t="n">
        <v>48</v>
      </c>
      <c r="H1356" s="1" t="s">
        <v>54</v>
      </c>
      <c r="I1356" s="1" t="n">
        <v>-2</v>
      </c>
      <c r="J1356" s="1" t="n">
        <v>46</v>
      </c>
      <c r="K1356" s="1" t="s">
        <v>145</v>
      </c>
      <c r="L1356" s="1" t="b">
        <f aca="false">FALSE()</f>
        <v>0</v>
      </c>
      <c r="M1356" s="1" t="str">
        <f aca="false">VLOOKUP(D1356,'Team Reference'!$A:$B,2,FALSE())</f>
        <v>CHI</v>
      </c>
      <c r="N1356" s="1" t="str">
        <f aca="false">VLOOKUP(E1356,'Team Reference'!$A:$B,2,FALSE())</f>
        <v>ARI</v>
      </c>
      <c r="O1356" s="1" t="str">
        <f aca="false">IF(F1356&gt;G1356,M1356,IF(G1356&gt;F1356,N1356,"Tie"))</f>
        <v>ARI</v>
      </c>
      <c r="P1356" s="1" t="n">
        <f aca="false">F1356-G1356</f>
        <v>-25</v>
      </c>
      <c r="Q1356" s="1" t="n">
        <f aca="false">F1356+G1356</f>
        <v>71</v>
      </c>
      <c r="R1356" s="1" t="str">
        <f aca="false">IF(H1356=M1356,"Home",IF(H1356=N1356,"Away",IF(H1356="PICK","Pick","N/A")))</f>
        <v>Away</v>
      </c>
      <c r="S1356" s="1" t="n">
        <f aca="false">IF(R1356="Home",P1356,IF(R1356="Away",-P1356,""))</f>
        <v>25</v>
      </c>
      <c r="T1356" s="1" t="str">
        <f aca="false">IF(R1356="Pick","No Line",IF(S1356="","N/A",IF(S1356+I1356&gt;0,"Favorite Covered",IF(S1356+I1356&lt;0,"Underdog Covered","Push"))))</f>
        <v>Favorite Covered</v>
      </c>
      <c r="U1356" s="1" t="str">
        <f aca="false">IF(Q1356&gt;J1356,"Over",IF(Q1356&lt;J1356,"Under","Push"))</f>
        <v>Over</v>
      </c>
    </row>
    <row r="1357" customFormat="false" ht="15" hidden="false" customHeight="false" outlineLevel="0" collapsed="false">
      <c r="A1357" s="1" t="s">
        <v>464</v>
      </c>
      <c r="B1357" s="1" t="n">
        <v>2015</v>
      </c>
      <c r="C1357" s="1" t="s">
        <v>160</v>
      </c>
      <c r="D1357" s="1" t="s">
        <v>65</v>
      </c>
      <c r="E1357" s="1" t="s">
        <v>107</v>
      </c>
      <c r="F1357" s="1" t="n">
        <v>24</v>
      </c>
      <c r="G1357" s="1" t="n">
        <v>19</v>
      </c>
      <c r="H1357" s="1" t="s">
        <v>66</v>
      </c>
      <c r="I1357" s="1" t="n">
        <v>-3.5</v>
      </c>
      <c r="J1357" s="1" t="n">
        <v>48</v>
      </c>
      <c r="K1357" s="1" t="s">
        <v>163</v>
      </c>
      <c r="L1357" s="1" t="b">
        <f aca="false">FALSE()</f>
        <v>0</v>
      </c>
      <c r="M1357" s="1" t="str">
        <f aca="false">VLOOKUP(D1357,'Team Reference'!$A:$B,2,FALSE())</f>
        <v>CIN</v>
      </c>
      <c r="N1357" s="1" t="str">
        <f aca="false">VLOOKUP(E1357,'Team Reference'!$A:$B,2,FALSE())</f>
        <v>LAC</v>
      </c>
      <c r="O1357" s="1" t="str">
        <f aca="false">IF(F1357&gt;G1357,M1357,IF(G1357&gt;F1357,N1357,"Tie"))</f>
        <v>CIN</v>
      </c>
      <c r="P1357" s="1" t="n">
        <f aca="false">F1357-G1357</f>
        <v>5</v>
      </c>
      <c r="Q1357" s="1" t="n">
        <f aca="false">F1357+G1357</f>
        <v>43</v>
      </c>
      <c r="R1357" s="1" t="str">
        <f aca="false">IF(H1357=M1357,"Home",IF(H1357=N1357,"Away",IF(H1357="PICK","Pick","N/A")))</f>
        <v>Home</v>
      </c>
      <c r="S1357" s="1" t="n">
        <f aca="false">IF(R1357="Home",P1357,IF(R1357="Away",-P1357,""))</f>
        <v>5</v>
      </c>
      <c r="T1357" s="1" t="str">
        <f aca="false">IF(R1357="Pick","No Line",IF(S1357="","N/A",IF(S1357+I1357&gt;0,"Favorite Covered",IF(S1357+I1357&lt;0,"Underdog Covered","Push"))))</f>
        <v>Favorite Covered</v>
      </c>
      <c r="U1357" s="1" t="str">
        <f aca="false">IF(Q1357&gt;J1357,"Over",IF(Q1357&lt;J1357,"Under","Push"))</f>
        <v>Under</v>
      </c>
    </row>
    <row r="1358" customFormat="false" ht="15" hidden="false" customHeight="false" outlineLevel="0" collapsed="false">
      <c r="A1358" s="1" t="s">
        <v>464</v>
      </c>
      <c r="B1358" s="1" t="n">
        <v>2015</v>
      </c>
      <c r="C1358" s="1" t="s">
        <v>160</v>
      </c>
      <c r="D1358" s="1" t="s">
        <v>67</v>
      </c>
      <c r="E1358" s="1" t="s">
        <v>115</v>
      </c>
      <c r="F1358" s="1" t="n">
        <v>28</v>
      </c>
      <c r="G1358" s="1" t="n">
        <v>14</v>
      </c>
      <c r="H1358" s="1" t="s">
        <v>116</v>
      </c>
      <c r="I1358" s="1" t="n">
        <v>-1</v>
      </c>
      <c r="J1358" s="1" t="n">
        <v>41</v>
      </c>
      <c r="K1358" s="1" t="s">
        <v>164</v>
      </c>
      <c r="L1358" s="1" t="b">
        <f aca="false">FALSE()</f>
        <v>0</v>
      </c>
      <c r="M1358" s="1" t="str">
        <f aca="false">VLOOKUP(D1358,'Team Reference'!$A:$B,2,FALSE())</f>
        <v>CLE</v>
      </c>
      <c r="N1358" s="1" t="str">
        <f aca="false">VLOOKUP(E1358,'Team Reference'!$A:$B,2,FALSE())</f>
        <v>TEN</v>
      </c>
      <c r="O1358" s="1" t="str">
        <f aca="false">IF(F1358&gt;G1358,M1358,IF(G1358&gt;F1358,N1358,"Tie"))</f>
        <v>CLE</v>
      </c>
      <c r="P1358" s="1" t="n">
        <f aca="false">F1358-G1358</f>
        <v>14</v>
      </c>
      <c r="Q1358" s="1" t="n">
        <f aca="false">F1358+G1358</f>
        <v>42</v>
      </c>
      <c r="R1358" s="1" t="str">
        <f aca="false">IF(H1358=M1358,"Home",IF(H1358=N1358,"Away",IF(H1358="PICK","Pick","N/A")))</f>
        <v>Away</v>
      </c>
      <c r="S1358" s="1" t="n">
        <f aca="false">IF(R1358="Home",P1358,IF(R1358="Away",-P1358,""))</f>
        <v>-14</v>
      </c>
      <c r="T1358" s="1" t="str">
        <f aca="false">IF(R1358="Pick","No Line",IF(S1358="","N/A",IF(S1358+I1358&gt;0,"Favorite Covered",IF(S1358+I1358&lt;0,"Underdog Covered","Push"))))</f>
        <v>Underdog Covered</v>
      </c>
      <c r="U1358" s="1" t="str">
        <f aca="false">IF(Q1358&gt;J1358,"Over",IF(Q1358&lt;J1358,"Under","Push"))</f>
        <v>Over</v>
      </c>
    </row>
    <row r="1359" customFormat="false" ht="15" hidden="false" customHeight="false" outlineLevel="0" collapsed="false">
      <c r="A1359" s="1" t="s">
        <v>464</v>
      </c>
      <c r="B1359" s="1" t="n">
        <v>2015</v>
      </c>
      <c r="C1359" s="1" t="s">
        <v>160</v>
      </c>
      <c r="D1359" s="1" t="s">
        <v>75</v>
      </c>
      <c r="E1359" s="1" t="s">
        <v>110</v>
      </c>
      <c r="F1359" s="1" t="n">
        <v>27</v>
      </c>
      <c r="G1359" s="1" t="n">
        <v>17</v>
      </c>
      <c r="H1359" s="1" t="s">
        <v>76</v>
      </c>
      <c r="I1359" s="1" t="n">
        <v>-3</v>
      </c>
      <c r="J1359" s="1" t="n">
        <v>49.5</v>
      </c>
      <c r="K1359" s="1" t="s">
        <v>168</v>
      </c>
      <c r="L1359" s="1" t="b">
        <f aca="false">FALSE()</f>
        <v>0</v>
      </c>
      <c r="M1359" s="1" t="str">
        <f aca="false">VLOOKUP(D1359,'Team Reference'!$A:$B,2,FALSE())</f>
        <v>GB</v>
      </c>
      <c r="N1359" s="1" t="str">
        <f aca="false">VLOOKUP(E1359,'Team Reference'!$A:$B,2,FALSE())</f>
        <v>SEA</v>
      </c>
      <c r="O1359" s="1" t="str">
        <f aca="false">IF(F1359&gt;G1359,M1359,IF(G1359&gt;F1359,N1359,"Tie"))</f>
        <v>GB</v>
      </c>
      <c r="P1359" s="1" t="n">
        <f aca="false">F1359-G1359</f>
        <v>10</v>
      </c>
      <c r="Q1359" s="1" t="n">
        <f aca="false">F1359+G1359</f>
        <v>44</v>
      </c>
      <c r="R1359" s="1" t="str">
        <f aca="false">IF(H1359=M1359,"Home",IF(H1359=N1359,"Away",IF(H1359="PICK","Pick","N/A")))</f>
        <v>Home</v>
      </c>
      <c r="S1359" s="1" t="n">
        <f aca="false">IF(R1359="Home",P1359,IF(R1359="Away",-P1359,""))</f>
        <v>10</v>
      </c>
      <c r="T1359" s="1" t="str">
        <f aca="false">IF(R1359="Pick","No Line",IF(S1359="","N/A",IF(S1359+I1359&gt;0,"Favorite Covered",IF(S1359+I1359&lt;0,"Underdog Covered","Push"))))</f>
        <v>Favorite Covered</v>
      </c>
      <c r="U1359" s="1" t="str">
        <f aca="false">IF(Q1359&gt;J1359,"Over",IF(Q1359&lt;J1359,"Under","Push"))</f>
        <v>Under</v>
      </c>
    </row>
    <row r="1360" customFormat="false" ht="15" hidden="false" customHeight="false" outlineLevel="0" collapsed="false">
      <c r="A1360" s="1" t="s">
        <v>464</v>
      </c>
      <c r="B1360" s="1" t="n">
        <v>2015</v>
      </c>
      <c r="C1360" s="1" t="s">
        <v>160</v>
      </c>
      <c r="D1360" s="1" t="s">
        <v>81</v>
      </c>
      <c r="E1360" s="1" t="s">
        <v>89</v>
      </c>
      <c r="F1360" s="1" t="n">
        <v>23</v>
      </c>
      <c r="G1360" s="1" t="n">
        <v>20</v>
      </c>
      <c r="H1360" s="1" t="s">
        <v>90</v>
      </c>
      <c r="I1360" s="1" t="n">
        <v>-6</v>
      </c>
      <c r="J1360" s="1" t="n">
        <v>42</v>
      </c>
      <c r="K1360" s="1" t="s">
        <v>147</v>
      </c>
      <c r="L1360" s="1" t="b">
        <f aca="false">FALSE()</f>
        <v>0</v>
      </c>
      <c r="M1360" s="1" t="str">
        <f aca="false">VLOOKUP(D1360,'Team Reference'!$A:$B,2,FALSE())</f>
        <v>JAX</v>
      </c>
      <c r="N1360" s="1" t="str">
        <f aca="false">VLOOKUP(E1360,'Team Reference'!$A:$B,2,FALSE())</f>
        <v>MIA</v>
      </c>
      <c r="O1360" s="1" t="str">
        <f aca="false">IF(F1360&gt;G1360,M1360,IF(G1360&gt;F1360,N1360,"Tie"))</f>
        <v>JAX</v>
      </c>
      <c r="P1360" s="1" t="n">
        <f aca="false">F1360-G1360</f>
        <v>3</v>
      </c>
      <c r="Q1360" s="1" t="n">
        <f aca="false">F1360+G1360</f>
        <v>43</v>
      </c>
      <c r="R1360" s="1" t="str">
        <f aca="false">IF(H1360=M1360,"Home",IF(H1360=N1360,"Away",IF(H1360="PICK","Pick","N/A")))</f>
        <v>Away</v>
      </c>
      <c r="S1360" s="1" t="n">
        <f aca="false">IF(R1360="Home",P1360,IF(R1360="Away",-P1360,""))</f>
        <v>-3</v>
      </c>
      <c r="T1360" s="1" t="str">
        <f aca="false">IF(R1360="Pick","No Line",IF(S1360="","N/A",IF(S1360+I1360&gt;0,"Favorite Covered",IF(S1360+I1360&lt;0,"Underdog Covered","Push"))))</f>
        <v>Underdog Covered</v>
      </c>
      <c r="U1360" s="1" t="str">
        <f aca="false">IF(Q1360&gt;J1360,"Over",IF(Q1360&lt;J1360,"Under","Push"))</f>
        <v>Over</v>
      </c>
    </row>
    <row r="1361" customFormat="false" ht="15" hidden="false" customHeight="false" outlineLevel="0" collapsed="false">
      <c r="A1361" s="1" t="s">
        <v>464</v>
      </c>
      <c r="B1361" s="1" t="n">
        <v>2015</v>
      </c>
      <c r="C1361" s="1" t="s">
        <v>160</v>
      </c>
      <c r="D1361" s="1" t="s">
        <v>91</v>
      </c>
      <c r="E1361" s="1" t="s">
        <v>73</v>
      </c>
      <c r="F1361" s="1" t="n">
        <v>26</v>
      </c>
      <c r="G1361" s="1" t="n">
        <v>16</v>
      </c>
      <c r="H1361" s="1" t="s">
        <v>92</v>
      </c>
      <c r="I1361" s="1" t="n">
        <v>-2.5</v>
      </c>
      <c r="J1361" s="1" t="n">
        <v>44</v>
      </c>
      <c r="K1361" s="1" t="s">
        <v>407</v>
      </c>
      <c r="L1361" s="1" t="b">
        <f aca="false">FALSE()</f>
        <v>0</v>
      </c>
      <c r="M1361" s="1" t="str">
        <f aca="false">VLOOKUP(D1361,'Team Reference'!$A:$B,2,FALSE())</f>
        <v>MIN</v>
      </c>
      <c r="N1361" s="1" t="str">
        <f aca="false">VLOOKUP(E1361,'Team Reference'!$A:$B,2,FALSE())</f>
        <v>DET</v>
      </c>
      <c r="O1361" s="1" t="str">
        <f aca="false">IF(F1361&gt;G1361,M1361,IF(G1361&gt;F1361,N1361,"Tie"))</f>
        <v>MIN</v>
      </c>
      <c r="P1361" s="1" t="n">
        <f aca="false">F1361-G1361</f>
        <v>10</v>
      </c>
      <c r="Q1361" s="1" t="n">
        <f aca="false">F1361+G1361</f>
        <v>42</v>
      </c>
      <c r="R1361" s="1" t="str">
        <f aca="false">IF(H1361=M1361,"Home",IF(H1361=N1361,"Away",IF(H1361="PICK","Pick","N/A")))</f>
        <v>Home</v>
      </c>
      <c r="S1361" s="1" t="n">
        <f aca="false">IF(R1361="Home",P1361,IF(R1361="Away",-P1361,""))</f>
        <v>10</v>
      </c>
      <c r="T1361" s="1" t="str">
        <f aca="false">IF(R1361="Pick","No Line",IF(S1361="","N/A",IF(S1361+I1361&gt;0,"Favorite Covered",IF(S1361+I1361&lt;0,"Underdog Covered","Push"))))</f>
        <v>Favorite Covered</v>
      </c>
      <c r="U1361" s="1" t="str">
        <f aca="false">IF(Q1361&gt;J1361,"Over",IF(Q1361&lt;J1361,"Under","Push"))</f>
        <v>Under</v>
      </c>
    </row>
    <row r="1362" customFormat="false" ht="15" hidden="false" customHeight="false" outlineLevel="0" collapsed="false">
      <c r="A1362" s="1" t="s">
        <v>464</v>
      </c>
      <c r="B1362" s="1" t="n">
        <v>2015</v>
      </c>
      <c r="C1362" s="1" t="s">
        <v>160</v>
      </c>
      <c r="D1362" s="1" t="s">
        <v>95</v>
      </c>
      <c r="E1362" s="1" t="s">
        <v>113</v>
      </c>
      <c r="F1362" s="1" t="n">
        <v>19</v>
      </c>
      <c r="G1362" s="1" t="n">
        <v>26</v>
      </c>
      <c r="H1362" s="1" t="s">
        <v>96</v>
      </c>
      <c r="I1362" s="1" t="n">
        <v>-9</v>
      </c>
      <c r="J1362" s="1" t="n">
        <v>47</v>
      </c>
      <c r="K1362" s="1" t="s">
        <v>142</v>
      </c>
      <c r="L1362" s="1" t="b">
        <f aca="false">FALSE()</f>
        <v>0</v>
      </c>
      <c r="M1362" s="1" t="str">
        <f aca="false">VLOOKUP(D1362,'Team Reference'!$A:$B,2,FALSE())</f>
        <v>NO</v>
      </c>
      <c r="N1362" s="1" t="str">
        <f aca="false">VLOOKUP(E1362,'Team Reference'!$A:$B,2,FALSE())</f>
        <v>TB</v>
      </c>
      <c r="O1362" s="1" t="str">
        <f aca="false">IF(F1362&gt;G1362,M1362,IF(G1362&gt;F1362,N1362,"Tie"))</f>
        <v>TB</v>
      </c>
      <c r="P1362" s="1" t="n">
        <f aca="false">F1362-G1362</f>
        <v>-7</v>
      </c>
      <c r="Q1362" s="1" t="n">
        <f aca="false">F1362+G1362</f>
        <v>45</v>
      </c>
      <c r="R1362" s="1" t="str">
        <f aca="false">IF(H1362=M1362,"Home",IF(H1362=N1362,"Away",IF(H1362="PICK","Pick","N/A")))</f>
        <v>Home</v>
      </c>
      <c r="S1362" s="1" t="n">
        <f aca="false">IF(R1362="Home",P1362,IF(R1362="Away",-P1362,""))</f>
        <v>-7</v>
      </c>
      <c r="T1362" s="1" t="str">
        <f aca="false">IF(R1362="Pick","No Line",IF(S1362="","N/A",IF(S1362+I1362&gt;0,"Favorite Covered",IF(S1362+I1362&lt;0,"Underdog Covered","Push"))))</f>
        <v>Underdog Covered</v>
      </c>
      <c r="U1362" s="1" t="str">
        <f aca="false">IF(Q1362&gt;J1362,"Over",IF(Q1362&lt;J1362,"Under","Push"))</f>
        <v>Under</v>
      </c>
    </row>
    <row r="1363" customFormat="false" ht="15" hidden="false" customHeight="false" outlineLevel="0" collapsed="false">
      <c r="A1363" s="1" t="s">
        <v>464</v>
      </c>
      <c r="B1363" s="1" t="n">
        <v>2015</v>
      </c>
      <c r="C1363" s="1" t="s">
        <v>160</v>
      </c>
      <c r="D1363" s="1" t="s">
        <v>97</v>
      </c>
      <c r="E1363" s="1" t="s">
        <v>55</v>
      </c>
      <c r="F1363" s="1" t="n">
        <v>20</v>
      </c>
      <c r="G1363" s="1" t="n">
        <v>24</v>
      </c>
      <c r="H1363" s="1" t="s">
        <v>98</v>
      </c>
      <c r="I1363" s="1" t="n">
        <v>-2</v>
      </c>
      <c r="J1363" s="1" t="n">
        <v>50</v>
      </c>
      <c r="K1363" s="1" t="s">
        <v>149</v>
      </c>
      <c r="L1363" s="1" t="b">
        <f aca="false">FALSE()</f>
        <v>0</v>
      </c>
      <c r="M1363" s="1" t="str">
        <f aca="false">VLOOKUP(D1363,'Team Reference'!$A:$B,2,FALSE())</f>
        <v>NYG</v>
      </c>
      <c r="N1363" s="1" t="str">
        <f aca="false">VLOOKUP(E1363,'Team Reference'!$A:$B,2,FALSE())</f>
        <v>ATL</v>
      </c>
      <c r="O1363" s="1" t="str">
        <f aca="false">IF(F1363&gt;G1363,M1363,IF(G1363&gt;F1363,N1363,"Tie"))</f>
        <v>ATL</v>
      </c>
      <c r="P1363" s="1" t="n">
        <f aca="false">F1363-G1363</f>
        <v>-4</v>
      </c>
      <c r="Q1363" s="1" t="n">
        <f aca="false">F1363+G1363</f>
        <v>44</v>
      </c>
      <c r="R1363" s="1" t="str">
        <f aca="false">IF(H1363=M1363,"Home",IF(H1363=N1363,"Away",IF(H1363="PICK","Pick","N/A")))</f>
        <v>Home</v>
      </c>
      <c r="S1363" s="1" t="n">
        <f aca="false">IF(R1363="Home",P1363,IF(R1363="Away",-P1363,""))</f>
        <v>-4</v>
      </c>
      <c r="T1363" s="1" t="str">
        <f aca="false">IF(R1363="Pick","No Line",IF(S1363="","N/A",IF(S1363+I1363&gt;0,"Favorite Covered",IF(S1363+I1363&lt;0,"Underdog Covered","Push"))))</f>
        <v>Underdog Covered</v>
      </c>
      <c r="U1363" s="1" t="str">
        <f aca="false">IF(Q1363&gt;J1363,"Over",IF(Q1363&lt;J1363,"Under","Push"))</f>
        <v>Under</v>
      </c>
    </row>
    <row r="1364" customFormat="false" ht="15" hidden="false" customHeight="false" outlineLevel="0" collapsed="false">
      <c r="A1364" s="1" t="s">
        <v>464</v>
      </c>
      <c r="B1364" s="1" t="n">
        <v>2015</v>
      </c>
      <c r="C1364" s="1" t="s">
        <v>160</v>
      </c>
      <c r="D1364" s="1" t="s">
        <v>101</v>
      </c>
      <c r="E1364" s="1" t="s">
        <v>57</v>
      </c>
      <c r="F1364" s="1" t="n">
        <v>37</v>
      </c>
      <c r="G1364" s="1" t="n">
        <v>33</v>
      </c>
      <c r="H1364" s="1" t="s">
        <v>58</v>
      </c>
      <c r="I1364" s="1" t="n">
        <v>-6</v>
      </c>
      <c r="J1364" s="1" t="n">
        <v>42</v>
      </c>
      <c r="K1364" s="1" t="s">
        <v>171</v>
      </c>
      <c r="L1364" s="1" t="b">
        <f aca="false">FALSE()</f>
        <v>0</v>
      </c>
      <c r="M1364" s="1" t="str">
        <f aca="false">VLOOKUP(D1364,'Team Reference'!$A:$B,2,FALSE())</f>
        <v>OAK</v>
      </c>
      <c r="N1364" s="1" t="str">
        <f aca="false">VLOOKUP(E1364,'Team Reference'!$A:$B,2,FALSE())</f>
        <v>BAL</v>
      </c>
      <c r="O1364" s="1" t="str">
        <f aca="false">IF(F1364&gt;G1364,M1364,IF(G1364&gt;F1364,N1364,"Tie"))</f>
        <v>OAK</v>
      </c>
      <c r="P1364" s="1" t="n">
        <f aca="false">F1364-G1364</f>
        <v>4</v>
      </c>
      <c r="Q1364" s="1" t="n">
        <f aca="false">F1364+G1364</f>
        <v>70</v>
      </c>
      <c r="R1364" s="1" t="str">
        <f aca="false">IF(H1364=M1364,"Home",IF(H1364=N1364,"Away",IF(H1364="PICK","Pick","N/A")))</f>
        <v>Away</v>
      </c>
      <c r="S1364" s="1" t="n">
        <f aca="false">IF(R1364="Home",P1364,IF(R1364="Away",-P1364,""))</f>
        <v>-4</v>
      </c>
      <c r="T1364" s="1" t="str">
        <f aca="false">IF(R1364="Pick","No Line",IF(S1364="","N/A",IF(S1364+I1364&gt;0,"Favorite Covered",IF(S1364+I1364&lt;0,"Underdog Covered","Push"))))</f>
        <v>Underdog Covered</v>
      </c>
      <c r="U1364" s="1" t="str">
        <f aca="false">IF(Q1364&gt;J1364,"Over",IF(Q1364&lt;J1364,"Under","Push"))</f>
        <v>Over</v>
      </c>
    </row>
    <row r="1365" customFormat="false" ht="15" hidden="false" customHeight="false" outlineLevel="0" collapsed="false">
      <c r="A1365" s="1" t="s">
        <v>464</v>
      </c>
      <c r="B1365" s="1" t="n">
        <v>2015</v>
      </c>
      <c r="C1365" s="1" t="s">
        <v>160</v>
      </c>
      <c r="D1365" s="1" t="s">
        <v>103</v>
      </c>
      <c r="E1365" s="1" t="s">
        <v>69</v>
      </c>
      <c r="F1365" s="1" t="n">
        <v>10</v>
      </c>
      <c r="G1365" s="1" t="n">
        <v>20</v>
      </c>
      <c r="H1365" s="1" t="s">
        <v>104</v>
      </c>
      <c r="I1365" s="1" t="n">
        <v>-6.5</v>
      </c>
      <c r="J1365" s="1" t="n">
        <v>54</v>
      </c>
      <c r="K1365" s="1" t="s">
        <v>150</v>
      </c>
      <c r="L1365" s="1" t="b">
        <f aca="false">FALSE()</f>
        <v>0</v>
      </c>
      <c r="M1365" s="1" t="str">
        <f aca="false">VLOOKUP(D1365,'Team Reference'!$A:$B,2,FALSE())</f>
        <v>PHI</v>
      </c>
      <c r="N1365" s="1" t="str">
        <f aca="false">VLOOKUP(E1365,'Team Reference'!$A:$B,2,FALSE())</f>
        <v>DAL</v>
      </c>
      <c r="O1365" s="1" t="str">
        <f aca="false">IF(F1365&gt;G1365,M1365,IF(G1365&gt;F1365,N1365,"Tie"))</f>
        <v>DAL</v>
      </c>
      <c r="P1365" s="1" t="n">
        <f aca="false">F1365-G1365</f>
        <v>-10</v>
      </c>
      <c r="Q1365" s="1" t="n">
        <f aca="false">F1365+G1365</f>
        <v>30</v>
      </c>
      <c r="R1365" s="1" t="str">
        <f aca="false">IF(H1365=M1365,"Home",IF(H1365=N1365,"Away",IF(H1365="PICK","Pick","N/A")))</f>
        <v>Home</v>
      </c>
      <c r="S1365" s="1" t="n">
        <f aca="false">IF(R1365="Home",P1365,IF(R1365="Away",-P1365,""))</f>
        <v>-10</v>
      </c>
      <c r="T1365" s="1" t="str">
        <f aca="false">IF(R1365="Pick","No Line",IF(S1365="","N/A",IF(S1365+I1365&gt;0,"Favorite Covered",IF(S1365+I1365&lt;0,"Underdog Covered","Push"))))</f>
        <v>Underdog Covered</v>
      </c>
      <c r="U1365" s="1" t="str">
        <f aca="false">IF(Q1365&gt;J1365,"Over",IF(Q1365&lt;J1365,"Under","Push"))</f>
        <v>Under</v>
      </c>
    </row>
    <row r="1366" customFormat="false" ht="15" hidden="false" customHeight="false" outlineLevel="0" collapsed="false">
      <c r="A1366" s="1" t="s">
        <v>464</v>
      </c>
      <c r="B1366" s="1" t="n">
        <v>2015</v>
      </c>
      <c r="C1366" s="1" t="s">
        <v>160</v>
      </c>
      <c r="D1366" s="1" t="s">
        <v>105</v>
      </c>
      <c r="E1366" s="1" t="s">
        <v>108</v>
      </c>
      <c r="F1366" s="1" t="n">
        <v>43</v>
      </c>
      <c r="G1366" s="1" t="n">
        <v>18</v>
      </c>
      <c r="H1366" s="1" t="s">
        <v>106</v>
      </c>
      <c r="I1366" s="1" t="n">
        <v>-6</v>
      </c>
      <c r="J1366" s="1" t="n">
        <v>46</v>
      </c>
      <c r="K1366" s="1" t="s">
        <v>151</v>
      </c>
      <c r="L1366" s="1" t="b">
        <f aca="false">FALSE()</f>
        <v>0</v>
      </c>
      <c r="M1366" s="1" t="str">
        <f aca="false">VLOOKUP(D1366,'Team Reference'!$A:$B,2,FALSE())</f>
        <v>PIT</v>
      </c>
      <c r="N1366" s="1" t="str">
        <f aca="false">VLOOKUP(E1366,'Team Reference'!$A:$B,2,FALSE())</f>
        <v>SF</v>
      </c>
      <c r="O1366" s="1" t="str">
        <f aca="false">IF(F1366&gt;G1366,M1366,IF(G1366&gt;F1366,N1366,"Tie"))</f>
        <v>PIT</v>
      </c>
      <c r="P1366" s="1" t="n">
        <f aca="false">F1366-G1366</f>
        <v>25</v>
      </c>
      <c r="Q1366" s="1" t="n">
        <f aca="false">F1366+G1366</f>
        <v>61</v>
      </c>
      <c r="R1366" s="1" t="str">
        <f aca="false">IF(H1366=M1366,"Home",IF(H1366=N1366,"Away",IF(H1366="PICK","Pick","N/A")))</f>
        <v>Home</v>
      </c>
      <c r="S1366" s="1" t="n">
        <f aca="false">IF(R1366="Home",P1366,IF(R1366="Away",-P1366,""))</f>
        <v>25</v>
      </c>
      <c r="T1366" s="1" t="str">
        <f aca="false">IF(R1366="Pick","No Line",IF(S1366="","N/A",IF(S1366+I1366&gt;0,"Favorite Covered",IF(S1366+I1366&lt;0,"Underdog Covered","Push"))))</f>
        <v>Favorite Covered</v>
      </c>
      <c r="U1366" s="1" t="str">
        <f aca="false">IF(Q1366&gt;J1366,"Over",IF(Q1366&lt;J1366,"Under","Push"))</f>
        <v>Over</v>
      </c>
    </row>
    <row r="1367" customFormat="false" ht="15" hidden="false" customHeight="false" outlineLevel="0" collapsed="false">
      <c r="A1367" s="1" t="s">
        <v>464</v>
      </c>
      <c r="B1367" s="1" t="n">
        <v>2015</v>
      </c>
      <c r="C1367" s="1" t="s">
        <v>160</v>
      </c>
      <c r="D1367" s="1" t="s">
        <v>117</v>
      </c>
      <c r="E1367" s="1" t="s">
        <v>112</v>
      </c>
      <c r="F1367" s="1" t="n">
        <v>24</v>
      </c>
      <c r="G1367" s="1" t="n">
        <v>10</v>
      </c>
      <c r="H1367" s="1" t="s">
        <v>88</v>
      </c>
      <c r="I1367" s="1" t="n">
        <v>-3</v>
      </c>
      <c r="J1367" s="1" t="n">
        <v>41</v>
      </c>
      <c r="K1367" s="1" t="s">
        <v>156</v>
      </c>
      <c r="L1367" s="1" t="b">
        <f aca="false">FALSE()</f>
        <v>0</v>
      </c>
      <c r="M1367" s="1" t="str">
        <f aca="false">VLOOKUP(D1367,'Team Reference'!$A:$B,2,FALSE())</f>
        <v>WAS</v>
      </c>
      <c r="N1367" s="1" t="str">
        <f aca="false">VLOOKUP(E1367,'Team Reference'!$A:$B,2,FALSE())</f>
        <v>LAR</v>
      </c>
      <c r="O1367" s="1" t="str">
        <f aca="false">IF(F1367&gt;G1367,M1367,IF(G1367&gt;F1367,N1367,"Tie"))</f>
        <v>WAS</v>
      </c>
      <c r="P1367" s="1" t="n">
        <f aca="false">F1367-G1367</f>
        <v>14</v>
      </c>
      <c r="Q1367" s="1" t="n">
        <f aca="false">F1367+G1367</f>
        <v>34</v>
      </c>
      <c r="R1367" s="1" t="str">
        <f aca="false">IF(H1367=M1367,"Home",IF(H1367=N1367,"Away",IF(H1367="PICK","Pick","N/A")))</f>
        <v>Away</v>
      </c>
      <c r="S1367" s="1" t="n">
        <f aca="false">IF(R1367="Home",P1367,IF(R1367="Away",-P1367,""))</f>
        <v>-14</v>
      </c>
      <c r="T1367" s="1" t="str">
        <f aca="false">IF(R1367="Pick","No Line",IF(S1367="","N/A",IF(S1367+I1367&gt;0,"Favorite Covered",IF(S1367+I1367&lt;0,"Underdog Covered","Push"))))</f>
        <v>Underdog Covered</v>
      </c>
      <c r="U1367" s="1" t="str">
        <f aca="false">IF(Q1367&gt;J1367,"Over",IF(Q1367&lt;J1367,"Under","Push"))</f>
        <v>Under</v>
      </c>
    </row>
    <row r="1368" customFormat="false" ht="15" hidden="false" customHeight="false" outlineLevel="0" collapsed="false">
      <c r="A1368" s="1" t="s">
        <v>465</v>
      </c>
      <c r="B1368" s="1" t="n">
        <v>2015</v>
      </c>
      <c r="C1368" s="1" t="s">
        <v>160</v>
      </c>
      <c r="D1368" s="1" t="s">
        <v>79</v>
      </c>
      <c r="E1368" s="1" t="s">
        <v>99</v>
      </c>
      <c r="F1368" s="1" t="n">
        <v>7</v>
      </c>
      <c r="G1368" s="1" t="n">
        <v>20</v>
      </c>
      <c r="H1368" s="1" t="s">
        <v>80</v>
      </c>
      <c r="I1368" s="1" t="n">
        <v>-6</v>
      </c>
      <c r="J1368" s="1" t="n">
        <v>46</v>
      </c>
      <c r="K1368" s="1" t="s">
        <v>169</v>
      </c>
      <c r="L1368" s="1" t="b">
        <f aca="false">FALSE()</f>
        <v>0</v>
      </c>
      <c r="M1368" s="1" t="str">
        <f aca="false">VLOOKUP(D1368,'Team Reference'!$A:$B,2,FALSE())</f>
        <v>IND</v>
      </c>
      <c r="N1368" s="1" t="str">
        <f aca="false">VLOOKUP(E1368,'Team Reference'!$A:$B,2,FALSE())</f>
        <v>NYJ</v>
      </c>
      <c r="O1368" s="1" t="str">
        <f aca="false">IF(F1368&gt;G1368,M1368,IF(G1368&gt;F1368,N1368,"Tie"))</f>
        <v>NYJ</v>
      </c>
      <c r="P1368" s="1" t="n">
        <f aca="false">F1368-G1368</f>
        <v>-13</v>
      </c>
      <c r="Q1368" s="1" t="n">
        <f aca="false">F1368+G1368</f>
        <v>27</v>
      </c>
      <c r="R1368" s="1" t="str">
        <f aca="false">IF(H1368=M1368,"Home",IF(H1368=N1368,"Away",IF(H1368="PICK","Pick","N/A")))</f>
        <v>Home</v>
      </c>
      <c r="S1368" s="1" t="n">
        <f aca="false">IF(R1368="Home",P1368,IF(R1368="Away",-P1368,""))</f>
        <v>-13</v>
      </c>
      <c r="T1368" s="1" t="str">
        <f aca="false">IF(R1368="Pick","No Line",IF(S1368="","N/A",IF(S1368+I1368&gt;0,"Favorite Covered",IF(S1368+I1368&lt;0,"Underdog Covered","Push"))))</f>
        <v>Underdog Covered</v>
      </c>
      <c r="U1368" s="1" t="str">
        <f aca="false">IF(Q1368&gt;J1368,"Over",IF(Q1368&lt;J1368,"Under","Push"))</f>
        <v>Under</v>
      </c>
    </row>
    <row r="1369" customFormat="false" ht="15" hidden="false" customHeight="false" outlineLevel="0" collapsed="false">
      <c r="A1369" s="1" t="s">
        <v>466</v>
      </c>
      <c r="B1369" s="1" t="n">
        <v>2015</v>
      </c>
      <c r="C1369" s="1" t="s">
        <v>176</v>
      </c>
      <c r="D1369" s="1" t="s">
        <v>97</v>
      </c>
      <c r="E1369" s="1" t="s">
        <v>117</v>
      </c>
      <c r="F1369" s="1" t="n">
        <v>32</v>
      </c>
      <c r="G1369" s="1" t="n">
        <v>21</v>
      </c>
      <c r="H1369" s="1" t="s">
        <v>98</v>
      </c>
      <c r="I1369" s="1" t="n">
        <v>-3</v>
      </c>
      <c r="J1369" s="1" t="n">
        <v>45</v>
      </c>
      <c r="K1369" s="1" t="s">
        <v>149</v>
      </c>
      <c r="L1369" s="1" t="b">
        <f aca="false">FALSE()</f>
        <v>0</v>
      </c>
      <c r="M1369" s="1" t="str">
        <f aca="false">VLOOKUP(D1369,'Team Reference'!$A:$B,2,FALSE())</f>
        <v>NYG</v>
      </c>
      <c r="N1369" s="1" t="str">
        <f aca="false">VLOOKUP(E1369,'Team Reference'!$A:$B,2,FALSE())</f>
        <v>WAS</v>
      </c>
      <c r="O1369" s="1" t="str">
        <f aca="false">IF(F1369&gt;G1369,M1369,IF(G1369&gt;F1369,N1369,"Tie"))</f>
        <v>NYG</v>
      </c>
      <c r="P1369" s="1" t="n">
        <f aca="false">F1369-G1369</f>
        <v>11</v>
      </c>
      <c r="Q1369" s="1" t="n">
        <f aca="false">F1369+G1369</f>
        <v>53</v>
      </c>
      <c r="R1369" s="1" t="str">
        <f aca="false">IF(H1369=M1369,"Home",IF(H1369=N1369,"Away",IF(H1369="PICK","Pick","N/A")))</f>
        <v>Home</v>
      </c>
      <c r="S1369" s="1" t="n">
        <f aca="false">IF(R1369="Home",P1369,IF(R1369="Away",-P1369,""))</f>
        <v>11</v>
      </c>
      <c r="T1369" s="1" t="str">
        <f aca="false">IF(R1369="Pick","No Line",IF(S1369="","N/A",IF(S1369+I1369&gt;0,"Favorite Covered",IF(S1369+I1369&lt;0,"Underdog Covered","Push"))))</f>
        <v>Favorite Covered</v>
      </c>
      <c r="U1369" s="1" t="str">
        <f aca="false">IF(Q1369&gt;J1369,"Over",IF(Q1369&lt;J1369,"Under","Push"))</f>
        <v>Over</v>
      </c>
    </row>
    <row r="1370" customFormat="false" ht="15" hidden="false" customHeight="false" outlineLevel="0" collapsed="false">
      <c r="A1370" s="1" t="s">
        <v>467</v>
      </c>
      <c r="B1370" s="1" t="n">
        <v>2015</v>
      </c>
      <c r="C1370" s="1" t="s">
        <v>176</v>
      </c>
      <c r="D1370" s="1" t="s">
        <v>53</v>
      </c>
      <c r="E1370" s="1" t="s">
        <v>108</v>
      </c>
      <c r="F1370" s="1" t="n">
        <v>47</v>
      </c>
      <c r="G1370" s="1" t="n">
        <v>7</v>
      </c>
      <c r="H1370" s="1" t="s">
        <v>54</v>
      </c>
      <c r="I1370" s="1" t="n">
        <v>-7</v>
      </c>
      <c r="J1370" s="1" t="n">
        <v>45</v>
      </c>
      <c r="K1370" s="1" t="s">
        <v>177</v>
      </c>
      <c r="L1370" s="1" t="b">
        <f aca="false">FALSE()</f>
        <v>0</v>
      </c>
      <c r="M1370" s="1" t="str">
        <f aca="false">VLOOKUP(D1370,'Team Reference'!$A:$B,2,FALSE())</f>
        <v>ARI</v>
      </c>
      <c r="N1370" s="1" t="str">
        <f aca="false">VLOOKUP(E1370,'Team Reference'!$A:$B,2,FALSE())</f>
        <v>SF</v>
      </c>
      <c r="O1370" s="1" t="str">
        <f aca="false">IF(F1370&gt;G1370,M1370,IF(G1370&gt;F1370,N1370,"Tie"))</f>
        <v>ARI</v>
      </c>
      <c r="P1370" s="1" t="n">
        <f aca="false">F1370-G1370</f>
        <v>40</v>
      </c>
      <c r="Q1370" s="1" t="n">
        <f aca="false">F1370+G1370</f>
        <v>54</v>
      </c>
      <c r="R1370" s="1" t="str">
        <f aca="false">IF(H1370=M1370,"Home",IF(H1370=N1370,"Away",IF(H1370="PICK","Pick","N/A")))</f>
        <v>Home</v>
      </c>
      <c r="S1370" s="1" t="n">
        <f aca="false">IF(R1370="Home",P1370,IF(R1370="Away",-P1370,""))</f>
        <v>40</v>
      </c>
      <c r="T1370" s="1" t="str">
        <f aca="false">IF(R1370="Pick","No Line",IF(S1370="","N/A",IF(S1370+I1370&gt;0,"Favorite Covered",IF(S1370+I1370&lt;0,"Underdog Covered","Push"))))</f>
        <v>Favorite Covered</v>
      </c>
      <c r="U1370" s="1" t="str">
        <f aca="false">IF(Q1370&gt;J1370,"Over",IF(Q1370&lt;J1370,"Under","Push"))</f>
        <v>Over</v>
      </c>
    </row>
    <row r="1371" customFormat="false" ht="15" hidden="false" customHeight="false" outlineLevel="0" collapsed="false">
      <c r="A1371" s="1" t="s">
        <v>467</v>
      </c>
      <c r="B1371" s="1" t="n">
        <v>2015</v>
      </c>
      <c r="C1371" s="1" t="s">
        <v>176</v>
      </c>
      <c r="D1371" s="1" t="s">
        <v>57</v>
      </c>
      <c r="E1371" s="1" t="s">
        <v>65</v>
      </c>
      <c r="F1371" s="1" t="n">
        <v>24</v>
      </c>
      <c r="G1371" s="1" t="n">
        <v>28</v>
      </c>
      <c r="H1371" s="1" t="s">
        <v>58</v>
      </c>
      <c r="I1371" s="1" t="n">
        <v>-1.5</v>
      </c>
      <c r="J1371" s="1" t="n">
        <v>45.5</v>
      </c>
      <c r="K1371" s="1" t="s">
        <v>178</v>
      </c>
      <c r="L1371" s="1" t="b">
        <f aca="false">FALSE()</f>
        <v>0</v>
      </c>
      <c r="M1371" s="1" t="str">
        <f aca="false">VLOOKUP(D1371,'Team Reference'!$A:$B,2,FALSE())</f>
        <v>BAL</v>
      </c>
      <c r="N1371" s="1" t="str">
        <f aca="false">VLOOKUP(E1371,'Team Reference'!$A:$B,2,FALSE())</f>
        <v>CIN</v>
      </c>
      <c r="O1371" s="1" t="str">
        <f aca="false">IF(F1371&gt;G1371,M1371,IF(G1371&gt;F1371,N1371,"Tie"))</f>
        <v>CIN</v>
      </c>
      <c r="P1371" s="1" t="n">
        <f aca="false">F1371-G1371</f>
        <v>-4</v>
      </c>
      <c r="Q1371" s="1" t="n">
        <f aca="false">F1371+G1371</f>
        <v>52</v>
      </c>
      <c r="R1371" s="1" t="str">
        <f aca="false">IF(H1371=M1371,"Home",IF(H1371=N1371,"Away",IF(H1371="PICK","Pick","N/A")))</f>
        <v>Home</v>
      </c>
      <c r="S1371" s="1" t="n">
        <f aca="false">IF(R1371="Home",P1371,IF(R1371="Away",-P1371,""))</f>
        <v>-4</v>
      </c>
      <c r="T1371" s="1" t="str">
        <f aca="false">IF(R1371="Pick","No Line",IF(S1371="","N/A",IF(S1371+I1371&gt;0,"Favorite Covered",IF(S1371+I1371&lt;0,"Underdog Covered","Push"))))</f>
        <v>Underdog Covered</v>
      </c>
      <c r="U1371" s="1" t="str">
        <f aca="false">IF(Q1371&gt;J1371,"Over",IF(Q1371&lt;J1371,"Under","Push"))</f>
        <v>Over</v>
      </c>
    </row>
    <row r="1372" customFormat="false" ht="15" hidden="false" customHeight="false" outlineLevel="0" collapsed="false">
      <c r="A1372" s="1" t="s">
        <v>467</v>
      </c>
      <c r="B1372" s="1" t="n">
        <v>2015</v>
      </c>
      <c r="C1372" s="1" t="s">
        <v>176</v>
      </c>
      <c r="D1372" s="1" t="s">
        <v>61</v>
      </c>
      <c r="E1372" s="1" t="s">
        <v>95</v>
      </c>
      <c r="F1372" s="1" t="n">
        <v>27</v>
      </c>
      <c r="G1372" s="1" t="n">
        <v>22</v>
      </c>
      <c r="H1372" s="1" t="s">
        <v>62</v>
      </c>
      <c r="I1372" s="1" t="n">
        <v>-9.5</v>
      </c>
      <c r="J1372" s="1" t="n">
        <v>43</v>
      </c>
      <c r="K1372" s="1" t="s">
        <v>162</v>
      </c>
      <c r="L1372" s="1" t="b">
        <f aca="false">FALSE()</f>
        <v>0</v>
      </c>
      <c r="M1372" s="1" t="str">
        <f aca="false">VLOOKUP(D1372,'Team Reference'!$A:$B,2,FALSE())</f>
        <v>CAR</v>
      </c>
      <c r="N1372" s="1" t="str">
        <f aca="false">VLOOKUP(E1372,'Team Reference'!$A:$B,2,FALSE())</f>
        <v>NO</v>
      </c>
      <c r="O1372" s="1" t="str">
        <f aca="false">IF(F1372&gt;G1372,M1372,IF(G1372&gt;F1372,N1372,"Tie"))</f>
        <v>CAR</v>
      </c>
      <c r="P1372" s="1" t="n">
        <f aca="false">F1372-G1372</f>
        <v>5</v>
      </c>
      <c r="Q1372" s="1" t="n">
        <f aca="false">F1372+G1372</f>
        <v>49</v>
      </c>
      <c r="R1372" s="1" t="str">
        <f aca="false">IF(H1372=M1372,"Home",IF(H1372=N1372,"Away",IF(H1372="PICK","Pick","N/A")))</f>
        <v>Home</v>
      </c>
      <c r="S1372" s="1" t="n">
        <f aca="false">IF(R1372="Home",P1372,IF(R1372="Away",-P1372,""))</f>
        <v>5</v>
      </c>
      <c r="T1372" s="1" t="str">
        <f aca="false">IF(R1372="Pick","No Line",IF(S1372="","N/A",IF(S1372+I1372&gt;0,"Favorite Covered",IF(S1372+I1372&lt;0,"Underdog Covered","Push"))))</f>
        <v>Underdog Covered</v>
      </c>
      <c r="U1372" s="1" t="str">
        <f aca="false">IF(Q1372&gt;J1372,"Over",IF(Q1372&lt;J1372,"Under","Push"))</f>
        <v>Over</v>
      </c>
    </row>
    <row r="1373" customFormat="false" ht="15" hidden="false" customHeight="false" outlineLevel="0" collapsed="false">
      <c r="A1373" s="1" t="s">
        <v>467</v>
      </c>
      <c r="B1373" s="1" t="n">
        <v>2015</v>
      </c>
      <c r="C1373" s="1" t="s">
        <v>176</v>
      </c>
      <c r="D1373" s="1" t="s">
        <v>67</v>
      </c>
      <c r="E1373" s="1" t="s">
        <v>101</v>
      </c>
      <c r="F1373" s="1" t="n">
        <v>20</v>
      </c>
      <c r="G1373" s="1" t="n">
        <v>27</v>
      </c>
      <c r="H1373" s="1" t="s">
        <v>68</v>
      </c>
      <c r="I1373" s="1" t="n">
        <v>-3.5</v>
      </c>
      <c r="J1373" s="1" t="n">
        <v>44</v>
      </c>
      <c r="K1373" s="1" t="s">
        <v>164</v>
      </c>
      <c r="L1373" s="1" t="b">
        <f aca="false">FALSE()</f>
        <v>0</v>
      </c>
      <c r="M1373" s="1" t="str">
        <f aca="false">VLOOKUP(D1373,'Team Reference'!$A:$B,2,FALSE())</f>
        <v>CLE</v>
      </c>
      <c r="N1373" s="1" t="str">
        <f aca="false">VLOOKUP(E1373,'Team Reference'!$A:$B,2,FALSE())</f>
        <v>OAK</v>
      </c>
      <c r="O1373" s="1" t="str">
        <f aca="false">IF(F1373&gt;G1373,M1373,IF(G1373&gt;F1373,N1373,"Tie"))</f>
        <v>OAK</v>
      </c>
      <c r="P1373" s="1" t="n">
        <f aca="false">F1373-G1373</f>
        <v>-7</v>
      </c>
      <c r="Q1373" s="1" t="n">
        <f aca="false">F1373+G1373</f>
        <v>47</v>
      </c>
      <c r="R1373" s="1" t="str">
        <f aca="false">IF(H1373=M1373,"Home",IF(H1373=N1373,"Away",IF(H1373="PICK","Pick","N/A")))</f>
        <v>Home</v>
      </c>
      <c r="S1373" s="1" t="n">
        <f aca="false">IF(R1373="Home",P1373,IF(R1373="Away",-P1373,""))</f>
        <v>-7</v>
      </c>
      <c r="T1373" s="1" t="str">
        <f aca="false">IF(R1373="Pick","No Line",IF(S1373="","N/A",IF(S1373+I1373&gt;0,"Favorite Covered",IF(S1373+I1373&lt;0,"Underdog Covered","Push"))))</f>
        <v>Underdog Covered</v>
      </c>
      <c r="U1373" s="1" t="str">
        <f aca="false">IF(Q1373&gt;J1373,"Over",IF(Q1373&lt;J1373,"Under","Push"))</f>
        <v>Over</v>
      </c>
    </row>
    <row r="1374" customFormat="false" ht="15" hidden="false" customHeight="false" outlineLevel="0" collapsed="false">
      <c r="A1374" s="1" t="s">
        <v>467</v>
      </c>
      <c r="B1374" s="1" t="n">
        <v>2015</v>
      </c>
      <c r="C1374" s="1" t="s">
        <v>176</v>
      </c>
      <c r="D1374" s="1" t="s">
        <v>69</v>
      </c>
      <c r="E1374" s="1" t="s">
        <v>55</v>
      </c>
      <c r="F1374" s="1" t="n">
        <v>28</v>
      </c>
      <c r="G1374" s="1" t="n">
        <v>39</v>
      </c>
      <c r="H1374" s="1" t="s">
        <v>200</v>
      </c>
      <c r="I1374" s="1" t="n">
        <v>0</v>
      </c>
      <c r="J1374" s="1" t="n">
        <v>43.5</v>
      </c>
      <c r="K1374" s="1" t="s">
        <v>165</v>
      </c>
      <c r="L1374" s="1" t="b">
        <f aca="false">FALSE()</f>
        <v>0</v>
      </c>
      <c r="M1374" s="1" t="str">
        <f aca="false">VLOOKUP(D1374,'Team Reference'!$A:$B,2,FALSE())</f>
        <v>DAL</v>
      </c>
      <c r="N1374" s="1" t="str">
        <f aca="false">VLOOKUP(E1374,'Team Reference'!$A:$B,2,FALSE())</f>
        <v>ATL</v>
      </c>
      <c r="O1374" s="1" t="str">
        <f aca="false">IF(F1374&gt;G1374,M1374,IF(G1374&gt;F1374,N1374,"Tie"))</f>
        <v>ATL</v>
      </c>
      <c r="P1374" s="1" t="n">
        <f aca="false">F1374-G1374</f>
        <v>-11</v>
      </c>
      <c r="Q1374" s="1" t="n">
        <f aca="false">F1374+G1374</f>
        <v>67</v>
      </c>
      <c r="R1374" s="1" t="str">
        <f aca="false">IF(H1374=M1374,"Home",IF(H1374=N1374,"Away",IF(H1374="PICK","Pick","N/A")))</f>
        <v>Pick</v>
      </c>
      <c r="S1374" s="1" t="str">
        <f aca="false">IF(R1374="Home",P1374,IF(R1374="Away",-P1374,""))</f>
        <v/>
      </c>
      <c r="T1374" s="1" t="str">
        <f aca="false">IF(R1374="Pick","No Line",IF(S1374="","N/A",IF(S1374+I1374&gt;0,"Favorite Covered",IF(S1374+I1374&lt;0,"Underdog Covered","Push"))))</f>
        <v>No Line</v>
      </c>
      <c r="U1374" s="1" t="str">
        <f aca="false">IF(Q1374&gt;J1374,"Over",IF(Q1374&lt;J1374,"Under","Push"))</f>
        <v>Over</v>
      </c>
    </row>
    <row r="1375" customFormat="false" ht="15" hidden="false" customHeight="false" outlineLevel="0" collapsed="false">
      <c r="A1375" s="1" t="s">
        <v>467</v>
      </c>
      <c r="B1375" s="1" t="n">
        <v>2015</v>
      </c>
      <c r="C1375" s="1" t="s">
        <v>176</v>
      </c>
      <c r="D1375" s="1" t="s">
        <v>73</v>
      </c>
      <c r="E1375" s="1" t="s">
        <v>71</v>
      </c>
      <c r="F1375" s="1" t="n">
        <v>12</v>
      </c>
      <c r="G1375" s="1" t="n">
        <v>24</v>
      </c>
      <c r="H1375" s="1" t="s">
        <v>72</v>
      </c>
      <c r="I1375" s="1" t="n">
        <v>-3</v>
      </c>
      <c r="J1375" s="1" t="n">
        <v>45</v>
      </c>
      <c r="K1375" s="1" t="s">
        <v>167</v>
      </c>
      <c r="L1375" s="1" t="b">
        <f aca="false">FALSE()</f>
        <v>0</v>
      </c>
      <c r="M1375" s="1" t="str">
        <f aca="false">VLOOKUP(D1375,'Team Reference'!$A:$B,2,FALSE())</f>
        <v>DET</v>
      </c>
      <c r="N1375" s="1" t="str">
        <f aca="false">VLOOKUP(E1375,'Team Reference'!$A:$B,2,FALSE())</f>
        <v>DEN</v>
      </c>
      <c r="O1375" s="1" t="str">
        <f aca="false">IF(F1375&gt;G1375,M1375,IF(G1375&gt;F1375,N1375,"Tie"))</f>
        <v>DEN</v>
      </c>
      <c r="P1375" s="1" t="n">
        <f aca="false">F1375-G1375</f>
        <v>-12</v>
      </c>
      <c r="Q1375" s="1" t="n">
        <f aca="false">F1375+G1375</f>
        <v>36</v>
      </c>
      <c r="R1375" s="1" t="str">
        <f aca="false">IF(H1375=M1375,"Home",IF(H1375=N1375,"Away",IF(H1375="PICK","Pick","N/A")))</f>
        <v>Away</v>
      </c>
      <c r="S1375" s="1" t="n">
        <f aca="false">IF(R1375="Home",P1375,IF(R1375="Away",-P1375,""))</f>
        <v>12</v>
      </c>
      <c r="T1375" s="1" t="str">
        <f aca="false">IF(R1375="Pick","No Line",IF(S1375="","N/A",IF(S1375+I1375&gt;0,"Favorite Covered",IF(S1375+I1375&lt;0,"Underdog Covered","Push"))))</f>
        <v>Favorite Covered</v>
      </c>
      <c r="U1375" s="1" t="str">
        <f aca="false">IF(Q1375&gt;J1375,"Over",IF(Q1375&lt;J1375,"Under","Push"))</f>
        <v>Under</v>
      </c>
    </row>
    <row r="1376" customFormat="false" ht="15" hidden="false" customHeight="false" outlineLevel="0" collapsed="false">
      <c r="A1376" s="1" t="s">
        <v>467</v>
      </c>
      <c r="B1376" s="1" t="n">
        <v>2015</v>
      </c>
      <c r="C1376" s="1" t="s">
        <v>176</v>
      </c>
      <c r="D1376" s="1" t="s">
        <v>77</v>
      </c>
      <c r="E1376" s="1" t="s">
        <v>113</v>
      </c>
      <c r="F1376" s="1" t="n">
        <v>19</v>
      </c>
      <c r="G1376" s="1" t="n">
        <v>9</v>
      </c>
      <c r="H1376" s="1" t="s">
        <v>78</v>
      </c>
      <c r="I1376" s="1" t="n">
        <v>-6</v>
      </c>
      <c r="J1376" s="1" t="n">
        <v>41</v>
      </c>
      <c r="K1376" s="1" t="s">
        <v>146</v>
      </c>
      <c r="L1376" s="1" t="b">
        <f aca="false">FALSE()</f>
        <v>0</v>
      </c>
      <c r="M1376" s="1" t="str">
        <f aca="false">VLOOKUP(D1376,'Team Reference'!$A:$B,2,FALSE())</f>
        <v>HOU</v>
      </c>
      <c r="N1376" s="1" t="str">
        <f aca="false">VLOOKUP(E1376,'Team Reference'!$A:$B,2,FALSE())</f>
        <v>TB</v>
      </c>
      <c r="O1376" s="1" t="str">
        <f aca="false">IF(F1376&gt;G1376,M1376,IF(G1376&gt;F1376,N1376,"Tie"))</f>
        <v>HOU</v>
      </c>
      <c r="P1376" s="1" t="n">
        <f aca="false">F1376-G1376</f>
        <v>10</v>
      </c>
      <c r="Q1376" s="1" t="n">
        <f aca="false">F1376+G1376</f>
        <v>28</v>
      </c>
      <c r="R1376" s="1" t="str">
        <f aca="false">IF(H1376=M1376,"Home",IF(H1376=N1376,"Away",IF(H1376="PICK","Pick","N/A")))</f>
        <v>Home</v>
      </c>
      <c r="S1376" s="1" t="n">
        <f aca="false">IF(R1376="Home",P1376,IF(R1376="Away",-P1376,""))</f>
        <v>10</v>
      </c>
      <c r="T1376" s="1" t="str">
        <f aca="false">IF(R1376="Pick","No Line",IF(S1376="","N/A",IF(S1376+I1376&gt;0,"Favorite Covered",IF(S1376+I1376&lt;0,"Underdog Covered","Push"))))</f>
        <v>Favorite Covered</v>
      </c>
      <c r="U1376" s="1" t="str">
        <f aca="false">IF(Q1376&gt;J1376,"Over",IF(Q1376&lt;J1376,"Under","Push"))</f>
        <v>Under</v>
      </c>
    </row>
    <row r="1377" customFormat="false" ht="15" hidden="false" customHeight="false" outlineLevel="0" collapsed="false">
      <c r="A1377" s="1" t="s">
        <v>467</v>
      </c>
      <c r="B1377" s="1" t="n">
        <v>2015</v>
      </c>
      <c r="C1377" s="1" t="s">
        <v>176</v>
      </c>
      <c r="D1377" s="1" t="s">
        <v>89</v>
      </c>
      <c r="E1377" s="1" t="s">
        <v>59</v>
      </c>
      <c r="F1377" s="1" t="n">
        <v>14</v>
      </c>
      <c r="G1377" s="1" t="n">
        <v>41</v>
      </c>
      <c r="H1377" s="1" t="s">
        <v>90</v>
      </c>
      <c r="I1377" s="1" t="n">
        <v>-1</v>
      </c>
      <c r="J1377" s="1" t="n">
        <v>43.5</v>
      </c>
      <c r="K1377" s="1" t="s">
        <v>179</v>
      </c>
      <c r="L1377" s="1" t="b">
        <f aca="false">FALSE()</f>
        <v>0</v>
      </c>
      <c r="M1377" s="1" t="str">
        <f aca="false">VLOOKUP(D1377,'Team Reference'!$A:$B,2,FALSE())</f>
        <v>MIA</v>
      </c>
      <c r="N1377" s="1" t="str">
        <f aca="false">VLOOKUP(E1377,'Team Reference'!$A:$B,2,FALSE())</f>
        <v>BUF</v>
      </c>
      <c r="O1377" s="1" t="str">
        <f aca="false">IF(F1377&gt;G1377,M1377,IF(G1377&gt;F1377,N1377,"Tie"))</f>
        <v>BUF</v>
      </c>
      <c r="P1377" s="1" t="n">
        <f aca="false">F1377-G1377</f>
        <v>-27</v>
      </c>
      <c r="Q1377" s="1" t="n">
        <f aca="false">F1377+G1377</f>
        <v>55</v>
      </c>
      <c r="R1377" s="1" t="str">
        <f aca="false">IF(H1377=M1377,"Home",IF(H1377=N1377,"Away",IF(H1377="PICK","Pick","N/A")))</f>
        <v>Home</v>
      </c>
      <c r="S1377" s="1" t="n">
        <f aca="false">IF(R1377="Home",P1377,IF(R1377="Away",-P1377,""))</f>
        <v>-27</v>
      </c>
      <c r="T1377" s="1" t="str">
        <f aca="false">IF(R1377="Pick","No Line",IF(S1377="","N/A",IF(S1377+I1377&gt;0,"Favorite Covered",IF(S1377+I1377&lt;0,"Underdog Covered","Push"))))</f>
        <v>Underdog Covered</v>
      </c>
      <c r="U1377" s="1" t="str">
        <f aca="false">IF(Q1377&gt;J1377,"Over",IF(Q1377&lt;J1377,"Under","Push"))</f>
        <v>Over</v>
      </c>
    </row>
    <row r="1378" customFormat="false" ht="15" hidden="false" customHeight="false" outlineLevel="0" collapsed="false">
      <c r="A1378" s="1" t="s">
        <v>467</v>
      </c>
      <c r="B1378" s="1" t="n">
        <v>2015</v>
      </c>
      <c r="C1378" s="1" t="s">
        <v>176</v>
      </c>
      <c r="D1378" s="1" t="s">
        <v>91</v>
      </c>
      <c r="E1378" s="1" t="s">
        <v>107</v>
      </c>
      <c r="F1378" s="1" t="n">
        <v>31</v>
      </c>
      <c r="G1378" s="1" t="n">
        <v>14</v>
      </c>
      <c r="H1378" s="1" t="s">
        <v>92</v>
      </c>
      <c r="I1378" s="1" t="n">
        <v>-2</v>
      </c>
      <c r="J1378" s="1" t="n">
        <v>45.5</v>
      </c>
      <c r="K1378" s="1" t="s">
        <v>407</v>
      </c>
      <c r="L1378" s="1" t="b">
        <f aca="false">FALSE()</f>
        <v>0</v>
      </c>
      <c r="M1378" s="1" t="str">
        <f aca="false">VLOOKUP(D1378,'Team Reference'!$A:$B,2,FALSE())</f>
        <v>MIN</v>
      </c>
      <c r="N1378" s="1" t="str">
        <f aca="false">VLOOKUP(E1378,'Team Reference'!$A:$B,2,FALSE())</f>
        <v>LAC</v>
      </c>
      <c r="O1378" s="1" t="str">
        <f aca="false">IF(F1378&gt;G1378,M1378,IF(G1378&gt;F1378,N1378,"Tie"))</f>
        <v>MIN</v>
      </c>
      <c r="P1378" s="1" t="n">
        <f aca="false">F1378-G1378</f>
        <v>17</v>
      </c>
      <c r="Q1378" s="1" t="n">
        <f aca="false">F1378+G1378</f>
        <v>45</v>
      </c>
      <c r="R1378" s="1" t="str">
        <f aca="false">IF(H1378=M1378,"Home",IF(H1378=N1378,"Away",IF(H1378="PICK","Pick","N/A")))</f>
        <v>Home</v>
      </c>
      <c r="S1378" s="1" t="n">
        <f aca="false">IF(R1378="Home",P1378,IF(R1378="Away",-P1378,""))</f>
        <v>17</v>
      </c>
      <c r="T1378" s="1" t="str">
        <f aca="false">IF(R1378="Pick","No Line",IF(S1378="","N/A",IF(S1378+I1378&gt;0,"Favorite Covered",IF(S1378+I1378&lt;0,"Underdog Covered","Push"))))</f>
        <v>Favorite Covered</v>
      </c>
      <c r="U1378" s="1" t="str">
        <f aca="false">IF(Q1378&gt;J1378,"Over",IF(Q1378&lt;J1378,"Under","Push"))</f>
        <v>Under</v>
      </c>
    </row>
    <row r="1379" customFormat="false" ht="15" hidden="false" customHeight="false" outlineLevel="0" collapsed="false">
      <c r="A1379" s="1" t="s">
        <v>467</v>
      </c>
      <c r="B1379" s="1" t="n">
        <v>2015</v>
      </c>
      <c r="C1379" s="1" t="s">
        <v>176</v>
      </c>
      <c r="D1379" s="1" t="s">
        <v>93</v>
      </c>
      <c r="E1379" s="1" t="s">
        <v>81</v>
      </c>
      <c r="F1379" s="1" t="n">
        <v>51</v>
      </c>
      <c r="G1379" s="1" t="n">
        <v>17</v>
      </c>
      <c r="H1379" s="1" t="s">
        <v>94</v>
      </c>
      <c r="I1379" s="1" t="n">
        <v>-14</v>
      </c>
      <c r="J1379" s="1" t="n">
        <v>49</v>
      </c>
      <c r="K1379" s="1" t="s">
        <v>148</v>
      </c>
      <c r="L1379" s="1" t="b">
        <f aca="false">FALSE()</f>
        <v>0</v>
      </c>
      <c r="M1379" s="1" t="str">
        <f aca="false">VLOOKUP(D1379,'Team Reference'!$A:$B,2,FALSE())</f>
        <v>NE</v>
      </c>
      <c r="N1379" s="1" t="str">
        <f aca="false">VLOOKUP(E1379,'Team Reference'!$A:$B,2,FALSE())</f>
        <v>JAX</v>
      </c>
      <c r="O1379" s="1" t="str">
        <f aca="false">IF(F1379&gt;G1379,M1379,IF(G1379&gt;F1379,N1379,"Tie"))</f>
        <v>NE</v>
      </c>
      <c r="P1379" s="1" t="n">
        <f aca="false">F1379-G1379</f>
        <v>34</v>
      </c>
      <c r="Q1379" s="1" t="n">
        <f aca="false">F1379+G1379</f>
        <v>68</v>
      </c>
      <c r="R1379" s="1" t="str">
        <f aca="false">IF(H1379=M1379,"Home",IF(H1379=N1379,"Away",IF(H1379="PICK","Pick","N/A")))</f>
        <v>Home</v>
      </c>
      <c r="S1379" s="1" t="n">
        <f aca="false">IF(R1379="Home",P1379,IF(R1379="Away",-P1379,""))</f>
        <v>34</v>
      </c>
      <c r="T1379" s="1" t="str">
        <f aca="false">IF(R1379="Pick","No Line",IF(S1379="","N/A",IF(S1379+I1379&gt;0,"Favorite Covered",IF(S1379+I1379&lt;0,"Underdog Covered","Push"))))</f>
        <v>Favorite Covered</v>
      </c>
      <c r="U1379" s="1" t="str">
        <f aca="false">IF(Q1379&gt;J1379,"Over",IF(Q1379&lt;J1379,"Under","Push"))</f>
        <v>Over</v>
      </c>
    </row>
    <row r="1380" customFormat="false" ht="15" hidden="false" customHeight="false" outlineLevel="0" collapsed="false">
      <c r="A1380" s="1" t="s">
        <v>467</v>
      </c>
      <c r="B1380" s="1" t="n">
        <v>2015</v>
      </c>
      <c r="C1380" s="1" t="s">
        <v>176</v>
      </c>
      <c r="D1380" s="1" t="s">
        <v>99</v>
      </c>
      <c r="E1380" s="1" t="s">
        <v>103</v>
      </c>
      <c r="F1380" s="1" t="n">
        <v>17</v>
      </c>
      <c r="G1380" s="1" t="n">
        <v>24</v>
      </c>
      <c r="H1380" s="1" t="s">
        <v>100</v>
      </c>
      <c r="I1380" s="1" t="n">
        <v>-3</v>
      </c>
      <c r="J1380" s="1" t="n">
        <v>47</v>
      </c>
      <c r="K1380" s="1" t="s">
        <v>149</v>
      </c>
      <c r="L1380" s="1" t="b">
        <f aca="false">FALSE()</f>
        <v>0</v>
      </c>
      <c r="M1380" s="1" t="str">
        <f aca="false">VLOOKUP(D1380,'Team Reference'!$A:$B,2,FALSE())</f>
        <v>NYJ</v>
      </c>
      <c r="N1380" s="1" t="str">
        <f aca="false">VLOOKUP(E1380,'Team Reference'!$A:$B,2,FALSE())</f>
        <v>PHI</v>
      </c>
      <c r="O1380" s="1" t="str">
        <f aca="false">IF(F1380&gt;G1380,M1380,IF(G1380&gt;F1380,N1380,"Tie"))</f>
        <v>PHI</v>
      </c>
      <c r="P1380" s="1" t="n">
        <f aca="false">F1380-G1380</f>
        <v>-7</v>
      </c>
      <c r="Q1380" s="1" t="n">
        <f aca="false">F1380+G1380</f>
        <v>41</v>
      </c>
      <c r="R1380" s="1" t="str">
        <f aca="false">IF(H1380=M1380,"Home",IF(H1380=N1380,"Away",IF(H1380="PICK","Pick","N/A")))</f>
        <v>Home</v>
      </c>
      <c r="S1380" s="1" t="n">
        <f aca="false">IF(R1380="Home",P1380,IF(R1380="Away",-P1380,""))</f>
        <v>-7</v>
      </c>
      <c r="T1380" s="1" t="str">
        <f aca="false">IF(R1380="Pick","No Line",IF(S1380="","N/A",IF(S1380+I1380&gt;0,"Favorite Covered",IF(S1380+I1380&lt;0,"Underdog Covered","Push"))))</f>
        <v>Underdog Covered</v>
      </c>
      <c r="U1380" s="1" t="str">
        <f aca="false">IF(Q1380&gt;J1380,"Over",IF(Q1380&lt;J1380,"Under","Push"))</f>
        <v>Under</v>
      </c>
    </row>
    <row r="1381" customFormat="false" ht="15" hidden="false" customHeight="false" outlineLevel="0" collapsed="false">
      <c r="A1381" s="1" t="s">
        <v>467</v>
      </c>
      <c r="B1381" s="1" t="n">
        <v>2015</v>
      </c>
      <c r="C1381" s="1" t="s">
        <v>176</v>
      </c>
      <c r="D1381" s="1" t="s">
        <v>110</v>
      </c>
      <c r="E1381" s="1" t="s">
        <v>63</v>
      </c>
      <c r="F1381" s="1" t="n">
        <v>26</v>
      </c>
      <c r="G1381" s="1" t="n">
        <v>0</v>
      </c>
      <c r="H1381" s="1" t="s">
        <v>111</v>
      </c>
      <c r="I1381" s="1" t="n">
        <v>-16.5</v>
      </c>
      <c r="J1381" s="1" t="n">
        <v>43.5</v>
      </c>
      <c r="K1381" s="1" t="s">
        <v>152</v>
      </c>
      <c r="L1381" s="1" t="b">
        <f aca="false">FALSE()</f>
        <v>0</v>
      </c>
      <c r="M1381" s="1" t="str">
        <f aca="false">VLOOKUP(D1381,'Team Reference'!$A:$B,2,FALSE())</f>
        <v>SEA</v>
      </c>
      <c r="N1381" s="1" t="str">
        <f aca="false">VLOOKUP(E1381,'Team Reference'!$A:$B,2,FALSE())</f>
        <v>CHI</v>
      </c>
      <c r="O1381" s="1" t="str">
        <f aca="false">IF(F1381&gt;G1381,M1381,IF(G1381&gt;F1381,N1381,"Tie"))</f>
        <v>SEA</v>
      </c>
      <c r="P1381" s="1" t="n">
        <f aca="false">F1381-G1381</f>
        <v>26</v>
      </c>
      <c r="Q1381" s="1" t="n">
        <f aca="false">F1381+G1381</f>
        <v>26</v>
      </c>
      <c r="R1381" s="1" t="str">
        <f aca="false">IF(H1381=M1381,"Home",IF(H1381=N1381,"Away",IF(H1381="PICK","Pick","N/A")))</f>
        <v>Home</v>
      </c>
      <c r="S1381" s="1" t="n">
        <f aca="false">IF(R1381="Home",P1381,IF(R1381="Away",-P1381,""))</f>
        <v>26</v>
      </c>
      <c r="T1381" s="1" t="str">
        <f aca="false">IF(R1381="Pick","No Line",IF(S1381="","N/A",IF(S1381+I1381&gt;0,"Favorite Covered",IF(S1381+I1381&lt;0,"Underdog Covered","Push"))))</f>
        <v>Favorite Covered</v>
      </c>
      <c r="U1381" s="1" t="str">
        <f aca="false">IF(Q1381&gt;J1381,"Over",IF(Q1381&lt;J1381,"Under","Push"))</f>
        <v>Under</v>
      </c>
    </row>
    <row r="1382" customFormat="false" ht="15" hidden="false" customHeight="false" outlineLevel="0" collapsed="false">
      <c r="A1382" s="1" t="s">
        <v>467</v>
      </c>
      <c r="B1382" s="1" t="n">
        <v>2015</v>
      </c>
      <c r="C1382" s="1" t="s">
        <v>176</v>
      </c>
      <c r="D1382" s="1" t="s">
        <v>112</v>
      </c>
      <c r="E1382" s="1" t="s">
        <v>105</v>
      </c>
      <c r="F1382" s="1" t="n">
        <v>6</v>
      </c>
      <c r="G1382" s="1" t="n">
        <v>12</v>
      </c>
      <c r="H1382" s="1" t="s">
        <v>88</v>
      </c>
      <c r="I1382" s="1" t="n">
        <v>-1</v>
      </c>
      <c r="J1382" s="1" t="n">
        <v>48.5</v>
      </c>
      <c r="K1382" s="1" t="s">
        <v>153</v>
      </c>
      <c r="L1382" s="1" t="b">
        <f aca="false">FALSE()</f>
        <v>0</v>
      </c>
      <c r="M1382" s="1" t="str">
        <f aca="false">VLOOKUP(D1382,'Team Reference'!$A:$B,2,FALSE())</f>
        <v>LAR</v>
      </c>
      <c r="N1382" s="1" t="str">
        <f aca="false">VLOOKUP(E1382,'Team Reference'!$A:$B,2,FALSE())</f>
        <v>PIT</v>
      </c>
      <c r="O1382" s="1" t="str">
        <f aca="false">IF(F1382&gt;G1382,M1382,IF(G1382&gt;F1382,N1382,"Tie"))</f>
        <v>PIT</v>
      </c>
      <c r="P1382" s="1" t="n">
        <f aca="false">F1382-G1382</f>
        <v>-6</v>
      </c>
      <c r="Q1382" s="1" t="n">
        <f aca="false">F1382+G1382</f>
        <v>18</v>
      </c>
      <c r="R1382" s="1" t="str">
        <f aca="false">IF(H1382=M1382,"Home",IF(H1382=N1382,"Away",IF(H1382="PICK","Pick","N/A")))</f>
        <v>Home</v>
      </c>
      <c r="S1382" s="1" t="n">
        <f aca="false">IF(R1382="Home",P1382,IF(R1382="Away",-P1382,""))</f>
        <v>-6</v>
      </c>
      <c r="T1382" s="1" t="str">
        <f aca="false">IF(R1382="Pick","No Line",IF(S1382="","N/A",IF(S1382+I1382&gt;0,"Favorite Covered",IF(S1382+I1382&lt;0,"Underdog Covered","Push"))))</f>
        <v>Underdog Covered</v>
      </c>
      <c r="U1382" s="1" t="str">
        <f aca="false">IF(Q1382&gt;J1382,"Over",IF(Q1382&lt;J1382,"Under","Push"))</f>
        <v>Under</v>
      </c>
    </row>
    <row r="1383" customFormat="false" ht="15" hidden="false" customHeight="false" outlineLevel="0" collapsed="false">
      <c r="A1383" s="1" t="s">
        <v>467</v>
      </c>
      <c r="B1383" s="1" t="n">
        <v>2015</v>
      </c>
      <c r="C1383" s="1" t="s">
        <v>176</v>
      </c>
      <c r="D1383" s="1" t="s">
        <v>115</v>
      </c>
      <c r="E1383" s="1" t="s">
        <v>79</v>
      </c>
      <c r="F1383" s="1" t="n">
        <v>33</v>
      </c>
      <c r="G1383" s="1" t="n">
        <v>35</v>
      </c>
      <c r="H1383" s="1" t="s">
        <v>80</v>
      </c>
      <c r="I1383" s="1" t="n">
        <v>-3.5</v>
      </c>
      <c r="J1383" s="1" t="n">
        <v>46.5</v>
      </c>
      <c r="K1383" s="1" t="s">
        <v>155</v>
      </c>
      <c r="L1383" s="1" t="b">
        <f aca="false">FALSE()</f>
        <v>0</v>
      </c>
      <c r="M1383" s="1" t="str">
        <f aca="false">VLOOKUP(D1383,'Team Reference'!$A:$B,2,FALSE())</f>
        <v>TEN</v>
      </c>
      <c r="N1383" s="1" t="str">
        <f aca="false">VLOOKUP(E1383,'Team Reference'!$A:$B,2,FALSE())</f>
        <v>IND</v>
      </c>
      <c r="O1383" s="1" t="str">
        <f aca="false">IF(F1383&gt;G1383,M1383,IF(G1383&gt;F1383,N1383,"Tie"))</f>
        <v>IND</v>
      </c>
      <c r="P1383" s="1" t="n">
        <f aca="false">F1383-G1383</f>
        <v>-2</v>
      </c>
      <c r="Q1383" s="1" t="n">
        <f aca="false">F1383+G1383</f>
        <v>68</v>
      </c>
      <c r="R1383" s="1" t="str">
        <f aca="false">IF(H1383=M1383,"Home",IF(H1383=N1383,"Away",IF(H1383="PICK","Pick","N/A")))</f>
        <v>Away</v>
      </c>
      <c r="S1383" s="1" t="n">
        <f aca="false">IF(R1383="Home",P1383,IF(R1383="Away",-P1383,""))</f>
        <v>2</v>
      </c>
      <c r="T1383" s="1" t="str">
        <f aca="false">IF(R1383="Pick","No Line",IF(S1383="","N/A",IF(S1383+I1383&gt;0,"Favorite Covered",IF(S1383+I1383&lt;0,"Underdog Covered","Push"))))</f>
        <v>Underdog Covered</v>
      </c>
      <c r="U1383" s="1" t="str">
        <f aca="false">IF(Q1383&gt;J1383,"Over",IF(Q1383&lt;J1383,"Under","Push"))</f>
        <v>Over</v>
      </c>
    </row>
    <row r="1384" customFormat="false" ht="15" hidden="false" customHeight="false" outlineLevel="0" collapsed="false">
      <c r="A1384" s="1" t="s">
        <v>468</v>
      </c>
      <c r="B1384" s="1" t="n">
        <v>2015</v>
      </c>
      <c r="C1384" s="1" t="s">
        <v>176</v>
      </c>
      <c r="D1384" s="1" t="s">
        <v>75</v>
      </c>
      <c r="E1384" s="1" t="s">
        <v>83</v>
      </c>
      <c r="F1384" s="1" t="n">
        <v>38</v>
      </c>
      <c r="G1384" s="1" t="n">
        <v>28</v>
      </c>
      <c r="H1384" s="1" t="s">
        <v>76</v>
      </c>
      <c r="I1384" s="1" t="n">
        <v>-5.5</v>
      </c>
      <c r="J1384" s="1" t="n">
        <v>47.5</v>
      </c>
      <c r="K1384" s="1" t="s">
        <v>168</v>
      </c>
      <c r="L1384" s="1" t="b">
        <f aca="false">FALSE()</f>
        <v>0</v>
      </c>
      <c r="M1384" s="1" t="str">
        <f aca="false">VLOOKUP(D1384,'Team Reference'!$A:$B,2,FALSE())</f>
        <v>GB</v>
      </c>
      <c r="N1384" s="1" t="str">
        <f aca="false">VLOOKUP(E1384,'Team Reference'!$A:$B,2,FALSE())</f>
        <v>KC</v>
      </c>
      <c r="O1384" s="1" t="str">
        <f aca="false">IF(F1384&gt;G1384,M1384,IF(G1384&gt;F1384,N1384,"Tie"))</f>
        <v>GB</v>
      </c>
      <c r="P1384" s="1" t="n">
        <f aca="false">F1384-G1384</f>
        <v>10</v>
      </c>
      <c r="Q1384" s="1" t="n">
        <f aca="false">F1384+G1384</f>
        <v>66</v>
      </c>
      <c r="R1384" s="1" t="str">
        <f aca="false">IF(H1384=M1384,"Home",IF(H1384=N1384,"Away",IF(H1384="PICK","Pick","N/A")))</f>
        <v>Home</v>
      </c>
      <c r="S1384" s="1" t="n">
        <f aca="false">IF(R1384="Home",P1384,IF(R1384="Away",-P1384,""))</f>
        <v>10</v>
      </c>
      <c r="T1384" s="1" t="str">
        <f aca="false">IF(R1384="Pick","No Line",IF(S1384="","N/A",IF(S1384+I1384&gt;0,"Favorite Covered",IF(S1384+I1384&lt;0,"Underdog Covered","Push"))))</f>
        <v>Favorite Covered</v>
      </c>
      <c r="U1384" s="1" t="str">
        <f aca="false">IF(Q1384&gt;J1384,"Over",IF(Q1384&lt;J1384,"Under","Push"))</f>
        <v>Over</v>
      </c>
    </row>
    <row r="1385" customFormat="false" ht="15" hidden="false" customHeight="false" outlineLevel="0" collapsed="false">
      <c r="A1385" s="1" t="s">
        <v>469</v>
      </c>
      <c r="B1385" s="1" t="n">
        <v>2015</v>
      </c>
      <c r="C1385" s="1" t="s">
        <v>182</v>
      </c>
      <c r="D1385" s="1" t="s">
        <v>105</v>
      </c>
      <c r="E1385" s="1" t="s">
        <v>57</v>
      </c>
      <c r="F1385" s="1" t="n">
        <v>20</v>
      </c>
      <c r="G1385" s="1" t="n">
        <v>23</v>
      </c>
      <c r="H1385" s="1" t="s">
        <v>58</v>
      </c>
      <c r="I1385" s="1" t="n">
        <v>-3</v>
      </c>
      <c r="J1385" s="1" t="n">
        <v>44</v>
      </c>
      <c r="K1385" s="1" t="s">
        <v>151</v>
      </c>
      <c r="L1385" s="1" t="b">
        <f aca="false">FALSE()</f>
        <v>0</v>
      </c>
      <c r="M1385" s="1" t="str">
        <f aca="false">VLOOKUP(D1385,'Team Reference'!$A:$B,2,FALSE())</f>
        <v>PIT</v>
      </c>
      <c r="N1385" s="1" t="str">
        <f aca="false">VLOOKUP(E1385,'Team Reference'!$A:$B,2,FALSE())</f>
        <v>BAL</v>
      </c>
      <c r="O1385" s="1" t="str">
        <f aca="false">IF(F1385&gt;G1385,M1385,IF(G1385&gt;F1385,N1385,"Tie"))</f>
        <v>BAL</v>
      </c>
      <c r="P1385" s="1" t="n">
        <f aca="false">F1385-G1385</f>
        <v>-3</v>
      </c>
      <c r="Q1385" s="1" t="n">
        <f aca="false">F1385+G1385</f>
        <v>43</v>
      </c>
      <c r="R1385" s="1" t="str">
        <f aca="false">IF(H1385=M1385,"Home",IF(H1385=N1385,"Away",IF(H1385="PICK","Pick","N/A")))</f>
        <v>Away</v>
      </c>
      <c r="S1385" s="1" t="n">
        <f aca="false">IF(R1385="Home",P1385,IF(R1385="Away",-P1385,""))</f>
        <v>3</v>
      </c>
      <c r="T1385" s="1" t="str">
        <f aca="false">IF(R1385="Pick","No Line",IF(S1385="","N/A",IF(S1385+I1385&gt;0,"Favorite Covered",IF(S1385+I1385&lt;0,"Underdog Covered","Push"))))</f>
        <v>Push</v>
      </c>
      <c r="U1385" s="1" t="str">
        <f aca="false">IF(Q1385&gt;J1385,"Over",IF(Q1385&lt;J1385,"Under","Push"))</f>
        <v>Under</v>
      </c>
    </row>
    <row r="1386" customFormat="false" ht="15" hidden="false" customHeight="false" outlineLevel="0" collapsed="false">
      <c r="A1386" s="1" t="s">
        <v>470</v>
      </c>
      <c r="B1386" s="1" t="n">
        <v>2015</v>
      </c>
      <c r="C1386" s="1" t="s">
        <v>182</v>
      </c>
      <c r="D1386" s="1" t="s">
        <v>53</v>
      </c>
      <c r="E1386" s="1" t="s">
        <v>112</v>
      </c>
      <c r="F1386" s="1" t="n">
        <v>22</v>
      </c>
      <c r="G1386" s="1" t="n">
        <v>24</v>
      </c>
      <c r="H1386" s="1" t="s">
        <v>54</v>
      </c>
      <c r="I1386" s="1" t="n">
        <v>-7</v>
      </c>
      <c r="J1386" s="1" t="n">
        <v>43.5</v>
      </c>
      <c r="K1386" s="1" t="s">
        <v>177</v>
      </c>
      <c r="L1386" s="1" t="b">
        <f aca="false">FALSE()</f>
        <v>0</v>
      </c>
      <c r="M1386" s="1" t="str">
        <f aca="false">VLOOKUP(D1386,'Team Reference'!$A:$B,2,FALSE())</f>
        <v>ARI</v>
      </c>
      <c r="N1386" s="1" t="str">
        <f aca="false">VLOOKUP(E1386,'Team Reference'!$A:$B,2,FALSE())</f>
        <v>LAR</v>
      </c>
      <c r="O1386" s="1" t="str">
        <f aca="false">IF(F1386&gt;G1386,M1386,IF(G1386&gt;F1386,N1386,"Tie"))</f>
        <v>LAR</v>
      </c>
      <c r="P1386" s="1" t="n">
        <f aca="false">F1386-G1386</f>
        <v>-2</v>
      </c>
      <c r="Q1386" s="1" t="n">
        <f aca="false">F1386+G1386</f>
        <v>46</v>
      </c>
      <c r="R1386" s="1" t="str">
        <f aca="false">IF(H1386=M1386,"Home",IF(H1386=N1386,"Away",IF(H1386="PICK","Pick","N/A")))</f>
        <v>Home</v>
      </c>
      <c r="S1386" s="1" t="n">
        <f aca="false">IF(R1386="Home",P1386,IF(R1386="Away",-P1386,""))</f>
        <v>-2</v>
      </c>
      <c r="T1386" s="1" t="str">
        <f aca="false">IF(R1386="Pick","No Line",IF(S1386="","N/A",IF(S1386+I1386&gt;0,"Favorite Covered",IF(S1386+I1386&lt;0,"Underdog Covered","Push"))))</f>
        <v>Underdog Covered</v>
      </c>
      <c r="U1386" s="1" t="str">
        <f aca="false">IF(Q1386&gt;J1386,"Over",IF(Q1386&lt;J1386,"Under","Push"))</f>
        <v>Over</v>
      </c>
    </row>
    <row r="1387" customFormat="false" ht="15" hidden="false" customHeight="false" outlineLevel="0" collapsed="false">
      <c r="A1387" s="1" t="s">
        <v>470</v>
      </c>
      <c r="B1387" s="1" t="n">
        <v>2015</v>
      </c>
      <c r="C1387" s="1" t="s">
        <v>182</v>
      </c>
      <c r="D1387" s="1" t="s">
        <v>55</v>
      </c>
      <c r="E1387" s="1" t="s">
        <v>77</v>
      </c>
      <c r="F1387" s="1" t="n">
        <v>48</v>
      </c>
      <c r="G1387" s="1" t="n">
        <v>21</v>
      </c>
      <c r="H1387" s="1" t="s">
        <v>56</v>
      </c>
      <c r="I1387" s="1" t="n">
        <v>-4.5</v>
      </c>
      <c r="J1387" s="1" t="n">
        <v>47.5</v>
      </c>
      <c r="K1387" s="1" t="s">
        <v>161</v>
      </c>
      <c r="L1387" s="1" t="b">
        <f aca="false">FALSE()</f>
        <v>0</v>
      </c>
      <c r="M1387" s="1" t="str">
        <f aca="false">VLOOKUP(D1387,'Team Reference'!$A:$B,2,FALSE())</f>
        <v>ATL</v>
      </c>
      <c r="N1387" s="1" t="str">
        <f aca="false">VLOOKUP(E1387,'Team Reference'!$A:$B,2,FALSE())</f>
        <v>HOU</v>
      </c>
      <c r="O1387" s="1" t="str">
        <f aca="false">IF(F1387&gt;G1387,M1387,IF(G1387&gt;F1387,N1387,"Tie"))</f>
        <v>ATL</v>
      </c>
      <c r="P1387" s="1" t="n">
        <f aca="false">F1387-G1387</f>
        <v>27</v>
      </c>
      <c r="Q1387" s="1" t="n">
        <f aca="false">F1387+G1387</f>
        <v>69</v>
      </c>
      <c r="R1387" s="1" t="str">
        <f aca="false">IF(H1387=M1387,"Home",IF(H1387=N1387,"Away",IF(H1387="PICK","Pick","N/A")))</f>
        <v>Home</v>
      </c>
      <c r="S1387" s="1" t="n">
        <f aca="false">IF(R1387="Home",P1387,IF(R1387="Away",-P1387,""))</f>
        <v>27</v>
      </c>
      <c r="T1387" s="1" t="str">
        <f aca="false">IF(R1387="Pick","No Line",IF(S1387="","N/A",IF(S1387+I1387&gt;0,"Favorite Covered",IF(S1387+I1387&lt;0,"Underdog Covered","Push"))))</f>
        <v>Favorite Covered</v>
      </c>
      <c r="U1387" s="1" t="str">
        <f aca="false">IF(Q1387&gt;J1387,"Over",IF(Q1387&lt;J1387,"Under","Push"))</f>
        <v>Over</v>
      </c>
    </row>
    <row r="1388" customFormat="false" ht="15" hidden="false" customHeight="false" outlineLevel="0" collapsed="false">
      <c r="A1388" s="1" t="s">
        <v>470</v>
      </c>
      <c r="B1388" s="1" t="n">
        <v>2015</v>
      </c>
      <c r="C1388" s="1" t="s">
        <v>182</v>
      </c>
      <c r="D1388" s="1" t="s">
        <v>59</v>
      </c>
      <c r="E1388" s="1" t="s">
        <v>97</v>
      </c>
      <c r="F1388" s="1" t="n">
        <v>10</v>
      </c>
      <c r="G1388" s="1" t="n">
        <v>24</v>
      </c>
      <c r="H1388" s="1" t="s">
        <v>60</v>
      </c>
      <c r="I1388" s="1" t="n">
        <v>-6</v>
      </c>
      <c r="J1388" s="1" t="n">
        <v>46.5</v>
      </c>
      <c r="K1388" s="1" t="s">
        <v>144</v>
      </c>
      <c r="L1388" s="1" t="b">
        <f aca="false">FALSE()</f>
        <v>0</v>
      </c>
      <c r="M1388" s="1" t="str">
        <f aca="false">VLOOKUP(D1388,'Team Reference'!$A:$B,2,FALSE())</f>
        <v>BUF</v>
      </c>
      <c r="N1388" s="1" t="str">
        <f aca="false">VLOOKUP(E1388,'Team Reference'!$A:$B,2,FALSE())</f>
        <v>NYG</v>
      </c>
      <c r="O1388" s="1" t="str">
        <f aca="false">IF(F1388&gt;G1388,M1388,IF(G1388&gt;F1388,N1388,"Tie"))</f>
        <v>NYG</v>
      </c>
      <c r="P1388" s="1" t="n">
        <f aca="false">F1388-G1388</f>
        <v>-14</v>
      </c>
      <c r="Q1388" s="1" t="n">
        <f aca="false">F1388+G1388</f>
        <v>34</v>
      </c>
      <c r="R1388" s="1" t="str">
        <f aca="false">IF(H1388=M1388,"Home",IF(H1388=N1388,"Away",IF(H1388="PICK","Pick","N/A")))</f>
        <v>Home</v>
      </c>
      <c r="S1388" s="1" t="n">
        <f aca="false">IF(R1388="Home",P1388,IF(R1388="Away",-P1388,""))</f>
        <v>-14</v>
      </c>
      <c r="T1388" s="1" t="str">
        <f aca="false">IF(R1388="Pick","No Line",IF(S1388="","N/A",IF(S1388+I1388&gt;0,"Favorite Covered",IF(S1388+I1388&lt;0,"Underdog Covered","Push"))))</f>
        <v>Underdog Covered</v>
      </c>
      <c r="U1388" s="1" t="str">
        <f aca="false">IF(Q1388&gt;J1388,"Over",IF(Q1388&lt;J1388,"Under","Push"))</f>
        <v>Under</v>
      </c>
    </row>
    <row r="1389" customFormat="false" ht="15" hidden="false" customHeight="false" outlineLevel="0" collapsed="false">
      <c r="A1389" s="1" t="s">
        <v>470</v>
      </c>
      <c r="B1389" s="1" t="n">
        <v>2015</v>
      </c>
      <c r="C1389" s="1" t="s">
        <v>182</v>
      </c>
      <c r="D1389" s="1" t="s">
        <v>63</v>
      </c>
      <c r="E1389" s="1" t="s">
        <v>101</v>
      </c>
      <c r="F1389" s="1" t="n">
        <v>22</v>
      </c>
      <c r="G1389" s="1" t="n">
        <v>20</v>
      </c>
      <c r="H1389" s="1" t="s">
        <v>102</v>
      </c>
      <c r="I1389" s="1" t="n">
        <v>-3</v>
      </c>
      <c r="J1389" s="1" t="n">
        <v>44.5</v>
      </c>
      <c r="K1389" s="1" t="s">
        <v>145</v>
      </c>
      <c r="L1389" s="1" t="b">
        <f aca="false">FALSE()</f>
        <v>0</v>
      </c>
      <c r="M1389" s="1" t="str">
        <f aca="false">VLOOKUP(D1389,'Team Reference'!$A:$B,2,FALSE())</f>
        <v>CHI</v>
      </c>
      <c r="N1389" s="1" t="str">
        <f aca="false">VLOOKUP(E1389,'Team Reference'!$A:$B,2,FALSE())</f>
        <v>OAK</v>
      </c>
      <c r="O1389" s="1" t="str">
        <f aca="false">IF(F1389&gt;G1389,M1389,IF(G1389&gt;F1389,N1389,"Tie"))</f>
        <v>CHI</v>
      </c>
      <c r="P1389" s="1" t="n">
        <f aca="false">F1389-G1389</f>
        <v>2</v>
      </c>
      <c r="Q1389" s="1" t="n">
        <f aca="false">F1389+G1389</f>
        <v>42</v>
      </c>
      <c r="R1389" s="1" t="str">
        <f aca="false">IF(H1389=M1389,"Home",IF(H1389=N1389,"Away",IF(H1389="PICK","Pick","N/A")))</f>
        <v>Away</v>
      </c>
      <c r="S1389" s="1" t="n">
        <f aca="false">IF(R1389="Home",P1389,IF(R1389="Away",-P1389,""))</f>
        <v>-2</v>
      </c>
      <c r="T1389" s="1" t="str">
        <f aca="false">IF(R1389="Pick","No Line",IF(S1389="","N/A",IF(S1389+I1389&gt;0,"Favorite Covered",IF(S1389+I1389&lt;0,"Underdog Covered","Push"))))</f>
        <v>Underdog Covered</v>
      </c>
      <c r="U1389" s="1" t="str">
        <f aca="false">IF(Q1389&gt;J1389,"Over",IF(Q1389&lt;J1389,"Under","Push"))</f>
        <v>Under</v>
      </c>
    </row>
    <row r="1390" customFormat="false" ht="15" hidden="false" customHeight="false" outlineLevel="0" collapsed="false">
      <c r="A1390" s="1" t="s">
        <v>470</v>
      </c>
      <c r="B1390" s="1" t="n">
        <v>2015</v>
      </c>
      <c r="C1390" s="1" t="s">
        <v>182</v>
      </c>
      <c r="D1390" s="1" t="s">
        <v>65</v>
      </c>
      <c r="E1390" s="1" t="s">
        <v>83</v>
      </c>
      <c r="F1390" s="1" t="n">
        <v>36</v>
      </c>
      <c r="G1390" s="1" t="n">
        <v>21</v>
      </c>
      <c r="H1390" s="1" t="s">
        <v>66</v>
      </c>
      <c r="I1390" s="1" t="n">
        <v>-3.5</v>
      </c>
      <c r="J1390" s="1" t="n">
        <v>45</v>
      </c>
      <c r="K1390" s="1" t="s">
        <v>163</v>
      </c>
      <c r="L1390" s="1" t="b">
        <f aca="false">FALSE()</f>
        <v>0</v>
      </c>
      <c r="M1390" s="1" t="str">
        <f aca="false">VLOOKUP(D1390,'Team Reference'!$A:$B,2,FALSE())</f>
        <v>CIN</v>
      </c>
      <c r="N1390" s="1" t="str">
        <f aca="false">VLOOKUP(E1390,'Team Reference'!$A:$B,2,FALSE())</f>
        <v>KC</v>
      </c>
      <c r="O1390" s="1" t="str">
        <f aca="false">IF(F1390&gt;G1390,M1390,IF(G1390&gt;F1390,N1390,"Tie"))</f>
        <v>CIN</v>
      </c>
      <c r="P1390" s="1" t="n">
        <f aca="false">F1390-G1390</f>
        <v>15</v>
      </c>
      <c r="Q1390" s="1" t="n">
        <f aca="false">F1390+G1390</f>
        <v>57</v>
      </c>
      <c r="R1390" s="1" t="str">
        <f aca="false">IF(H1390=M1390,"Home",IF(H1390=N1390,"Away",IF(H1390="PICK","Pick","N/A")))</f>
        <v>Home</v>
      </c>
      <c r="S1390" s="1" t="n">
        <f aca="false">IF(R1390="Home",P1390,IF(R1390="Away",-P1390,""))</f>
        <v>15</v>
      </c>
      <c r="T1390" s="1" t="str">
        <f aca="false">IF(R1390="Pick","No Line",IF(S1390="","N/A",IF(S1390+I1390&gt;0,"Favorite Covered",IF(S1390+I1390&lt;0,"Underdog Covered","Push"))))</f>
        <v>Favorite Covered</v>
      </c>
      <c r="U1390" s="1" t="str">
        <f aca="false">IF(Q1390&gt;J1390,"Over",IF(Q1390&lt;J1390,"Under","Push"))</f>
        <v>Over</v>
      </c>
    </row>
    <row r="1391" customFormat="false" ht="15" hidden="false" customHeight="false" outlineLevel="0" collapsed="false">
      <c r="A1391" s="1" t="s">
        <v>470</v>
      </c>
      <c r="B1391" s="1" t="n">
        <v>2015</v>
      </c>
      <c r="C1391" s="1" t="s">
        <v>182</v>
      </c>
      <c r="D1391" s="1" t="s">
        <v>71</v>
      </c>
      <c r="E1391" s="1" t="s">
        <v>91</v>
      </c>
      <c r="F1391" s="1" t="n">
        <v>23</v>
      </c>
      <c r="G1391" s="1" t="n">
        <v>20</v>
      </c>
      <c r="H1391" s="1" t="s">
        <v>72</v>
      </c>
      <c r="I1391" s="1" t="n">
        <v>-7</v>
      </c>
      <c r="J1391" s="1" t="n">
        <v>43.5</v>
      </c>
      <c r="K1391" s="1" t="s">
        <v>166</v>
      </c>
      <c r="L1391" s="1" t="b">
        <f aca="false">FALSE()</f>
        <v>0</v>
      </c>
      <c r="M1391" s="1" t="str">
        <f aca="false">VLOOKUP(D1391,'Team Reference'!$A:$B,2,FALSE())</f>
        <v>DEN</v>
      </c>
      <c r="N1391" s="1" t="str">
        <f aca="false">VLOOKUP(E1391,'Team Reference'!$A:$B,2,FALSE())</f>
        <v>MIN</v>
      </c>
      <c r="O1391" s="1" t="str">
        <f aca="false">IF(F1391&gt;G1391,M1391,IF(G1391&gt;F1391,N1391,"Tie"))</f>
        <v>DEN</v>
      </c>
      <c r="P1391" s="1" t="n">
        <f aca="false">F1391-G1391</f>
        <v>3</v>
      </c>
      <c r="Q1391" s="1" t="n">
        <f aca="false">F1391+G1391</f>
        <v>43</v>
      </c>
      <c r="R1391" s="1" t="str">
        <f aca="false">IF(H1391=M1391,"Home",IF(H1391=N1391,"Away",IF(H1391="PICK","Pick","N/A")))</f>
        <v>Home</v>
      </c>
      <c r="S1391" s="1" t="n">
        <f aca="false">IF(R1391="Home",P1391,IF(R1391="Away",-P1391,""))</f>
        <v>3</v>
      </c>
      <c r="T1391" s="1" t="str">
        <f aca="false">IF(R1391="Pick","No Line",IF(S1391="","N/A",IF(S1391+I1391&gt;0,"Favorite Covered",IF(S1391+I1391&lt;0,"Underdog Covered","Push"))))</f>
        <v>Underdog Covered</v>
      </c>
      <c r="U1391" s="1" t="str">
        <f aca="false">IF(Q1391&gt;J1391,"Over",IF(Q1391&lt;J1391,"Under","Push"))</f>
        <v>Under</v>
      </c>
    </row>
    <row r="1392" customFormat="false" ht="15" hidden="false" customHeight="false" outlineLevel="0" collapsed="false">
      <c r="A1392" s="1" t="s">
        <v>470</v>
      </c>
      <c r="B1392" s="1" t="n">
        <v>2015</v>
      </c>
      <c r="C1392" s="1" t="s">
        <v>182</v>
      </c>
      <c r="D1392" s="1" t="s">
        <v>79</v>
      </c>
      <c r="E1392" s="1" t="s">
        <v>81</v>
      </c>
      <c r="F1392" s="1" t="n">
        <v>16</v>
      </c>
      <c r="G1392" s="1" t="n">
        <v>13</v>
      </c>
      <c r="H1392" s="1" t="s">
        <v>80</v>
      </c>
      <c r="I1392" s="1" t="n">
        <v>-4</v>
      </c>
      <c r="J1392" s="1" t="n">
        <v>43.5</v>
      </c>
      <c r="K1392" s="1" t="s">
        <v>169</v>
      </c>
      <c r="L1392" s="1" t="b">
        <f aca="false">FALSE()</f>
        <v>0</v>
      </c>
      <c r="M1392" s="1" t="str">
        <f aca="false">VLOOKUP(D1392,'Team Reference'!$A:$B,2,FALSE())</f>
        <v>IND</v>
      </c>
      <c r="N1392" s="1" t="str">
        <f aca="false">VLOOKUP(E1392,'Team Reference'!$A:$B,2,FALSE())</f>
        <v>JAX</v>
      </c>
      <c r="O1392" s="1" t="str">
        <f aca="false">IF(F1392&gt;G1392,M1392,IF(G1392&gt;F1392,N1392,"Tie"))</f>
        <v>IND</v>
      </c>
      <c r="P1392" s="1" t="n">
        <f aca="false">F1392-G1392</f>
        <v>3</v>
      </c>
      <c r="Q1392" s="1" t="n">
        <f aca="false">F1392+G1392</f>
        <v>29</v>
      </c>
      <c r="R1392" s="1" t="str">
        <f aca="false">IF(H1392=M1392,"Home",IF(H1392=N1392,"Away",IF(H1392="PICK","Pick","N/A")))</f>
        <v>Home</v>
      </c>
      <c r="S1392" s="1" t="n">
        <f aca="false">IF(R1392="Home",P1392,IF(R1392="Away",-P1392,""))</f>
        <v>3</v>
      </c>
      <c r="T1392" s="1" t="str">
        <f aca="false">IF(R1392="Pick","No Line",IF(S1392="","N/A",IF(S1392+I1392&gt;0,"Favorite Covered",IF(S1392+I1392&lt;0,"Underdog Covered","Push"))))</f>
        <v>Underdog Covered</v>
      </c>
      <c r="U1392" s="1" t="str">
        <f aca="false">IF(Q1392&gt;J1392,"Over",IF(Q1392&lt;J1392,"Under","Push"))</f>
        <v>Under</v>
      </c>
    </row>
    <row r="1393" customFormat="false" ht="15" hidden="false" customHeight="false" outlineLevel="0" collapsed="false">
      <c r="A1393" s="1" t="s">
        <v>470</v>
      </c>
      <c r="B1393" s="1" t="n">
        <v>2015</v>
      </c>
      <c r="C1393" s="1" t="s">
        <v>182</v>
      </c>
      <c r="D1393" s="1" t="s">
        <v>89</v>
      </c>
      <c r="E1393" s="1" t="s">
        <v>99</v>
      </c>
      <c r="F1393" s="1" t="n">
        <v>14</v>
      </c>
      <c r="G1393" s="1" t="n">
        <v>27</v>
      </c>
      <c r="H1393" s="1" t="s">
        <v>100</v>
      </c>
      <c r="I1393" s="1" t="n">
        <v>-2.5</v>
      </c>
      <c r="J1393" s="1" t="n">
        <v>42.5</v>
      </c>
      <c r="K1393" s="1" t="s">
        <v>195</v>
      </c>
      <c r="L1393" s="1" t="b">
        <f aca="false">FALSE()</f>
        <v>0</v>
      </c>
      <c r="M1393" s="1" t="str">
        <f aca="false">VLOOKUP(D1393,'Team Reference'!$A:$B,2,FALSE())</f>
        <v>MIA</v>
      </c>
      <c r="N1393" s="1" t="str">
        <f aca="false">VLOOKUP(E1393,'Team Reference'!$A:$B,2,FALSE())</f>
        <v>NYJ</v>
      </c>
      <c r="O1393" s="1" t="str">
        <f aca="false">IF(F1393&gt;G1393,M1393,IF(G1393&gt;F1393,N1393,"Tie"))</f>
        <v>NYJ</v>
      </c>
      <c r="P1393" s="1" t="n">
        <f aca="false">F1393-G1393</f>
        <v>-13</v>
      </c>
      <c r="Q1393" s="1" t="n">
        <f aca="false">F1393+G1393</f>
        <v>41</v>
      </c>
      <c r="R1393" s="1" t="str">
        <f aca="false">IF(H1393=M1393,"Home",IF(H1393=N1393,"Away",IF(H1393="PICK","Pick","N/A")))</f>
        <v>Away</v>
      </c>
      <c r="S1393" s="1" t="n">
        <f aca="false">IF(R1393="Home",P1393,IF(R1393="Away",-P1393,""))</f>
        <v>13</v>
      </c>
      <c r="T1393" s="1" t="str">
        <f aca="false">IF(R1393="Pick","No Line",IF(S1393="","N/A",IF(S1393+I1393&gt;0,"Favorite Covered",IF(S1393+I1393&lt;0,"Underdog Covered","Push"))))</f>
        <v>Favorite Covered</v>
      </c>
      <c r="U1393" s="1" t="str">
        <f aca="false">IF(Q1393&gt;J1393,"Over",IF(Q1393&lt;J1393,"Under","Push"))</f>
        <v>Under</v>
      </c>
    </row>
    <row r="1394" customFormat="false" ht="15" hidden="false" customHeight="false" outlineLevel="0" collapsed="false">
      <c r="A1394" s="1" t="s">
        <v>470</v>
      </c>
      <c r="B1394" s="1" t="n">
        <v>2015</v>
      </c>
      <c r="C1394" s="1" t="s">
        <v>182</v>
      </c>
      <c r="D1394" s="1" t="s">
        <v>95</v>
      </c>
      <c r="E1394" s="1" t="s">
        <v>69</v>
      </c>
      <c r="F1394" s="1" t="n">
        <v>26</v>
      </c>
      <c r="G1394" s="1" t="n">
        <v>20</v>
      </c>
      <c r="H1394" s="1" t="s">
        <v>96</v>
      </c>
      <c r="I1394" s="1" t="n">
        <v>-3</v>
      </c>
      <c r="J1394" s="1" t="n">
        <v>48.5</v>
      </c>
      <c r="K1394" s="1" t="s">
        <v>142</v>
      </c>
      <c r="L1394" s="1" t="b">
        <f aca="false">FALSE()</f>
        <v>0</v>
      </c>
      <c r="M1394" s="1" t="str">
        <f aca="false">VLOOKUP(D1394,'Team Reference'!$A:$B,2,FALSE())</f>
        <v>NO</v>
      </c>
      <c r="N1394" s="1" t="str">
        <f aca="false">VLOOKUP(E1394,'Team Reference'!$A:$B,2,FALSE())</f>
        <v>DAL</v>
      </c>
      <c r="O1394" s="1" t="str">
        <f aca="false">IF(F1394&gt;G1394,M1394,IF(G1394&gt;F1394,N1394,"Tie"))</f>
        <v>NO</v>
      </c>
      <c r="P1394" s="1" t="n">
        <f aca="false">F1394-G1394</f>
        <v>6</v>
      </c>
      <c r="Q1394" s="1" t="n">
        <f aca="false">F1394+G1394</f>
        <v>46</v>
      </c>
      <c r="R1394" s="1" t="str">
        <f aca="false">IF(H1394=M1394,"Home",IF(H1394=N1394,"Away",IF(H1394="PICK","Pick","N/A")))</f>
        <v>Home</v>
      </c>
      <c r="S1394" s="1" t="n">
        <f aca="false">IF(R1394="Home",P1394,IF(R1394="Away",-P1394,""))</f>
        <v>6</v>
      </c>
      <c r="T1394" s="1" t="str">
        <f aca="false">IF(R1394="Pick","No Line",IF(S1394="","N/A",IF(S1394+I1394&gt;0,"Favorite Covered",IF(S1394+I1394&lt;0,"Underdog Covered","Push"))))</f>
        <v>Favorite Covered</v>
      </c>
      <c r="U1394" s="1" t="str">
        <f aca="false">IF(Q1394&gt;J1394,"Over",IF(Q1394&lt;J1394,"Under","Push"))</f>
        <v>Under</v>
      </c>
    </row>
    <row r="1395" customFormat="false" ht="15" hidden="false" customHeight="false" outlineLevel="0" collapsed="false">
      <c r="A1395" s="1" t="s">
        <v>470</v>
      </c>
      <c r="B1395" s="1" t="n">
        <v>2015</v>
      </c>
      <c r="C1395" s="1" t="s">
        <v>182</v>
      </c>
      <c r="D1395" s="1" t="s">
        <v>107</v>
      </c>
      <c r="E1395" s="1" t="s">
        <v>67</v>
      </c>
      <c r="F1395" s="1" t="n">
        <v>30</v>
      </c>
      <c r="G1395" s="1" t="n">
        <v>27</v>
      </c>
      <c r="H1395" s="1" t="s">
        <v>86</v>
      </c>
      <c r="I1395" s="1" t="n">
        <v>-5</v>
      </c>
      <c r="J1395" s="1" t="n">
        <v>44.5</v>
      </c>
      <c r="K1395" s="1" t="s">
        <v>172</v>
      </c>
      <c r="L1395" s="1" t="b">
        <f aca="false">FALSE()</f>
        <v>0</v>
      </c>
      <c r="M1395" s="1" t="str">
        <f aca="false">VLOOKUP(D1395,'Team Reference'!$A:$B,2,FALSE())</f>
        <v>LAC</v>
      </c>
      <c r="N1395" s="1" t="str">
        <f aca="false">VLOOKUP(E1395,'Team Reference'!$A:$B,2,FALSE())</f>
        <v>CLE</v>
      </c>
      <c r="O1395" s="1" t="str">
        <f aca="false">IF(F1395&gt;G1395,M1395,IF(G1395&gt;F1395,N1395,"Tie"))</f>
        <v>LAC</v>
      </c>
      <c r="P1395" s="1" t="n">
        <f aca="false">F1395-G1395</f>
        <v>3</v>
      </c>
      <c r="Q1395" s="1" t="n">
        <f aca="false">F1395+G1395</f>
        <v>57</v>
      </c>
      <c r="R1395" s="1" t="str">
        <f aca="false">IF(H1395=M1395,"Home",IF(H1395=N1395,"Away",IF(H1395="PICK","Pick","N/A")))</f>
        <v>Home</v>
      </c>
      <c r="S1395" s="1" t="n">
        <f aca="false">IF(R1395="Home",P1395,IF(R1395="Away",-P1395,""))</f>
        <v>3</v>
      </c>
      <c r="T1395" s="1" t="str">
        <f aca="false">IF(R1395="Pick","No Line",IF(S1395="","N/A",IF(S1395+I1395&gt;0,"Favorite Covered",IF(S1395+I1395&lt;0,"Underdog Covered","Push"))))</f>
        <v>Underdog Covered</v>
      </c>
      <c r="U1395" s="1" t="str">
        <f aca="false">IF(Q1395&gt;J1395,"Over",IF(Q1395&lt;J1395,"Under","Push"))</f>
        <v>Over</v>
      </c>
    </row>
    <row r="1396" customFormat="false" ht="15" hidden="false" customHeight="false" outlineLevel="0" collapsed="false">
      <c r="A1396" s="1" t="s">
        <v>470</v>
      </c>
      <c r="B1396" s="1" t="n">
        <v>2015</v>
      </c>
      <c r="C1396" s="1" t="s">
        <v>182</v>
      </c>
      <c r="D1396" s="1" t="s">
        <v>108</v>
      </c>
      <c r="E1396" s="1" t="s">
        <v>75</v>
      </c>
      <c r="F1396" s="1" t="n">
        <v>3</v>
      </c>
      <c r="G1396" s="1" t="n">
        <v>17</v>
      </c>
      <c r="H1396" s="1" t="s">
        <v>76</v>
      </c>
      <c r="I1396" s="1" t="n">
        <v>-7.5</v>
      </c>
      <c r="J1396" s="1" t="n">
        <v>48</v>
      </c>
      <c r="K1396" s="1" t="s">
        <v>408</v>
      </c>
      <c r="L1396" s="1" t="b">
        <f aca="false">FALSE()</f>
        <v>0</v>
      </c>
      <c r="M1396" s="1" t="str">
        <f aca="false">VLOOKUP(D1396,'Team Reference'!$A:$B,2,FALSE())</f>
        <v>SF</v>
      </c>
      <c r="N1396" s="1" t="str">
        <f aca="false">VLOOKUP(E1396,'Team Reference'!$A:$B,2,FALSE())</f>
        <v>GB</v>
      </c>
      <c r="O1396" s="1" t="str">
        <f aca="false">IF(F1396&gt;G1396,M1396,IF(G1396&gt;F1396,N1396,"Tie"))</f>
        <v>GB</v>
      </c>
      <c r="P1396" s="1" t="n">
        <f aca="false">F1396-G1396</f>
        <v>-14</v>
      </c>
      <c r="Q1396" s="1" t="n">
        <f aca="false">F1396+G1396</f>
        <v>20</v>
      </c>
      <c r="R1396" s="1" t="str">
        <f aca="false">IF(H1396=M1396,"Home",IF(H1396=N1396,"Away",IF(H1396="PICK","Pick","N/A")))</f>
        <v>Away</v>
      </c>
      <c r="S1396" s="1" t="n">
        <f aca="false">IF(R1396="Home",P1396,IF(R1396="Away",-P1396,""))</f>
        <v>14</v>
      </c>
      <c r="T1396" s="1" t="str">
        <f aca="false">IF(R1396="Pick","No Line",IF(S1396="","N/A",IF(S1396+I1396&gt;0,"Favorite Covered",IF(S1396+I1396&lt;0,"Underdog Covered","Push"))))</f>
        <v>Favorite Covered</v>
      </c>
      <c r="U1396" s="1" t="str">
        <f aca="false">IF(Q1396&gt;J1396,"Over",IF(Q1396&lt;J1396,"Under","Push"))</f>
        <v>Under</v>
      </c>
    </row>
    <row r="1397" customFormat="false" ht="15" hidden="false" customHeight="false" outlineLevel="0" collapsed="false">
      <c r="A1397" s="1" t="s">
        <v>470</v>
      </c>
      <c r="B1397" s="1" t="n">
        <v>2015</v>
      </c>
      <c r="C1397" s="1" t="s">
        <v>182</v>
      </c>
      <c r="D1397" s="1" t="s">
        <v>113</v>
      </c>
      <c r="E1397" s="1" t="s">
        <v>61</v>
      </c>
      <c r="F1397" s="1" t="n">
        <v>23</v>
      </c>
      <c r="G1397" s="1" t="n">
        <v>37</v>
      </c>
      <c r="H1397" s="1" t="s">
        <v>62</v>
      </c>
      <c r="I1397" s="1" t="n">
        <v>-3</v>
      </c>
      <c r="J1397" s="1" t="n">
        <v>40.5</v>
      </c>
      <c r="K1397" s="1" t="s">
        <v>154</v>
      </c>
      <c r="L1397" s="1" t="b">
        <f aca="false">FALSE()</f>
        <v>0</v>
      </c>
      <c r="M1397" s="1" t="str">
        <f aca="false">VLOOKUP(D1397,'Team Reference'!$A:$B,2,FALSE())</f>
        <v>TB</v>
      </c>
      <c r="N1397" s="1" t="str">
        <f aca="false">VLOOKUP(E1397,'Team Reference'!$A:$B,2,FALSE())</f>
        <v>CAR</v>
      </c>
      <c r="O1397" s="1" t="str">
        <f aca="false">IF(F1397&gt;G1397,M1397,IF(G1397&gt;F1397,N1397,"Tie"))</f>
        <v>CAR</v>
      </c>
      <c r="P1397" s="1" t="n">
        <f aca="false">F1397-G1397</f>
        <v>-14</v>
      </c>
      <c r="Q1397" s="1" t="n">
        <f aca="false">F1397+G1397</f>
        <v>60</v>
      </c>
      <c r="R1397" s="1" t="str">
        <f aca="false">IF(H1397=M1397,"Home",IF(H1397=N1397,"Away",IF(H1397="PICK","Pick","N/A")))</f>
        <v>Away</v>
      </c>
      <c r="S1397" s="1" t="n">
        <f aca="false">IF(R1397="Home",P1397,IF(R1397="Away",-P1397,""))</f>
        <v>14</v>
      </c>
      <c r="T1397" s="1" t="str">
        <f aca="false">IF(R1397="Pick","No Line",IF(S1397="","N/A",IF(S1397+I1397&gt;0,"Favorite Covered",IF(S1397+I1397&lt;0,"Underdog Covered","Push"))))</f>
        <v>Favorite Covered</v>
      </c>
      <c r="U1397" s="1" t="str">
        <f aca="false">IF(Q1397&gt;J1397,"Over",IF(Q1397&lt;J1397,"Under","Push"))</f>
        <v>Over</v>
      </c>
    </row>
    <row r="1398" customFormat="false" ht="15" hidden="false" customHeight="false" outlineLevel="0" collapsed="false">
      <c r="A1398" s="1" t="s">
        <v>470</v>
      </c>
      <c r="B1398" s="1" t="n">
        <v>2015</v>
      </c>
      <c r="C1398" s="1" t="s">
        <v>182</v>
      </c>
      <c r="D1398" s="1" t="s">
        <v>117</v>
      </c>
      <c r="E1398" s="1" t="s">
        <v>103</v>
      </c>
      <c r="F1398" s="1" t="n">
        <v>23</v>
      </c>
      <c r="G1398" s="1" t="n">
        <v>20</v>
      </c>
      <c r="H1398" s="1" t="s">
        <v>104</v>
      </c>
      <c r="I1398" s="1" t="n">
        <v>-3</v>
      </c>
      <c r="J1398" s="1" t="n">
        <v>45.5</v>
      </c>
      <c r="K1398" s="1" t="s">
        <v>156</v>
      </c>
      <c r="L1398" s="1" t="b">
        <f aca="false">FALSE()</f>
        <v>0</v>
      </c>
      <c r="M1398" s="1" t="str">
        <f aca="false">VLOOKUP(D1398,'Team Reference'!$A:$B,2,FALSE())</f>
        <v>WAS</v>
      </c>
      <c r="N1398" s="1" t="str">
        <f aca="false">VLOOKUP(E1398,'Team Reference'!$A:$B,2,FALSE())</f>
        <v>PHI</v>
      </c>
      <c r="O1398" s="1" t="str">
        <f aca="false">IF(F1398&gt;G1398,M1398,IF(G1398&gt;F1398,N1398,"Tie"))</f>
        <v>WAS</v>
      </c>
      <c r="P1398" s="1" t="n">
        <f aca="false">F1398-G1398</f>
        <v>3</v>
      </c>
      <c r="Q1398" s="1" t="n">
        <f aca="false">F1398+G1398</f>
        <v>43</v>
      </c>
      <c r="R1398" s="1" t="str">
        <f aca="false">IF(H1398=M1398,"Home",IF(H1398=N1398,"Away",IF(H1398="PICK","Pick","N/A")))</f>
        <v>Away</v>
      </c>
      <c r="S1398" s="1" t="n">
        <f aca="false">IF(R1398="Home",P1398,IF(R1398="Away",-P1398,""))</f>
        <v>-3</v>
      </c>
      <c r="T1398" s="1" t="str">
        <f aca="false">IF(R1398="Pick","No Line",IF(S1398="","N/A",IF(S1398+I1398&gt;0,"Favorite Covered",IF(S1398+I1398&lt;0,"Underdog Covered","Push"))))</f>
        <v>Underdog Covered</v>
      </c>
      <c r="U1398" s="1" t="str">
        <f aca="false">IF(Q1398&gt;J1398,"Over",IF(Q1398&lt;J1398,"Under","Push"))</f>
        <v>Under</v>
      </c>
    </row>
    <row r="1399" customFormat="false" ht="15" hidden="false" customHeight="false" outlineLevel="0" collapsed="false">
      <c r="A1399" s="1" t="s">
        <v>471</v>
      </c>
      <c r="B1399" s="1" t="n">
        <v>2015</v>
      </c>
      <c r="C1399" s="1" t="s">
        <v>182</v>
      </c>
      <c r="D1399" s="1" t="s">
        <v>110</v>
      </c>
      <c r="E1399" s="1" t="s">
        <v>73</v>
      </c>
      <c r="F1399" s="1" t="n">
        <v>13</v>
      </c>
      <c r="G1399" s="1" t="n">
        <v>10</v>
      </c>
      <c r="H1399" s="1" t="s">
        <v>111</v>
      </c>
      <c r="I1399" s="1" t="n">
        <v>-10</v>
      </c>
      <c r="J1399" s="1" t="n">
        <v>43</v>
      </c>
      <c r="K1399" s="1" t="s">
        <v>152</v>
      </c>
      <c r="L1399" s="1" t="b">
        <f aca="false">FALSE()</f>
        <v>0</v>
      </c>
      <c r="M1399" s="1" t="str">
        <f aca="false">VLOOKUP(D1399,'Team Reference'!$A:$B,2,FALSE())</f>
        <v>SEA</v>
      </c>
      <c r="N1399" s="1" t="str">
        <f aca="false">VLOOKUP(E1399,'Team Reference'!$A:$B,2,FALSE())</f>
        <v>DET</v>
      </c>
      <c r="O1399" s="1" t="str">
        <f aca="false">IF(F1399&gt;G1399,M1399,IF(G1399&gt;F1399,N1399,"Tie"))</f>
        <v>SEA</v>
      </c>
      <c r="P1399" s="1" t="n">
        <f aca="false">F1399-G1399</f>
        <v>3</v>
      </c>
      <c r="Q1399" s="1" t="n">
        <f aca="false">F1399+G1399</f>
        <v>23</v>
      </c>
      <c r="R1399" s="1" t="str">
        <f aca="false">IF(H1399=M1399,"Home",IF(H1399=N1399,"Away",IF(H1399="PICK","Pick","N/A")))</f>
        <v>Home</v>
      </c>
      <c r="S1399" s="1" t="n">
        <f aca="false">IF(R1399="Home",P1399,IF(R1399="Away",-P1399,""))</f>
        <v>3</v>
      </c>
      <c r="T1399" s="1" t="str">
        <f aca="false">IF(R1399="Pick","No Line",IF(S1399="","N/A",IF(S1399+I1399&gt;0,"Favorite Covered",IF(S1399+I1399&lt;0,"Underdog Covered","Push"))))</f>
        <v>Underdog Covered</v>
      </c>
      <c r="U1399" s="1" t="str">
        <f aca="false">IF(Q1399&gt;J1399,"Over",IF(Q1399&lt;J1399,"Under","Push"))</f>
        <v>Under</v>
      </c>
    </row>
    <row r="1400" customFormat="false" ht="15" hidden="false" customHeight="false" outlineLevel="0" collapsed="false">
      <c r="A1400" s="1" t="s">
        <v>472</v>
      </c>
      <c r="B1400" s="1" t="n">
        <v>2015</v>
      </c>
      <c r="C1400" s="1" t="s">
        <v>185</v>
      </c>
      <c r="D1400" s="1" t="s">
        <v>77</v>
      </c>
      <c r="E1400" s="1" t="s">
        <v>79</v>
      </c>
      <c r="F1400" s="1" t="n">
        <v>20</v>
      </c>
      <c r="G1400" s="1" t="n">
        <v>27</v>
      </c>
      <c r="H1400" s="1" t="s">
        <v>78</v>
      </c>
      <c r="I1400" s="1" t="n">
        <v>-5</v>
      </c>
      <c r="J1400" s="1" t="n">
        <v>41</v>
      </c>
      <c r="K1400" s="1" t="s">
        <v>146</v>
      </c>
      <c r="L1400" s="1" t="b">
        <f aca="false">FALSE()</f>
        <v>0</v>
      </c>
      <c r="M1400" s="1" t="str">
        <f aca="false">VLOOKUP(D1400,'Team Reference'!$A:$B,2,FALSE())</f>
        <v>HOU</v>
      </c>
      <c r="N1400" s="1" t="str">
        <f aca="false">VLOOKUP(E1400,'Team Reference'!$A:$B,2,FALSE())</f>
        <v>IND</v>
      </c>
      <c r="O1400" s="1" t="str">
        <f aca="false">IF(F1400&gt;G1400,M1400,IF(G1400&gt;F1400,N1400,"Tie"))</f>
        <v>IND</v>
      </c>
      <c r="P1400" s="1" t="n">
        <f aca="false">F1400-G1400</f>
        <v>-7</v>
      </c>
      <c r="Q1400" s="1" t="n">
        <f aca="false">F1400+G1400</f>
        <v>47</v>
      </c>
      <c r="R1400" s="1" t="str">
        <f aca="false">IF(H1400=M1400,"Home",IF(H1400=N1400,"Away",IF(H1400="PICK","Pick","N/A")))</f>
        <v>Home</v>
      </c>
      <c r="S1400" s="1" t="n">
        <f aca="false">IF(R1400="Home",P1400,IF(R1400="Away",-P1400,""))</f>
        <v>-7</v>
      </c>
      <c r="T1400" s="1" t="str">
        <f aca="false">IF(R1400="Pick","No Line",IF(S1400="","N/A",IF(S1400+I1400&gt;0,"Favorite Covered",IF(S1400+I1400&lt;0,"Underdog Covered","Push"))))</f>
        <v>Underdog Covered</v>
      </c>
      <c r="U1400" s="1" t="str">
        <f aca="false">IF(Q1400&gt;J1400,"Over",IF(Q1400&lt;J1400,"Under","Push"))</f>
        <v>Over</v>
      </c>
    </row>
    <row r="1401" customFormat="false" ht="15" hidden="false" customHeight="false" outlineLevel="0" collapsed="false">
      <c r="A1401" s="1" t="s">
        <v>473</v>
      </c>
      <c r="B1401" s="1" t="n">
        <v>2015</v>
      </c>
      <c r="C1401" s="1" t="s">
        <v>185</v>
      </c>
      <c r="D1401" s="1" t="s">
        <v>55</v>
      </c>
      <c r="E1401" s="1" t="s">
        <v>117</v>
      </c>
      <c r="F1401" s="1" t="n">
        <v>25</v>
      </c>
      <c r="G1401" s="1" t="n">
        <v>19</v>
      </c>
      <c r="H1401" s="1" t="s">
        <v>56</v>
      </c>
      <c r="I1401" s="1" t="n">
        <v>-7</v>
      </c>
      <c r="J1401" s="1" t="n">
        <v>48.5</v>
      </c>
      <c r="K1401" s="1" t="s">
        <v>161</v>
      </c>
      <c r="L1401" s="1" t="b">
        <f aca="false">FALSE()</f>
        <v>0</v>
      </c>
      <c r="M1401" s="1" t="str">
        <f aca="false">VLOOKUP(D1401,'Team Reference'!$A:$B,2,FALSE())</f>
        <v>ATL</v>
      </c>
      <c r="N1401" s="1" t="str">
        <f aca="false">VLOOKUP(E1401,'Team Reference'!$A:$B,2,FALSE())</f>
        <v>WAS</v>
      </c>
      <c r="O1401" s="1" t="str">
        <f aca="false">IF(F1401&gt;G1401,M1401,IF(G1401&gt;F1401,N1401,"Tie"))</f>
        <v>ATL</v>
      </c>
      <c r="P1401" s="1" t="n">
        <f aca="false">F1401-G1401</f>
        <v>6</v>
      </c>
      <c r="Q1401" s="1" t="n">
        <f aca="false">F1401+G1401</f>
        <v>44</v>
      </c>
      <c r="R1401" s="1" t="str">
        <f aca="false">IF(H1401=M1401,"Home",IF(H1401=N1401,"Away",IF(H1401="PICK","Pick","N/A")))</f>
        <v>Home</v>
      </c>
      <c r="S1401" s="1" t="n">
        <f aca="false">IF(R1401="Home",P1401,IF(R1401="Away",-P1401,""))</f>
        <v>6</v>
      </c>
      <c r="T1401" s="1" t="str">
        <f aca="false">IF(R1401="Pick","No Line",IF(S1401="","N/A",IF(S1401+I1401&gt;0,"Favorite Covered",IF(S1401+I1401&lt;0,"Underdog Covered","Push"))))</f>
        <v>Underdog Covered</v>
      </c>
      <c r="U1401" s="1" t="str">
        <f aca="false">IF(Q1401&gt;J1401,"Over",IF(Q1401&lt;J1401,"Under","Push"))</f>
        <v>Under</v>
      </c>
    </row>
    <row r="1402" customFormat="false" ht="15" hidden="false" customHeight="false" outlineLevel="0" collapsed="false">
      <c r="A1402" s="1" t="s">
        <v>473</v>
      </c>
      <c r="B1402" s="1" t="n">
        <v>2015</v>
      </c>
      <c r="C1402" s="1" t="s">
        <v>185</v>
      </c>
      <c r="D1402" s="1" t="s">
        <v>57</v>
      </c>
      <c r="E1402" s="1" t="s">
        <v>67</v>
      </c>
      <c r="F1402" s="1" t="n">
        <v>30</v>
      </c>
      <c r="G1402" s="1" t="n">
        <v>33</v>
      </c>
      <c r="H1402" s="1" t="s">
        <v>58</v>
      </c>
      <c r="I1402" s="1" t="n">
        <v>-6.5</v>
      </c>
      <c r="J1402" s="1" t="n">
        <v>43</v>
      </c>
      <c r="K1402" s="1" t="s">
        <v>178</v>
      </c>
      <c r="L1402" s="1" t="b">
        <f aca="false">FALSE()</f>
        <v>0</v>
      </c>
      <c r="M1402" s="1" t="str">
        <f aca="false">VLOOKUP(D1402,'Team Reference'!$A:$B,2,FALSE())</f>
        <v>BAL</v>
      </c>
      <c r="N1402" s="1" t="str">
        <f aca="false">VLOOKUP(E1402,'Team Reference'!$A:$B,2,FALSE())</f>
        <v>CLE</v>
      </c>
      <c r="O1402" s="1" t="str">
        <f aca="false">IF(F1402&gt;G1402,M1402,IF(G1402&gt;F1402,N1402,"Tie"))</f>
        <v>CLE</v>
      </c>
      <c r="P1402" s="1" t="n">
        <f aca="false">F1402-G1402</f>
        <v>-3</v>
      </c>
      <c r="Q1402" s="1" t="n">
        <f aca="false">F1402+G1402</f>
        <v>63</v>
      </c>
      <c r="R1402" s="1" t="str">
        <f aca="false">IF(H1402=M1402,"Home",IF(H1402=N1402,"Away",IF(H1402="PICK","Pick","N/A")))</f>
        <v>Home</v>
      </c>
      <c r="S1402" s="1" t="n">
        <f aca="false">IF(R1402="Home",P1402,IF(R1402="Away",-P1402,""))</f>
        <v>-3</v>
      </c>
      <c r="T1402" s="1" t="str">
        <f aca="false">IF(R1402="Pick","No Line",IF(S1402="","N/A",IF(S1402+I1402&gt;0,"Favorite Covered",IF(S1402+I1402&lt;0,"Underdog Covered","Push"))))</f>
        <v>Underdog Covered</v>
      </c>
      <c r="U1402" s="1" t="str">
        <f aca="false">IF(Q1402&gt;J1402,"Over",IF(Q1402&lt;J1402,"Under","Push"))</f>
        <v>Over</v>
      </c>
    </row>
    <row r="1403" customFormat="false" ht="15" hidden="false" customHeight="false" outlineLevel="0" collapsed="false">
      <c r="A1403" s="1" t="s">
        <v>473</v>
      </c>
      <c r="B1403" s="1" t="n">
        <v>2015</v>
      </c>
      <c r="C1403" s="1" t="s">
        <v>185</v>
      </c>
      <c r="D1403" s="1" t="s">
        <v>65</v>
      </c>
      <c r="E1403" s="1" t="s">
        <v>110</v>
      </c>
      <c r="F1403" s="1" t="n">
        <v>27</v>
      </c>
      <c r="G1403" s="1" t="n">
        <v>24</v>
      </c>
      <c r="H1403" s="1" t="s">
        <v>66</v>
      </c>
      <c r="I1403" s="1" t="n">
        <v>-3</v>
      </c>
      <c r="J1403" s="1" t="n">
        <v>44.5</v>
      </c>
      <c r="K1403" s="1" t="s">
        <v>163</v>
      </c>
      <c r="L1403" s="1" t="b">
        <f aca="false">FALSE()</f>
        <v>0</v>
      </c>
      <c r="M1403" s="1" t="str">
        <f aca="false">VLOOKUP(D1403,'Team Reference'!$A:$B,2,FALSE())</f>
        <v>CIN</v>
      </c>
      <c r="N1403" s="1" t="str">
        <f aca="false">VLOOKUP(E1403,'Team Reference'!$A:$B,2,FALSE())</f>
        <v>SEA</v>
      </c>
      <c r="O1403" s="1" t="str">
        <f aca="false">IF(F1403&gt;G1403,M1403,IF(G1403&gt;F1403,N1403,"Tie"))</f>
        <v>CIN</v>
      </c>
      <c r="P1403" s="1" t="n">
        <f aca="false">F1403-G1403</f>
        <v>3</v>
      </c>
      <c r="Q1403" s="1" t="n">
        <f aca="false">F1403+G1403</f>
        <v>51</v>
      </c>
      <c r="R1403" s="1" t="str">
        <f aca="false">IF(H1403=M1403,"Home",IF(H1403=N1403,"Away",IF(H1403="PICK","Pick","N/A")))</f>
        <v>Home</v>
      </c>
      <c r="S1403" s="1" t="n">
        <f aca="false">IF(R1403="Home",P1403,IF(R1403="Away",-P1403,""))</f>
        <v>3</v>
      </c>
      <c r="T1403" s="1" t="str">
        <f aca="false">IF(R1403="Pick","No Line",IF(S1403="","N/A",IF(S1403+I1403&gt;0,"Favorite Covered",IF(S1403+I1403&lt;0,"Underdog Covered","Push"))))</f>
        <v>Push</v>
      </c>
      <c r="U1403" s="1" t="str">
        <f aca="false">IF(Q1403&gt;J1403,"Over",IF(Q1403&lt;J1403,"Under","Push"))</f>
        <v>Over</v>
      </c>
    </row>
    <row r="1404" customFormat="false" ht="15" hidden="false" customHeight="false" outlineLevel="0" collapsed="false">
      <c r="A1404" s="1" t="s">
        <v>473</v>
      </c>
      <c r="B1404" s="1" t="n">
        <v>2015</v>
      </c>
      <c r="C1404" s="1" t="s">
        <v>185</v>
      </c>
      <c r="D1404" s="1" t="s">
        <v>69</v>
      </c>
      <c r="E1404" s="1" t="s">
        <v>93</v>
      </c>
      <c r="F1404" s="1" t="n">
        <v>6</v>
      </c>
      <c r="G1404" s="1" t="n">
        <v>30</v>
      </c>
      <c r="H1404" s="1" t="s">
        <v>94</v>
      </c>
      <c r="I1404" s="1" t="n">
        <v>-8.5</v>
      </c>
      <c r="J1404" s="1" t="n">
        <v>50.5</v>
      </c>
      <c r="K1404" s="1" t="s">
        <v>165</v>
      </c>
      <c r="L1404" s="1" t="b">
        <f aca="false">FALSE()</f>
        <v>0</v>
      </c>
      <c r="M1404" s="1" t="str">
        <f aca="false">VLOOKUP(D1404,'Team Reference'!$A:$B,2,FALSE())</f>
        <v>DAL</v>
      </c>
      <c r="N1404" s="1" t="str">
        <f aca="false">VLOOKUP(E1404,'Team Reference'!$A:$B,2,FALSE())</f>
        <v>NE</v>
      </c>
      <c r="O1404" s="1" t="str">
        <f aca="false">IF(F1404&gt;G1404,M1404,IF(G1404&gt;F1404,N1404,"Tie"))</f>
        <v>NE</v>
      </c>
      <c r="P1404" s="1" t="n">
        <f aca="false">F1404-G1404</f>
        <v>-24</v>
      </c>
      <c r="Q1404" s="1" t="n">
        <f aca="false">F1404+G1404</f>
        <v>36</v>
      </c>
      <c r="R1404" s="1" t="str">
        <f aca="false">IF(H1404=M1404,"Home",IF(H1404=N1404,"Away",IF(H1404="PICK","Pick","N/A")))</f>
        <v>Away</v>
      </c>
      <c r="S1404" s="1" t="n">
        <f aca="false">IF(R1404="Home",P1404,IF(R1404="Away",-P1404,""))</f>
        <v>24</v>
      </c>
      <c r="T1404" s="1" t="str">
        <f aca="false">IF(R1404="Pick","No Line",IF(S1404="","N/A",IF(S1404+I1404&gt;0,"Favorite Covered",IF(S1404+I1404&lt;0,"Underdog Covered","Push"))))</f>
        <v>Favorite Covered</v>
      </c>
      <c r="U1404" s="1" t="str">
        <f aca="false">IF(Q1404&gt;J1404,"Over",IF(Q1404&lt;J1404,"Under","Push"))</f>
        <v>Under</v>
      </c>
    </row>
    <row r="1405" customFormat="false" ht="15" hidden="false" customHeight="false" outlineLevel="0" collapsed="false">
      <c r="A1405" s="1" t="s">
        <v>473</v>
      </c>
      <c r="B1405" s="1" t="n">
        <v>2015</v>
      </c>
      <c r="C1405" s="1" t="s">
        <v>185</v>
      </c>
      <c r="D1405" s="1" t="s">
        <v>73</v>
      </c>
      <c r="E1405" s="1" t="s">
        <v>53</v>
      </c>
      <c r="F1405" s="1" t="n">
        <v>17</v>
      </c>
      <c r="G1405" s="1" t="n">
        <v>42</v>
      </c>
      <c r="H1405" s="1" t="s">
        <v>54</v>
      </c>
      <c r="I1405" s="1" t="n">
        <v>-4.5</v>
      </c>
      <c r="J1405" s="1" t="n">
        <v>46</v>
      </c>
      <c r="K1405" s="1" t="s">
        <v>167</v>
      </c>
      <c r="L1405" s="1" t="b">
        <f aca="false">FALSE()</f>
        <v>0</v>
      </c>
      <c r="M1405" s="1" t="str">
        <f aca="false">VLOOKUP(D1405,'Team Reference'!$A:$B,2,FALSE())</f>
        <v>DET</v>
      </c>
      <c r="N1405" s="1" t="str">
        <f aca="false">VLOOKUP(E1405,'Team Reference'!$A:$B,2,FALSE())</f>
        <v>ARI</v>
      </c>
      <c r="O1405" s="1" t="str">
        <f aca="false">IF(F1405&gt;G1405,M1405,IF(G1405&gt;F1405,N1405,"Tie"))</f>
        <v>ARI</v>
      </c>
      <c r="P1405" s="1" t="n">
        <f aca="false">F1405-G1405</f>
        <v>-25</v>
      </c>
      <c r="Q1405" s="1" t="n">
        <f aca="false">F1405+G1405</f>
        <v>59</v>
      </c>
      <c r="R1405" s="1" t="str">
        <f aca="false">IF(H1405=M1405,"Home",IF(H1405=N1405,"Away",IF(H1405="PICK","Pick","N/A")))</f>
        <v>Away</v>
      </c>
      <c r="S1405" s="1" t="n">
        <f aca="false">IF(R1405="Home",P1405,IF(R1405="Away",-P1405,""))</f>
        <v>25</v>
      </c>
      <c r="T1405" s="1" t="str">
        <f aca="false">IF(R1405="Pick","No Line",IF(S1405="","N/A",IF(S1405+I1405&gt;0,"Favorite Covered",IF(S1405+I1405&lt;0,"Underdog Covered","Push"))))</f>
        <v>Favorite Covered</v>
      </c>
      <c r="U1405" s="1" t="str">
        <f aca="false">IF(Q1405&gt;J1405,"Over",IF(Q1405&lt;J1405,"Under","Push"))</f>
        <v>Over</v>
      </c>
    </row>
    <row r="1406" customFormat="false" ht="15" hidden="false" customHeight="false" outlineLevel="0" collapsed="false">
      <c r="A1406" s="1" t="s">
        <v>473</v>
      </c>
      <c r="B1406" s="1" t="n">
        <v>2015</v>
      </c>
      <c r="C1406" s="1" t="s">
        <v>185</v>
      </c>
      <c r="D1406" s="1" t="s">
        <v>75</v>
      </c>
      <c r="E1406" s="1" t="s">
        <v>112</v>
      </c>
      <c r="F1406" s="1" t="n">
        <v>24</v>
      </c>
      <c r="G1406" s="1" t="n">
        <v>10</v>
      </c>
      <c r="H1406" s="1" t="s">
        <v>76</v>
      </c>
      <c r="I1406" s="1" t="n">
        <v>-9</v>
      </c>
      <c r="J1406" s="1" t="n">
        <v>46</v>
      </c>
      <c r="K1406" s="1" t="s">
        <v>168</v>
      </c>
      <c r="L1406" s="1" t="b">
        <f aca="false">FALSE()</f>
        <v>0</v>
      </c>
      <c r="M1406" s="1" t="str">
        <f aca="false">VLOOKUP(D1406,'Team Reference'!$A:$B,2,FALSE())</f>
        <v>GB</v>
      </c>
      <c r="N1406" s="1" t="str">
        <f aca="false">VLOOKUP(E1406,'Team Reference'!$A:$B,2,FALSE())</f>
        <v>LAR</v>
      </c>
      <c r="O1406" s="1" t="str">
        <f aca="false">IF(F1406&gt;G1406,M1406,IF(G1406&gt;F1406,N1406,"Tie"))</f>
        <v>GB</v>
      </c>
      <c r="P1406" s="1" t="n">
        <f aca="false">F1406-G1406</f>
        <v>14</v>
      </c>
      <c r="Q1406" s="1" t="n">
        <f aca="false">F1406+G1406</f>
        <v>34</v>
      </c>
      <c r="R1406" s="1" t="str">
        <f aca="false">IF(H1406=M1406,"Home",IF(H1406=N1406,"Away",IF(H1406="PICK","Pick","N/A")))</f>
        <v>Home</v>
      </c>
      <c r="S1406" s="1" t="n">
        <f aca="false">IF(R1406="Home",P1406,IF(R1406="Away",-P1406,""))</f>
        <v>14</v>
      </c>
      <c r="T1406" s="1" t="str">
        <f aca="false">IF(R1406="Pick","No Line",IF(S1406="","N/A",IF(S1406+I1406&gt;0,"Favorite Covered",IF(S1406+I1406&lt;0,"Underdog Covered","Push"))))</f>
        <v>Favorite Covered</v>
      </c>
      <c r="U1406" s="1" t="str">
        <f aca="false">IF(Q1406&gt;J1406,"Over",IF(Q1406&lt;J1406,"Under","Push"))</f>
        <v>Under</v>
      </c>
    </row>
    <row r="1407" customFormat="false" ht="15" hidden="false" customHeight="false" outlineLevel="0" collapsed="false">
      <c r="A1407" s="1" t="s">
        <v>473</v>
      </c>
      <c r="B1407" s="1" t="n">
        <v>2015</v>
      </c>
      <c r="C1407" s="1" t="s">
        <v>185</v>
      </c>
      <c r="D1407" s="1" t="s">
        <v>83</v>
      </c>
      <c r="E1407" s="1" t="s">
        <v>63</v>
      </c>
      <c r="F1407" s="1" t="n">
        <v>17</v>
      </c>
      <c r="G1407" s="1" t="n">
        <v>18</v>
      </c>
      <c r="H1407" s="1" t="s">
        <v>84</v>
      </c>
      <c r="I1407" s="1" t="n">
        <v>-9.5</v>
      </c>
      <c r="J1407" s="1" t="n">
        <v>44.5</v>
      </c>
      <c r="K1407" s="1" t="s">
        <v>158</v>
      </c>
      <c r="L1407" s="1" t="b">
        <f aca="false">FALSE()</f>
        <v>0</v>
      </c>
      <c r="M1407" s="1" t="str">
        <f aca="false">VLOOKUP(D1407,'Team Reference'!$A:$B,2,FALSE())</f>
        <v>KC</v>
      </c>
      <c r="N1407" s="1" t="str">
        <f aca="false">VLOOKUP(E1407,'Team Reference'!$A:$B,2,FALSE())</f>
        <v>CHI</v>
      </c>
      <c r="O1407" s="1" t="str">
        <f aca="false">IF(F1407&gt;G1407,M1407,IF(G1407&gt;F1407,N1407,"Tie"))</f>
        <v>CHI</v>
      </c>
      <c r="P1407" s="1" t="n">
        <f aca="false">F1407-G1407</f>
        <v>-1</v>
      </c>
      <c r="Q1407" s="1" t="n">
        <f aca="false">F1407+G1407</f>
        <v>35</v>
      </c>
      <c r="R1407" s="1" t="str">
        <f aca="false">IF(H1407=M1407,"Home",IF(H1407=N1407,"Away",IF(H1407="PICK","Pick","N/A")))</f>
        <v>Home</v>
      </c>
      <c r="S1407" s="1" t="n">
        <f aca="false">IF(R1407="Home",P1407,IF(R1407="Away",-P1407,""))</f>
        <v>-1</v>
      </c>
      <c r="T1407" s="1" t="str">
        <f aca="false">IF(R1407="Pick","No Line",IF(S1407="","N/A",IF(S1407+I1407&gt;0,"Favorite Covered",IF(S1407+I1407&lt;0,"Underdog Covered","Push"))))</f>
        <v>Underdog Covered</v>
      </c>
      <c r="U1407" s="1" t="str">
        <f aca="false">IF(Q1407&gt;J1407,"Over",IF(Q1407&lt;J1407,"Under","Push"))</f>
        <v>Under</v>
      </c>
    </row>
    <row r="1408" customFormat="false" ht="15" hidden="false" customHeight="false" outlineLevel="0" collapsed="false">
      <c r="A1408" s="1" t="s">
        <v>473</v>
      </c>
      <c r="B1408" s="1" t="n">
        <v>2015</v>
      </c>
      <c r="C1408" s="1" t="s">
        <v>185</v>
      </c>
      <c r="D1408" s="1" t="s">
        <v>97</v>
      </c>
      <c r="E1408" s="1" t="s">
        <v>108</v>
      </c>
      <c r="F1408" s="1" t="n">
        <v>30</v>
      </c>
      <c r="G1408" s="1" t="n">
        <v>27</v>
      </c>
      <c r="H1408" s="1" t="s">
        <v>98</v>
      </c>
      <c r="I1408" s="1" t="n">
        <v>-7.5</v>
      </c>
      <c r="J1408" s="1" t="n">
        <v>44</v>
      </c>
      <c r="K1408" s="1" t="s">
        <v>149</v>
      </c>
      <c r="L1408" s="1" t="b">
        <f aca="false">FALSE()</f>
        <v>0</v>
      </c>
      <c r="M1408" s="1" t="str">
        <f aca="false">VLOOKUP(D1408,'Team Reference'!$A:$B,2,FALSE())</f>
        <v>NYG</v>
      </c>
      <c r="N1408" s="1" t="str">
        <f aca="false">VLOOKUP(E1408,'Team Reference'!$A:$B,2,FALSE())</f>
        <v>SF</v>
      </c>
      <c r="O1408" s="1" t="str">
        <f aca="false">IF(F1408&gt;G1408,M1408,IF(G1408&gt;F1408,N1408,"Tie"))</f>
        <v>NYG</v>
      </c>
      <c r="P1408" s="1" t="n">
        <f aca="false">F1408-G1408</f>
        <v>3</v>
      </c>
      <c r="Q1408" s="1" t="n">
        <f aca="false">F1408+G1408</f>
        <v>57</v>
      </c>
      <c r="R1408" s="1" t="str">
        <f aca="false">IF(H1408=M1408,"Home",IF(H1408=N1408,"Away",IF(H1408="PICK","Pick","N/A")))</f>
        <v>Home</v>
      </c>
      <c r="S1408" s="1" t="n">
        <f aca="false">IF(R1408="Home",P1408,IF(R1408="Away",-P1408,""))</f>
        <v>3</v>
      </c>
      <c r="T1408" s="1" t="str">
        <f aca="false">IF(R1408="Pick","No Line",IF(S1408="","N/A",IF(S1408+I1408&gt;0,"Favorite Covered",IF(S1408+I1408&lt;0,"Underdog Covered","Push"))))</f>
        <v>Underdog Covered</v>
      </c>
      <c r="U1408" s="1" t="str">
        <f aca="false">IF(Q1408&gt;J1408,"Over",IF(Q1408&lt;J1408,"Under","Push"))</f>
        <v>Over</v>
      </c>
    </row>
    <row r="1409" customFormat="false" ht="15" hidden="false" customHeight="false" outlineLevel="0" collapsed="false">
      <c r="A1409" s="1" t="s">
        <v>473</v>
      </c>
      <c r="B1409" s="1" t="n">
        <v>2015</v>
      </c>
      <c r="C1409" s="1" t="s">
        <v>185</v>
      </c>
      <c r="D1409" s="1" t="s">
        <v>101</v>
      </c>
      <c r="E1409" s="1" t="s">
        <v>71</v>
      </c>
      <c r="F1409" s="1" t="n">
        <v>10</v>
      </c>
      <c r="G1409" s="1" t="n">
        <v>16</v>
      </c>
      <c r="H1409" s="1" t="s">
        <v>72</v>
      </c>
      <c r="I1409" s="1" t="n">
        <v>-5.5</v>
      </c>
      <c r="J1409" s="1" t="n">
        <v>45</v>
      </c>
      <c r="K1409" s="1" t="s">
        <v>171</v>
      </c>
      <c r="L1409" s="1" t="b">
        <f aca="false">FALSE()</f>
        <v>0</v>
      </c>
      <c r="M1409" s="1" t="str">
        <f aca="false">VLOOKUP(D1409,'Team Reference'!$A:$B,2,FALSE())</f>
        <v>OAK</v>
      </c>
      <c r="N1409" s="1" t="str">
        <f aca="false">VLOOKUP(E1409,'Team Reference'!$A:$B,2,FALSE())</f>
        <v>DEN</v>
      </c>
      <c r="O1409" s="1" t="str">
        <f aca="false">IF(F1409&gt;G1409,M1409,IF(G1409&gt;F1409,N1409,"Tie"))</f>
        <v>DEN</v>
      </c>
      <c r="P1409" s="1" t="n">
        <f aca="false">F1409-G1409</f>
        <v>-6</v>
      </c>
      <c r="Q1409" s="1" t="n">
        <f aca="false">F1409+G1409</f>
        <v>26</v>
      </c>
      <c r="R1409" s="1" t="str">
        <f aca="false">IF(H1409=M1409,"Home",IF(H1409=N1409,"Away",IF(H1409="PICK","Pick","N/A")))</f>
        <v>Away</v>
      </c>
      <c r="S1409" s="1" t="n">
        <f aca="false">IF(R1409="Home",P1409,IF(R1409="Away",-P1409,""))</f>
        <v>6</v>
      </c>
      <c r="T1409" s="1" t="str">
        <f aca="false">IF(R1409="Pick","No Line",IF(S1409="","N/A",IF(S1409+I1409&gt;0,"Favorite Covered",IF(S1409+I1409&lt;0,"Underdog Covered","Push"))))</f>
        <v>Favorite Covered</v>
      </c>
      <c r="U1409" s="1" t="str">
        <f aca="false">IF(Q1409&gt;J1409,"Over",IF(Q1409&lt;J1409,"Under","Push"))</f>
        <v>Under</v>
      </c>
    </row>
    <row r="1410" customFormat="false" ht="15" hidden="false" customHeight="false" outlineLevel="0" collapsed="false">
      <c r="A1410" s="1" t="s">
        <v>473</v>
      </c>
      <c r="B1410" s="1" t="n">
        <v>2015</v>
      </c>
      <c r="C1410" s="1" t="s">
        <v>185</v>
      </c>
      <c r="D1410" s="1" t="s">
        <v>103</v>
      </c>
      <c r="E1410" s="1" t="s">
        <v>95</v>
      </c>
      <c r="F1410" s="1" t="n">
        <v>39</v>
      </c>
      <c r="G1410" s="1" t="n">
        <v>17</v>
      </c>
      <c r="H1410" s="1" t="s">
        <v>104</v>
      </c>
      <c r="I1410" s="1" t="n">
        <v>-6.5</v>
      </c>
      <c r="J1410" s="1" t="n">
        <v>49.5</v>
      </c>
      <c r="K1410" s="1" t="s">
        <v>150</v>
      </c>
      <c r="L1410" s="1" t="b">
        <f aca="false">FALSE()</f>
        <v>0</v>
      </c>
      <c r="M1410" s="1" t="str">
        <f aca="false">VLOOKUP(D1410,'Team Reference'!$A:$B,2,FALSE())</f>
        <v>PHI</v>
      </c>
      <c r="N1410" s="1" t="str">
        <f aca="false">VLOOKUP(E1410,'Team Reference'!$A:$B,2,FALSE())</f>
        <v>NO</v>
      </c>
      <c r="O1410" s="1" t="str">
        <f aca="false">IF(F1410&gt;G1410,M1410,IF(G1410&gt;F1410,N1410,"Tie"))</f>
        <v>PHI</v>
      </c>
      <c r="P1410" s="1" t="n">
        <f aca="false">F1410-G1410</f>
        <v>22</v>
      </c>
      <c r="Q1410" s="1" t="n">
        <f aca="false">F1410+G1410</f>
        <v>56</v>
      </c>
      <c r="R1410" s="1" t="str">
        <f aca="false">IF(H1410=M1410,"Home",IF(H1410=N1410,"Away",IF(H1410="PICK","Pick","N/A")))</f>
        <v>Home</v>
      </c>
      <c r="S1410" s="1" t="n">
        <f aca="false">IF(R1410="Home",P1410,IF(R1410="Away",-P1410,""))</f>
        <v>22</v>
      </c>
      <c r="T1410" s="1" t="str">
        <f aca="false">IF(R1410="Pick","No Line",IF(S1410="","N/A",IF(S1410+I1410&gt;0,"Favorite Covered",IF(S1410+I1410&lt;0,"Underdog Covered","Push"))))</f>
        <v>Favorite Covered</v>
      </c>
      <c r="U1410" s="1" t="str">
        <f aca="false">IF(Q1410&gt;J1410,"Over",IF(Q1410&lt;J1410,"Under","Push"))</f>
        <v>Over</v>
      </c>
    </row>
    <row r="1411" customFormat="false" ht="15" hidden="false" customHeight="false" outlineLevel="0" collapsed="false">
      <c r="A1411" s="1" t="s">
        <v>473</v>
      </c>
      <c r="B1411" s="1" t="n">
        <v>2015</v>
      </c>
      <c r="C1411" s="1" t="s">
        <v>185</v>
      </c>
      <c r="D1411" s="1" t="s">
        <v>113</v>
      </c>
      <c r="E1411" s="1" t="s">
        <v>81</v>
      </c>
      <c r="F1411" s="1" t="n">
        <v>38</v>
      </c>
      <c r="G1411" s="1" t="n">
        <v>31</v>
      </c>
      <c r="H1411" s="1" t="s">
        <v>114</v>
      </c>
      <c r="I1411" s="1" t="n">
        <v>-1</v>
      </c>
      <c r="J1411" s="1" t="n">
        <v>41.5</v>
      </c>
      <c r="K1411" s="1" t="s">
        <v>154</v>
      </c>
      <c r="L1411" s="1" t="b">
        <f aca="false">FALSE()</f>
        <v>0</v>
      </c>
      <c r="M1411" s="1" t="str">
        <f aca="false">VLOOKUP(D1411,'Team Reference'!$A:$B,2,FALSE())</f>
        <v>TB</v>
      </c>
      <c r="N1411" s="1" t="str">
        <f aca="false">VLOOKUP(E1411,'Team Reference'!$A:$B,2,FALSE())</f>
        <v>JAX</v>
      </c>
      <c r="O1411" s="1" t="str">
        <f aca="false">IF(F1411&gt;G1411,M1411,IF(G1411&gt;F1411,N1411,"Tie"))</f>
        <v>TB</v>
      </c>
      <c r="P1411" s="1" t="n">
        <f aca="false">F1411-G1411</f>
        <v>7</v>
      </c>
      <c r="Q1411" s="1" t="n">
        <f aca="false">F1411+G1411</f>
        <v>69</v>
      </c>
      <c r="R1411" s="1" t="str">
        <f aca="false">IF(H1411=M1411,"Home",IF(H1411=N1411,"Away",IF(H1411="PICK","Pick","N/A")))</f>
        <v>Home</v>
      </c>
      <c r="S1411" s="1" t="n">
        <f aca="false">IF(R1411="Home",P1411,IF(R1411="Away",-P1411,""))</f>
        <v>7</v>
      </c>
      <c r="T1411" s="1" t="str">
        <f aca="false">IF(R1411="Pick","No Line",IF(S1411="","N/A",IF(S1411+I1411&gt;0,"Favorite Covered",IF(S1411+I1411&lt;0,"Underdog Covered","Push"))))</f>
        <v>Favorite Covered</v>
      </c>
      <c r="U1411" s="1" t="str">
        <f aca="false">IF(Q1411&gt;J1411,"Over",IF(Q1411&lt;J1411,"Under","Push"))</f>
        <v>Over</v>
      </c>
    </row>
    <row r="1412" customFormat="false" ht="15" hidden="false" customHeight="false" outlineLevel="0" collapsed="false">
      <c r="A1412" s="1" t="s">
        <v>473</v>
      </c>
      <c r="B1412" s="1" t="n">
        <v>2015</v>
      </c>
      <c r="C1412" s="1" t="s">
        <v>185</v>
      </c>
      <c r="D1412" s="1" t="s">
        <v>115</v>
      </c>
      <c r="E1412" s="1" t="s">
        <v>59</v>
      </c>
      <c r="F1412" s="1" t="n">
        <v>13</v>
      </c>
      <c r="G1412" s="1" t="n">
        <v>14</v>
      </c>
      <c r="H1412" s="1" t="s">
        <v>60</v>
      </c>
      <c r="I1412" s="1" t="n">
        <v>-1</v>
      </c>
      <c r="J1412" s="1" t="n">
        <v>43</v>
      </c>
      <c r="K1412" s="1" t="s">
        <v>155</v>
      </c>
      <c r="L1412" s="1" t="b">
        <f aca="false">FALSE()</f>
        <v>0</v>
      </c>
      <c r="M1412" s="1" t="str">
        <f aca="false">VLOOKUP(D1412,'Team Reference'!$A:$B,2,FALSE())</f>
        <v>TEN</v>
      </c>
      <c r="N1412" s="1" t="str">
        <f aca="false">VLOOKUP(E1412,'Team Reference'!$A:$B,2,FALSE())</f>
        <v>BUF</v>
      </c>
      <c r="O1412" s="1" t="str">
        <f aca="false">IF(F1412&gt;G1412,M1412,IF(G1412&gt;F1412,N1412,"Tie"))</f>
        <v>BUF</v>
      </c>
      <c r="P1412" s="1" t="n">
        <f aca="false">F1412-G1412</f>
        <v>-1</v>
      </c>
      <c r="Q1412" s="1" t="n">
        <f aca="false">F1412+G1412</f>
        <v>27</v>
      </c>
      <c r="R1412" s="1" t="str">
        <f aca="false">IF(H1412=M1412,"Home",IF(H1412=N1412,"Away",IF(H1412="PICK","Pick","N/A")))</f>
        <v>Away</v>
      </c>
      <c r="S1412" s="1" t="n">
        <f aca="false">IF(R1412="Home",P1412,IF(R1412="Away",-P1412,""))</f>
        <v>1</v>
      </c>
      <c r="T1412" s="1" t="str">
        <f aca="false">IF(R1412="Pick","No Line",IF(S1412="","N/A",IF(S1412+I1412&gt;0,"Favorite Covered",IF(S1412+I1412&lt;0,"Underdog Covered","Push"))))</f>
        <v>Push</v>
      </c>
      <c r="U1412" s="1" t="str">
        <f aca="false">IF(Q1412&gt;J1412,"Over",IF(Q1412&lt;J1412,"Under","Push"))</f>
        <v>Under</v>
      </c>
    </row>
    <row r="1413" customFormat="false" ht="15" hidden="false" customHeight="false" outlineLevel="0" collapsed="false">
      <c r="A1413" s="1" t="s">
        <v>474</v>
      </c>
      <c r="B1413" s="1" t="n">
        <v>2015</v>
      </c>
      <c r="C1413" s="1" t="s">
        <v>185</v>
      </c>
      <c r="D1413" s="1" t="s">
        <v>107</v>
      </c>
      <c r="E1413" s="1" t="s">
        <v>105</v>
      </c>
      <c r="F1413" s="1" t="n">
        <v>20</v>
      </c>
      <c r="G1413" s="1" t="n">
        <v>24</v>
      </c>
      <c r="H1413" s="1" t="s">
        <v>86</v>
      </c>
      <c r="I1413" s="1" t="n">
        <v>-4</v>
      </c>
      <c r="J1413" s="1" t="n">
        <v>45.5</v>
      </c>
      <c r="K1413" s="1" t="s">
        <v>172</v>
      </c>
      <c r="L1413" s="1" t="b">
        <f aca="false">FALSE()</f>
        <v>0</v>
      </c>
      <c r="M1413" s="1" t="str">
        <f aca="false">VLOOKUP(D1413,'Team Reference'!$A:$B,2,FALSE())</f>
        <v>LAC</v>
      </c>
      <c r="N1413" s="1" t="str">
        <f aca="false">VLOOKUP(E1413,'Team Reference'!$A:$B,2,FALSE())</f>
        <v>PIT</v>
      </c>
      <c r="O1413" s="1" t="str">
        <f aca="false">IF(F1413&gt;G1413,M1413,IF(G1413&gt;F1413,N1413,"Tie"))</f>
        <v>PIT</v>
      </c>
      <c r="P1413" s="1" t="n">
        <f aca="false">F1413-G1413</f>
        <v>-4</v>
      </c>
      <c r="Q1413" s="1" t="n">
        <f aca="false">F1413+G1413</f>
        <v>44</v>
      </c>
      <c r="R1413" s="1" t="str">
        <f aca="false">IF(H1413=M1413,"Home",IF(H1413=N1413,"Away",IF(H1413="PICK","Pick","N/A")))</f>
        <v>Home</v>
      </c>
      <c r="S1413" s="1" t="n">
        <f aca="false">IF(R1413="Home",P1413,IF(R1413="Away",-P1413,""))</f>
        <v>-4</v>
      </c>
      <c r="T1413" s="1" t="str">
        <f aca="false">IF(R1413="Pick","No Line",IF(S1413="","N/A",IF(S1413+I1413&gt;0,"Favorite Covered",IF(S1413+I1413&lt;0,"Underdog Covered","Push"))))</f>
        <v>Underdog Covered</v>
      </c>
      <c r="U1413" s="1" t="str">
        <f aca="false">IF(Q1413&gt;J1413,"Over",IF(Q1413&lt;J1413,"Under","Push"))</f>
        <v>Under</v>
      </c>
    </row>
    <row r="1414" customFormat="false" ht="15" hidden="false" customHeight="false" outlineLevel="0" collapsed="false">
      <c r="A1414" s="1" t="s">
        <v>475</v>
      </c>
      <c r="B1414" s="1" t="n">
        <v>2015</v>
      </c>
      <c r="C1414" s="1" t="s">
        <v>188</v>
      </c>
      <c r="D1414" s="1" t="s">
        <v>95</v>
      </c>
      <c r="E1414" s="1" t="s">
        <v>55</v>
      </c>
      <c r="F1414" s="1" t="n">
        <v>31</v>
      </c>
      <c r="G1414" s="1" t="n">
        <v>21</v>
      </c>
      <c r="H1414" s="1" t="s">
        <v>56</v>
      </c>
      <c r="I1414" s="1" t="n">
        <v>-3</v>
      </c>
      <c r="J1414" s="1" t="n">
        <v>52.5</v>
      </c>
      <c r="K1414" s="1" t="s">
        <v>142</v>
      </c>
      <c r="L1414" s="1" t="b">
        <f aca="false">FALSE()</f>
        <v>0</v>
      </c>
      <c r="M1414" s="1" t="str">
        <f aca="false">VLOOKUP(D1414,'Team Reference'!$A:$B,2,FALSE())</f>
        <v>NO</v>
      </c>
      <c r="N1414" s="1" t="str">
        <f aca="false">VLOOKUP(E1414,'Team Reference'!$A:$B,2,FALSE())</f>
        <v>ATL</v>
      </c>
      <c r="O1414" s="1" t="str">
        <f aca="false">IF(F1414&gt;G1414,M1414,IF(G1414&gt;F1414,N1414,"Tie"))</f>
        <v>NO</v>
      </c>
      <c r="P1414" s="1" t="n">
        <f aca="false">F1414-G1414</f>
        <v>10</v>
      </c>
      <c r="Q1414" s="1" t="n">
        <f aca="false">F1414+G1414</f>
        <v>52</v>
      </c>
      <c r="R1414" s="1" t="str">
        <f aca="false">IF(H1414=M1414,"Home",IF(H1414=N1414,"Away",IF(H1414="PICK","Pick","N/A")))</f>
        <v>Away</v>
      </c>
      <c r="S1414" s="1" t="n">
        <f aca="false">IF(R1414="Home",P1414,IF(R1414="Away",-P1414,""))</f>
        <v>-10</v>
      </c>
      <c r="T1414" s="1" t="str">
        <f aca="false">IF(R1414="Pick","No Line",IF(S1414="","N/A",IF(S1414+I1414&gt;0,"Favorite Covered",IF(S1414+I1414&lt;0,"Underdog Covered","Push"))))</f>
        <v>Underdog Covered</v>
      </c>
      <c r="U1414" s="1" t="str">
        <f aca="false">IF(Q1414&gt;J1414,"Over",IF(Q1414&lt;J1414,"Under","Push"))</f>
        <v>Under</v>
      </c>
    </row>
    <row r="1415" customFormat="false" ht="15" hidden="false" customHeight="false" outlineLevel="0" collapsed="false">
      <c r="A1415" s="1" t="s">
        <v>476</v>
      </c>
      <c r="B1415" s="1" t="n">
        <v>2015</v>
      </c>
      <c r="C1415" s="1" t="s">
        <v>188</v>
      </c>
      <c r="D1415" s="1" t="s">
        <v>59</v>
      </c>
      <c r="E1415" s="1" t="s">
        <v>65</v>
      </c>
      <c r="F1415" s="1" t="n">
        <v>21</v>
      </c>
      <c r="G1415" s="1" t="n">
        <v>34</v>
      </c>
      <c r="H1415" s="1" t="s">
        <v>66</v>
      </c>
      <c r="I1415" s="1" t="n">
        <v>-3</v>
      </c>
      <c r="J1415" s="1" t="n">
        <v>42</v>
      </c>
      <c r="K1415" s="1" t="s">
        <v>144</v>
      </c>
      <c r="L1415" s="1" t="b">
        <f aca="false">FALSE()</f>
        <v>0</v>
      </c>
      <c r="M1415" s="1" t="str">
        <f aca="false">VLOOKUP(D1415,'Team Reference'!$A:$B,2,FALSE())</f>
        <v>BUF</v>
      </c>
      <c r="N1415" s="1" t="str">
        <f aca="false">VLOOKUP(E1415,'Team Reference'!$A:$B,2,FALSE())</f>
        <v>CIN</v>
      </c>
      <c r="O1415" s="1" t="str">
        <f aca="false">IF(F1415&gt;G1415,M1415,IF(G1415&gt;F1415,N1415,"Tie"))</f>
        <v>CIN</v>
      </c>
      <c r="P1415" s="1" t="n">
        <f aca="false">F1415-G1415</f>
        <v>-13</v>
      </c>
      <c r="Q1415" s="1" t="n">
        <f aca="false">F1415+G1415</f>
        <v>55</v>
      </c>
      <c r="R1415" s="1" t="str">
        <f aca="false">IF(H1415=M1415,"Home",IF(H1415=N1415,"Away",IF(H1415="PICK","Pick","N/A")))</f>
        <v>Away</v>
      </c>
      <c r="S1415" s="1" t="n">
        <f aca="false">IF(R1415="Home",P1415,IF(R1415="Away",-P1415,""))</f>
        <v>13</v>
      </c>
      <c r="T1415" s="1" t="str">
        <f aca="false">IF(R1415="Pick","No Line",IF(S1415="","N/A",IF(S1415+I1415&gt;0,"Favorite Covered",IF(S1415+I1415&lt;0,"Underdog Covered","Push"))))</f>
        <v>Favorite Covered</v>
      </c>
      <c r="U1415" s="1" t="str">
        <f aca="false">IF(Q1415&gt;J1415,"Over",IF(Q1415&lt;J1415,"Under","Push"))</f>
        <v>Over</v>
      </c>
    </row>
    <row r="1416" customFormat="false" ht="15" hidden="false" customHeight="false" outlineLevel="0" collapsed="false">
      <c r="A1416" s="1" t="s">
        <v>476</v>
      </c>
      <c r="B1416" s="1" t="n">
        <v>2015</v>
      </c>
      <c r="C1416" s="1" t="s">
        <v>188</v>
      </c>
      <c r="D1416" s="1" t="s">
        <v>67</v>
      </c>
      <c r="E1416" s="1" t="s">
        <v>71</v>
      </c>
      <c r="F1416" s="1" t="n">
        <v>23</v>
      </c>
      <c r="G1416" s="1" t="n">
        <v>26</v>
      </c>
      <c r="H1416" s="1" t="s">
        <v>72</v>
      </c>
      <c r="I1416" s="1" t="n">
        <v>-3.5</v>
      </c>
      <c r="J1416" s="1" t="n">
        <v>42</v>
      </c>
      <c r="K1416" s="1" t="s">
        <v>164</v>
      </c>
      <c r="L1416" s="1" t="b">
        <f aca="false">FALSE()</f>
        <v>0</v>
      </c>
      <c r="M1416" s="1" t="str">
        <f aca="false">VLOOKUP(D1416,'Team Reference'!$A:$B,2,FALSE())</f>
        <v>CLE</v>
      </c>
      <c r="N1416" s="1" t="str">
        <f aca="false">VLOOKUP(E1416,'Team Reference'!$A:$B,2,FALSE())</f>
        <v>DEN</v>
      </c>
      <c r="O1416" s="1" t="str">
        <f aca="false">IF(F1416&gt;G1416,M1416,IF(G1416&gt;F1416,N1416,"Tie"))</f>
        <v>DEN</v>
      </c>
      <c r="P1416" s="1" t="n">
        <f aca="false">F1416-G1416</f>
        <v>-3</v>
      </c>
      <c r="Q1416" s="1" t="n">
        <f aca="false">F1416+G1416</f>
        <v>49</v>
      </c>
      <c r="R1416" s="1" t="str">
        <f aca="false">IF(H1416=M1416,"Home",IF(H1416=N1416,"Away",IF(H1416="PICK","Pick","N/A")))</f>
        <v>Away</v>
      </c>
      <c r="S1416" s="1" t="n">
        <f aca="false">IF(R1416="Home",P1416,IF(R1416="Away",-P1416,""))</f>
        <v>3</v>
      </c>
      <c r="T1416" s="1" t="str">
        <f aca="false">IF(R1416="Pick","No Line",IF(S1416="","N/A",IF(S1416+I1416&gt;0,"Favorite Covered",IF(S1416+I1416&lt;0,"Underdog Covered","Push"))))</f>
        <v>Underdog Covered</v>
      </c>
      <c r="U1416" s="1" t="str">
        <f aca="false">IF(Q1416&gt;J1416,"Over",IF(Q1416&lt;J1416,"Under","Push"))</f>
        <v>Over</v>
      </c>
    </row>
    <row r="1417" customFormat="false" ht="15" hidden="false" customHeight="false" outlineLevel="0" collapsed="false">
      <c r="A1417" s="1" t="s">
        <v>476</v>
      </c>
      <c r="B1417" s="1" t="n">
        <v>2015</v>
      </c>
      <c r="C1417" s="1" t="s">
        <v>188</v>
      </c>
      <c r="D1417" s="1" t="s">
        <v>73</v>
      </c>
      <c r="E1417" s="1" t="s">
        <v>63</v>
      </c>
      <c r="F1417" s="1" t="n">
        <v>37</v>
      </c>
      <c r="G1417" s="1" t="n">
        <v>34</v>
      </c>
      <c r="H1417" s="1" t="s">
        <v>74</v>
      </c>
      <c r="I1417" s="1" t="n">
        <v>-3.5</v>
      </c>
      <c r="J1417" s="1" t="n">
        <v>45.5</v>
      </c>
      <c r="K1417" s="1" t="s">
        <v>167</v>
      </c>
      <c r="L1417" s="1" t="b">
        <f aca="false">FALSE()</f>
        <v>0</v>
      </c>
      <c r="M1417" s="1" t="str">
        <f aca="false">VLOOKUP(D1417,'Team Reference'!$A:$B,2,FALSE())</f>
        <v>DET</v>
      </c>
      <c r="N1417" s="1" t="str">
        <f aca="false">VLOOKUP(E1417,'Team Reference'!$A:$B,2,FALSE())</f>
        <v>CHI</v>
      </c>
      <c r="O1417" s="1" t="str">
        <f aca="false">IF(F1417&gt;G1417,M1417,IF(G1417&gt;F1417,N1417,"Tie"))</f>
        <v>DET</v>
      </c>
      <c r="P1417" s="1" t="n">
        <f aca="false">F1417-G1417</f>
        <v>3</v>
      </c>
      <c r="Q1417" s="1" t="n">
        <f aca="false">F1417+G1417</f>
        <v>71</v>
      </c>
      <c r="R1417" s="1" t="str">
        <f aca="false">IF(H1417=M1417,"Home",IF(H1417=N1417,"Away",IF(H1417="PICK","Pick","N/A")))</f>
        <v>Home</v>
      </c>
      <c r="S1417" s="1" t="n">
        <f aca="false">IF(R1417="Home",P1417,IF(R1417="Away",-P1417,""))</f>
        <v>3</v>
      </c>
      <c r="T1417" s="1" t="str">
        <f aca="false">IF(R1417="Pick","No Line",IF(S1417="","N/A",IF(S1417+I1417&gt;0,"Favorite Covered",IF(S1417+I1417&lt;0,"Underdog Covered","Push"))))</f>
        <v>Underdog Covered</v>
      </c>
      <c r="U1417" s="1" t="str">
        <f aca="false">IF(Q1417&gt;J1417,"Over",IF(Q1417&lt;J1417,"Under","Push"))</f>
        <v>Over</v>
      </c>
    </row>
    <row r="1418" customFormat="false" ht="15" hidden="false" customHeight="false" outlineLevel="0" collapsed="false">
      <c r="A1418" s="1" t="s">
        <v>476</v>
      </c>
      <c r="B1418" s="1" t="n">
        <v>2015</v>
      </c>
      <c r="C1418" s="1" t="s">
        <v>188</v>
      </c>
      <c r="D1418" s="1" t="s">
        <v>75</v>
      </c>
      <c r="E1418" s="1" t="s">
        <v>107</v>
      </c>
      <c r="F1418" s="1" t="n">
        <v>27</v>
      </c>
      <c r="G1418" s="1" t="n">
        <v>20</v>
      </c>
      <c r="H1418" s="1" t="s">
        <v>76</v>
      </c>
      <c r="I1418" s="1" t="n">
        <v>-10.5</v>
      </c>
      <c r="J1418" s="1" t="n">
        <v>50.5</v>
      </c>
      <c r="K1418" s="1" t="s">
        <v>168</v>
      </c>
      <c r="L1418" s="1" t="b">
        <f aca="false">FALSE()</f>
        <v>0</v>
      </c>
      <c r="M1418" s="1" t="str">
        <f aca="false">VLOOKUP(D1418,'Team Reference'!$A:$B,2,FALSE())</f>
        <v>GB</v>
      </c>
      <c r="N1418" s="1" t="str">
        <f aca="false">VLOOKUP(E1418,'Team Reference'!$A:$B,2,FALSE())</f>
        <v>LAC</v>
      </c>
      <c r="O1418" s="1" t="str">
        <f aca="false">IF(F1418&gt;G1418,M1418,IF(G1418&gt;F1418,N1418,"Tie"))</f>
        <v>GB</v>
      </c>
      <c r="P1418" s="1" t="n">
        <f aca="false">F1418-G1418</f>
        <v>7</v>
      </c>
      <c r="Q1418" s="1" t="n">
        <f aca="false">F1418+G1418</f>
        <v>47</v>
      </c>
      <c r="R1418" s="1" t="str">
        <f aca="false">IF(H1418=M1418,"Home",IF(H1418=N1418,"Away",IF(H1418="PICK","Pick","N/A")))</f>
        <v>Home</v>
      </c>
      <c r="S1418" s="1" t="n">
        <f aca="false">IF(R1418="Home",P1418,IF(R1418="Away",-P1418,""))</f>
        <v>7</v>
      </c>
      <c r="T1418" s="1" t="str">
        <f aca="false">IF(R1418="Pick","No Line",IF(S1418="","N/A",IF(S1418+I1418&gt;0,"Favorite Covered",IF(S1418+I1418&lt;0,"Underdog Covered","Push"))))</f>
        <v>Underdog Covered</v>
      </c>
      <c r="U1418" s="1" t="str">
        <f aca="false">IF(Q1418&gt;J1418,"Over",IF(Q1418&lt;J1418,"Under","Push"))</f>
        <v>Under</v>
      </c>
    </row>
    <row r="1419" customFormat="false" ht="15" hidden="false" customHeight="false" outlineLevel="0" collapsed="false">
      <c r="A1419" s="1" t="s">
        <v>476</v>
      </c>
      <c r="B1419" s="1" t="n">
        <v>2015</v>
      </c>
      <c r="C1419" s="1" t="s">
        <v>188</v>
      </c>
      <c r="D1419" s="1" t="s">
        <v>79</v>
      </c>
      <c r="E1419" s="1" t="s">
        <v>93</v>
      </c>
      <c r="F1419" s="1" t="n">
        <v>27</v>
      </c>
      <c r="G1419" s="1" t="n">
        <v>34</v>
      </c>
      <c r="H1419" s="1" t="s">
        <v>94</v>
      </c>
      <c r="I1419" s="1" t="n">
        <v>-9</v>
      </c>
      <c r="J1419" s="1" t="n">
        <v>54</v>
      </c>
      <c r="K1419" s="1" t="s">
        <v>169</v>
      </c>
      <c r="L1419" s="1" t="b">
        <f aca="false">FALSE()</f>
        <v>0</v>
      </c>
      <c r="M1419" s="1" t="str">
        <f aca="false">VLOOKUP(D1419,'Team Reference'!$A:$B,2,FALSE())</f>
        <v>IND</v>
      </c>
      <c r="N1419" s="1" t="str">
        <f aca="false">VLOOKUP(E1419,'Team Reference'!$A:$B,2,FALSE())</f>
        <v>NE</v>
      </c>
      <c r="O1419" s="1" t="str">
        <f aca="false">IF(F1419&gt;G1419,M1419,IF(G1419&gt;F1419,N1419,"Tie"))</f>
        <v>NE</v>
      </c>
      <c r="P1419" s="1" t="n">
        <f aca="false">F1419-G1419</f>
        <v>-7</v>
      </c>
      <c r="Q1419" s="1" t="n">
        <f aca="false">F1419+G1419</f>
        <v>61</v>
      </c>
      <c r="R1419" s="1" t="str">
        <f aca="false">IF(H1419=M1419,"Home",IF(H1419=N1419,"Away",IF(H1419="PICK","Pick","N/A")))</f>
        <v>Away</v>
      </c>
      <c r="S1419" s="1" t="n">
        <f aca="false">IF(R1419="Home",P1419,IF(R1419="Away",-P1419,""))</f>
        <v>7</v>
      </c>
      <c r="T1419" s="1" t="str">
        <f aca="false">IF(R1419="Pick","No Line",IF(S1419="","N/A",IF(S1419+I1419&gt;0,"Favorite Covered",IF(S1419+I1419&lt;0,"Underdog Covered","Push"))))</f>
        <v>Underdog Covered</v>
      </c>
      <c r="U1419" s="1" t="str">
        <f aca="false">IF(Q1419&gt;J1419,"Over",IF(Q1419&lt;J1419,"Under","Push"))</f>
        <v>Over</v>
      </c>
    </row>
    <row r="1420" customFormat="false" ht="15" hidden="false" customHeight="false" outlineLevel="0" collapsed="false">
      <c r="A1420" s="1" t="s">
        <v>476</v>
      </c>
      <c r="B1420" s="1" t="n">
        <v>2015</v>
      </c>
      <c r="C1420" s="1" t="s">
        <v>188</v>
      </c>
      <c r="D1420" s="1" t="s">
        <v>81</v>
      </c>
      <c r="E1420" s="1" t="s">
        <v>77</v>
      </c>
      <c r="F1420" s="1" t="n">
        <v>20</v>
      </c>
      <c r="G1420" s="1" t="n">
        <v>31</v>
      </c>
      <c r="H1420" s="1" t="s">
        <v>82</v>
      </c>
      <c r="I1420" s="1" t="n">
        <v>-3</v>
      </c>
      <c r="J1420" s="1" t="n">
        <v>43</v>
      </c>
      <c r="K1420" s="1" t="s">
        <v>147</v>
      </c>
      <c r="L1420" s="1" t="b">
        <f aca="false">FALSE()</f>
        <v>0</v>
      </c>
      <c r="M1420" s="1" t="str">
        <f aca="false">VLOOKUP(D1420,'Team Reference'!$A:$B,2,FALSE())</f>
        <v>JAX</v>
      </c>
      <c r="N1420" s="1" t="str">
        <f aca="false">VLOOKUP(E1420,'Team Reference'!$A:$B,2,FALSE())</f>
        <v>HOU</v>
      </c>
      <c r="O1420" s="1" t="str">
        <f aca="false">IF(F1420&gt;G1420,M1420,IF(G1420&gt;F1420,N1420,"Tie"))</f>
        <v>HOU</v>
      </c>
      <c r="P1420" s="1" t="n">
        <f aca="false">F1420-G1420</f>
        <v>-11</v>
      </c>
      <c r="Q1420" s="1" t="n">
        <f aca="false">F1420+G1420</f>
        <v>51</v>
      </c>
      <c r="R1420" s="1" t="str">
        <f aca="false">IF(H1420=M1420,"Home",IF(H1420=N1420,"Away",IF(H1420="PICK","Pick","N/A")))</f>
        <v>Home</v>
      </c>
      <c r="S1420" s="1" t="n">
        <f aca="false">IF(R1420="Home",P1420,IF(R1420="Away",-P1420,""))</f>
        <v>-11</v>
      </c>
      <c r="T1420" s="1" t="str">
        <f aca="false">IF(R1420="Pick","No Line",IF(S1420="","N/A",IF(S1420+I1420&gt;0,"Favorite Covered",IF(S1420+I1420&lt;0,"Underdog Covered","Push"))))</f>
        <v>Underdog Covered</v>
      </c>
      <c r="U1420" s="1" t="str">
        <f aca="false">IF(Q1420&gt;J1420,"Over",IF(Q1420&lt;J1420,"Under","Push"))</f>
        <v>Over</v>
      </c>
    </row>
    <row r="1421" customFormat="false" ht="15" hidden="false" customHeight="false" outlineLevel="0" collapsed="false">
      <c r="A1421" s="1" t="s">
        <v>476</v>
      </c>
      <c r="B1421" s="1" t="n">
        <v>2015</v>
      </c>
      <c r="C1421" s="1" t="s">
        <v>188</v>
      </c>
      <c r="D1421" s="1" t="s">
        <v>91</v>
      </c>
      <c r="E1421" s="1" t="s">
        <v>83</v>
      </c>
      <c r="F1421" s="1" t="n">
        <v>16</v>
      </c>
      <c r="G1421" s="1" t="n">
        <v>10</v>
      </c>
      <c r="H1421" s="1" t="s">
        <v>92</v>
      </c>
      <c r="I1421" s="1" t="n">
        <v>-3.5</v>
      </c>
      <c r="J1421" s="1" t="n">
        <v>43</v>
      </c>
      <c r="K1421" s="1" t="s">
        <v>407</v>
      </c>
      <c r="L1421" s="1" t="b">
        <f aca="false">FALSE()</f>
        <v>0</v>
      </c>
      <c r="M1421" s="1" t="str">
        <f aca="false">VLOOKUP(D1421,'Team Reference'!$A:$B,2,FALSE())</f>
        <v>MIN</v>
      </c>
      <c r="N1421" s="1" t="str">
        <f aca="false">VLOOKUP(E1421,'Team Reference'!$A:$B,2,FALSE())</f>
        <v>KC</v>
      </c>
      <c r="O1421" s="1" t="str">
        <f aca="false">IF(F1421&gt;G1421,M1421,IF(G1421&gt;F1421,N1421,"Tie"))</f>
        <v>MIN</v>
      </c>
      <c r="P1421" s="1" t="n">
        <f aca="false">F1421-G1421</f>
        <v>6</v>
      </c>
      <c r="Q1421" s="1" t="n">
        <f aca="false">F1421+G1421</f>
        <v>26</v>
      </c>
      <c r="R1421" s="1" t="str">
        <f aca="false">IF(H1421=M1421,"Home",IF(H1421=N1421,"Away",IF(H1421="PICK","Pick","N/A")))</f>
        <v>Home</v>
      </c>
      <c r="S1421" s="1" t="n">
        <f aca="false">IF(R1421="Home",P1421,IF(R1421="Away",-P1421,""))</f>
        <v>6</v>
      </c>
      <c r="T1421" s="1" t="str">
        <f aca="false">IF(R1421="Pick","No Line",IF(S1421="","N/A",IF(S1421+I1421&gt;0,"Favorite Covered",IF(S1421+I1421&lt;0,"Underdog Covered","Push"))))</f>
        <v>Favorite Covered</v>
      </c>
      <c r="U1421" s="1" t="str">
        <f aca="false">IF(Q1421&gt;J1421,"Over",IF(Q1421&lt;J1421,"Under","Push"))</f>
        <v>Under</v>
      </c>
    </row>
    <row r="1422" customFormat="false" ht="15" hidden="false" customHeight="false" outlineLevel="0" collapsed="false">
      <c r="A1422" s="1" t="s">
        <v>476</v>
      </c>
      <c r="B1422" s="1" t="n">
        <v>2015</v>
      </c>
      <c r="C1422" s="1" t="s">
        <v>188</v>
      </c>
      <c r="D1422" s="1" t="s">
        <v>99</v>
      </c>
      <c r="E1422" s="1" t="s">
        <v>117</v>
      </c>
      <c r="F1422" s="1" t="n">
        <v>34</v>
      </c>
      <c r="G1422" s="1" t="n">
        <v>20</v>
      </c>
      <c r="H1422" s="1" t="s">
        <v>100</v>
      </c>
      <c r="I1422" s="1" t="n">
        <v>-7.5</v>
      </c>
      <c r="J1422" s="1" t="n">
        <v>40</v>
      </c>
      <c r="K1422" s="1" t="s">
        <v>149</v>
      </c>
      <c r="L1422" s="1" t="b">
        <f aca="false">FALSE()</f>
        <v>0</v>
      </c>
      <c r="M1422" s="1" t="str">
        <f aca="false">VLOOKUP(D1422,'Team Reference'!$A:$B,2,FALSE())</f>
        <v>NYJ</v>
      </c>
      <c r="N1422" s="1" t="str">
        <f aca="false">VLOOKUP(E1422,'Team Reference'!$A:$B,2,FALSE())</f>
        <v>WAS</v>
      </c>
      <c r="O1422" s="1" t="str">
        <f aca="false">IF(F1422&gt;G1422,M1422,IF(G1422&gt;F1422,N1422,"Tie"))</f>
        <v>NYJ</v>
      </c>
      <c r="P1422" s="1" t="n">
        <f aca="false">F1422-G1422</f>
        <v>14</v>
      </c>
      <c r="Q1422" s="1" t="n">
        <f aca="false">F1422+G1422</f>
        <v>54</v>
      </c>
      <c r="R1422" s="1" t="str">
        <f aca="false">IF(H1422=M1422,"Home",IF(H1422=N1422,"Away",IF(H1422="PICK","Pick","N/A")))</f>
        <v>Home</v>
      </c>
      <c r="S1422" s="1" t="n">
        <f aca="false">IF(R1422="Home",P1422,IF(R1422="Away",-P1422,""))</f>
        <v>14</v>
      </c>
      <c r="T1422" s="1" t="str">
        <f aca="false">IF(R1422="Pick","No Line",IF(S1422="","N/A",IF(S1422+I1422&gt;0,"Favorite Covered",IF(S1422+I1422&lt;0,"Underdog Covered","Push"))))</f>
        <v>Favorite Covered</v>
      </c>
      <c r="U1422" s="1" t="str">
        <f aca="false">IF(Q1422&gt;J1422,"Over",IF(Q1422&lt;J1422,"Under","Push"))</f>
        <v>Over</v>
      </c>
    </row>
    <row r="1423" customFormat="false" ht="15" hidden="false" customHeight="false" outlineLevel="0" collapsed="false">
      <c r="A1423" s="1" t="s">
        <v>476</v>
      </c>
      <c r="B1423" s="1" t="n">
        <v>2015</v>
      </c>
      <c r="C1423" s="1" t="s">
        <v>188</v>
      </c>
      <c r="D1423" s="1" t="s">
        <v>105</v>
      </c>
      <c r="E1423" s="1" t="s">
        <v>53</v>
      </c>
      <c r="F1423" s="1" t="n">
        <v>25</v>
      </c>
      <c r="G1423" s="1" t="n">
        <v>13</v>
      </c>
      <c r="H1423" s="1" t="s">
        <v>54</v>
      </c>
      <c r="I1423" s="1" t="n">
        <v>-5.5</v>
      </c>
      <c r="J1423" s="1" t="n">
        <v>45</v>
      </c>
      <c r="K1423" s="1" t="s">
        <v>151</v>
      </c>
      <c r="L1423" s="1" t="b">
        <f aca="false">FALSE()</f>
        <v>0</v>
      </c>
      <c r="M1423" s="1" t="str">
        <f aca="false">VLOOKUP(D1423,'Team Reference'!$A:$B,2,FALSE())</f>
        <v>PIT</v>
      </c>
      <c r="N1423" s="1" t="str">
        <f aca="false">VLOOKUP(E1423,'Team Reference'!$A:$B,2,FALSE())</f>
        <v>ARI</v>
      </c>
      <c r="O1423" s="1" t="str">
        <f aca="false">IF(F1423&gt;G1423,M1423,IF(G1423&gt;F1423,N1423,"Tie"))</f>
        <v>PIT</v>
      </c>
      <c r="P1423" s="1" t="n">
        <f aca="false">F1423-G1423</f>
        <v>12</v>
      </c>
      <c r="Q1423" s="1" t="n">
        <f aca="false">F1423+G1423</f>
        <v>38</v>
      </c>
      <c r="R1423" s="1" t="str">
        <f aca="false">IF(H1423=M1423,"Home",IF(H1423=N1423,"Away",IF(H1423="PICK","Pick","N/A")))</f>
        <v>Away</v>
      </c>
      <c r="S1423" s="1" t="n">
        <f aca="false">IF(R1423="Home",P1423,IF(R1423="Away",-P1423,""))</f>
        <v>-12</v>
      </c>
      <c r="T1423" s="1" t="str">
        <f aca="false">IF(R1423="Pick","No Line",IF(S1423="","N/A",IF(S1423+I1423&gt;0,"Favorite Covered",IF(S1423+I1423&lt;0,"Underdog Covered","Push"))))</f>
        <v>Underdog Covered</v>
      </c>
      <c r="U1423" s="1" t="str">
        <f aca="false">IF(Q1423&gt;J1423,"Over",IF(Q1423&lt;J1423,"Under","Push"))</f>
        <v>Under</v>
      </c>
    </row>
    <row r="1424" customFormat="false" ht="15" hidden="false" customHeight="false" outlineLevel="0" collapsed="false">
      <c r="A1424" s="1" t="s">
        <v>476</v>
      </c>
      <c r="B1424" s="1" t="n">
        <v>2015</v>
      </c>
      <c r="C1424" s="1" t="s">
        <v>188</v>
      </c>
      <c r="D1424" s="1" t="s">
        <v>108</v>
      </c>
      <c r="E1424" s="1" t="s">
        <v>57</v>
      </c>
      <c r="F1424" s="1" t="n">
        <v>25</v>
      </c>
      <c r="G1424" s="1" t="n">
        <v>20</v>
      </c>
      <c r="H1424" s="1" t="s">
        <v>58</v>
      </c>
      <c r="I1424" s="1" t="n">
        <v>-2.5</v>
      </c>
      <c r="J1424" s="1" t="n">
        <v>43.5</v>
      </c>
      <c r="K1424" s="1" t="s">
        <v>408</v>
      </c>
      <c r="L1424" s="1" t="b">
        <f aca="false">FALSE()</f>
        <v>0</v>
      </c>
      <c r="M1424" s="1" t="str">
        <f aca="false">VLOOKUP(D1424,'Team Reference'!$A:$B,2,FALSE())</f>
        <v>SF</v>
      </c>
      <c r="N1424" s="1" t="str">
        <f aca="false">VLOOKUP(E1424,'Team Reference'!$A:$B,2,FALSE())</f>
        <v>BAL</v>
      </c>
      <c r="O1424" s="1" t="str">
        <f aca="false">IF(F1424&gt;G1424,M1424,IF(G1424&gt;F1424,N1424,"Tie"))</f>
        <v>SF</v>
      </c>
      <c r="P1424" s="1" t="n">
        <f aca="false">F1424-G1424</f>
        <v>5</v>
      </c>
      <c r="Q1424" s="1" t="n">
        <f aca="false">F1424+G1424</f>
        <v>45</v>
      </c>
      <c r="R1424" s="1" t="str">
        <f aca="false">IF(H1424=M1424,"Home",IF(H1424=N1424,"Away",IF(H1424="PICK","Pick","N/A")))</f>
        <v>Away</v>
      </c>
      <c r="S1424" s="1" t="n">
        <f aca="false">IF(R1424="Home",P1424,IF(R1424="Away",-P1424,""))</f>
        <v>-5</v>
      </c>
      <c r="T1424" s="1" t="str">
        <f aca="false">IF(R1424="Pick","No Line",IF(S1424="","N/A",IF(S1424+I1424&gt;0,"Favorite Covered",IF(S1424+I1424&lt;0,"Underdog Covered","Push"))))</f>
        <v>Underdog Covered</v>
      </c>
      <c r="U1424" s="1" t="str">
        <f aca="false">IF(Q1424&gt;J1424,"Over",IF(Q1424&lt;J1424,"Under","Push"))</f>
        <v>Over</v>
      </c>
    </row>
    <row r="1425" customFormat="false" ht="15" hidden="false" customHeight="false" outlineLevel="0" collapsed="false">
      <c r="A1425" s="1" t="s">
        <v>476</v>
      </c>
      <c r="B1425" s="1" t="n">
        <v>2015</v>
      </c>
      <c r="C1425" s="1" t="s">
        <v>188</v>
      </c>
      <c r="D1425" s="1" t="s">
        <v>110</v>
      </c>
      <c r="E1425" s="1" t="s">
        <v>61</v>
      </c>
      <c r="F1425" s="1" t="n">
        <v>23</v>
      </c>
      <c r="G1425" s="1" t="n">
        <v>27</v>
      </c>
      <c r="H1425" s="1" t="s">
        <v>111</v>
      </c>
      <c r="I1425" s="1" t="n">
        <v>-7</v>
      </c>
      <c r="J1425" s="1" t="n">
        <v>41</v>
      </c>
      <c r="K1425" s="1" t="s">
        <v>152</v>
      </c>
      <c r="L1425" s="1" t="b">
        <f aca="false">FALSE()</f>
        <v>0</v>
      </c>
      <c r="M1425" s="1" t="str">
        <f aca="false">VLOOKUP(D1425,'Team Reference'!$A:$B,2,FALSE())</f>
        <v>SEA</v>
      </c>
      <c r="N1425" s="1" t="str">
        <f aca="false">VLOOKUP(E1425,'Team Reference'!$A:$B,2,FALSE())</f>
        <v>CAR</v>
      </c>
      <c r="O1425" s="1" t="str">
        <f aca="false">IF(F1425&gt;G1425,M1425,IF(G1425&gt;F1425,N1425,"Tie"))</f>
        <v>CAR</v>
      </c>
      <c r="P1425" s="1" t="n">
        <f aca="false">F1425-G1425</f>
        <v>-4</v>
      </c>
      <c r="Q1425" s="1" t="n">
        <f aca="false">F1425+G1425</f>
        <v>50</v>
      </c>
      <c r="R1425" s="1" t="str">
        <f aca="false">IF(H1425=M1425,"Home",IF(H1425=N1425,"Away",IF(H1425="PICK","Pick","N/A")))</f>
        <v>Home</v>
      </c>
      <c r="S1425" s="1" t="n">
        <f aca="false">IF(R1425="Home",P1425,IF(R1425="Away",-P1425,""))</f>
        <v>-4</v>
      </c>
      <c r="T1425" s="1" t="str">
        <f aca="false">IF(R1425="Pick","No Line",IF(S1425="","N/A",IF(S1425+I1425&gt;0,"Favorite Covered",IF(S1425+I1425&lt;0,"Underdog Covered","Push"))))</f>
        <v>Underdog Covered</v>
      </c>
      <c r="U1425" s="1" t="str">
        <f aca="false">IF(Q1425&gt;J1425,"Over",IF(Q1425&lt;J1425,"Under","Push"))</f>
        <v>Over</v>
      </c>
    </row>
    <row r="1426" customFormat="false" ht="15" hidden="false" customHeight="false" outlineLevel="0" collapsed="false">
      <c r="A1426" s="1" t="s">
        <v>476</v>
      </c>
      <c r="B1426" s="1" t="n">
        <v>2015</v>
      </c>
      <c r="C1426" s="1" t="s">
        <v>188</v>
      </c>
      <c r="D1426" s="1" t="s">
        <v>115</v>
      </c>
      <c r="E1426" s="1" t="s">
        <v>89</v>
      </c>
      <c r="F1426" s="1" t="n">
        <v>10</v>
      </c>
      <c r="G1426" s="1" t="n">
        <v>38</v>
      </c>
      <c r="H1426" s="1" t="s">
        <v>116</v>
      </c>
      <c r="I1426" s="1" t="n">
        <v>-2.5</v>
      </c>
      <c r="J1426" s="1" t="n">
        <v>43.5</v>
      </c>
      <c r="K1426" s="1" t="s">
        <v>155</v>
      </c>
      <c r="L1426" s="1" t="b">
        <f aca="false">FALSE()</f>
        <v>0</v>
      </c>
      <c r="M1426" s="1" t="str">
        <f aca="false">VLOOKUP(D1426,'Team Reference'!$A:$B,2,FALSE())</f>
        <v>TEN</v>
      </c>
      <c r="N1426" s="1" t="str">
        <f aca="false">VLOOKUP(E1426,'Team Reference'!$A:$B,2,FALSE())</f>
        <v>MIA</v>
      </c>
      <c r="O1426" s="1" t="str">
        <f aca="false">IF(F1426&gt;G1426,M1426,IF(G1426&gt;F1426,N1426,"Tie"))</f>
        <v>MIA</v>
      </c>
      <c r="P1426" s="1" t="n">
        <f aca="false">F1426-G1426</f>
        <v>-28</v>
      </c>
      <c r="Q1426" s="1" t="n">
        <f aca="false">F1426+G1426</f>
        <v>48</v>
      </c>
      <c r="R1426" s="1" t="str">
        <f aca="false">IF(H1426=M1426,"Home",IF(H1426=N1426,"Away",IF(H1426="PICK","Pick","N/A")))</f>
        <v>Home</v>
      </c>
      <c r="S1426" s="1" t="n">
        <f aca="false">IF(R1426="Home",P1426,IF(R1426="Away",-P1426,""))</f>
        <v>-28</v>
      </c>
      <c r="T1426" s="1" t="str">
        <f aca="false">IF(R1426="Pick","No Line",IF(S1426="","N/A",IF(S1426+I1426&gt;0,"Favorite Covered",IF(S1426+I1426&lt;0,"Underdog Covered","Push"))))</f>
        <v>Underdog Covered</v>
      </c>
      <c r="U1426" s="1" t="str">
        <f aca="false">IF(Q1426&gt;J1426,"Over",IF(Q1426&lt;J1426,"Under","Push"))</f>
        <v>Over</v>
      </c>
    </row>
    <row r="1427" customFormat="false" ht="15" hidden="false" customHeight="false" outlineLevel="0" collapsed="false">
      <c r="A1427" s="1" t="s">
        <v>477</v>
      </c>
      <c r="B1427" s="1" t="n">
        <v>2015</v>
      </c>
      <c r="C1427" s="1" t="s">
        <v>188</v>
      </c>
      <c r="D1427" s="1" t="s">
        <v>103</v>
      </c>
      <c r="E1427" s="1" t="s">
        <v>97</v>
      </c>
      <c r="F1427" s="1" t="n">
        <v>27</v>
      </c>
      <c r="G1427" s="1" t="n">
        <v>7</v>
      </c>
      <c r="H1427" s="1" t="s">
        <v>104</v>
      </c>
      <c r="I1427" s="1" t="n">
        <v>-3.5</v>
      </c>
      <c r="J1427" s="1" t="n">
        <v>50.5</v>
      </c>
      <c r="K1427" s="1" t="s">
        <v>150</v>
      </c>
      <c r="L1427" s="1" t="b">
        <f aca="false">FALSE()</f>
        <v>0</v>
      </c>
      <c r="M1427" s="1" t="str">
        <f aca="false">VLOOKUP(D1427,'Team Reference'!$A:$B,2,FALSE())</f>
        <v>PHI</v>
      </c>
      <c r="N1427" s="1" t="str">
        <f aca="false">VLOOKUP(E1427,'Team Reference'!$A:$B,2,FALSE())</f>
        <v>NYG</v>
      </c>
      <c r="O1427" s="1" t="str">
        <f aca="false">IF(F1427&gt;G1427,M1427,IF(G1427&gt;F1427,N1427,"Tie"))</f>
        <v>PHI</v>
      </c>
      <c r="P1427" s="1" t="n">
        <f aca="false">F1427-G1427</f>
        <v>20</v>
      </c>
      <c r="Q1427" s="1" t="n">
        <f aca="false">F1427+G1427</f>
        <v>34</v>
      </c>
      <c r="R1427" s="1" t="str">
        <f aca="false">IF(H1427=M1427,"Home",IF(H1427=N1427,"Away",IF(H1427="PICK","Pick","N/A")))</f>
        <v>Home</v>
      </c>
      <c r="S1427" s="1" t="n">
        <f aca="false">IF(R1427="Home",P1427,IF(R1427="Away",-P1427,""))</f>
        <v>20</v>
      </c>
      <c r="T1427" s="1" t="str">
        <f aca="false">IF(R1427="Pick","No Line",IF(S1427="","N/A",IF(S1427+I1427&gt;0,"Favorite Covered",IF(S1427+I1427&lt;0,"Underdog Covered","Push"))))</f>
        <v>Favorite Covered</v>
      </c>
      <c r="U1427" s="1" t="str">
        <f aca="false">IF(Q1427&gt;J1427,"Over",IF(Q1427&lt;J1427,"Under","Push"))</f>
        <v>Under</v>
      </c>
    </row>
    <row r="1428" customFormat="false" ht="15" hidden="false" customHeight="false" outlineLevel="0" collapsed="false">
      <c r="A1428" s="1" t="s">
        <v>478</v>
      </c>
      <c r="B1428" s="1" t="n">
        <v>2015</v>
      </c>
      <c r="C1428" s="1" t="s">
        <v>191</v>
      </c>
      <c r="D1428" s="1" t="s">
        <v>108</v>
      </c>
      <c r="E1428" s="1" t="s">
        <v>110</v>
      </c>
      <c r="F1428" s="1" t="n">
        <v>3</v>
      </c>
      <c r="G1428" s="1" t="n">
        <v>20</v>
      </c>
      <c r="H1428" s="1" t="s">
        <v>111</v>
      </c>
      <c r="I1428" s="1" t="n">
        <v>-6.5</v>
      </c>
      <c r="J1428" s="1" t="n">
        <v>42</v>
      </c>
      <c r="K1428" s="1" t="s">
        <v>408</v>
      </c>
      <c r="L1428" s="1" t="b">
        <f aca="false">FALSE()</f>
        <v>0</v>
      </c>
      <c r="M1428" s="1" t="str">
        <f aca="false">VLOOKUP(D1428,'Team Reference'!$A:$B,2,FALSE())</f>
        <v>SF</v>
      </c>
      <c r="N1428" s="1" t="str">
        <f aca="false">VLOOKUP(E1428,'Team Reference'!$A:$B,2,FALSE())</f>
        <v>SEA</v>
      </c>
      <c r="O1428" s="1" t="str">
        <f aca="false">IF(F1428&gt;G1428,M1428,IF(G1428&gt;F1428,N1428,"Tie"))</f>
        <v>SEA</v>
      </c>
      <c r="P1428" s="1" t="n">
        <f aca="false">F1428-G1428</f>
        <v>-17</v>
      </c>
      <c r="Q1428" s="1" t="n">
        <f aca="false">F1428+G1428</f>
        <v>23</v>
      </c>
      <c r="R1428" s="1" t="str">
        <f aca="false">IF(H1428=M1428,"Home",IF(H1428=N1428,"Away",IF(H1428="PICK","Pick","N/A")))</f>
        <v>Away</v>
      </c>
      <c r="S1428" s="1" t="n">
        <f aca="false">IF(R1428="Home",P1428,IF(R1428="Away",-P1428,""))</f>
        <v>17</v>
      </c>
      <c r="T1428" s="1" t="str">
        <f aca="false">IF(R1428="Pick","No Line",IF(S1428="","N/A",IF(S1428+I1428&gt;0,"Favorite Covered",IF(S1428+I1428&lt;0,"Underdog Covered","Push"))))</f>
        <v>Favorite Covered</v>
      </c>
      <c r="U1428" s="1" t="str">
        <f aca="false">IF(Q1428&gt;J1428,"Over",IF(Q1428&lt;J1428,"Under","Push"))</f>
        <v>Under</v>
      </c>
    </row>
    <row r="1429" customFormat="false" ht="15" hidden="false" customHeight="false" outlineLevel="0" collapsed="false">
      <c r="A1429" s="1" t="s">
        <v>479</v>
      </c>
      <c r="B1429" s="1" t="n">
        <v>2015</v>
      </c>
      <c r="C1429" s="1" t="s">
        <v>191</v>
      </c>
      <c r="D1429" s="1" t="s">
        <v>61</v>
      </c>
      <c r="E1429" s="1" t="s">
        <v>103</v>
      </c>
      <c r="F1429" s="1" t="n">
        <v>27</v>
      </c>
      <c r="G1429" s="1" t="n">
        <v>16</v>
      </c>
      <c r="H1429" s="1" t="s">
        <v>62</v>
      </c>
      <c r="I1429" s="1" t="n">
        <v>-2.5</v>
      </c>
      <c r="J1429" s="1" t="n">
        <v>46</v>
      </c>
      <c r="K1429" s="1" t="s">
        <v>162</v>
      </c>
      <c r="L1429" s="1" t="b">
        <f aca="false">FALSE()</f>
        <v>0</v>
      </c>
      <c r="M1429" s="1" t="str">
        <f aca="false">VLOOKUP(D1429,'Team Reference'!$A:$B,2,FALSE())</f>
        <v>CAR</v>
      </c>
      <c r="N1429" s="1" t="str">
        <f aca="false">VLOOKUP(E1429,'Team Reference'!$A:$B,2,FALSE())</f>
        <v>PHI</v>
      </c>
      <c r="O1429" s="1" t="str">
        <f aca="false">IF(F1429&gt;G1429,M1429,IF(G1429&gt;F1429,N1429,"Tie"))</f>
        <v>CAR</v>
      </c>
      <c r="P1429" s="1" t="n">
        <f aca="false">F1429-G1429</f>
        <v>11</v>
      </c>
      <c r="Q1429" s="1" t="n">
        <f aca="false">F1429+G1429</f>
        <v>43</v>
      </c>
      <c r="R1429" s="1" t="str">
        <f aca="false">IF(H1429=M1429,"Home",IF(H1429=N1429,"Away",IF(H1429="PICK","Pick","N/A")))</f>
        <v>Home</v>
      </c>
      <c r="S1429" s="1" t="n">
        <f aca="false">IF(R1429="Home",P1429,IF(R1429="Away",-P1429,""))</f>
        <v>11</v>
      </c>
      <c r="T1429" s="1" t="str">
        <f aca="false">IF(R1429="Pick","No Line",IF(S1429="","N/A",IF(S1429+I1429&gt;0,"Favorite Covered",IF(S1429+I1429&lt;0,"Underdog Covered","Push"))))</f>
        <v>Favorite Covered</v>
      </c>
      <c r="U1429" s="1" t="str">
        <f aca="false">IF(Q1429&gt;J1429,"Over",IF(Q1429&lt;J1429,"Under","Push"))</f>
        <v>Under</v>
      </c>
    </row>
    <row r="1430" customFormat="false" ht="15" hidden="false" customHeight="false" outlineLevel="0" collapsed="false">
      <c r="A1430" s="1" t="s">
        <v>479</v>
      </c>
      <c r="B1430" s="1" t="n">
        <v>2015</v>
      </c>
      <c r="C1430" s="1" t="s">
        <v>191</v>
      </c>
      <c r="D1430" s="1" t="s">
        <v>73</v>
      </c>
      <c r="E1430" s="1" t="s">
        <v>91</v>
      </c>
      <c r="F1430" s="1" t="n">
        <v>19</v>
      </c>
      <c r="G1430" s="1" t="n">
        <v>28</v>
      </c>
      <c r="H1430" s="1" t="s">
        <v>74</v>
      </c>
      <c r="I1430" s="1" t="n">
        <v>-1</v>
      </c>
      <c r="J1430" s="1" t="n">
        <v>45</v>
      </c>
      <c r="K1430" s="1" t="s">
        <v>167</v>
      </c>
      <c r="L1430" s="1" t="b">
        <f aca="false">FALSE()</f>
        <v>0</v>
      </c>
      <c r="M1430" s="1" t="str">
        <f aca="false">VLOOKUP(D1430,'Team Reference'!$A:$B,2,FALSE())</f>
        <v>DET</v>
      </c>
      <c r="N1430" s="1" t="str">
        <f aca="false">VLOOKUP(E1430,'Team Reference'!$A:$B,2,FALSE())</f>
        <v>MIN</v>
      </c>
      <c r="O1430" s="1" t="str">
        <f aca="false">IF(F1430&gt;G1430,M1430,IF(G1430&gt;F1430,N1430,"Tie"))</f>
        <v>MIN</v>
      </c>
      <c r="P1430" s="1" t="n">
        <f aca="false">F1430-G1430</f>
        <v>-9</v>
      </c>
      <c r="Q1430" s="1" t="n">
        <f aca="false">F1430+G1430</f>
        <v>47</v>
      </c>
      <c r="R1430" s="1" t="str">
        <f aca="false">IF(H1430=M1430,"Home",IF(H1430=N1430,"Away",IF(H1430="PICK","Pick","N/A")))</f>
        <v>Home</v>
      </c>
      <c r="S1430" s="1" t="n">
        <f aca="false">IF(R1430="Home",P1430,IF(R1430="Away",-P1430,""))</f>
        <v>-9</v>
      </c>
      <c r="T1430" s="1" t="str">
        <f aca="false">IF(R1430="Pick","No Line",IF(S1430="","N/A",IF(S1430+I1430&gt;0,"Favorite Covered",IF(S1430+I1430&lt;0,"Underdog Covered","Push"))))</f>
        <v>Underdog Covered</v>
      </c>
      <c r="U1430" s="1" t="str">
        <f aca="false">IF(Q1430&gt;J1430,"Over",IF(Q1430&lt;J1430,"Under","Push"))</f>
        <v>Over</v>
      </c>
    </row>
    <row r="1431" customFormat="false" ht="15" hidden="false" customHeight="false" outlineLevel="0" collapsed="false">
      <c r="A1431" s="1" t="s">
        <v>479</v>
      </c>
      <c r="B1431" s="1" t="n">
        <v>2015</v>
      </c>
      <c r="C1431" s="1" t="s">
        <v>191</v>
      </c>
      <c r="D1431" s="1" t="s">
        <v>79</v>
      </c>
      <c r="E1431" s="1" t="s">
        <v>95</v>
      </c>
      <c r="F1431" s="1" t="n">
        <v>21</v>
      </c>
      <c r="G1431" s="1" t="n">
        <v>27</v>
      </c>
      <c r="H1431" s="1" t="s">
        <v>80</v>
      </c>
      <c r="I1431" s="1" t="n">
        <v>-5</v>
      </c>
      <c r="J1431" s="1" t="n">
        <v>53</v>
      </c>
      <c r="K1431" s="1" t="s">
        <v>169</v>
      </c>
      <c r="L1431" s="1" t="b">
        <f aca="false">FALSE()</f>
        <v>0</v>
      </c>
      <c r="M1431" s="1" t="str">
        <f aca="false">VLOOKUP(D1431,'Team Reference'!$A:$B,2,FALSE())</f>
        <v>IND</v>
      </c>
      <c r="N1431" s="1" t="str">
        <f aca="false">VLOOKUP(E1431,'Team Reference'!$A:$B,2,FALSE())</f>
        <v>NO</v>
      </c>
      <c r="O1431" s="1" t="str">
        <f aca="false">IF(F1431&gt;G1431,M1431,IF(G1431&gt;F1431,N1431,"Tie"))</f>
        <v>NO</v>
      </c>
      <c r="P1431" s="1" t="n">
        <f aca="false">F1431-G1431</f>
        <v>-6</v>
      </c>
      <c r="Q1431" s="1" t="n">
        <f aca="false">F1431+G1431</f>
        <v>48</v>
      </c>
      <c r="R1431" s="1" t="str">
        <f aca="false">IF(H1431=M1431,"Home",IF(H1431=N1431,"Away",IF(H1431="PICK","Pick","N/A")))</f>
        <v>Home</v>
      </c>
      <c r="S1431" s="1" t="n">
        <f aca="false">IF(R1431="Home",P1431,IF(R1431="Away",-P1431,""))</f>
        <v>-6</v>
      </c>
      <c r="T1431" s="1" t="str">
        <f aca="false">IF(R1431="Pick","No Line",IF(S1431="","N/A",IF(S1431+I1431&gt;0,"Favorite Covered",IF(S1431+I1431&lt;0,"Underdog Covered","Push"))))</f>
        <v>Underdog Covered</v>
      </c>
      <c r="U1431" s="1" t="str">
        <f aca="false">IF(Q1431&gt;J1431,"Over",IF(Q1431&lt;J1431,"Under","Push"))</f>
        <v>Under</v>
      </c>
    </row>
    <row r="1432" customFormat="false" ht="15" hidden="false" customHeight="false" outlineLevel="0" collapsed="false">
      <c r="A1432" s="1" t="s">
        <v>479</v>
      </c>
      <c r="B1432" s="1" t="n">
        <v>2015</v>
      </c>
      <c r="C1432" s="1" t="s">
        <v>191</v>
      </c>
      <c r="D1432" s="1" t="s">
        <v>81</v>
      </c>
      <c r="E1432" s="1" t="s">
        <v>59</v>
      </c>
      <c r="F1432" s="1" t="n">
        <v>34</v>
      </c>
      <c r="G1432" s="1" t="n">
        <v>31</v>
      </c>
      <c r="H1432" s="1" t="s">
        <v>60</v>
      </c>
      <c r="I1432" s="1" t="n">
        <v>-3.5</v>
      </c>
      <c r="J1432" s="1" t="n">
        <v>41.5</v>
      </c>
      <c r="K1432" s="1" t="s">
        <v>195</v>
      </c>
      <c r="L1432" s="1" t="b">
        <f aca="false">FALSE()</f>
        <v>0</v>
      </c>
      <c r="M1432" s="1" t="str">
        <f aca="false">VLOOKUP(D1432,'Team Reference'!$A:$B,2,FALSE())</f>
        <v>JAX</v>
      </c>
      <c r="N1432" s="1" t="str">
        <f aca="false">VLOOKUP(E1432,'Team Reference'!$A:$B,2,FALSE())</f>
        <v>BUF</v>
      </c>
      <c r="O1432" s="1" t="str">
        <f aca="false">IF(F1432&gt;G1432,M1432,IF(G1432&gt;F1432,N1432,"Tie"))</f>
        <v>JAX</v>
      </c>
      <c r="P1432" s="1" t="n">
        <f aca="false">F1432-G1432</f>
        <v>3</v>
      </c>
      <c r="Q1432" s="1" t="n">
        <f aca="false">F1432+G1432</f>
        <v>65</v>
      </c>
      <c r="R1432" s="1" t="str">
        <f aca="false">IF(H1432=M1432,"Home",IF(H1432=N1432,"Away",IF(H1432="PICK","Pick","N/A")))</f>
        <v>Away</v>
      </c>
      <c r="S1432" s="1" t="n">
        <f aca="false">IF(R1432="Home",P1432,IF(R1432="Away",-P1432,""))</f>
        <v>-3</v>
      </c>
      <c r="T1432" s="1" t="str">
        <f aca="false">IF(R1432="Pick","No Line",IF(S1432="","N/A",IF(S1432+I1432&gt;0,"Favorite Covered",IF(S1432+I1432&lt;0,"Underdog Covered","Push"))))</f>
        <v>Underdog Covered</v>
      </c>
      <c r="U1432" s="1" t="str">
        <f aca="false">IF(Q1432&gt;J1432,"Over",IF(Q1432&lt;J1432,"Under","Push"))</f>
        <v>Over</v>
      </c>
    </row>
    <row r="1433" customFormat="false" ht="15" hidden="false" customHeight="false" outlineLevel="0" collapsed="false">
      <c r="A1433" s="1" t="s">
        <v>479</v>
      </c>
      <c r="B1433" s="1" t="n">
        <v>2015</v>
      </c>
      <c r="C1433" s="1" t="s">
        <v>191</v>
      </c>
      <c r="D1433" s="1" t="s">
        <v>83</v>
      </c>
      <c r="E1433" s="1" t="s">
        <v>105</v>
      </c>
      <c r="F1433" s="1" t="n">
        <v>23</v>
      </c>
      <c r="G1433" s="1" t="n">
        <v>13</v>
      </c>
      <c r="H1433" s="1" t="s">
        <v>84</v>
      </c>
      <c r="I1433" s="1" t="n">
        <v>-3.5</v>
      </c>
      <c r="J1433" s="1" t="n">
        <v>41.5</v>
      </c>
      <c r="K1433" s="1" t="s">
        <v>158</v>
      </c>
      <c r="L1433" s="1" t="b">
        <f aca="false">FALSE()</f>
        <v>0</v>
      </c>
      <c r="M1433" s="1" t="str">
        <f aca="false">VLOOKUP(D1433,'Team Reference'!$A:$B,2,FALSE())</f>
        <v>KC</v>
      </c>
      <c r="N1433" s="1" t="str">
        <f aca="false">VLOOKUP(E1433,'Team Reference'!$A:$B,2,FALSE())</f>
        <v>PIT</v>
      </c>
      <c r="O1433" s="1" t="str">
        <f aca="false">IF(F1433&gt;G1433,M1433,IF(G1433&gt;F1433,N1433,"Tie"))</f>
        <v>KC</v>
      </c>
      <c r="P1433" s="1" t="n">
        <f aca="false">F1433-G1433</f>
        <v>10</v>
      </c>
      <c r="Q1433" s="1" t="n">
        <f aca="false">F1433+G1433</f>
        <v>36</v>
      </c>
      <c r="R1433" s="1" t="str">
        <f aca="false">IF(H1433=M1433,"Home",IF(H1433=N1433,"Away",IF(H1433="PICK","Pick","N/A")))</f>
        <v>Home</v>
      </c>
      <c r="S1433" s="1" t="n">
        <f aca="false">IF(R1433="Home",P1433,IF(R1433="Away",-P1433,""))</f>
        <v>10</v>
      </c>
      <c r="T1433" s="1" t="str">
        <f aca="false">IF(R1433="Pick","No Line",IF(S1433="","N/A",IF(S1433+I1433&gt;0,"Favorite Covered",IF(S1433+I1433&lt;0,"Underdog Covered","Push"))))</f>
        <v>Favorite Covered</v>
      </c>
      <c r="U1433" s="1" t="str">
        <f aca="false">IF(Q1433&gt;J1433,"Over",IF(Q1433&lt;J1433,"Under","Push"))</f>
        <v>Under</v>
      </c>
    </row>
    <row r="1434" customFormat="false" ht="15" hidden="false" customHeight="false" outlineLevel="0" collapsed="false">
      <c r="A1434" s="1" t="s">
        <v>479</v>
      </c>
      <c r="B1434" s="1" t="n">
        <v>2015</v>
      </c>
      <c r="C1434" s="1" t="s">
        <v>191</v>
      </c>
      <c r="D1434" s="1" t="s">
        <v>89</v>
      </c>
      <c r="E1434" s="1" t="s">
        <v>77</v>
      </c>
      <c r="F1434" s="1" t="n">
        <v>44</v>
      </c>
      <c r="G1434" s="1" t="n">
        <v>26</v>
      </c>
      <c r="H1434" s="1" t="s">
        <v>90</v>
      </c>
      <c r="I1434" s="1" t="n">
        <v>-4.5</v>
      </c>
      <c r="J1434" s="1" t="n">
        <v>45.5</v>
      </c>
      <c r="K1434" s="1" t="s">
        <v>179</v>
      </c>
      <c r="L1434" s="1" t="b">
        <f aca="false">FALSE()</f>
        <v>0</v>
      </c>
      <c r="M1434" s="1" t="str">
        <f aca="false">VLOOKUP(D1434,'Team Reference'!$A:$B,2,FALSE())</f>
        <v>MIA</v>
      </c>
      <c r="N1434" s="1" t="str">
        <f aca="false">VLOOKUP(E1434,'Team Reference'!$A:$B,2,FALSE())</f>
        <v>HOU</v>
      </c>
      <c r="O1434" s="1" t="str">
        <f aca="false">IF(F1434&gt;G1434,M1434,IF(G1434&gt;F1434,N1434,"Tie"))</f>
        <v>MIA</v>
      </c>
      <c r="P1434" s="1" t="n">
        <f aca="false">F1434-G1434</f>
        <v>18</v>
      </c>
      <c r="Q1434" s="1" t="n">
        <f aca="false">F1434+G1434</f>
        <v>70</v>
      </c>
      <c r="R1434" s="1" t="str">
        <f aca="false">IF(H1434=M1434,"Home",IF(H1434=N1434,"Away",IF(H1434="PICK","Pick","N/A")))</f>
        <v>Home</v>
      </c>
      <c r="S1434" s="1" t="n">
        <f aca="false">IF(R1434="Home",P1434,IF(R1434="Away",-P1434,""))</f>
        <v>18</v>
      </c>
      <c r="T1434" s="1" t="str">
        <f aca="false">IF(R1434="Pick","No Line",IF(S1434="","N/A",IF(S1434+I1434&gt;0,"Favorite Covered",IF(S1434+I1434&lt;0,"Underdog Covered","Push"))))</f>
        <v>Favorite Covered</v>
      </c>
      <c r="U1434" s="1" t="str">
        <f aca="false">IF(Q1434&gt;J1434,"Over",IF(Q1434&lt;J1434,"Under","Push"))</f>
        <v>Over</v>
      </c>
    </row>
    <row r="1435" customFormat="false" ht="15" hidden="false" customHeight="false" outlineLevel="0" collapsed="false">
      <c r="A1435" s="1" t="s">
        <v>479</v>
      </c>
      <c r="B1435" s="1" t="n">
        <v>2015</v>
      </c>
      <c r="C1435" s="1" t="s">
        <v>191</v>
      </c>
      <c r="D1435" s="1" t="s">
        <v>93</v>
      </c>
      <c r="E1435" s="1" t="s">
        <v>99</v>
      </c>
      <c r="F1435" s="1" t="n">
        <v>30</v>
      </c>
      <c r="G1435" s="1" t="n">
        <v>23</v>
      </c>
      <c r="H1435" s="1" t="s">
        <v>94</v>
      </c>
      <c r="I1435" s="1" t="n">
        <v>-7</v>
      </c>
      <c r="J1435" s="1" t="n">
        <v>47.5</v>
      </c>
      <c r="K1435" s="1" t="s">
        <v>148</v>
      </c>
      <c r="L1435" s="1" t="b">
        <f aca="false">FALSE()</f>
        <v>0</v>
      </c>
      <c r="M1435" s="1" t="str">
        <f aca="false">VLOOKUP(D1435,'Team Reference'!$A:$B,2,FALSE())</f>
        <v>NE</v>
      </c>
      <c r="N1435" s="1" t="str">
        <f aca="false">VLOOKUP(E1435,'Team Reference'!$A:$B,2,FALSE())</f>
        <v>NYJ</v>
      </c>
      <c r="O1435" s="1" t="str">
        <f aca="false">IF(F1435&gt;G1435,M1435,IF(G1435&gt;F1435,N1435,"Tie"))</f>
        <v>NE</v>
      </c>
      <c r="P1435" s="1" t="n">
        <f aca="false">F1435-G1435</f>
        <v>7</v>
      </c>
      <c r="Q1435" s="1" t="n">
        <f aca="false">F1435+G1435</f>
        <v>53</v>
      </c>
      <c r="R1435" s="1" t="str">
        <f aca="false">IF(H1435=M1435,"Home",IF(H1435=N1435,"Away",IF(H1435="PICK","Pick","N/A")))</f>
        <v>Home</v>
      </c>
      <c r="S1435" s="1" t="n">
        <f aca="false">IF(R1435="Home",P1435,IF(R1435="Away",-P1435,""))</f>
        <v>7</v>
      </c>
      <c r="T1435" s="1" t="str">
        <f aca="false">IF(R1435="Pick","No Line",IF(S1435="","N/A",IF(S1435+I1435&gt;0,"Favorite Covered",IF(S1435+I1435&lt;0,"Underdog Covered","Push"))))</f>
        <v>Push</v>
      </c>
      <c r="U1435" s="1" t="str">
        <f aca="false">IF(Q1435&gt;J1435,"Over",IF(Q1435&lt;J1435,"Under","Push"))</f>
        <v>Over</v>
      </c>
    </row>
    <row r="1436" customFormat="false" ht="15" hidden="false" customHeight="false" outlineLevel="0" collapsed="false">
      <c r="A1436" s="1" t="s">
        <v>479</v>
      </c>
      <c r="B1436" s="1" t="n">
        <v>2015</v>
      </c>
      <c r="C1436" s="1" t="s">
        <v>191</v>
      </c>
      <c r="D1436" s="1" t="s">
        <v>97</v>
      </c>
      <c r="E1436" s="1" t="s">
        <v>69</v>
      </c>
      <c r="F1436" s="1" t="n">
        <v>27</v>
      </c>
      <c r="G1436" s="1" t="n">
        <v>20</v>
      </c>
      <c r="H1436" s="1" t="s">
        <v>98</v>
      </c>
      <c r="I1436" s="1" t="n">
        <v>-3</v>
      </c>
      <c r="J1436" s="1" t="n">
        <v>44.5</v>
      </c>
      <c r="K1436" s="1" t="s">
        <v>149</v>
      </c>
      <c r="L1436" s="1" t="b">
        <f aca="false">FALSE()</f>
        <v>0</v>
      </c>
      <c r="M1436" s="1" t="str">
        <f aca="false">VLOOKUP(D1436,'Team Reference'!$A:$B,2,FALSE())</f>
        <v>NYG</v>
      </c>
      <c r="N1436" s="1" t="str">
        <f aca="false">VLOOKUP(E1436,'Team Reference'!$A:$B,2,FALSE())</f>
        <v>DAL</v>
      </c>
      <c r="O1436" s="1" t="str">
        <f aca="false">IF(F1436&gt;G1436,M1436,IF(G1436&gt;F1436,N1436,"Tie"))</f>
        <v>NYG</v>
      </c>
      <c r="P1436" s="1" t="n">
        <f aca="false">F1436-G1436</f>
        <v>7</v>
      </c>
      <c r="Q1436" s="1" t="n">
        <f aca="false">F1436+G1436</f>
        <v>47</v>
      </c>
      <c r="R1436" s="1" t="str">
        <f aca="false">IF(H1436=M1436,"Home",IF(H1436=N1436,"Away",IF(H1436="PICK","Pick","N/A")))</f>
        <v>Home</v>
      </c>
      <c r="S1436" s="1" t="n">
        <f aca="false">IF(R1436="Home",P1436,IF(R1436="Away",-P1436,""))</f>
        <v>7</v>
      </c>
      <c r="T1436" s="1" t="str">
        <f aca="false">IF(R1436="Pick","No Line",IF(S1436="","N/A",IF(S1436+I1436&gt;0,"Favorite Covered",IF(S1436+I1436&lt;0,"Underdog Covered","Push"))))</f>
        <v>Favorite Covered</v>
      </c>
      <c r="U1436" s="1" t="str">
        <f aca="false">IF(Q1436&gt;J1436,"Over",IF(Q1436&lt;J1436,"Under","Push"))</f>
        <v>Over</v>
      </c>
    </row>
    <row r="1437" customFormat="false" ht="15" hidden="false" customHeight="false" outlineLevel="0" collapsed="false">
      <c r="A1437" s="1" t="s">
        <v>479</v>
      </c>
      <c r="B1437" s="1" t="n">
        <v>2015</v>
      </c>
      <c r="C1437" s="1" t="s">
        <v>191</v>
      </c>
      <c r="D1437" s="1" t="s">
        <v>107</v>
      </c>
      <c r="E1437" s="1" t="s">
        <v>101</v>
      </c>
      <c r="F1437" s="1" t="n">
        <v>29</v>
      </c>
      <c r="G1437" s="1" t="n">
        <v>37</v>
      </c>
      <c r="H1437" s="1" t="s">
        <v>86</v>
      </c>
      <c r="I1437" s="1" t="n">
        <v>-3.5</v>
      </c>
      <c r="J1437" s="1" t="n">
        <v>48.5</v>
      </c>
      <c r="K1437" s="1" t="s">
        <v>172</v>
      </c>
      <c r="L1437" s="1" t="b">
        <f aca="false">FALSE()</f>
        <v>0</v>
      </c>
      <c r="M1437" s="1" t="str">
        <f aca="false">VLOOKUP(D1437,'Team Reference'!$A:$B,2,FALSE())</f>
        <v>LAC</v>
      </c>
      <c r="N1437" s="1" t="str">
        <f aca="false">VLOOKUP(E1437,'Team Reference'!$A:$B,2,FALSE())</f>
        <v>OAK</v>
      </c>
      <c r="O1437" s="1" t="str">
        <f aca="false">IF(F1437&gt;G1437,M1437,IF(G1437&gt;F1437,N1437,"Tie"))</f>
        <v>OAK</v>
      </c>
      <c r="P1437" s="1" t="n">
        <f aca="false">F1437-G1437</f>
        <v>-8</v>
      </c>
      <c r="Q1437" s="1" t="n">
        <f aca="false">F1437+G1437</f>
        <v>66</v>
      </c>
      <c r="R1437" s="1" t="str">
        <f aca="false">IF(H1437=M1437,"Home",IF(H1437=N1437,"Away",IF(H1437="PICK","Pick","N/A")))</f>
        <v>Home</v>
      </c>
      <c r="S1437" s="1" t="n">
        <f aca="false">IF(R1437="Home",P1437,IF(R1437="Away",-P1437,""))</f>
        <v>-8</v>
      </c>
      <c r="T1437" s="1" t="str">
        <f aca="false">IF(R1437="Pick","No Line",IF(S1437="","N/A",IF(S1437+I1437&gt;0,"Favorite Covered",IF(S1437+I1437&lt;0,"Underdog Covered","Push"))))</f>
        <v>Underdog Covered</v>
      </c>
      <c r="U1437" s="1" t="str">
        <f aca="false">IF(Q1437&gt;J1437,"Over",IF(Q1437&lt;J1437,"Under","Push"))</f>
        <v>Over</v>
      </c>
    </row>
    <row r="1438" customFormat="false" ht="15" hidden="false" customHeight="false" outlineLevel="0" collapsed="false">
      <c r="A1438" s="1" t="s">
        <v>479</v>
      </c>
      <c r="B1438" s="1" t="n">
        <v>2015</v>
      </c>
      <c r="C1438" s="1" t="s">
        <v>191</v>
      </c>
      <c r="D1438" s="1" t="s">
        <v>112</v>
      </c>
      <c r="E1438" s="1" t="s">
        <v>67</v>
      </c>
      <c r="F1438" s="1" t="n">
        <v>24</v>
      </c>
      <c r="G1438" s="1" t="n">
        <v>6</v>
      </c>
      <c r="H1438" s="1" t="s">
        <v>88</v>
      </c>
      <c r="I1438" s="1" t="n">
        <v>-6</v>
      </c>
      <c r="J1438" s="1" t="n">
        <v>44</v>
      </c>
      <c r="K1438" s="1" t="s">
        <v>153</v>
      </c>
      <c r="L1438" s="1" t="b">
        <f aca="false">FALSE()</f>
        <v>0</v>
      </c>
      <c r="M1438" s="1" t="str">
        <f aca="false">VLOOKUP(D1438,'Team Reference'!$A:$B,2,FALSE())</f>
        <v>LAR</v>
      </c>
      <c r="N1438" s="1" t="str">
        <f aca="false">VLOOKUP(E1438,'Team Reference'!$A:$B,2,FALSE())</f>
        <v>CLE</v>
      </c>
      <c r="O1438" s="1" t="str">
        <f aca="false">IF(F1438&gt;G1438,M1438,IF(G1438&gt;F1438,N1438,"Tie"))</f>
        <v>LAR</v>
      </c>
      <c r="P1438" s="1" t="n">
        <f aca="false">F1438-G1438</f>
        <v>18</v>
      </c>
      <c r="Q1438" s="1" t="n">
        <f aca="false">F1438+G1438</f>
        <v>30</v>
      </c>
      <c r="R1438" s="1" t="str">
        <f aca="false">IF(H1438=M1438,"Home",IF(H1438=N1438,"Away",IF(H1438="PICK","Pick","N/A")))</f>
        <v>Home</v>
      </c>
      <c r="S1438" s="1" t="n">
        <f aca="false">IF(R1438="Home",P1438,IF(R1438="Away",-P1438,""))</f>
        <v>18</v>
      </c>
      <c r="T1438" s="1" t="str">
        <f aca="false">IF(R1438="Pick","No Line",IF(S1438="","N/A",IF(S1438+I1438&gt;0,"Favorite Covered",IF(S1438+I1438&lt;0,"Underdog Covered","Push"))))</f>
        <v>Favorite Covered</v>
      </c>
      <c r="U1438" s="1" t="str">
        <f aca="false">IF(Q1438&gt;J1438,"Over",IF(Q1438&lt;J1438,"Under","Push"))</f>
        <v>Under</v>
      </c>
    </row>
    <row r="1439" customFormat="false" ht="15" hidden="false" customHeight="false" outlineLevel="0" collapsed="false">
      <c r="A1439" s="1" t="s">
        <v>479</v>
      </c>
      <c r="B1439" s="1" t="n">
        <v>2015</v>
      </c>
      <c r="C1439" s="1" t="s">
        <v>191</v>
      </c>
      <c r="D1439" s="1" t="s">
        <v>115</v>
      </c>
      <c r="E1439" s="1" t="s">
        <v>55</v>
      </c>
      <c r="F1439" s="1" t="n">
        <v>7</v>
      </c>
      <c r="G1439" s="1" t="n">
        <v>10</v>
      </c>
      <c r="H1439" s="1" t="s">
        <v>56</v>
      </c>
      <c r="I1439" s="1" t="n">
        <v>-6</v>
      </c>
      <c r="J1439" s="1" t="n">
        <v>45.5</v>
      </c>
      <c r="K1439" s="1" t="s">
        <v>155</v>
      </c>
      <c r="L1439" s="1" t="b">
        <f aca="false">FALSE()</f>
        <v>0</v>
      </c>
      <c r="M1439" s="1" t="str">
        <f aca="false">VLOOKUP(D1439,'Team Reference'!$A:$B,2,FALSE())</f>
        <v>TEN</v>
      </c>
      <c r="N1439" s="1" t="str">
        <f aca="false">VLOOKUP(E1439,'Team Reference'!$A:$B,2,FALSE())</f>
        <v>ATL</v>
      </c>
      <c r="O1439" s="1" t="str">
        <f aca="false">IF(F1439&gt;G1439,M1439,IF(G1439&gt;F1439,N1439,"Tie"))</f>
        <v>ATL</v>
      </c>
      <c r="P1439" s="1" t="n">
        <f aca="false">F1439-G1439</f>
        <v>-3</v>
      </c>
      <c r="Q1439" s="1" t="n">
        <f aca="false">F1439+G1439</f>
        <v>17</v>
      </c>
      <c r="R1439" s="1" t="str">
        <f aca="false">IF(H1439=M1439,"Home",IF(H1439=N1439,"Away",IF(H1439="PICK","Pick","N/A")))</f>
        <v>Away</v>
      </c>
      <c r="S1439" s="1" t="n">
        <f aca="false">IF(R1439="Home",P1439,IF(R1439="Away",-P1439,""))</f>
        <v>3</v>
      </c>
      <c r="T1439" s="1" t="str">
        <f aca="false">IF(R1439="Pick","No Line",IF(S1439="","N/A",IF(S1439+I1439&gt;0,"Favorite Covered",IF(S1439+I1439&lt;0,"Underdog Covered","Push"))))</f>
        <v>Underdog Covered</v>
      </c>
      <c r="U1439" s="1" t="str">
        <f aca="false">IF(Q1439&gt;J1439,"Over",IF(Q1439&lt;J1439,"Under","Push"))</f>
        <v>Under</v>
      </c>
    </row>
    <row r="1440" customFormat="false" ht="15" hidden="false" customHeight="false" outlineLevel="0" collapsed="false">
      <c r="A1440" s="1" t="s">
        <v>479</v>
      </c>
      <c r="B1440" s="1" t="n">
        <v>2015</v>
      </c>
      <c r="C1440" s="1" t="s">
        <v>191</v>
      </c>
      <c r="D1440" s="1" t="s">
        <v>117</v>
      </c>
      <c r="E1440" s="1" t="s">
        <v>113</v>
      </c>
      <c r="F1440" s="1" t="n">
        <v>31</v>
      </c>
      <c r="G1440" s="1" t="n">
        <v>30</v>
      </c>
      <c r="H1440" s="1" t="s">
        <v>118</v>
      </c>
      <c r="I1440" s="1" t="n">
        <v>-3</v>
      </c>
      <c r="J1440" s="1" t="n">
        <v>41.5</v>
      </c>
      <c r="K1440" s="1" t="s">
        <v>156</v>
      </c>
      <c r="L1440" s="1" t="b">
        <f aca="false">FALSE()</f>
        <v>0</v>
      </c>
      <c r="M1440" s="1" t="str">
        <f aca="false">VLOOKUP(D1440,'Team Reference'!$A:$B,2,FALSE())</f>
        <v>WAS</v>
      </c>
      <c r="N1440" s="1" t="str">
        <f aca="false">VLOOKUP(E1440,'Team Reference'!$A:$B,2,FALSE())</f>
        <v>TB</v>
      </c>
      <c r="O1440" s="1" t="str">
        <f aca="false">IF(F1440&gt;G1440,M1440,IF(G1440&gt;F1440,N1440,"Tie"))</f>
        <v>WAS</v>
      </c>
      <c r="P1440" s="1" t="n">
        <f aca="false">F1440-G1440</f>
        <v>1</v>
      </c>
      <c r="Q1440" s="1" t="n">
        <f aca="false">F1440+G1440</f>
        <v>61</v>
      </c>
      <c r="R1440" s="1" t="str">
        <f aca="false">IF(H1440=M1440,"Home",IF(H1440=N1440,"Away",IF(H1440="PICK","Pick","N/A")))</f>
        <v>Home</v>
      </c>
      <c r="S1440" s="1" t="n">
        <f aca="false">IF(R1440="Home",P1440,IF(R1440="Away",-P1440,""))</f>
        <v>1</v>
      </c>
      <c r="T1440" s="1" t="str">
        <f aca="false">IF(R1440="Pick","No Line",IF(S1440="","N/A",IF(S1440+I1440&gt;0,"Favorite Covered",IF(S1440+I1440&lt;0,"Underdog Covered","Push"))))</f>
        <v>Underdog Covered</v>
      </c>
      <c r="U1440" s="1" t="str">
        <f aca="false">IF(Q1440&gt;J1440,"Over",IF(Q1440&lt;J1440,"Under","Push"))</f>
        <v>Over</v>
      </c>
    </row>
    <row r="1441" customFormat="false" ht="15" hidden="false" customHeight="false" outlineLevel="0" collapsed="false">
      <c r="A1441" s="1" t="s">
        <v>480</v>
      </c>
      <c r="B1441" s="1" t="n">
        <v>2015</v>
      </c>
      <c r="C1441" s="1" t="s">
        <v>191</v>
      </c>
      <c r="D1441" s="1" t="s">
        <v>53</v>
      </c>
      <c r="E1441" s="1" t="s">
        <v>57</v>
      </c>
      <c r="F1441" s="1" t="n">
        <v>26</v>
      </c>
      <c r="G1441" s="1" t="n">
        <v>18</v>
      </c>
      <c r="H1441" s="1" t="s">
        <v>54</v>
      </c>
      <c r="I1441" s="1" t="n">
        <v>-10</v>
      </c>
      <c r="J1441" s="1" t="n">
        <v>49.5</v>
      </c>
      <c r="K1441" s="1" t="s">
        <v>177</v>
      </c>
      <c r="L1441" s="1" t="b">
        <f aca="false">FALSE()</f>
        <v>0</v>
      </c>
      <c r="M1441" s="1" t="str">
        <f aca="false">VLOOKUP(D1441,'Team Reference'!$A:$B,2,FALSE())</f>
        <v>ARI</v>
      </c>
      <c r="N1441" s="1" t="str">
        <f aca="false">VLOOKUP(E1441,'Team Reference'!$A:$B,2,FALSE())</f>
        <v>BAL</v>
      </c>
      <c r="O1441" s="1" t="str">
        <f aca="false">IF(F1441&gt;G1441,M1441,IF(G1441&gt;F1441,N1441,"Tie"))</f>
        <v>ARI</v>
      </c>
      <c r="P1441" s="1" t="n">
        <f aca="false">F1441-G1441</f>
        <v>8</v>
      </c>
      <c r="Q1441" s="1" t="n">
        <f aca="false">F1441+G1441</f>
        <v>44</v>
      </c>
      <c r="R1441" s="1" t="str">
        <f aca="false">IF(H1441=M1441,"Home",IF(H1441=N1441,"Away",IF(H1441="PICK","Pick","N/A")))</f>
        <v>Home</v>
      </c>
      <c r="S1441" s="1" t="n">
        <f aca="false">IF(R1441="Home",P1441,IF(R1441="Away",-P1441,""))</f>
        <v>8</v>
      </c>
      <c r="T1441" s="1" t="str">
        <f aca="false">IF(R1441="Pick","No Line",IF(S1441="","N/A",IF(S1441+I1441&gt;0,"Favorite Covered",IF(S1441+I1441&lt;0,"Underdog Covered","Push"))))</f>
        <v>Underdog Covered</v>
      </c>
      <c r="U1441" s="1" t="str">
        <f aca="false">IF(Q1441&gt;J1441,"Over",IF(Q1441&lt;J1441,"Under","Push"))</f>
        <v>Under</v>
      </c>
    </row>
    <row r="1442" customFormat="false" ht="15" hidden="false" customHeight="false" outlineLevel="0" collapsed="false">
      <c r="A1442" s="1" t="s">
        <v>481</v>
      </c>
      <c r="B1442" s="1" t="n">
        <v>2015</v>
      </c>
      <c r="C1442" s="1" t="s">
        <v>194</v>
      </c>
      <c r="D1442" s="1" t="s">
        <v>93</v>
      </c>
      <c r="E1442" s="1" t="s">
        <v>89</v>
      </c>
      <c r="F1442" s="1" t="n">
        <v>36</v>
      </c>
      <c r="G1442" s="1" t="n">
        <v>7</v>
      </c>
      <c r="H1442" s="1" t="s">
        <v>94</v>
      </c>
      <c r="I1442" s="1" t="n">
        <v>-8</v>
      </c>
      <c r="J1442" s="1" t="n">
        <v>51.5</v>
      </c>
      <c r="K1442" s="1" t="s">
        <v>148</v>
      </c>
      <c r="L1442" s="1" t="b">
        <f aca="false">FALSE()</f>
        <v>0</v>
      </c>
      <c r="M1442" s="1" t="str">
        <f aca="false">VLOOKUP(D1442,'Team Reference'!$A:$B,2,FALSE())</f>
        <v>NE</v>
      </c>
      <c r="N1442" s="1" t="str">
        <f aca="false">VLOOKUP(E1442,'Team Reference'!$A:$B,2,FALSE())</f>
        <v>MIA</v>
      </c>
      <c r="O1442" s="1" t="str">
        <f aca="false">IF(F1442&gt;G1442,M1442,IF(G1442&gt;F1442,N1442,"Tie"))</f>
        <v>NE</v>
      </c>
      <c r="P1442" s="1" t="n">
        <f aca="false">F1442-G1442</f>
        <v>29</v>
      </c>
      <c r="Q1442" s="1" t="n">
        <f aca="false">F1442+G1442</f>
        <v>43</v>
      </c>
      <c r="R1442" s="1" t="str">
        <f aca="false">IF(H1442=M1442,"Home",IF(H1442=N1442,"Away",IF(H1442="PICK","Pick","N/A")))</f>
        <v>Home</v>
      </c>
      <c r="S1442" s="1" t="n">
        <f aca="false">IF(R1442="Home",P1442,IF(R1442="Away",-P1442,""))</f>
        <v>29</v>
      </c>
      <c r="T1442" s="1" t="str">
        <f aca="false">IF(R1442="Pick","No Line",IF(S1442="","N/A",IF(S1442+I1442&gt;0,"Favorite Covered",IF(S1442+I1442&lt;0,"Underdog Covered","Push"))))</f>
        <v>Favorite Covered</v>
      </c>
      <c r="U1442" s="1" t="str">
        <f aca="false">IF(Q1442&gt;J1442,"Over",IF(Q1442&lt;J1442,"Under","Push"))</f>
        <v>Under</v>
      </c>
    </row>
    <row r="1443" customFormat="false" ht="15" hidden="false" customHeight="false" outlineLevel="0" collapsed="false">
      <c r="A1443" s="1" t="s">
        <v>482</v>
      </c>
      <c r="B1443" s="1" t="n">
        <v>2015</v>
      </c>
      <c r="C1443" s="1" t="s">
        <v>194</v>
      </c>
      <c r="D1443" s="1" t="s">
        <v>55</v>
      </c>
      <c r="E1443" s="1" t="s">
        <v>113</v>
      </c>
      <c r="F1443" s="1" t="n">
        <v>20</v>
      </c>
      <c r="G1443" s="1" t="n">
        <v>23</v>
      </c>
      <c r="H1443" s="1" t="s">
        <v>56</v>
      </c>
      <c r="I1443" s="1" t="n">
        <v>-8</v>
      </c>
      <c r="J1443" s="1" t="n">
        <v>47.5</v>
      </c>
      <c r="K1443" s="1" t="s">
        <v>161</v>
      </c>
      <c r="L1443" s="1" t="b">
        <f aca="false">FALSE()</f>
        <v>0</v>
      </c>
      <c r="M1443" s="1" t="str">
        <f aca="false">VLOOKUP(D1443,'Team Reference'!$A:$B,2,FALSE())</f>
        <v>ATL</v>
      </c>
      <c r="N1443" s="1" t="str">
        <f aca="false">VLOOKUP(E1443,'Team Reference'!$A:$B,2,FALSE())</f>
        <v>TB</v>
      </c>
      <c r="O1443" s="1" t="str">
        <f aca="false">IF(F1443&gt;G1443,M1443,IF(G1443&gt;F1443,N1443,"Tie"))</f>
        <v>TB</v>
      </c>
      <c r="P1443" s="1" t="n">
        <f aca="false">F1443-G1443</f>
        <v>-3</v>
      </c>
      <c r="Q1443" s="1" t="n">
        <f aca="false">F1443+G1443</f>
        <v>43</v>
      </c>
      <c r="R1443" s="1" t="str">
        <f aca="false">IF(H1443=M1443,"Home",IF(H1443=N1443,"Away",IF(H1443="PICK","Pick","N/A")))</f>
        <v>Home</v>
      </c>
      <c r="S1443" s="1" t="n">
        <f aca="false">IF(R1443="Home",P1443,IF(R1443="Away",-P1443,""))</f>
        <v>-3</v>
      </c>
      <c r="T1443" s="1" t="str">
        <f aca="false">IF(R1443="Pick","No Line",IF(S1443="","N/A",IF(S1443+I1443&gt;0,"Favorite Covered",IF(S1443+I1443&lt;0,"Underdog Covered","Push"))))</f>
        <v>Underdog Covered</v>
      </c>
      <c r="U1443" s="1" t="str">
        <f aca="false">IF(Q1443&gt;J1443,"Over",IF(Q1443&lt;J1443,"Under","Push"))</f>
        <v>Under</v>
      </c>
    </row>
    <row r="1444" customFormat="false" ht="15" hidden="false" customHeight="false" outlineLevel="0" collapsed="false">
      <c r="A1444" s="1" t="s">
        <v>482</v>
      </c>
      <c r="B1444" s="1" t="n">
        <v>2015</v>
      </c>
      <c r="C1444" s="1" t="s">
        <v>194</v>
      </c>
      <c r="D1444" s="1" t="s">
        <v>57</v>
      </c>
      <c r="E1444" s="1" t="s">
        <v>107</v>
      </c>
      <c r="F1444" s="1" t="n">
        <v>29</v>
      </c>
      <c r="G1444" s="1" t="n">
        <v>26</v>
      </c>
      <c r="H1444" s="1" t="s">
        <v>58</v>
      </c>
      <c r="I1444" s="1" t="n">
        <v>-4.5</v>
      </c>
      <c r="J1444" s="1" t="n">
        <v>50.5</v>
      </c>
      <c r="K1444" s="1" t="s">
        <v>178</v>
      </c>
      <c r="L1444" s="1" t="b">
        <f aca="false">FALSE()</f>
        <v>0</v>
      </c>
      <c r="M1444" s="1" t="str">
        <f aca="false">VLOOKUP(D1444,'Team Reference'!$A:$B,2,FALSE())</f>
        <v>BAL</v>
      </c>
      <c r="N1444" s="1" t="str">
        <f aca="false">VLOOKUP(E1444,'Team Reference'!$A:$B,2,FALSE())</f>
        <v>LAC</v>
      </c>
      <c r="O1444" s="1" t="str">
        <f aca="false">IF(F1444&gt;G1444,M1444,IF(G1444&gt;F1444,N1444,"Tie"))</f>
        <v>BAL</v>
      </c>
      <c r="P1444" s="1" t="n">
        <f aca="false">F1444-G1444</f>
        <v>3</v>
      </c>
      <c r="Q1444" s="1" t="n">
        <f aca="false">F1444+G1444</f>
        <v>55</v>
      </c>
      <c r="R1444" s="1" t="str">
        <f aca="false">IF(H1444=M1444,"Home",IF(H1444=N1444,"Away",IF(H1444="PICK","Pick","N/A")))</f>
        <v>Home</v>
      </c>
      <c r="S1444" s="1" t="n">
        <f aca="false">IF(R1444="Home",P1444,IF(R1444="Away",-P1444,""))</f>
        <v>3</v>
      </c>
      <c r="T1444" s="1" t="str">
        <f aca="false">IF(R1444="Pick","No Line",IF(S1444="","N/A",IF(S1444+I1444&gt;0,"Favorite Covered",IF(S1444+I1444&lt;0,"Underdog Covered","Push"))))</f>
        <v>Underdog Covered</v>
      </c>
      <c r="U1444" s="1" t="str">
        <f aca="false">IF(Q1444&gt;J1444,"Over",IF(Q1444&lt;J1444,"Under","Push"))</f>
        <v>Over</v>
      </c>
    </row>
    <row r="1445" customFormat="false" ht="15" hidden="false" customHeight="false" outlineLevel="0" collapsed="false">
      <c r="A1445" s="1" t="s">
        <v>482</v>
      </c>
      <c r="B1445" s="1" t="n">
        <v>2015</v>
      </c>
      <c r="C1445" s="1" t="s">
        <v>194</v>
      </c>
      <c r="D1445" s="1" t="s">
        <v>63</v>
      </c>
      <c r="E1445" s="1" t="s">
        <v>91</v>
      </c>
      <c r="F1445" s="1" t="n">
        <v>20</v>
      </c>
      <c r="G1445" s="1" t="n">
        <v>23</v>
      </c>
      <c r="H1445" s="1" t="s">
        <v>92</v>
      </c>
      <c r="I1445" s="1" t="n">
        <v>-1.5</v>
      </c>
      <c r="J1445" s="1" t="n">
        <v>44</v>
      </c>
      <c r="K1445" s="1" t="s">
        <v>145</v>
      </c>
      <c r="L1445" s="1" t="b">
        <f aca="false">FALSE()</f>
        <v>0</v>
      </c>
      <c r="M1445" s="1" t="str">
        <f aca="false">VLOOKUP(D1445,'Team Reference'!$A:$B,2,FALSE())</f>
        <v>CHI</v>
      </c>
      <c r="N1445" s="1" t="str">
        <f aca="false">VLOOKUP(E1445,'Team Reference'!$A:$B,2,FALSE())</f>
        <v>MIN</v>
      </c>
      <c r="O1445" s="1" t="str">
        <f aca="false">IF(F1445&gt;G1445,M1445,IF(G1445&gt;F1445,N1445,"Tie"))</f>
        <v>MIN</v>
      </c>
      <c r="P1445" s="1" t="n">
        <f aca="false">F1445-G1445</f>
        <v>-3</v>
      </c>
      <c r="Q1445" s="1" t="n">
        <f aca="false">F1445+G1445</f>
        <v>43</v>
      </c>
      <c r="R1445" s="1" t="str">
        <f aca="false">IF(H1445=M1445,"Home",IF(H1445=N1445,"Away",IF(H1445="PICK","Pick","N/A")))</f>
        <v>Away</v>
      </c>
      <c r="S1445" s="1" t="n">
        <f aca="false">IF(R1445="Home",P1445,IF(R1445="Away",-P1445,""))</f>
        <v>3</v>
      </c>
      <c r="T1445" s="1" t="str">
        <f aca="false">IF(R1445="Pick","No Line",IF(S1445="","N/A",IF(S1445+I1445&gt;0,"Favorite Covered",IF(S1445+I1445&lt;0,"Underdog Covered","Push"))))</f>
        <v>Favorite Covered</v>
      </c>
      <c r="U1445" s="1" t="str">
        <f aca="false">IF(Q1445&gt;J1445,"Over",IF(Q1445&lt;J1445,"Under","Push"))</f>
        <v>Under</v>
      </c>
    </row>
    <row r="1446" customFormat="false" ht="15" hidden="false" customHeight="false" outlineLevel="0" collapsed="false">
      <c r="A1446" s="1" t="s">
        <v>482</v>
      </c>
      <c r="B1446" s="1" t="n">
        <v>2015</v>
      </c>
      <c r="C1446" s="1" t="s">
        <v>194</v>
      </c>
      <c r="D1446" s="1" t="s">
        <v>67</v>
      </c>
      <c r="E1446" s="1" t="s">
        <v>53</v>
      </c>
      <c r="F1446" s="1" t="n">
        <v>20</v>
      </c>
      <c r="G1446" s="1" t="n">
        <v>34</v>
      </c>
      <c r="H1446" s="1" t="s">
        <v>54</v>
      </c>
      <c r="I1446" s="1" t="n">
        <v>-7</v>
      </c>
      <c r="J1446" s="1" t="n">
        <v>46</v>
      </c>
      <c r="K1446" s="1" t="s">
        <v>164</v>
      </c>
      <c r="L1446" s="1" t="b">
        <f aca="false">FALSE()</f>
        <v>0</v>
      </c>
      <c r="M1446" s="1" t="str">
        <f aca="false">VLOOKUP(D1446,'Team Reference'!$A:$B,2,FALSE())</f>
        <v>CLE</v>
      </c>
      <c r="N1446" s="1" t="str">
        <f aca="false">VLOOKUP(E1446,'Team Reference'!$A:$B,2,FALSE())</f>
        <v>ARI</v>
      </c>
      <c r="O1446" s="1" t="str">
        <f aca="false">IF(F1446&gt;G1446,M1446,IF(G1446&gt;F1446,N1446,"Tie"))</f>
        <v>ARI</v>
      </c>
      <c r="P1446" s="1" t="n">
        <f aca="false">F1446-G1446</f>
        <v>-14</v>
      </c>
      <c r="Q1446" s="1" t="n">
        <f aca="false">F1446+G1446</f>
        <v>54</v>
      </c>
      <c r="R1446" s="1" t="str">
        <f aca="false">IF(H1446=M1446,"Home",IF(H1446=N1446,"Away",IF(H1446="PICK","Pick","N/A")))</f>
        <v>Away</v>
      </c>
      <c r="S1446" s="1" t="n">
        <f aca="false">IF(R1446="Home",P1446,IF(R1446="Away",-P1446,""))</f>
        <v>14</v>
      </c>
      <c r="T1446" s="1" t="str">
        <f aca="false">IF(R1446="Pick","No Line",IF(S1446="","N/A",IF(S1446+I1446&gt;0,"Favorite Covered",IF(S1446+I1446&lt;0,"Underdog Covered","Push"))))</f>
        <v>Favorite Covered</v>
      </c>
      <c r="U1446" s="1" t="str">
        <f aca="false">IF(Q1446&gt;J1446,"Over",IF(Q1446&lt;J1446,"Under","Push"))</f>
        <v>Over</v>
      </c>
    </row>
    <row r="1447" customFormat="false" ht="15" hidden="false" customHeight="false" outlineLevel="0" collapsed="false">
      <c r="A1447" s="1" t="s">
        <v>482</v>
      </c>
      <c r="B1447" s="1" t="n">
        <v>2015</v>
      </c>
      <c r="C1447" s="1" t="s">
        <v>194</v>
      </c>
      <c r="D1447" s="1" t="s">
        <v>69</v>
      </c>
      <c r="E1447" s="1" t="s">
        <v>110</v>
      </c>
      <c r="F1447" s="1" t="n">
        <v>12</v>
      </c>
      <c r="G1447" s="1" t="n">
        <v>13</v>
      </c>
      <c r="H1447" s="1" t="s">
        <v>111</v>
      </c>
      <c r="I1447" s="1" t="n">
        <v>-5</v>
      </c>
      <c r="J1447" s="1" t="n">
        <v>41.5</v>
      </c>
      <c r="K1447" s="1" t="s">
        <v>165</v>
      </c>
      <c r="L1447" s="1" t="b">
        <f aca="false">FALSE()</f>
        <v>0</v>
      </c>
      <c r="M1447" s="1" t="str">
        <f aca="false">VLOOKUP(D1447,'Team Reference'!$A:$B,2,FALSE())</f>
        <v>DAL</v>
      </c>
      <c r="N1447" s="1" t="str">
        <f aca="false">VLOOKUP(E1447,'Team Reference'!$A:$B,2,FALSE())</f>
        <v>SEA</v>
      </c>
      <c r="O1447" s="1" t="str">
        <f aca="false">IF(F1447&gt;G1447,M1447,IF(G1447&gt;F1447,N1447,"Tie"))</f>
        <v>SEA</v>
      </c>
      <c r="P1447" s="1" t="n">
        <f aca="false">F1447-G1447</f>
        <v>-1</v>
      </c>
      <c r="Q1447" s="1" t="n">
        <f aca="false">F1447+G1447</f>
        <v>25</v>
      </c>
      <c r="R1447" s="1" t="str">
        <f aca="false">IF(H1447=M1447,"Home",IF(H1447=N1447,"Away",IF(H1447="PICK","Pick","N/A")))</f>
        <v>Away</v>
      </c>
      <c r="S1447" s="1" t="n">
        <f aca="false">IF(R1447="Home",P1447,IF(R1447="Away",-P1447,""))</f>
        <v>1</v>
      </c>
      <c r="T1447" s="1" t="str">
        <f aca="false">IF(R1447="Pick","No Line",IF(S1447="","N/A",IF(S1447+I1447&gt;0,"Favorite Covered",IF(S1447+I1447&lt;0,"Underdog Covered","Push"))))</f>
        <v>Underdog Covered</v>
      </c>
      <c r="U1447" s="1" t="str">
        <f aca="false">IF(Q1447&gt;J1447,"Over",IF(Q1447&lt;J1447,"Under","Push"))</f>
        <v>Under</v>
      </c>
    </row>
    <row r="1448" customFormat="false" ht="15" hidden="false" customHeight="false" outlineLevel="0" collapsed="false">
      <c r="A1448" s="1" t="s">
        <v>482</v>
      </c>
      <c r="B1448" s="1" t="n">
        <v>2015</v>
      </c>
      <c r="C1448" s="1" t="s">
        <v>194</v>
      </c>
      <c r="D1448" s="1" t="s">
        <v>71</v>
      </c>
      <c r="E1448" s="1" t="s">
        <v>75</v>
      </c>
      <c r="F1448" s="1" t="n">
        <v>29</v>
      </c>
      <c r="G1448" s="1" t="n">
        <v>10</v>
      </c>
      <c r="H1448" s="1" t="s">
        <v>76</v>
      </c>
      <c r="I1448" s="1" t="n">
        <v>-2.5</v>
      </c>
      <c r="J1448" s="1" t="n">
        <v>45.5</v>
      </c>
      <c r="K1448" s="1" t="s">
        <v>166</v>
      </c>
      <c r="L1448" s="1" t="b">
        <f aca="false">FALSE()</f>
        <v>0</v>
      </c>
      <c r="M1448" s="1" t="str">
        <f aca="false">VLOOKUP(D1448,'Team Reference'!$A:$B,2,FALSE())</f>
        <v>DEN</v>
      </c>
      <c r="N1448" s="1" t="str">
        <f aca="false">VLOOKUP(E1448,'Team Reference'!$A:$B,2,FALSE())</f>
        <v>GB</v>
      </c>
      <c r="O1448" s="1" t="str">
        <f aca="false">IF(F1448&gt;G1448,M1448,IF(G1448&gt;F1448,N1448,"Tie"))</f>
        <v>DEN</v>
      </c>
      <c r="P1448" s="1" t="n">
        <f aca="false">F1448-G1448</f>
        <v>19</v>
      </c>
      <c r="Q1448" s="1" t="n">
        <f aca="false">F1448+G1448</f>
        <v>39</v>
      </c>
      <c r="R1448" s="1" t="str">
        <f aca="false">IF(H1448=M1448,"Home",IF(H1448=N1448,"Away",IF(H1448="PICK","Pick","N/A")))</f>
        <v>Away</v>
      </c>
      <c r="S1448" s="1" t="n">
        <f aca="false">IF(R1448="Home",P1448,IF(R1448="Away",-P1448,""))</f>
        <v>-19</v>
      </c>
      <c r="T1448" s="1" t="str">
        <f aca="false">IF(R1448="Pick","No Line",IF(S1448="","N/A",IF(S1448+I1448&gt;0,"Favorite Covered",IF(S1448+I1448&lt;0,"Underdog Covered","Push"))))</f>
        <v>Underdog Covered</v>
      </c>
      <c r="U1448" s="1" t="str">
        <f aca="false">IF(Q1448&gt;J1448,"Over",IF(Q1448&lt;J1448,"Under","Push"))</f>
        <v>Under</v>
      </c>
    </row>
    <row r="1449" customFormat="false" ht="15" hidden="false" customHeight="false" outlineLevel="0" collapsed="false">
      <c r="A1449" s="1" t="s">
        <v>482</v>
      </c>
      <c r="B1449" s="1" t="n">
        <v>2015</v>
      </c>
      <c r="C1449" s="1" t="s">
        <v>194</v>
      </c>
      <c r="D1449" s="1" t="s">
        <v>77</v>
      </c>
      <c r="E1449" s="1" t="s">
        <v>115</v>
      </c>
      <c r="F1449" s="1" t="n">
        <v>20</v>
      </c>
      <c r="G1449" s="1" t="n">
        <v>6</v>
      </c>
      <c r="H1449" s="1" t="s">
        <v>78</v>
      </c>
      <c r="I1449" s="1" t="n">
        <v>-3.5</v>
      </c>
      <c r="J1449" s="1" t="n">
        <v>43</v>
      </c>
      <c r="K1449" s="1" t="s">
        <v>146</v>
      </c>
      <c r="L1449" s="1" t="b">
        <f aca="false">FALSE()</f>
        <v>0</v>
      </c>
      <c r="M1449" s="1" t="str">
        <f aca="false">VLOOKUP(D1449,'Team Reference'!$A:$B,2,FALSE())</f>
        <v>HOU</v>
      </c>
      <c r="N1449" s="1" t="str">
        <f aca="false">VLOOKUP(E1449,'Team Reference'!$A:$B,2,FALSE())</f>
        <v>TEN</v>
      </c>
      <c r="O1449" s="1" t="str">
        <f aca="false">IF(F1449&gt;G1449,M1449,IF(G1449&gt;F1449,N1449,"Tie"))</f>
        <v>HOU</v>
      </c>
      <c r="P1449" s="1" t="n">
        <f aca="false">F1449-G1449</f>
        <v>14</v>
      </c>
      <c r="Q1449" s="1" t="n">
        <f aca="false">F1449+G1449</f>
        <v>26</v>
      </c>
      <c r="R1449" s="1" t="str">
        <f aca="false">IF(H1449=M1449,"Home",IF(H1449=N1449,"Away",IF(H1449="PICK","Pick","N/A")))</f>
        <v>Home</v>
      </c>
      <c r="S1449" s="1" t="n">
        <f aca="false">IF(R1449="Home",P1449,IF(R1449="Away",-P1449,""))</f>
        <v>14</v>
      </c>
      <c r="T1449" s="1" t="str">
        <f aca="false">IF(R1449="Pick","No Line",IF(S1449="","N/A",IF(S1449+I1449&gt;0,"Favorite Covered",IF(S1449+I1449&lt;0,"Underdog Covered","Push"))))</f>
        <v>Favorite Covered</v>
      </c>
      <c r="U1449" s="1" t="str">
        <f aca="false">IF(Q1449&gt;J1449,"Over",IF(Q1449&lt;J1449,"Under","Push"))</f>
        <v>Under</v>
      </c>
    </row>
    <row r="1450" customFormat="false" ht="15" hidden="false" customHeight="false" outlineLevel="0" collapsed="false">
      <c r="A1450" s="1" t="s">
        <v>482</v>
      </c>
      <c r="B1450" s="1" t="n">
        <v>2015</v>
      </c>
      <c r="C1450" s="1" t="s">
        <v>194</v>
      </c>
      <c r="D1450" s="1" t="s">
        <v>83</v>
      </c>
      <c r="E1450" s="1" t="s">
        <v>73</v>
      </c>
      <c r="F1450" s="1" t="n">
        <v>45</v>
      </c>
      <c r="G1450" s="1" t="n">
        <v>10</v>
      </c>
      <c r="H1450" s="1" t="s">
        <v>74</v>
      </c>
      <c r="I1450" s="1" t="n">
        <v>-3</v>
      </c>
      <c r="J1450" s="1" t="n">
        <v>45</v>
      </c>
      <c r="K1450" s="1" t="s">
        <v>195</v>
      </c>
      <c r="L1450" s="1" t="b">
        <f aca="false">FALSE()</f>
        <v>0</v>
      </c>
      <c r="M1450" s="1" t="str">
        <f aca="false">VLOOKUP(D1450,'Team Reference'!$A:$B,2,FALSE())</f>
        <v>KC</v>
      </c>
      <c r="N1450" s="1" t="str">
        <f aca="false">VLOOKUP(E1450,'Team Reference'!$A:$B,2,FALSE())</f>
        <v>DET</v>
      </c>
      <c r="O1450" s="1" t="str">
        <f aca="false">IF(F1450&gt;G1450,M1450,IF(G1450&gt;F1450,N1450,"Tie"))</f>
        <v>KC</v>
      </c>
      <c r="P1450" s="1" t="n">
        <f aca="false">F1450-G1450</f>
        <v>35</v>
      </c>
      <c r="Q1450" s="1" t="n">
        <f aca="false">F1450+G1450</f>
        <v>55</v>
      </c>
      <c r="R1450" s="1" t="str">
        <f aca="false">IF(H1450=M1450,"Home",IF(H1450=N1450,"Away",IF(H1450="PICK","Pick","N/A")))</f>
        <v>Away</v>
      </c>
      <c r="S1450" s="1" t="n">
        <f aca="false">IF(R1450="Home",P1450,IF(R1450="Away",-P1450,""))</f>
        <v>-35</v>
      </c>
      <c r="T1450" s="1" t="str">
        <f aca="false">IF(R1450="Pick","No Line",IF(S1450="","N/A",IF(S1450+I1450&gt;0,"Favorite Covered",IF(S1450+I1450&lt;0,"Underdog Covered","Push"))))</f>
        <v>Underdog Covered</v>
      </c>
      <c r="U1450" s="1" t="str">
        <f aca="false">IF(Q1450&gt;J1450,"Over",IF(Q1450&lt;J1450,"Under","Push"))</f>
        <v>Over</v>
      </c>
    </row>
    <row r="1451" customFormat="false" ht="15" hidden="false" customHeight="false" outlineLevel="0" collapsed="false">
      <c r="A1451" s="1" t="s">
        <v>482</v>
      </c>
      <c r="B1451" s="1" t="n">
        <v>2015</v>
      </c>
      <c r="C1451" s="1" t="s">
        <v>194</v>
      </c>
      <c r="D1451" s="1" t="s">
        <v>95</v>
      </c>
      <c r="E1451" s="1" t="s">
        <v>97</v>
      </c>
      <c r="F1451" s="1" t="n">
        <v>52</v>
      </c>
      <c r="G1451" s="1" t="n">
        <v>49</v>
      </c>
      <c r="H1451" s="1" t="s">
        <v>96</v>
      </c>
      <c r="I1451" s="1" t="n">
        <v>-3</v>
      </c>
      <c r="J1451" s="1" t="n">
        <v>52</v>
      </c>
      <c r="K1451" s="1" t="s">
        <v>142</v>
      </c>
      <c r="L1451" s="1" t="b">
        <f aca="false">FALSE()</f>
        <v>0</v>
      </c>
      <c r="M1451" s="1" t="str">
        <f aca="false">VLOOKUP(D1451,'Team Reference'!$A:$B,2,FALSE())</f>
        <v>NO</v>
      </c>
      <c r="N1451" s="1" t="str">
        <f aca="false">VLOOKUP(E1451,'Team Reference'!$A:$B,2,FALSE())</f>
        <v>NYG</v>
      </c>
      <c r="O1451" s="1" t="str">
        <f aca="false">IF(F1451&gt;G1451,M1451,IF(G1451&gt;F1451,N1451,"Tie"))</f>
        <v>NO</v>
      </c>
      <c r="P1451" s="1" t="n">
        <f aca="false">F1451-G1451</f>
        <v>3</v>
      </c>
      <c r="Q1451" s="1" t="n">
        <f aca="false">F1451+G1451</f>
        <v>101</v>
      </c>
      <c r="R1451" s="1" t="str">
        <f aca="false">IF(H1451=M1451,"Home",IF(H1451=N1451,"Away",IF(H1451="PICK","Pick","N/A")))</f>
        <v>Home</v>
      </c>
      <c r="S1451" s="1" t="n">
        <f aca="false">IF(R1451="Home",P1451,IF(R1451="Away",-P1451,""))</f>
        <v>3</v>
      </c>
      <c r="T1451" s="1" t="str">
        <f aca="false">IF(R1451="Pick","No Line",IF(S1451="","N/A",IF(S1451+I1451&gt;0,"Favorite Covered",IF(S1451+I1451&lt;0,"Underdog Covered","Push"))))</f>
        <v>Push</v>
      </c>
      <c r="U1451" s="1" t="str">
        <f aca="false">IF(Q1451&gt;J1451,"Over",IF(Q1451&lt;J1451,"Under","Push"))</f>
        <v>Over</v>
      </c>
    </row>
    <row r="1452" customFormat="false" ht="15" hidden="false" customHeight="false" outlineLevel="0" collapsed="false">
      <c r="A1452" s="1" t="s">
        <v>482</v>
      </c>
      <c r="B1452" s="1" t="n">
        <v>2015</v>
      </c>
      <c r="C1452" s="1" t="s">
        <v>194</v>
      </c>
      <c r="D1452" s="1" t="s">
        <v>101</v>
      </c>
      <c r="E1452" s="1" t="s">
        <v>99</v>
      </c>
      <c r="F1452" s="1" t="n">
        <v>34</v>
      </c>
      <c r="G1452" s="1" t="n">
        <v>20</v>
      </c>
      <c r="H1452" s="1" t="s">
        <v>100</v>
      </c>
      <c r="I1452" s="1" t="n">
        <v>-3</v>
      </c>
      <c r="J1452" s="1" t="n">
        <v>44</v>
      </c>
      <c r="K1452" s="1" t="s">
        <v>171</v>
      </c>
      <c r="L1452" s="1" t="b">
        <f aca="false">FALSE()</f>
        <v>0</v>
      </c>
      <c r="M1452" s="1" t="str">
        <f aca="false">VLOOKUP(D1452,'Team Reference'!$A:$B,2,FALSE())</f>
        <v>OAK</v>
      </c>
      <c r="N1452" s="1" t="str">
        <f aca="false">VLOOKUP(E1452,'Team Reference'!$A:$B,2,FALSE())</f>
        <v>NYJ</v>
      </c>
      <c r="O1452" s="1" t="str">
        <f aca="false">IF(F1452&gt;G1452,M1452,IF(G1452&gt;F1452,N1452,"Tie"))</f>
        <v>OAK</v>
      </c>
      <c r="P1452" s="1" t="n">
        <f aca="false">F1452-G1452</f>
        <v>14</v>
      </c>
      <c r="Q1452" s="1" t="n">
        <f aca="false">F1452+G1452</f>
        <v>54</v>
      </c>
      <c r="R1452" s="1" t="str">
        <f aca="false">IF(H1452=M1452,"Home",IF(H1452=N1452,"Away",IF(H1452="PICK","Pick","N/A")))</f>
        <v>Away</v>
      </c>
      <c r="S1452" s="1" t="n">
        <f aca="false">IF(R1452="Home",P1452,IF(R1452="Away",-P1452,""))</f>
        <v>-14</v>
      </c>
      <c r="T1452" s="1" t="str">
        <f aca="false">IF(R1452="Pick","No Line",IF(S1452="","N/A",IF(S1452+I1452&gt;0,"Favorite Covered",IF(S1452+I1452&lt;0,"Underdog Covered","Push"))))</f>
        <v>Underdog Covered</v>
      </c>
      <c r="U1452" s="1" t="str">
        <f aca="false">IF(Q1452&gt;J1452,"Over",IF(Q1452&lt;J1452,"Under","Push"))</f>
        <v>Over</v>
      </c>
    </row>
    <row r="1453" customFormat="false" ht="15" hidden="false" customHeight="false" outlineLevel="0" collapsed="false">
      <c r="A1453" s="1" t="s">
        <v>482</v>
      </c>
      <c r="B1453" s="1" t="n">
        <v>2015</v>
      </c>
      <c r="C1453" s="1" t="s">
        <v>194</v>
      </c>
      <c r="D1453" s="1" t="s">
        <v>105</v>
      </c>
      <c r="E1453" s="1" t="s">
        <v>65</v>
      </c>
      <c r="F1453" s="1" t="n">
        <v>10</v>
      </c>
      <c r="G1453" s="1" t="n">
        <v>16</v>
      </c>
      <c r="H1453" s="1" t="s">
        <v>200</v>
      </c>
      <c r="I1453" s="1" t="n">
        <v>0</v>
      </c>
      <c r="J1453" s="1" t="n">
        <v>49.5</v>
      </c>
      <c r="K1453" s="1" t="s">
        <v>151</v>
      </c>
      <c r="L1453" s="1" t="b">
        <f aca="false">FALSE()</f>
        <v>0</v>
      </c>
      <c r="M1453" s="1" t="str">
        <f aca="false">VLOOKUP(D1453,'Team Reference'!$A:$B,2,FALSE())</f>
        <v>PIT</v>
      </c>
      <c r="N1453" s="1" t="str">
        <f aca="false">VLOOKUP(E1453,'Team Reference'!$A:$B,2,FALSE())</f>
        <v>CIN</v>
      </c>
      <c r="O1453" s="1" t="str">
        <f aca="false">IF(F1453&gt;G1453,M1453,IF(G1453&gt;F1453,N1453,"Tie"))</f>
        <v>CIN</v>
      </c>
      <c r="P1453" s="1" t="n">
        <f aca="false">F1453-G1453</f>
        <v>-6</v>
      </c>
      <c r="Q1453" s="1" t="n">
        <f aca="false">F1453+G1453</f>
        <v>26</v>
      </c>
      <c r="R1453" s="1" t="str">
        <f aca="false">IF(H1453=M1453,"Home",IF(H1453=N1453,"Away",IF(H1453="PICK","Pick","N/A")))</f>
        <v>Pick</v>
      </c>
      <c r="S1453" s="1" t="str">
        <f aca="false">IF(R1453="Home",P1453,IF(R1453="Away",-P1453,""))</f>
        <v/>
      </c>
      <c r="T1453" s="1" t="str">
        <f aca="false">IF(R1453="Pick","No Line",IF(S1453="","N/A",IF(S1453+I1453&gt;0,"Favorite Covered",IF(S1453+I1453&lt;0,"Underdog Covered","Push"))))</f>
        <v>No Line</v>
      </c>
      <c r="U1453" s="1" t="str">
        <f aca="false">IF(Q1453&gt;J1453,"Over",IF(Q1453&lt;J1453,"Under","Push"))</f>
        <v>Under</v>
      </c>
    </row>
    <row r="1454" customFormat="false" ht="15" hidden="false" customHeight="false" outlineLevel="0" collapsed="false">
      <c r="A1454" s="1" t="s">
        <v>482</v>
      </c>
      <c r="B1454" s="1" t="n">
        <v>2015</v>
      </c>
      <c r="C1454" s="1" t="s">
        <v>194</v>
      </c>
      <c r="D1454" s="1" t="s">
        <v>112</v>
      </c>
      <c r="E1454" s="1" t="s">
        <v>108</v>
      </c>
      <c r="F1454" s="1" t="n">
        <v>27</v>
      </c>
      <c r="G1454" s="1" t="n">
        <v>6</v>
      </c>
      <c r="H1454" s="1" t="s">
        <v>88</v>
      </c>
      <c r="I1454" s="1" t="n">
        <v>-8</v>
      </c>
      <c r="J1454" s="1" t="n">
        <v>41</v>
      </c>
      <c r="K1454" s="1" t="s">
        <v>153</v>
      </c>
      <c r="L1454" s="1" t="b">
        <f aca="false">FALSE()</f>
        <v>0</v>
      </c>
      <c r="M1454" s="1" t="str">
        <f aca="false">VLOOKUP(D1454,'Team Reference'!$A:$B,2,FALSE())</f>
        <v>LAR</v>
      </c>
      <c r="N1454" s="1" t="str">
        <f aca="false">VLOOKUP(E1454,'Team Reference'!$A:$B,2,FALSE())</f>
        <v>SF</v>
      </c>
      <c r="O1454" s="1" t="str">
        <f aca="false">IF(F1454&gt;G1454,M1454,IF(G1454&gt;F1454,N1454,"Tie"))</f>
        <v>LAR</v>
      </c>
      <c r="P1454" s="1" t="n">
        <f aca="false">F1454-G1454</f>
        <v>21</v>
      </c>
      <c r="Q1454" s="1" t="n">
        <f aca="false">F1454+G1454</f>
        <v>33</v>
      </c>
      <c r="R1454" s="1" t="str">
        <f aca="false">IF(H1454=M1454,"Home",IF(H1454=N1454,"Away",IF(H1454="PICK","Pick","N/A")))</f>
        <v>Home</v>
      </c>
      <c r="S1454" s="1" t="n">
        <f aca="false">IF(R1454="Home",P1454,IF(R1454="Away",-P1454,""))</f>
        <v>21</v>
      </c>
      <c r="T1454" s="1" t="str">
        <f aca="false">IF(R1454="Pick","No Line",IF(S1454="","N/A",IF(S1454+I1454&gt;0,"Favorite Covered",IF(S1454+I1454&lt;0,"Underdog Covered","Push"))))</f>
        <v>Favorite Covered</v>
      </c>
      <c r="U1454" s="1" t="str">
        <f aca="false">IF(Q1454&gt;J1454,"Over",IF(Q1454&lt;J1454,"Under","Push"))</f>
        <v>Under</v>
      </c>
    </row>
    <row r="1455" customFormat="false" ht="15" hidden="false" customHeight="false" outlineLevel="0" collapsed="false">
      <c r="A1455" s="1" t="s">
        <v>483</v>
      </c>
      <c r="B1455" s="1" t="n">
        <v>2015</v>
      </c>
      <c r="C1455" s="1" t="s">
        <v>194</v>
      </c>
      <c r="D1455" s="1" t="s">
        <v>61</v>
      </c>
      <c r="E1455" s="1" t="s">
        <v>79</v>
      </c>
      <c r="F1455" s="1" t="n">
        <v>29</v>
      </c>
      <c r="G1455" s="1" t="n">
        <v>26</v>
      </c>
      <c r="H1455" s="1" t="s">
        <v>62</v>
      </c>
      <c r="I1455" s="1" t="n">
        <v>-5.5</v>
      </c>
      <c r="J1455" s="1" t="n">
        <v>45.5</v>
      </c>
      <c r="K1455" s="1" t="s">
        <v>162</v>
      </c>
      <c r="L1455" s="1" t="b">
        <f aca="false">FALSE()</f>
        <v>0</v>
      </c>
      <c r="M1455" s="1" t="str">
        <f aca="false">VLOOKUP(D1455,'Team Reference'!$A:$B,2,FALSE())</f>
        <v>CAR</v>
      </c>
      <c r="N1455" s="1" t="str">
        <f aca="false">VLOOKUP(E1455,'Team Reference'!$A:$B,2,FALSE())</f>
        <v>IND</v>
      </c>
      <c r="O1455" s="1" t="str">
        <f aca="false">IF(F1455&gt;G1455,M1455,IF(G1455&gt;F1455,N1455,"Tie"))</f>
        <v>CAR</v>
      </c>
      <c r="P1455" s="1" t="n">
        <f aca="false">F1455-G1455</f>
        <v>3</v>
      </c>
      <c r="Q1455" s="1" t="n">
        <f aca="false">F1455+G1455</f>
        <v>55</v>
      </c>
      <c r="R1455" s="1" t="str">
        <f aca="false">IF(H1455=M1455,"Home",IF(H1455=N1455,"Away",IF(H1455="PICK","Pick","N/A")))</f>
        <v>Home</v>
      </c>
      <c r="S1455" s="1" t="n">
        <f aca="false">IF(R1455="Home",P1455,IF(R1455="Away",-P1455,""))</f>
        <v>3</v>
      </c>
      <c r="T1455" s="1" t="str">
        <f aca="false">IF(R1455="Pick","No Line",IF(S1455="","N/A",IF(S1455+I1455&gt;0,"Favorite Covered",IF(S1455+I1455&lt;0,"Underdog Covered","Push"))))</f>
        <v>Underdog Covered</v>
      </c>
      <c r="U1455" s="1" t="str">
        <f aca="false">IF(Q1455&gt;J1455,"Over",IF(Q1455&lt;J1455,"Under","Push"))</f>
        <v>Over</v>
      </c>
    </row>
    <row r="1456" customFormat="false" ht="15" hidden="false" customHeight="false" outlineLevel="0" collapsed="false">
      <c r="A1456" s="1" t="s">
        <v>484</v>
      </c>
      <c r="B1456" s="1" t="n">
        <v>2015</v>
      </c>
      <c r="C1456" s="1" t="s">
        <v>198</v>
      </c>
      <c r="D1456" s="1" t="s">
        <v>65</v>
      </c>
      <c r="E1456" s="1" t="s">
        <v>67</v>
      </c>
      <c r="F1456" s="1" t="n">
        <v>31</v>
      </c>
      <c r="G1456" s="1" t="n">
        <v>10</v>
      </c>
      <c r="H1456" s="1" t="s">
        <v>66</v>
      </c>
      <c r="I1456" s="1" t="n">
        <v>-13</v>
      </c>
      <c r="J1456" s="1" t="n">
        <v>46</v>
      </c>
      <c r="K1456" s="1" t="s">
        <v>163</v>
      </c>
      <c r="L1456" s="1" t="b">
        <f aca="false">FALSE()</f>
        <v>0</v>
      </c>
      <c r="M1456" s="1" t="str">
        <f aca="false">VLOOKUP(D1456,'Team Reference'!$A:$B,2,FALSE())</f>
        <v>CIN</v>
      </c>
      <c r="N1456" s="1" t="str">
        <f aca="false">VLOOKUP(E1456,'Team Reference'!$A:$B,2,FALSE())</f>
        <v>CLE</v>
      </c>
      <c r="O1456" s="1" t="str">
        <f aca="false">IF(F1456&gt;G1456,M1456,IF(G1456&gt;F1456,N1456,"Tie"))</f>
        <v>CIN</v>
      </c>
      <c r="P1456" s="1" t="n">
        <f aca="false">F1456-G1456</f>
        <v>21</v>
      </c>
      <c r="Q1456" s="1" t="n">
        <f aca="false">F1456+G1456</f>
        <v>41</v>
      </c>
      <c r="R1456" s="1" t="str">
        <f aca="false">IF(H1456=M1456,"Home",IF(H1456=N1456,"Away",IF(H1456="PICK","Pick","N/A")))</f>
        <v>Home</v>
      </c>
      <c r="S1456" s="1" t="n">
        <f aca="false">IF(R1456="Home",P1456,IF(R1456="Away",-P1456,""))</f>
        <v>21</v>
      </c>
      <c r="T1456" s="1" t="str">
        <f aca="false">IF(R1456="Pick","No Line",IF(S1456="","N/A",IF(S1456+I1456&gt;0,"Favorite Covered",IF(S1456+I1456&lt;0,"Underdog Covered","Push"))))</f>
        <v>Favorite Covered</v>
      </c>
      <c r="U1456" s="1" t="str">
        <f aca="false">IF(Q1456&gt;J1456,"Over",IF(Q1456&lt;J1456,"Under","Push"))</f>
        <v>Under</v>
      </c>
    </row>
    <row r="1457" customFormat="false" ht="15" hidden="false" customHeight="false" outlineLevel="0" collapsed="false">
      <c r="A1457" s="1" t="s">
        <v>485</v>
      </c>
      <c r="B1457" s="1" t="n">
        <v>2015</v>
      </c>
      <c r="C1457" s="1" t="s">
        <v>198</v>
      </c>
      <c r="D1457" s="1" t="s">
        <v>59</v>
      </c>
      <c r="E1457" s="1" t="s">
        <v>89</v>
      </c>
      <c r="F1457" s="1" t="n">
        <v>33</v>
      </c>
      <c r="G1457" s="1" t="n">
        <v>17</v>
      </c>
      <c r="H1457" s="1" t="s">
        <v>60</v>
      </c>
      <c r="I1457" s="1" t="n">
        <v>-4</v>
      </c>
      <c r="J1457" s="1" t="n">
        <v>44</v>
      </c>
      <c r="K1457" s="1" t="s">
        <v>144</v>
      </c>
      <c r="L1457" s="1" t="b">
        <f aca="false">FALSE()</f>
        <v>0</v>
      </c>
      <c r="M1457" s="1" t="str">
        <f aca="false">VLOOKUP(D1457,'Team Reference'!$A:$B,2,FALSE())</f>
        <v>BUF</v>
      </c>
      <c r="N1457" s="1" t="str">
        <f aca="false">VLOOKUP(E1457,'Team Reference'!$A:$B,2,FALSE())</f>
        <v>MIA</v>
      </c>
      <c r="O1457" s="1" t="str">
        <f aca="false">IF(F1457&gt;G1457,M1457,IF(G1457&gt;F1457,N1457,"Tie"))</f>
        <v>BUF</v>
      </c>
      <c r="P1457" s="1" t="n">
        <f aca="false">F1457-G1457</f>
        <v>16</v>
      </c>
      <c r="Q1457" s="1" t="n">
        <f aca="false">F1457+G1457</f>
        <v>50</v>
      </c>
      <c r="R1457" s="1" t="str">
        <f aca="false">IF(H1457=M1457,"Home",IF(H1457=N1457,"Away",IF(H1457="PICK","Pick","N/A")))</f>
        <v>Home</v>
      </c>
      <c r="S1457" s="1" t="n">
        <f aca="false">IF(R1457="Home",P1457,IF(R1457="Away",-P1457,""))</f>
        <v>16</v>
      </c>
      <c r="T1457" s="1" t="str">
        <f aca="false">IF(R1457="Pick","No Line",IF(S1457="","N/A",IF(S1457+I1457&gt;0,"Favorite Covered",IF(S1457+I1457&lt;0,"Underdog Covered","Push"))))</f>
        <v>Favorite Covered</v>
      </c>
      <c r="U1457" s="1" t="str">
        <f aca="false">IF(Q1457&gt;J1457,"Over",IF(Q1457&lt;J1457,"Under","Push"))</f>
        <v>Over</v>
      </c>
    </row>
    <row r="1458" customFormat="false" ht="15" hidden="false" customHeight="false" outlineLevel="0" collapsed="false">
      <c r="A1458" s="1" t="s">
        <v>485</v>
      </c>
      <c r="B1458" s="1" t="n">
        <v>2015</v>
      </c>
      <c r="C1458" s="1" t="s">
        <v>198</v>
      </c>
      <c r="D1458" s="1" t="s">
        <v>61</v>
      </c>
      <c r="E1458" s="1" t="s">
        <v>75</v>
      </c>
      <c r="F1458" s="1" t="n">
        <v>37</v>
      </c>
      <c r="G1458" s="1" t="n">
        <v>29</v>
      </c>
      <c r="H1458" s="1" t="s">
        <v>76</v>
      </c>
      <c r="I1458" s="1" t="n">
        <v>-2.5</v>
      </c>
      <c r="J1458" s="1" t="n">
        <v>46</v>
      </c>
      <c r="K1458" s="1" t="s">
        <v>162</v>
      </c>
      <c r="L1458" s="1" t="b">
        <f aca="false">FALSE()</f>
        <v>0</v>
      </c>
      <c r="M1458" s="1" t="str">
        <f aca="false">VLOOKUP(D1458,'Team Reference'!$A:$B,2,FALSE())</f>
        <v>CAR</v>
      </c>
      <c r="N1458" s="1" t="str">
        <f aca="false">VLOOKUP(E1458,'Team Reference'!$A:$B,2,FALSE())</f>
        <v>GB</v>
      </c>
      <c r="O1458" s="1" t="str">
        <f aca="false">IF(F1458&gt;G1458,M1458,IF(G1458&gt;F1458,N1458,"Tie"))</f>
        <v>CAR</v>
      </c>
      <c r="P1458" s="1" t="n">
        <f aca="false">F1458-G1458</f>
        <v>8</v>
      </c>
      <c r="Q1458" s="1" t="n">
        <f aca="false">F1458+G1458</f>
        <v>66</v>
      </c>
      <c r="R1458" s="1" t="str">
        <f aca="false">IF(H1458=M1458,"Home",IF(H1458=N1458,"Away",IF(H1458="PICK","Pick","N/A")))</f>
        <v>Away</v>
      </c>
      <c r="S1458" s="1" t="n">
        <f aca="false">IF(R1458="Home",P1458,IF(R1458="Away",-P1458,""))</f>
        <v>-8</v>
      </c>
      <c r="T1458" s="1" t="str">
        <f aca="false">IF(R1458="Pick","No Line",IF(S1458="","N/A",IF(S1458+I1458&gt;0,"Favorite Covered",IF(S1458+I1458&lt;0,"Underdog Covered","Push"))))</f>
        <v>Underdog Covered</v>
      </c>
      <c r="U1458" s="1" t="str">
        <f aca="false">IF(Q1458&gt;J1458,"Over",IF(Q1458&lt;J1458,"Under","Push"))</f>
        <v>Over</v>
      </c>
    </row>
    <row r="1459" customFormat="false" ht="15" hidden="false" customHeight="false" outlineLevel="0" collapsed="false">
      <c r="A1459" s="1" t="s">
        <v>485</v>
      </c>
      <c r="B1459" s="1" t="n">
        <v>2015</v>
      </c>
      <c r="C1459" s="1" t="s">
        <v>198</v>
      </c>
      <c r="D1459" s="1" t="s">
        <v>69</v>
      </c>
      <c r="E1459" s="1" t="s">
        <v>103</v>
      </c>
      <c r="F1459" s="1" t="n">
        <v>27</v>
      </c>
      <c r="G1459" s="1" t="n">
        <v>33</v>
      </c>
      <c r="H1459" s="1" t="s">
        <v>104</v>
      </c>
      <c r="I1459" s="1" t="n">
        <v>-3</v>
      </c>
      <c r="J1459" s="1" t="n">
        <v>44</v>
      </c>
      <c r="K1459" s="1" t="s">
        <v>165</v>
      </c>
      <c r="L1459" s="1" t="b">
        <f aca="false">FALSE()</f>
        <v>0</v>
      </c>
      <c r="M1459" s="1" t="str">
        <f aca="false">VLOOKUP(D1459,'Team Reference'!$A:$B,2,FALSE())</f>
        <v>DAL</v>
      </c>
      <c r="N1459" s="1" t="str">
        <f aca="false">VLOOKUP(E1459,'Team Reference'!$A:$B,2,FALSE())</f>
        <v>PHI</v>
      </c>
      <c r="O1459" s="1" t="str">
        <f aca="false">IF(F1459&gt;G1459,M1459,IF(G1459&gt;F1459,N1459,"Tie"))</f>
        <v>PHI</v>
      </c>
      <c r="P1459" s="1" t="n">
        <f aca="false">F1459-G1459</f>
        <v>-6</v>
      </c>
      <c r="Q1459" s="1" t="n">
        <f aca="false">F1459+G1459</f>
        <v>60</v>
      </c>
      <c r="R1459" s="1" t="str">
        <f aca="false">IF(H1459=M1459,"Home",IF(H1459=N1459,"Away",IF(H1459="PICK","Pick","N/A")))</f>
        <v>Away</v>
      </c>
      <c r="S1459" s="1" t="n">
        <f aca="false">IF(R1459="Home",P1459,IF(R1459="Away",-P1459,""))</f>
        <v>6</v>
      </c>
      <c r="T1459" s="1" t="str">
        <f aca="false">IF(R1459="Pick","No Line",IF(S1459="","N/A",IF(S1459+I1459&gt;0,"Favorite Covered",IF(S1459+I1459&lt;0,"Underdog Covered","Push"))))</f>
        <v>Favorite Covered</v>
      </c>
      <c r="U1459" s="1" t="str">
        <f aca="false">IF(Q1459&gt;J1459,"Over",IF(Q1459&lt;J1459,"Under","Push"))</f>
        <v>Over</v>
      </c>
    </row>
    <row r="1460" customFormat="false" ht="15" hidden="false" customHeight="false" outlineLevel="0" collapsed="false">
      <c r="A1460" s="1" t="s">
        <v>485</v>
      </c>
      <c r="B1460" s="1" t="n">
        <v>2015</v>
      </c>
      <c r="C1460" s="1" t="s">
        <v>198</v>
      </c>
      <c r="D1460" s="1" t="s">
        <v>79</v>
      </c>
      <c r="E1460" s="1" t="s">
        <v>71</v>
      </c>
      <c r="F1460" s="1" t="n">
        <v>27</v>
      </c>
      <c r="G1460" s="1" t="n">
        <v>24</v>
      </c>
      <c r="H1460" s="1" t="s">
        <v>72</v>
      </c>
      <c r="I1460" s="1" t="n">
        <v>-3.5</v>
      </c>
      <c r="J1460" s="1" t="n">
        <v>45.5</v>
      </c>
      <c r="K1460" s="1" t="s">
        <v>169</v>
      </c>
      <c r="L1460" s="1" t="b">
        <f aca="false">FALSE()</f>
        <v>0</v>
      </c>
      <c r="M1460" s="1" t="str">
        <f aca="false">VLOOKUP(D1460,'Team Reference'!$A:$B,2,FALSE())</f>
        <v>IND</v>
      </c>
      <c r="N1460" s="1" t="str">
        <f aca="false">VLOOKUP(E1460,'Team Reference'!$A:$B,2,FALSE())</f>
        <v>DEN</v>
      </c>
      <c r="O1460" s="1" t="str">
        <f aca="false">IF(F1460&gt;G1460,M1460,IF(G1460&gt;F1460,N1460,"Tie"))</f>
        <v>IND</v>
      </c>
      <c r="P1460" s="1" t="n">
        <f aca="false">F1460-G1460</f>
        <v>3</v>
      </c>
      <c r="Q1460" s="1" t="n">
        <f aca="false">F1460+G1460</f>
        <v>51</v>
      </c>
      <c r="R1460" s="1" t="str">
        <f aca="false">IF(H1460=M1460,"Home",IF(H1460=N1460,"Away",IF(H1460="PICK","Pick","N/A")))</f>
        <v>Away</v>
      </c>
      <c r="S1460" s="1" t="n">
        <f aca="false">IF(R1460="Home",P1460,IF(R1460="Away",-P1460,""))</f>
        <v>-3</v>
      </c>
      <c r="T1460" s="1" t="str">
        <f aca="false">IF(R1460="Pick","No Line",IF(S1460="","N/A",IF(S1460+I1460&gt;0,"Favorite Covered",IF(S1460+I1460&lt;0,"Underdog Covered","Push"))))</f>
        <v>Underdog Covered</v>
      </c>
      <c r="U1460" s="1" t="str">
        <f aca="false">IF(Q1460&gt;J1460,"Over",IF(Q1460&lt;J1460,"Under","Push"))</f>
        <v>Over</v>
      </c>
    </row>
    <row r="1461" customFormat="false" ht="15" hidden="false" customHeight="false" outlineLevel="0" collapsed="false">
      <c r="A1461" s="1" t="s">
        <v>485</v>
      </c>
      <c r="B1461" s="1" t="n">
        <v>2015</v>
      </c>
      <c r="C1461" s="1" t="s">
        <v>198</v>
      </c>
      <c r="D1461" s="1" t="s">
        <v>91</v>
      </c>
      <c r="E1461" s="1" t="s">
        <v>112</v>
      </c>
      <c r="F1461" s="1" t="n">
        <v>21</v>
      </c>
      <c r="G1461" s="1" t="n">
        <v>18</v>
      </c>
      <c r="H1461" s="1" t="s">
        <v>92</v>
      </c>
      <c r="I1461" s="1" t="n">
        <v>-1</v>
      </c>
      <c r="J1461" s="1" t="n">
        <v>40</v>
      </c>
      <c r="K1461" s="1" t="s">
        <v>407</v>
      </c>
      <c r="L1461" s="1" t="b">
        <f aca="false">FALSE()</f>
        <v>0</v>
      </c>
      <c r="M1461" s="1" t="str">
        <f aca="false">VLOOKUP(D1461,'Team Reference'!$A:$B,2,FALSE())</f>
        <v>MIN</v>
      </c>
      <c r="N1461" s="1" t="str">
        <f aca="false">VLOOKUP(E1461,'Team Reference'!$A:$B,2,FALSE())</f>
        <v>LAR</v>
      </c>
      <c r="O1461" s="1" t="str">
        <f aca="false">IF(F1461&gt;G1461,M1461,IF(G1461&gt;F1461,N1461,"Tie"))</f>
        <v>MIN</v>
      </c>
      <c r="P1461" s="1" t="n">
        <f aca="false">F1461-G1461</f>
        <v>3</v>
      </c>
      <c r="Q1461" s="1" t="n">
        <f aca="false">F1461+G1461</f>
        <v>39</v>
      </c>
      <c r="R1461" s="1" t="str">
        <f aca="false">IF(H1461=M1461,"Home",IF(H1461=N1461,"Away",IF(H1461="PICK","Pick","N/A")))</f>
        <v>Home</v>
      </c>
      <c r="S1461" s="1" t="n">
        <f aca="false">IF(R1461="Home",P1461,IF(R1461="Away",-P1461,""))</f>
        <v>3</v>
      </c>
      <c r="T1461" s="1" t="str">
        <f aca="false">IF(R1461="Pick","No Line",IF(S1461="","N/A",IF(S1461+I1461&gt;0,"Favorite Covered",IF(S1461+I1461&lt;0,"Underdog Covered","Push"))))</f>
        <v>Favorite Covered</v>
      </c>
      <c r="U1461" s="1" t="str">
        <f aca="false">IF(Q1461&gt;J1461,"Over",IF(Q1461&lt;J1461,"Under","Push"))</f>
        <v>Under</v>
      </c>
    </row>
    <row r="1462" customFormat="false" ht="15" hidden="false" customHeight="false" outlineLevel="0" collapsed="false">
      <c r="A1462" s="1" t="s">
        <v>485</v>
      </c>
      <c r="B1462" s="1" t="n">
        <v>2015</v>
      </c>
      <c r="C1462" s="1" t="s">
        <v>198</v>
      </c>
      <c r="D1462" s="1" t="s">
        <v>93</v>
      </c>
      <c r="E1462" s="1" t="s">
        <v>117</v>
      </c>
      <c r="F1462" s="1" t="n">
        <v>27</v>
      </c>
      <c r="G1462" s="1" t="n">
        <v>10</v>
      </c>
      <c r="H1462" s="1" t="s">
        <v>94</v>
      </c>
      <c r="I1462" s="1" t="n">
        <v>-13.5</v>
      </c>
      <c r="J1462" s="1" t="n">
        <v>51.5</v>
      </c>
      <c r="K1462" s="1" t="s">
        <v>148</v>
      </c>
      <c r="L1462" s="1" t="b">
        <f aca="false">FALSE()</f>
        <v>0</v>
      </c>
      <c r="M1462" s="1" t="str">
        <f aca="false">VLOOKUP(D1462,'Team Reference'!$A:$B,2,FALSE())</f>
        <v>NE</v>
      </c>
      <c r="N1462" s="1" t="str">
        <f aca="false">VLOOKUP(E1462,'Team Reference'!$A:$B,2,FALSE())</f>
        <v>WAS</v>
      </c>
      <c r="O1462" s="1" t="str">
        <f aca="false">IF(F1462&gt;G1462,M1462,IF(G1462&gt;F1462,N1462,"Tie"))</f>
        <v>NE</v>
      </c>
      <c r="P1462" s="1" t="n">
        <f aca="false">F1462-G1462</f>
        <v>17</v>
      </c>
      <c r="Q1462" s="1" t="n">
        <f aca="false">F1462+G1462</f>
        <v>37</v>
      </c>
      <c r="R1462" s="1" t="str">
        <f aca="false">IF(H1462=M1462,"Home",IF(H1462=N1462,"Away",IF(H1462="PICK","Pick","N/A")))</f>
        <v>Home</v>
      </c>
      <c r="S1462" s="1" t="n">
        <f aca="false">IF(R1462="Home",P1462,IF(R1462="Away",-P1462,""))</f>
        <v>17</v>
      </c>
      <c r="T1462" s="1" t="str">
        <f aca="false">IF(R1462="Pick","No Line",IF(S1462="","N/A",IF(S1462+I1462&gt;0,"Favorite Covered",IF(S1462+I1462&lt;0,"Underdog Covered","Push"))))</f>
        <v>Favorite Covered</v>
      </c>
      <c r="U1462" s="1" t="str">
        <f aca="false">IF(Q1462&gt;J1462,"Over",IF(Q1462&lt;J1462,"Under","Push"))</f>
        <v>Under</v>
      </c>
    </row>
    <row r="1463" customFormat="false" ht="15" hidden="false" customHeight="false" outlineLevel="0" collapsed="false">
      <c r="A1463" s="1" t="s">
        <v>485</v>
      </c>
      <c r="B1463" s="1" t="n">
        <v>2015</v>
      </c>
      <c r="C1463" s="1" t="s">
        <v>198</v>
      </c>
      <c r="D1463" s="1" t="s">
        <v>95</v>
      </c>
      <c r="E1463" s="1" t="s">
        <v>115</v>
      </c>
      <c r="F1463" s="1" t="n">
        <v>28</v>
      </c>
      <c r="G1463" s="1" t="n">
        <v>34</v>
      </c>
      <c r="H1463" s="1" t="s">
        <v>96</v>
      </c>
      <c r="I1463" s="1" t="n">
        <v>-6.5</v>
      </c>
      <c r="J1463" s="1" t="n">
        <v>50</v>
      </c>
      <c r="K1463" s="1" t="s">
        <v>142</v>
      </c>
      <c r="L1463" s="1" t="b">
        <f aca="false">FALSE()</f>
        <v>0</v>
      </c>
      <c r="M1463" s="1" t="str">
        <f aca="false">VLOOKUP(D1463,'Team Reference'!$A:$B,2,FALSE())</f>
        <v>NO</v>
      </c>
      <c r="N1463" s="1" t="str">
        <f aca="false">VLOOKUP(E1463,'Team Reference'!$A:$B,2,FALSE())</f>
        <v>TEN</v>
      </c>
      <c r="O1463" s="1" t="str">
        <f aca="false">IF(F1463&gt;G1463,M1463,IF(G1463&gt;F1463,N1463,"Tie"))</f>
        <v>TEN</v>
      </c>
      <c r="P1463" s="1" t="n">
        <f aca="false">F1463-G1463</f>
        <v>-6</v>
      </c>
      <c r="Q1463" s="1" t="n">
        <f aca="false">F1463+G1463</f>
        <v>62</v>
      </c>
      <c r="R1463" s="1" t="str">
        <f aca="false">IF(H1463=M1463,"Home",IF(H1463=N1463,"Away",IF(H1463="PICK","Pick","N/A")))</f>
        <v>Home</v>
      </c>
      <c r="S1463" s="1" t="n">
        <f aca="false">IF(R1463="Home",P1463,IF(R1463="Away",-P1463,""))</f>
        <v>-6</v>
      </c>
      <c r="T1463" s="1" t="str">
        <f aca="false">IF(R1463="Pick","No Line",IF(S1463="","N/A",IF(S1463+I1463&gt;0,"Favorite Covered",IF(S1463+I1463&lt;0,"Underdog Covered","Push"))))</f>
        <v>Underdog Covered</v>
      </c>
      <c r="U1463" s="1" t="str">
        <f aca="false">IF(Q1463&gt;J1463,"Over",IF(Q1463&lt;J1463,"Under","Push"))</f>
        <v>Over</v>
      </c>
    </row>
    <row r="1464" customFormat="false" ht="15" hidden="false" customHeight="false" outlineLevel="0" collapsed="false">
      <c r="A1464" s="1" t="s">
        <v>485</v>
      </c>
      <c r="B1464" s="1" t="n">
        <v>2015</v>
      </c>
      <c r="C1464" s="1" t="s">
        <v>198</v>
      </c>
      <c r="D1464" s="1" t="s">
        <v>99</v>
      </c>
      <c r="E1464" s="1" t="s">
        <v>81</v>
      </c>
      <c r="F1464" s="1" t="n">
        <v>28</v>
      </c>
      <c r="G1464" s="1" t="n">
        <v>23</v>
      </c>
      <c r="H1464" s="1" t="s">
        <v>100</v>
      </c>
      <c r="I1464" s="1" t="n">
        <v>-8</v>
      </c>
      <c r="J1464" s="1" t="n">
        <v>42.5</v>
      </c>
      <c r="K1464" s="1" t="s">
        <v>149</v>
      </c>
      <c r="L1464" s="1" t="b">
        <f aca="false">FALSE()</f>
        <v>0</v>
      </c>
      <c r="M1464" s="1" t="str">
        <f aca="false">VLOOKUP(D1464,'Team Reference'!$A:$B,2,FALSE())</f>
        <v>NYJ</v>
      </c>
      <c r="N1464" s="1" t="str">
        <f aca="false">VLOOKUP(E1464,'Team Reference'!$A:$B,2,FALSE())</f>
        <v>JAX</v>
      </c>
      <c r="O1464" s="1" t="str">
        <f aca="false">IF(F1464&gt;G1464,M1464,IF(G1464&gt;F1464,N1464,"Tie"))</f>
        <v>NYJ</v>
      </c>
      <c r="P1464" s="1" t="n">
        <f aca="false">F1464-G1464</f>
        <v>5</v>
      </c>
      <c r="Q1464" s="1" t="n">
        <f aca="false">F1464+G1464</f>
        <v>51</v>
      </c>
      <c r="R1464" s="1" t="str">
        <f aca="false">IF(H1464=M1464,"Home",IF(H1464=N1464,"Away",IF(H1464="PICK","Pick","N/A")))</f>
        <v>Home</v>
      </c>
      <c r="S1464" s="1" t="n">
        <f aca="false">IF(R1464="Home",P1464,IF(R1464="Away",-P1464,""))</f>
        <v>5</v>
      </c>
      <c r="T1464" s="1" t="str">
        <f aca="false">IF(R1464="Pick","No Line",IF(S1464="","N/A",IF(S1464+I1464&gt;0,"Favorite Covered",IF(S1464+I1464&lt;0,"Underdog Covered","Push"))))</f>
        <v>Underdog Covered</v>
      </c>
      <c r="U1464" s="1" t="str">
        <f aca="false">IF(Q1464&gt;J1464,"Over",IF(Q1464&lt;J1464,"Under","Push"))</f>
        <v>Over</v>
      </c>
    </row>
    <row r="1465" customFormat="false" ht="15" hidden="false" customHeight="false" outlineLevel="0" collapsed="false">
      <c r="A1465" s="1" t="s">
        <v>485</v>
      </c>
      <c r="B1465" s="1" t="n">
        <v>2015</v>
      </c>
      <c r="C1465" s="1" t="s">
        <v>198</v>
      </c>
      <c r="D1465" s="1" t="s">
        <v>105</v>
      </c>
      <c r="E1465" s="1" t="s">
        <v>101</v>
      </c>
      <c r="F1465" s="1" t="n">
        <v>38</v>
      </c>
      <c r="G1465" s="1" t="n">
        <v>35</v>
      </c>
      <c r="H1465" s="1" t="s">
        <v>106</v>
      </c>
      <c r="I1465" s="1" t="n">
        <v>-6</v>
      </c>
      <c r="J1465" s="1" t="n">
        <v>48</v>
      </c>
      <c r="K1465" s="1" t="s">
        <v>151</v>
      </c>
      <c r="L1465" s="1" t="b">
        <f aca="false">FALSE()</f>
        <v>0</v>
      </c>
      <c r="M1465" s="1" t="str">
        <f aca="false">VLOOKUP(D1465,'Team Reference'!$A:$B,2,FALSE())</f>
        <v>PIT</v>
      </c>
      <c r="N1465" s="1" t="str">
        <f aca="false">VLOOKUP(E1465,'Team Reference'!$A:$B,2,FALSE())</f>
        <v>OAK</v>
      </c>
      <c r="O1465" s="1" t="str">
        <f aca="false">IF(F1465&gt;G1465,M1465,IF(G1465&gt;F1465,N1465,"Tie"))</f>
        <v>PIT</v>
      </c>
      <c r="P1465" s="1" t="n">
        <f aca="false">F1465-G1465</f>
        <v>3</v>
      </c>
      <c r="Q1465" s="1" t="n">
        <f aca="false">F1465+G1465</f>
        <v>73</v>
      </c>
      <c r="R1465" s="1" t="str">
        <f aca="false">IF(H1465=M1465,"Home",IF(H1465=N1465,"Away",IF(H1465="PICK","Pick","N/A")))</f>
        <v>Home</v>
      </c>
      <c r="S1465" s="1" t="n">
        <f aca="false">IF(R1465="Home",P1465,IF(R1465="Away",-P1465,""))</f>
        <v>3</v>
      </c>
      <c r="T1465" s="1" t="str">
        <f aca="false">IF(R1465="Pick","No Line",IF(S1465="","N/A",IF(S1465+I1465&gt;0,"Favorite Covered",IF(S1465+I1465&lt;0,"Underdog Covered","Push"))))</f>
        <v>Underdog Covered</v>
      </c>
      <c r="U1465" s="1" t="str">
        <f aca="false">IF(Q1465&gt;J1465,"Over",IF(Q1465&lt;J1465,"Under","Push"))</f>
        <v>Over</v>
      </c>
    </row>
    <row r="1466" customFormat="false" ht="15" hidden="false" customHeight="false" outlineLevel="0" collapsed="false">
      <c r="A1466" s="1" t="s">
        <v>485</v>
      </c>
      <c r="B1466" s="1" t="n">
        <v>2015</v>
      </c>
      <c r="C1466" s="1" t="s">
        <v>198</v>
      </c>
      <c r="D1466" s="1" t="s">
        <v>108</v>
      </c>
      <c r="E1466" s="1" t="s">
        <v>55</v>
      </c>
      <c r="F1466" s="1" t="n">
        <v>17</v>
      </c>
      <c r="G1466" s="1" t="n">
        <v>16</v>
      </c>
      <c r="H1466" s="1" t="s">
        <v>56</v>
      </c>
      <c r="I1466" s="1" t="n">
        <v>-8.5</v>
      </c>
      <c r="J1466" s="1" t="n">
        <v>43.5</v>
      </c>
      <c r="K1466" s="1" t="s">
        <v>408</v>
      </c>
      <c r="L1466" s="1" t="b">
        <f aca="false">FALSE()</f>
        <v>0</v>
      </c>
      <c r="M1466" s="1" t="str">
        <f aca="false">VLOOKUP(D1466,'Team Reference'!$A:$B,2,FALSE())</f>
        <v>SF</v>
      </c>
      <c r="N1466" s="1" t="str">
        <f aca="false">VLOOKUP(E1466,'Team Reference'!$A:$B,2,FALSE())</f>
        <v>ATL</v>
      </c>
      <c r="O1466" s="1" t="str">
        <f aca="false">IF(F1466&gt;G1466,M1466,IF(G1466&gt;F1466,N1466,"Tie"))</f>
        <v>SF</v>
      </c>
      <c r="P1466" s="1" t="n">
        <f aca="false">F1466-G1466</f>
        <v>1</v>
      </c>
      <c r="Q1466" s="1" t="n">
        <f aca="false">F1466+G1466</f>
        <v>33</v>
      </c>
      <c r="R1466" s="1" t="str">
        <f aca="false">IF(H1466=M1466,"Home",IF(H1466=N1466,"Away",IF(H1466="PICK","Pick","N/A")))</f>
        <v>Away</v>
      </c>
      <c r="S1466" s="1" t="n">
        <f aca="false">IF(R1466="Home",P1466,IF(R1466="Away",-P1466,""))</f>
        <v>-1</v>
      </c>
      <c r="T1466" s="1" t="str">
        <f aca="false">IF(R1466="Pick","No Line",IF(S1466="","N/A",IF(S1466+I1466&gt;0,"Favorite Covered",IF(S1466+I1466&lt;0,"Underdog Covered","Push"))))</f>
        <v>Underdog Covered</v>
      </c>
      <c r="U1466" s="1" t="str">
        <f aca="false">IF(Q1466&gt;J1466,"Over",IF(Q1466&lt;J1466,"Under","Push"))</f>
        <v>Under</v>
      </c>
    </row>
    <row r="1467" customFormat="false" ht="15" hidden="false" customHeight="false" outlineLevel="0" collapsed="false">
      <c r="A1467" s="1" t="s">
        <v>485</v>
      </c>
      <c r="B1467" s="1" t="n">
        <v>2015</v>
      </c>
      <c r="C1467" s="1" t="s">
        <v>198</v>
      </c>
      <c r="D1467" s="1" t="s">
        <v>113</v>
      </c>
      <c r="E1467" s="1" t="s">
        <v>97</v>
      </c>
      <c r="F1467" s="1" t="n">
        <v>18</v>
      </c>
      <c r="G1467" s="1" t="n">
        <v>32</v>
      </c>
      <c r="H1467" s="1" t="s">
        <v>98</v>
      </c>
      <c r="I1467" s="1" t="n">
        <v>-2</v>
      </c>
      <c r="J1467" s="1" t="n">
        <v>49</v>
      </c>
      <c r="K1467" s="1" t="s">
        <v>154</v>
      </c>
      <c r="L1467" s="1" t="b">
        <f aca="false">FALSE()</f>
        <v>0</v>
      </c>
      <c r="M1467" s="1" t="str">
        <f aca="false">VLOOKUP(D1467,'Team Reference'!$A:$B,2,FALSE())</f>
        <v>TB</v>
      </c>
      <c r="N1467" s="1" t="str">
        <f aca="false">VLOOKUP(E1467,'Team Reference'!$A:$B,2,FALSE())</f>
        <v>NYG</v>
      </c>
      <c r="O1467" s="1" t="str">
        <f aca="false">IF(F1467&gt;G1467,M1467,IF(G1467&gt;F1467,N1467,"Tie"))</f>
        <v>NYG</v>
      </c>
      <c r="P1467" s="1" t="n">
        <f aca="false">F1467-G1467</f>
        <v>-14</v>
      </c>
      <c r="Q1467" s="1" t="n">
        <f aca="false">F1467+G1467</f>
        <v>50</v>
      </c>
      <c r="R1467" s="1" t="str">
        <f aca="false">IF(H1467=M1467,"Home",IF(H1467=N1467,"Away",IF(H1467="PICK","Pick","N/A")))</f>
        <v>Away</v>
      </c>
      <c r="S1467" s="1" t="n">
        <f aca="false">IF(R1467="Home",P1467,IF(R1467="Away",-P1467,""))</f>
        <v>14</v>
      </c>
      <c r="T1467" s="1" t="str">
        <f aca="false">IF(R1467="Pick","No Line",IF(S1467="","N/A",IF(S1467+I1467&gt;0,"Favorite Covered",IF(S1467+I1467&lt;0,"Underdog Covered","Push"))))</f>
        <v>Favorite Covered</v>
      </c>
      <c r="U1467" s="1" t="str">
        <f aca="false">IF(Q1467&gt;J1467,"Over",IF(Q1467&lt;J1467,"Under","Push"))</f>
        <v>Over</v>
      </c>
    </row>
    <row r="1468" customFormat="false" ht="15" hidden="false" customHeight="false" outlineLevel="0" collapsed="false">
      <c r="A1468" s="1" t="s">
        <v>486</v>
      </c>
      <c r="B1468" s="1" t="n">
        <v>2015</v>
      </c>
      <c r="C1468" s="1" t="s">
        <v>198</v>
      </c>
      <c r="D1468" s="1" t="s">
        <v>107</v>
      </c>
      <c r="E1468" s="1" t="s">
        <v>63</v>
      </c>
      <c r="F1468" s="1" t="n">
        <v>19</v>
      </c>
      <c r="G1468" s="1" t="n">
        <v>22</v>
      </c>
      <c r="H1468" s="1" t="s">
        <v>86</v>
      </c>
      <c r="I1468" s="1" t="n">
        <v>-3.5</v>
      </c>
      <c r="J1468" s="1" t="n">
        <v>49.5</v>
      </c>
      <c r="K1468" s="1" t="s">
        <v>172</v>
      </c>
      <c r="L1468" s="1" t="b">
        <f aca="false">FALSE()</f>
        <v>0</v>
      </c>
      <c r="M1468" s="1" t="str">
        <f aca="false">VLOOKUP(D1468,'Team Reference'!$A:$B,2,FALSE())</f>
        <v>LAC</v>
      </c>
      <c r="N1468" s="1" t="str">
        <f aca="false">VLOOKUP(E1468,'Team Reference'!$A:$B,2,FALSE())</f>
        <v>CHI</v>
      </c>
      <c r="O1468" s="1" t="str">
        <f aca="false">IF(F1468&gt;G1468,M1468,IF(G1468&gt;F1468,N1468,"Tie"))</f>
        <v>CHI</v>
      </c>
      <c r="P1468" s="1" t="n">
        <f aca="false">F1468-G1468</f>
        <v>-3</v>
      </c>
      <c r="Q1468" s="1" t="n">
        <f aca="false">F1468+G1468</f>
        <v>41</v>
      </c>
      <c r="R1468" s="1" t="str">
        <f aca="false">IF(H1468=M1468,"Home",IF(H1468=N1468,"Away",IF(H1468="PICK","Pick","N/A")))</f>
        <v>Home</v>
      </c>
      <c r="S1468" s="1" t="n">
        <f aca="false">IF(R1468="Home",P1468,IF(R1468="Away",-P1468,""))</f>
        <v>-3</v>
      </c>
      <c r="T1468" s="1" t="str">
        <f aca="false">IF(R1468="Pick","No Line",IF(S1468="","N/A",IF(S1468+I1468&gt;0,"Favorite Covered",IF(S1468+I1468&lt;0,"Underdog Covered","Push"))))</f>
        <v>Underdog Covered</v>
      </c>
      <c r="U1468" s="1" t="str">
        <f aca="false">IF(Q1468&gt;J1468,"Over",IF(Q1468&lt;J1468,"Under","Push"))</f>
        <v>Under</v>
      </c>
    </row>
    <row r="1469" customFormat="false" ht="15" hidden="false" customHeight="false" outlineLevel="0" collapsed="false">
      <c r="A1469" s="1" t="s">
        <v>487</v>
      </c>
      <c r="B1469" s="1" t="n">
        <v>2015</v>
      </c>
      <c r="C1469" s="1" t="s">
        <v>203</v>
      </c>
      <c r="D1469" s="1" t="s">
        <v>99</v>
      </c>
      <c r="E1469" s="1" t="s">
        <v>59</v>
      </c>
      <c r="F1469" s="1" t="n">
        <v>17</v>
      </c>
      <c r="G1469" s="1" t="n">
        <v>22</v>
      </c>
      <c r="H1469" s="1" t="s">
        <v>100</v>
      </c>
      <c r="I1469" s="1" t="n">
        <v>-2.5</v>
      </c>
      <c r="J1469" s="1" t="n">
        <v>42</v>
      </c>
      <c r="K1469" s="1" t="s">
        <v>149</v>
      </c>
      <c r="L1469" s="1" t="b">
        <f aca="false">FALSE()</f>
        <v>0</v>
      </c>
      <c r="M1469" s="1" t="str">
        <f aca="false">VLOOKUP(D1469,'Team Reference'!$A:$B,2,FALSE())</f>
        <v>NYJ</v>
      </c>
      <c r="N1469" s="1" t="str">
        <f aca="false">VLOOKUP(E1469,'Team Reference'!$A:$B,2,FALSE())</f>
        <v>BUF</v>
      </c>
      <c r="O1469" s="1" t="str">
        <f aca="false">IF(F1469&gt;G1469,M1469,IF(G1469&gt;F1469,N1469,"Tie"))</f>
        <v>BUF</v>
      </c>
      <c r="P1469" s="1" t="n">
        <f aca="false">F1469-G1469</f>
        <v>-5</v>
      </c>
      <c r="Q1469" s="1" t="n">
        <f aca="false">F1469+G1469</f>
        <v>39</v>
      </c>
      <c r="R1469" s="1" t="str">
        <f aca="false">IF(H1469=M1469,"Home",IF(H1469=N1469,"Away",IF(H1469="PICK","Pick","N/A")))</f>
        <v>Home</v>
      </c>
      <c r="S1469" s="1" t="n">
        <f aca="false">IF(R1469="Home",P1469,IF(R1469="Away",-P1469,""))</f>
        <v>-5</v>
      </c>
      <c r="T1469" s="1" t="str">
        <f aca="false">IF(R1469="Pick","No Line",IF(S1469="","N/A",IF(S1469+I1469&gt;0,"Favorite Covered",IF(S1469+I1469&lt;0,"Underdog Covered","Push"))))</f>
        <v>Underdog Covered</v>
      </c>
      <c r="U1469" s="1" t="str">
        <f aca="false">IF(Q1469&gt;J1469,"Over",IF(Q1469&lt;J1469,"Under","Push"))</f>
        <v>Under</v>
      </c>
    </row>
    <row r="1470" customFormat="false" ht="15" hidden="false" customHeight="false" outlineLevel="0" collapsed="false">
      <c r="A1470" s="1" t="s">
        <v>488</v>
      </c>
      <c r="B1470" s="1" t="n">
        <v>2015</v>
      </c>
      <c r="C1470" s="1" t="s">
        <v>203</v>
      </c>
      <c r="D1470" s="1" t="s">
        <v>57</v>
      </c>
      <c r="E1470" s="1" t="s">
        <v>81</v>
      </c>
      <c r="F1470" s="1" t="n">
        <v>20</v>
      </c>
      <c r="G1470" s="1" t="n">
        <v>22</v>
      </c>
      <c r="H1470" s="1" t="s">
        <v>58</v>
      </c>
      <c r="I1470" s="1" t="n">
        <v>-5</v>
      </c>
      <c r="J1470" s="1" t="n">
        <v>47</v>
      </c>
      <c r="K1470" s="1" t="s">
        <v>178</v>
      </c>
      <c r="L1470" s="1" t="b">
        <f aca="false">FALSE()</f>
        <v>0</v>
      </c>
      <c r="M1470" s="1" t="str">
        <f aca="false">VLOOKUP(D1470,'Team Reference'!$A:$B,2,FALSE())</f>
        <v>BAL</v>
      </c>
      <c r="N1470" s="1" t="str">
        <f aca="false">VLOOKUP(E1470,'Team Reference'!$A:$B,2,FALSE())</f>
        <v>JAX</v>
      </c>
      <c r="O1470" s="1" t="str">
        <f aca="false">IF(F1470&gt;G1470,M1470,IF(G1470&gt;F1470,N1470,"Tie"))</f>
        <v>JAX</v>
      </c>
      <c r="P1470" s="1" t="n">
        <f aca="false">F1470-G1470</f>
        <v>-2</v>
      </c>
      <c r="Q1470" s="1" t="n">
        <f aca="false">F1470+G1470</f>
        <v>42</v>
      </c>
      <c r="R1470" s="1" t="str">
        <f aca="false">IF(H1470=M1470,"Home",IF(H1470=N1470,"Away",IF(H1470="PICK","Pick","N/A")))</f>
        <v>Home</v>
      </c>
      <c r="S1470" s="1" t="n">
        <f aca="false">IF(R1470="Home",P1470,IF(R1470="Away",-P1470,""))</f>
        <v>-2</v>
      </c>
      <c r="T1470" s="1" t="str">
        <f aca="false">IF(R1470="Pick","No Line",IF(S1470="","N/A",IF(S1470+I1470&gt;0,"Favorite Covered",IF(S1470+I1470&lt;0,"Underdog Covered","Push"))))</f>
        <v>Underdog Covered</v>
      </c>
      <c r="U1470" s="1" t="str">
        <f aca="false">IF(Q1470&gt;J1470,"Over",IF(Q1470&lt;J1470,"Under","Push"))</f>
        <v>Under</v>
      </c>
    </row>
    <row r="1471" customFormat="false" ht="15" hidden="false" customHeight="false" outlineLevel="0" collapsed="false">
      <c r="A1471" s="1" t="s">
        <v>488</v>
      </c>
      <c r="B1471" s="1" t="n">
        <v>2015</v>
      </c>
      <c r="C1471" s="1" t="s">
        <v>203</v>
      </c>
      <c r="D1471" s="1" t="s">
        <v>71</v>
      </c>
      <c r="E1471" s="1" t="s">
        <v>83</v>
      </c>
      <c r="F1471" s="1" t="n">
        <v>13</v>
      </c>
      <c r="G1471" s="1" t="n">
        <v>29</v>
      </c>
      <c r="H1471" s="1" t="s">
        <v>72</v>
      </c>
      <c r="I1471" s="1" t="n">
        <v>-3.5</v>
      </c>
      <c r="J1471" s="1" t="n">
        <v>42</v>
      </c>
      <c r="K1471" s="1" t="s">
        <v>166</v>
      </c>
      <c r="L1471" s="1" t="b">
        <f aca="false">FALSE()</f>
        <v>0</v>
      </c>
      <c r="M1471" s="1" t="str">
        <f aca="false">VLOOKUP(D1471,'Team Reference'!$A:$B,2,FALSE())</f>
        <v>DEN</v>
      </c>
      <c r="N1471" s="1" t="str">
        <f aca="false">VLOOKUP(E1471,'Team Reference'!$A:$B,2,FALSE())</f>
        <v>KC</v>
      </c>
      <c r="O1471" s="1" t="str">
        <f aca="false">IF(F1471&gt;G1471,M1471,IF(G1471&gt;F1471,N1471,"Tie"))</f>
        <v>KC</v>
      </c>
      <c r="P1471" s="1" t="n">
        <f aca="false">F1471-G1471</f>
        <v>-16</v>
      </c>
      <c r="Q1471" s="1" t="n">
        <f aca="false">F1471+G1471</f>
        <v>42</v>
      </c>
      <c r="R1471" s="1" t="str">
        <f aca="false">IF(H1471=M1471,"Home",IF(H1471=N1471,"Away",IF(H1471="PICK","Pick","N/A")))</f>
        <v>Home</v>
      </c>
      <c r="S1471" s="1" t="n">
        <f aca="false">IF(R1471="Home",P1471,IF(R1471="Away",-P1471,""))</f>
        <v>-16</v>
      </c>
      <c r="T1471" s="1" t="str">
        <f aca="false">IF(R1471="Pick","No Line",IF(S1471="","N/A",IF(S1471+I1471&gt;0,"Favorite Covered",IF(S1471+I1471&lt;0,"Underdog Covered","Push"))))</f>
        <v>Underdog Covered</v>
      </c>
      <c r="U1471" s="1" t="str">
        <f aca="false">IF(Q1471&gt;J1471,"Over",IF(Q1471&lt;J1471,"Under","Push"))</f>
        <v>Push</v>
      </c>
    </row>
    <row r="1472" customFormat="false" ht="15" hidden="false" customHeight="false" outlineLevel="0" collapsed="false">
      <c r="A1472" s="1" t="s">
        <v>488</v>
      </c>
      <c r="B1472" s="1" t="n">
        <v>2015</v>
      </c>
      <c r="C1472" s="1" t="s">
        <v>203</v>
      </c>
      <c r="D1472" s="1" t="s">
        <v>75</v>
      </c>
      <c r="E1472" s="1" t="s">
        <v>73</v>
      </c>
      <c r="F1472" s="1" t="n">
        <v>16</v>
      </c>
      <c r="G1472" s="1" t="n">
        <v>18</v>
      </c>
      <c r="H1472" s="1" t="s">
        <v>76</v>
      </c>
      <c r="I1472" s="1" t="n">
        <v>-10.5</v>
      </c>
      <c r="J1472" s="1" t="n">
        <v>50</v>
      </c>
      <c r="K1472" s="1" t="s">
        <v>168</v>
      </c>
      <c r="L1472" s="1" t="b">
        <f aca="false">FALSE()</f>
        <v>0</v>
      </c>
      <c r="M1472" s="1" t="str">
        <f aca="false">VLOOKUP(D1472,'Team Reference'!$A:$B,2,FALSE())</f>
        <v>GB</v>
      </c>
      <c r="N1472" s="1" t="str">
        <f aca="false">VLOOKUP(E1472,'Team Reference'!$A:$B,2,FALSE())</f>
        <v>DET</v>
      </c>
      <c r="O1472" s="1" t="str">
        <f aca="false">IF(F1472&gt;G1472,M1472,IF(G1472&gt;F1472,N1472,"Tie"))</f>
        <v>DET</v>
      </c>
      <c r="P1472" s="1" t="n">
        <f aca="false">F1472-G1472</f>
        <v>-2</v>
      </c>
      <c r="Q1472" s="1" t="n">
        <f aca="false">F1472+G1472</f>
        <v>34</v>
      </c>
      <c r="R1472" s="1" t="str">
        <f aca="false">IF(H1472=M1472,"Home",IF(H1472=N1472,"Away",IF(H1472="PICK","Pick","N/A")))</f>
        <v>Home</v>
      </c>
      <c r="S1472" s="1" t="n">
        <f aca="false">IF(R1472="Home",P1472,IF(R1472="Away",-P1472,""))</f>
        <v>-2</v>
      </c>
      <c r="T1472" s="1" t="str">
        <f aca="false">IF(R1472="Pick","No Line",IF(S1472="","N/A",IF(S1472+I1472&gt;0,"Favorite Covered",IF(S1472+I1472&lt;0,"Underdog Covered","Push"))))</f>
        <v>Underdog Covered</v>
      </c>
      <c r="U1472" s="1" t="str">
        <f aca="false">IF(Q1472&gt;J1472,"Over",IF(Q1472&lt;J1472,"Under","Push"))</f>
        <v>Under</v>
      </c>
    </row>
    <row r="1473" customFormat="false" ht="15" hidden="false" customHeight="false" outlineLevel="0" collapsed="false">
      <c r="A1473" s="1" t="s">
        <v>488</v>
      </c>
      <c r="B1473" s="1" t="n">
        <v>2015</v>
      </c>
      <c r="C1473" s="1" t="s">
        <v>203</v>
      </c>
      <c r="D1473" s="1" t="s">
        <v>97</v>
      </c>
      <c r="E1473" s="1" t="s">
        <v>93</v>
      </c>
      <c r="F1473" s="1" t="n">
        <v>26</v>
      </c>
      <c r="G1473" s="1" t="n">
        <v>27</v>
      </c>
      <c r="H1473" s="1" t="s">
        <v>94</v>
      </c>
      <c r="I1473" s="1" t="n">
        <v>-7</v>
      </c>
      <c r="J1473" s="1" t="n">
        <v>52.5</v>
      </c>
      <c r="K1473" s="1" t="s">
        <v>149</v>
      </c>
      <c r="L1473" s="1" t="b">
        <f aca="false">FALSE()</f>
        <v>0</v>
      </c>
      <c r="M1473" s="1" t="str">
        <f aca="false">VLOOKUP(D1473,'Team Reference'!$A:$B,2,FALSE())</f>
        <v>NYG</v>
      </c>
      <c r="N1473" s="1" t="str">
        <f aca="false">VLOOKUP(E1473,'Team Reference'!$A:$B,2,FALSE())</f>
        <v>NE</v>
      </c>
      <c r="O1473" s="1" t="str">
        <f aca="false">IF(F1473&gt;G1473,M1473,IF(G1473&gt;F1473,N1473,"Tie"))</f>
        <v>NE</v>
      </c>
      <c r="P1473" s="1" t="n">
        <f aca="false">F1473-G1473</f>
        <v>-1</v>
      </c>
      <c r="Q1473" s="1" t="n">
        <f aca="false">F1473+G1473</f>
        <v>53</v>
      </c>
      <c r="R1473" s="1" t="str">
        <f aca="false">IF(H1473=M1473,"Home",IF(H1473=N1473,"Away",IF(H1473="PICK","Pick","N/A")))</f>
        <v>Away</v>
      </c>
      <c r="S1473" s="1" t="n">
        <f aca="false">IF(R1473="Home",P1473,IF(R1473="Away",-P1473,""))</f>
        <v>1</v>
      </c>
      <c r="T1473" s="1" t="str">
        <f aca="false">IF(R1473="Pick","No Line",IF(S1473="","N/A",IF(S1473+I1473&gt;0,"Favorite Covered",IF(S1473+I1473&lt;0,"Underdog Covered","Push"))))</f>
        <v>Underdog Covered</v>
      </c>
      <c r="U1473" s="1" t="str">
        <f aca="false">IF(Q1473&gt;J1473,"Over",IF(Q1473&lt;J1473,"Under","Push"))</f>
        <v>Over</v>
      </c>
    </row>
    <row r="1474" customFormat="false" ht="15" hidden="false" customHeight="false" outlineLevel="0" collapsed="false">
      <c r="A1474" s="1" t="s">
        <v>488</v>
      </c>
      <c r="B1474" s="1" t="n">
        <v>2015</v>
      </c>
      <c r="C1474" s="1" t="s">
        <v>203</v>
      </c>
      <c r="D1474" s="1" t="s">
        <v>101</v>
      </c>
      <c r="E1474" s="1" t="s">
        <v>91</v>
      </c>
      <c r="F1474" s="1" t="n">
        <v>14</v>
      </c>
      <c r="G1474" s="1" t="n">
        <v>30</v>
      </c>
      <c r="H1474" s="1" t="s">
        <v>102</v>
      </c>
      <c r="I1474" s="1" t="n">
        <v>-3</v>
      </c>
      <c r="J1474" s="1" t="n">
        <v>44</v>
      </c>
      <c r="K1474" s="1" t="s">
        <v>171</v>
      </c>
      <c r="L1474" s="1" t="b">
        <f aca="false">FALSE()</f>
        <v>0</v>
      </c>
      <c r="M1474" s="1" t="str">
        <f aca="false">VLOOKUP(D1474,'Team Reference'!$A:$B,2,FALSE())</f>
        <v>OAK</v>
      </c>
      <c r="N1474" s="1" t="str">
        <f aca="false">VLOOKUP(E1474,'Team Reference'!$A:$B,2,FALSE())</f>
        <v>MIN</v>
      </c>
      <c r="O1474" s="1" t="str">
        <f aca="false">IF(F1474&gt;G1474,M1474,IF(G1474&gt;F1474,N1474,"Tie"))</f>
        <v>MIN</v>
      </c>
      <c r="P1474" s="1" t="n">
        <f aca="false">F1474-G1474</f>
        <v>-16</v>
      </c>
      <c r="Q1474" s="1" t="n">
        <f aca="false">F1474+G1474</f>
        <v>44</v>
      </c>
      <c r="R1474" s="1" t="str">
        <f aca="false">IF(H1474=M1474,"Home",IF(H1474=N1474,"Away",IF(H1474="PICK","Pick","N/A")))</f>
        <v>Home</v>
      </c>
      <c r="S1474" s="1" t="n">
        <f aca="false">IF(R1474="Home",P1474,IF(R1474="Away",-P1474,""))</f>
        <v>-16</v>
      </c>
      <c r="T1474" s="1" t="str">
        <f aca="false">IF(R1474="Pick","No Line",IF(S1474="","N/A",IF(S1474+I1474&gt;0,"Favorite Covered",IF(S1474+I1474&lt;0,"Underdog Covered","Push"))))</f>
        <v>Underdog Covered</v>
      </c>
      <c r="U1474" s="1" t="str">
        <f aca="false">IF(Q1474&gt;J1474,"Over",IF(Q1474&lt;J1474,"Under","Push"))</f>
        <v>Push</v>
      </c>
    </row>
    <row r="1475" customFormat="false" ht="15" hidden="false" customHeight="false" outlineLevel="0" collapsed="false">
      <c r="A1475" s="1" t="s">
        <v>488</v>
      </c>
      <c r="B1475" s="1" t="n">
        <v>2015</v>
      </c>
      <c r="C1475" s="1" t="s">
        <v>203</v>
      </c>
      <c r="D1475" s="1" t="s">
        <v>103</v>
      </c>
      <c r="E1475" s="1" t="s">
        <v>89</v>
      </c>
      <c r="F1475" s="1" t="n">
        <v>19</v>
      </c>
      <c r="G1475" s="1" t="n">
        <v>20</v>
      </c>
      <c r="H1475" s="1" t="s">
        <v>104</v>
      </c>
      <c r="I1475" s="1" t="n">
        <v>-6</v>
      </c>
      <c r="J1475" s="1" t="n">
        <v>49.5</v>
      </c>
      <c r="K1475" s="1" t="s">
        <v>150</v>
      </c>
      <c r="L1475" s="1" t="b">
        <f aca="false">FALSE()</f>
        <v>0</v>
      </c>
      <c r="M1475" s="1" t="str">
        <f aca="false">VLOOKUP(D1475,'Team Reference'!$A:$B,2,FALSE())</f>
        <v>PHI</v>
      </c>
      <c r="N1475" s="1" t="str">
        <f aca="false">VLOOKUP(E1475,'Team Reference'!$A:$B,2,FALSE())</f>
        <v>MIA</v>
      </c>
      <c r="O1475" s="1" t="str">
        <f aca="false">IF(F1475&gt;G1475,M1475,IF(G1475&gt;F1475,N1475,"Tie"))</f>
        <v>MIA</v>
      </c>
      <c r="P1475" s="1" t="n">
        <f aca="false">F1475-G1475</f>
        <v>-1</v>
      </c>
      <c r="Q1475" s="1" t="n">
        <f aca="false">F1475+G1475</f>
        <v>39</v>
      </c>
      <c r="R1475" s="1" t="str">
        <f aca="false">IF(H1475=M1475,"Home",IF(H1475=N1475,"Away",IF(H1475="PICK","Pick","N/A")))</f>
        <v>Home</v>
      </c>
      <c r="S1475" s="1" t="n">
        <f aca="false">IF(R1475="Home",P1475,IF(R1475="Away",-P1475,""))</f>
        <v>-1</v>
      </c>
      <c r="T1475" s="1" t="str">
        <f aca="false">IF(R1475="Pick","No Line",IF(S1475="","N/A",IF(S1475+I1475&gt;0,"Favorite Covered",IF(S1475+I1475&lt;0,"Underdog Covered","Push"))))</f>
        <v>Underdog Covered</v>
      </c>
      <c r="U1475" s="1" t="str">
        <f aca="false">IF(Q1475&gt;J1475,"Over",IF(Q1475&lt;J1475,"Under","Push"))</f>
        <v>Under</v>
      </c>
    </row>
    <row r="1476" customFormat="false" ht="15" hidden="false" customHeight="false" outlineLevel="0" collapsed="false">
      <c r="A1476" s="1" t="s">
        <v>488</v>
      </c>
      <c r="B1476" s="1" t="n">
        <v>2015</v>
      </c>
      <c r="C1476" s="1" t="s">
        <v>203</v>
      </c>
      <c r="D1476" s="1" t="s">
        <v>105</v>
      </c>
      <c r="E1476" s="1" t="s">
        <v>67</v>
      </c>
      <c r="F1476" s="1" t="n">
        <v>30</v>
      </c>
      <c r="G1476" s="1" t="n">
        <v>9</v>
      </c>
      <c r="H1476" s="1" t="s">
        <v>106</v>
      </c>
      <c r="I1476" s="1" t="n">
        <v>-7</v>
      </c>
      <c r="J1476" s="1" t="n">
        <v>43</v>
      </c>
      <c r="K1476" s="1" t="s">
        <v>151</v>
      </c>
      <c r="L1476" s="1" t="b">
        <f aca="false">FALSE()</f>
        <v>0</v>
      </c>
      <c r="M1476" s="1" t="str">
        <f aca="false">VLOOKUP(D1476,'Team Reference'!$A:$B,2,FALSE())</f>
        <v>PIT</v>
      </c>
      <c r="N1476" s="1" t="str">
        <f aca="false">VLOOKUP(E1476,'Team Reference'!$A:$B,2,FALSE())</f>
        <v>CLE</v>
      </c>
      <c r="O1476" s="1" t="str">
        <f aca="false">IF(F1476&gt;G1476,M1476,IF(G1476&gt;F1476,N1476,"Tie"))</f>
        <v>PIT</v>
      </c>
      <c r="P1476" s="1" t="n">
        <f aca="false">F1476-G1476</f>
        <v>21</v>
      </c>
      <c r="Q1476" s="1" t="n">
        <f aca="false">F1476+G1476</f>
        <v>39</v>
      </c>
      <c r="R1476" s="1" t="str">
        <f aca="false">IF(H1476=M1476,"Home",IF(H1476=N1476,"Away",IF(H1476="PICK","Pick","N/A")))</f>
        <v>Home</v>
      </c>
      <c r="S1476" s="1" t="n">
        <f aca="false">IF(R1476="Home",P1476,IF(R1476="Away",-P1476,""))</f>
        <v>21</v>
      </c>
      <c r="T1476" s="1" t="str">
        <f aca="false">IF(R1476="Pick","No Line",IF(S1476="","N/A",IF(S1476+I1476&gt;0,"Favorite Covered",IF(S1476+I1476&lt;0,"Underdog Covered","Push"))))</f>
        <v>Favorite Covered</v>
      </c>
      <c r="U1476" s="1" t="str">
        <f aca="false">IF(Q1476&gt;J1476,"Over",IF(Q1476&lt;J1476,"Under","Push"))</f>
        <v>Under</v>
      </c>
    </row>
    <row r="1477" customFormat="false" ht="15" hidden="false" customHeight="false" outlineLevel="0" collapsed="false">
      <c r="A1477" s="1" t="s">
        <v>488</v>
      </c>
      <c r="B1477" s="1" t="n">
        <v>2015</v>
      </c>
      <c r="C1477" s="1" t="s">
        <v>203</v>
      </c>
      <c r="D1477" s="1" t="s">
        <v>110</v>
      </c>
      <c r="E1477" s="1" t="s">
        <v>53</v>
      </c>
      <c r="F1477" s="1" t="n">
        <v>32</v>
      </c>
      <c r="G1477" s="1" t="n">
        <v>39</v>
      </c>
      <c r="H1477" s="1" t="s">
        <v>111</v>
      </c>
      <c r="I1477" s="1" t="n">
        <v>-3</v>
      </c>
      <c r="J1477" s="1" t="n">
        <v>43.5</v>
      </c>
      <c r="K1477" s="1" t="s">
        <v>152</v>
      </c>
      <c r="L1477" s="1" t="b">
        <f aca="false">FALSE()</f>
        <v>0</v>
      </c>
      <c r="M1477" s="1" t="str">
        <f aca="false">VLOOKUP(D1477,'Team Reference'!$A:$B,2,FALSE())</f>
        <v>SEA</v>
      </c>
      <c r="N1477" s="1" t="str">
        <f aca="false">VLOOKUP(E1477,'Team Reference'!$A:$B,2,FALSE())</f>
        <v>ARI</v>
      </c>
      <c r="O1477" s="1" t="str">
        <f aca="false">IF(F1477&gt;G1477,M1477,IF(G1477&gt;F1477,N1477,"Tie"))</f>
        <v>ARI</v>
      </c>
      <c r="P1477" s="1" t="n">
        <f aca="false">F1477-G1477</f>
        <v>-7</v>
      </c>
      <c r="Q1477" s="1" t="n">
        <f aca="false">F1477+G1477</f>
        <v>71</v>
      </c>
      <c r="R1477" s="1" t="str">
        <f aca="false">IF(H1477=M1477,"Home",IF(H1477=N1477,"Away",IF(H1477="PICK","Pick","N/A")))</f>
        <v>Home</v>
      </c>
      <c r="S1477" s="1" t="n">
        <f aca="false">IF(R1477="Home",P1477,IF(R1477="Away",-P1477,""))</f>
        <v>-7</v>
      </c>
      <c r="T1477" s="1" t="str">
        <f aca="false">IF(R1477="Pick","No Line",IF(S1477="","N/A",IF(S1477+I1477&gt;0,"Favorite Covered",IF(S1477+I1477&lt;0,"Underdog Covered","Push"))))</f>
        <v>Underdog Covered</v>
      </c>
      <c r="U1477" s="1" t="str">
        <f aca="false">IF(Q1477&gt;J1477,"Over",IF(Q1477&lt;J1477,"Under","Push"))</f>
        <v>Over</v>
      </c>
    </row>
    <row r="1478" customFormat="false" ht="15" hidden="false" customHeight="false" outlineLevel="0" collapsed="false">
      <c r="A1478" s="1" t="s">
        <v>488</v>
      </c>
      <c r="B1478" s="1" t="n">
        <v>2015</v>
      </c>
      <c r="C1478" s="1" t="s">
        <v>203</v>
      </c>
      <c r="D1478" s="1" t="s">
        <v>112</v>
      </c>
      <c r="E1478" s="1" t="s">
        <v>63</v>
      </c>
      <c r="F1478" s="1" t="n">
        <v>13</v>
      </c>
      <c r="G1478" s="1" t="n">
        <v>37</v>
      </c>
      <c r="H1478" s="1" t="s">
        <v>88</v>
      </c>
      <c r="I1478" s="1" t="n">
        <v>-7</v>
      </c>
      <c r="J1478" s="1" t="n">
        <v>42.5</v>
      </c>
      <c r="K1478" s="1" t="s">
        <v>153</v>
      </c>
      <c r="L1478" s="1" t="b">
        <f aca="false">FALSE()</f>
        <v>0</v>
      </c>
      <c r="M1478" s="1" t="str">
        <f aca="false">VLOOKUP(D1478,'Team Reference'!$A:$B,2,FALSE())</f>
        <v>LAR</v>
      </c>
      <c r="N1478" s="1" t="str">
        <f aca="false">VLOOKUP(E1478,'Team Reference'!$A:$B,2,FALSE())</f>
        <v>CHI</v>
      </c>
      <c r="O1478" s="1" t="str">
        <f aca="false">IF(F1478&gt;G1478,M1478,IF(G1478&gt;F1478,N1478,"Tie"))</f>
        <v>CHI</v>
      </c>
      <c r="P1478" s="1" t="n">
        <f aca="false">F1478-G1478</f>
        <v>-24</v>
      </c>
      <c r="Q1478" s="1" t="n">
        <f aca="false">F1478+G1478</f>
        <v>50</v>
      </c>
      <c r="R1478" s="1" t="str">
        <f aca="false">IF(H1478=M1478,"Home",IF(H1478=N1478,"Away",IF(H1478="PICK","Pick","N/A")))</f>
        <v>Home</v>
      </c>
      <c r="S1478" s="1" t="n">
        <f aca="false">IF(R1478="Home",P1478,IF(R1478="Away",-P1478,""))</f>
        <v>-24</v>
      </c>
      <c r="T1478" s="1" t="str">
        <f aca="false">IF(R1478="Pick","No Line",IF(S1478="","N/A",IF(S1478+I1478&gt;0,"Favorite Covered",IF(S1478+I1478&lt;0,"Underdog Covered","Push"))))</f>
        <v>Underdog Covered</v>
      </c>
      <c r="U1478" s="1" t="str">
        <f aca="false">IF(Q1478&gt;J1478,"Over",IF(Q1478&lt;J1478,"Under","Push"))</f>
        <v>Over</v>
      </c>
    </row>
    <row r="1479" customFormat="false" ht="15" hidden="false" customHeight="false" outlineLevel="0" collapsed="false">
      <c r="A1479" s="1" t="s">
        <v>488</v>
      </c>
      <c r="B1479" s="1" t="n">
        <v>2015</v>
      </c>
      <c r="C1479" s="1" t="s">
        <v>203</v>
      </c>
      <c r="D1479" s="1" t="s">
        <v>113</v>
      </c>
      <c r="E1479" s="1" t="s">
        <v>69</v>
      </c>
      <c r="F1479" s="1" t="n">
        <v>10</v>
      </c>
      <c r="G1479" s="1" t="n">
        <v>6</v>
      </c>
      <c r="H1479" s="1" t="s">
        <v>70</v>
      </c>
      <c r="I1479" s="1" t="n">
        <v>-1</v>
      </c>
      <c r="J1479" s="1" t="n">
        <v>43.5</v>
      </c>
      <c r="K1479" s="1" t="s">
        <v>154</v>
      </c>
      <c r="L1479" s="1" t="b">
        <f aca="false">FALSE()</f>
        <v>0</v>
      </c>
      <c r="M1479" s="1" t="str">
        <f aca="false">VLOOKUP(D1479,'Team Reference'!$A:$B,2,FALSE())</f>
        <v>TB</v>
      </c>
      <c r="N1479" s="1" t="str">
        <f aca="false">VLOOKUP(E1479,'Team Reference'!$A:$B,2,FALSE())</f>
        <v>DAL</v>
      </c>
      <c r="O1479" s="1" t="str">
        <f aca="false">IF(F1479&gt;G1479,M1479,IF(G1479&gt;F1479,N1479,"Tie"))</f>
        <v>TB</v>
      </c>
      <c r="P1479" s="1" t="n">
        <f aca="false">F1479-G1479</f>
        <v>4</v>
      </c>
      <c r="Q1479" s="1" t="n">
        <f aca="false">F1479+G1479</f>
        <v>16</v>
      </c>
      <c r="R1479" s="1" t="str">
        <f aca="false">IF(H1479=M1479,"Home",IF(H1479=N1479,"Away",IF(H1479="PICK","Pick","N/A")))</f>
        <v>Away</v>
      </c>
      <c r="S1479" s="1" t="n">
        <f aca="false">IF(R1479="Home",P1479,IF(R1479="Away",-P1479,""))</f>
        <v>-4</v>
      </c>
      <c r="T1479" s="1" t="str">
        <f aca="false">IF(R1479="Pick","No Line",IF(S1479="","N/A",IF(S1479+I1479&gt;0,"Favorite Covered",IF(S1479+I1479&lt;0,"Underdog Covered","Push"))))</f>
        <v>Underdog Covered</v>
      </c>
      <c r="U1479" s="1" t="str">
        <f aca="false">IF(Q1479&gt;J1479,"Over",IF(Q1479&lt;J1479,"Under","Push"))</f>
        <v>Under</v>
      </c>
    </row>
    <row r="1480" customFormat="false" ht="15" hidden="false" customHeight="false" outlineLevel="0" collapsed="false">
      <c r="A1480" s="1" t="s">
        <v>488</v>
      </c>
      <c r="B1480" s="1" t="n">
        <v>2015</v>
      </c>
      <c r="C1480" s="1" t="s">
        <v>203</v>
      </c>
      <c r="D1480" s="1" t="s">
        <v>115</v>
      </c>
      <c r="E1480" s="1" t="s">
        <v>61</v>
      </c>
      <c r="F1480" s="1" t="n">
        <v>10</v>
      </c>
      <c r="G1480" s="1" t="n">
        <v>27</v>
      </c>
      <c r="H1480" s="1" t="s">
        <v>62</v>
      </c>
      <c r="I1480" s="1" t="n">
        <v>-3.5</v>
      </c>
      <c r="J1480" s="1" t="n">
        <v>43</v>
      </c>
      <c r="K1480" s="1" t="s">
        <v>155</v>
      </c>
      <c r="L1480" s="1" t="b">
        <f aca="false">FALSE()</f>
        <v>0</v>
      </c>
      <c r="M1480" s="1" t="str">
        <f aca="false">VLOOKUP(D1480,'Team Reference'!$A:$B,2,FALSE())</f>
        <v>TEN</v>
      </c>
      <c r="N1480" s="1" t="str">
        <f aca="false">VLOOKUP(E1480,'Team Reference'!$A:$B,2,FALSE())</f>
        <v>CAR</v>
      </c>
      <c r="O1480" s="1" t="str">
        <f aca="false">IF(F1480&gt;G1480,M1480,IF(G1480&gt;F1480,N1480,"Tie"))</f>
        <v>CAR</v>
      </c>
      <c r="P1480" s="1" t="n">
        <f aca="false">F1480-G1480</f>
        <v>-17</v>
      </c>
      <c r="Q1480" s="1" t="n">
        <f aca="false">F1480+G1480</f>
        <v>37</v>
      </c>
      <c r="R1480" s="1" t="str">
        <f aca="false">IF(H1480=M1480,"Home",IF(H1480=N1480,"Away",IF(H1480="PICK","Pick","N/A")))</f>
        <v>Away</v>
      </c>
      <c r="S1480" s="1" t="n">
        <f aca="false">IF(R1480="Home",P1480,IF(R1480="Away",-P1480,""))</f>
        <v>17</v>
      </c>
      <c r="T1480" s="1" t="str">
        <f aca="false">IF(R1480="Pick","No Line",IF(S1480="","N/A",IF(S1480+I1480&gt;0,"Favorite Covered",IF(S1480+I1480&lt;0,"Underdog Covered","Push"))))</f>
        <v>Favorite Covered</v>
      </c>
      <c r="U1480" s="1" t="str">
        <f aca="false">IF(Q1480&gt;J1480,"Over",IF(Q1480&lt;J1480,"Under","Push"))</f>
        <v>Under</v>
      </c>
    </row>
    <row r="1481" customFormat="false" ht="15" hidden="false" customHeight="false" outlineLevel="0" collapsed="false">
      <c r="A1481" s="1" t="s">
        <v>488</v>
      </c>
      <c r="B1481" s="1" t="n">
        <v>2015</v>
      </c>
      <c r="C1481" s="1" t="s">
        <v>203</v>
      </c>
      <c r="D1481" s="1" t="s">
        <v>117</v>
      </c>
      <c r="E1481" s="1" t="s">
        <v>95</v>
      </c>
      <c r="F1481" s="1" t="n">
        <v>47</v>
      </c>
      <c r="G1481" s="1" t="n">
        <v>14</v>
      </c>
      <c r="H1481" s="1" t="s">
        <v>96</v>
      </c>
      <c r="I1481" s="1" t="n">
        <v>-1</v>
      </c>
      <c r="J1481" s="1" t="n">
        <v>52</v>
      </c>
      <c r="K1481" s="1" t="s">
        <v>156</v>
      </c>
      <c r="L1481" s="1" t="b">
        <f aca="false">FALSE()</f>
        <v>0</v>
      </c>
      <c r="M1481" s="1" t="str">
        <f aca="false">VLOOKUP(D1481,'Team Reference'!$A:$B,2,FALSE())</f>
        <v>WAS</v>
      </c>
      <c r="N1481" s="1" t="str">
        <f aca="false">VLOOKUP(E1481,'Team Reference'!$A:$B,2,FALSE())</f>
        <v>NO</v>
      </c>
      <c r="O1481" s="1" t="str">
        <f aca="false">IF(F1481&gt;G1481,M1481,IF(G1481&gt;F1481,N1481,"Tie"))</f>
        <v>WAS</v>
      </c>
      <c r="P1481" s="1" t="n">
        <f aca="false">F1481-G1481</f>
        <v>33</v>
      </c>
      <c r="Q1481" s="1" t="n">
        <f aca="false">F1481+G1481</f>
        <v>61</v>
      </c>
      <c r="R1481" s="1" t="str">
        <f aca="false">IF(H1481=M1481,"Home",IF(H1481=N1481,"Away",IF(H1481="PICK","Pick","N/A")))</f>
        <v>Away</v>
      </c>
      <c r="S1481" s="1" t="n">
        <f aca="false">IF(R1481="Home",P1481,IF(R1481="Away",-P1481,""))</f>
        <v>-33</v>
      </c>
      <c r="T1481" s="1" t="str">
        <f aca="false">IF(R1481="Pick","No Line",IF(S1481="","N/A",IF(S1481+I1481&gt;0,"Favorite Covered",IF(S1481+I1481&lt;0,"Underdog Covered","Push"))))</f>
        <v>Underdog Covered</v>
      </c>
      <c r="U1481" s="1" t="str">
        <f aca="false">IF(Q1481&gt;J1481,"Over",IF(Q1481&lt;J1481,"Under","Push"))</f>
        <v>Over</v>
      </c>
    </row>
    <row r="1482" customFormat="false" ht="15" hidden="false" customHeight="false" outlineLevel="0" collapsed="false">
      <c r="A1482" s="1" t="s">
        <v>489</v>
      </c>
      <c r="B1482" s="1" t="n">
        <v>2015</v>
      </c>
      <c r="C1482" s="1" t="s">
        <v>203</v>
      </c>
      <c r="D1482" s="1" t="s">
        <v>65</v>
      </c>
      <c r="E1482" s="1" t="s">
        <v>77</v>
      </c>
      <c r="F1482" s="1" t="n">
        <v>6</v>
      </c>
      <c r="G1482" s="1" t="n">
        <v>10</v>
      </c>
      <c r="H1482" s="1" t="s">
        <v>66</v>
      </c>
      <c r="I1482" s="1" t="n">
        <v>-10</v>
      </c>
      <c r="J1482" s="1" t="n">
        <v>46.5</v>
      </c>
      <c r="K1482" s="1" t="s">
        <v>163</v>
      </c>
      <c r="L1482" s="1" t="b">
        <f aca="false">FALSE()</f>
        <v>0</v>
      </c>
      <c r="M1482" s="1" t="str">
        <f aca="false">VLOOKUP(D1482,'Team Reference'!$A:$B,2,FALSE())</f>
        <v>CIN</v>
      </c>
      <c r="N1482" s="1" t="str">
        <f aca="false">VLOOKUP(E1482,'Team Reference'!$A:$B,2,FALSE())</f>
        <v>HOU</v>
      </c>
      <c r="O1482" s="1" t="str">
        <f aca="false">IF(F1482&gt;G1482,M1482,IF(G1482&gt;F1482,N1482,"Tie"))</f>
        <v>HOU</v>
      </c>
      <c r="P1482" s="1" t="n">
        <f aca="false">F1482-G1482</f>
        <v>-4</v>
      </c>
      <c r="Q1482" s="1" t="n">
        <f aca="false">F1482+G1482</f>
        <v>16</v>
      </c>
      <c r="R1482" s="1" t="str">
        <f aca="false">IF(H1482=M1482,"Home",IF(H1482=N1482,"Away",IF(H1482="PICK","Pick","N/A")))</f>
        <v>Home</v>
      </c>
      <c r="S1482" s="1" t="n">
        <f aca="false">IF(R1482="Home",P1482,IF(R1482="Away",-P1482,""))</f>
        <v>-4</v>
      </c>
      <c r="T1482" s="1" t="str">
        <f aca="false">IF(R1482="Pick","No Line",IF(S1482="","N/A",IF(S1482+I1482&gt;0,"Favorite Covered",IF(S1482+I1482&lt;0,"Underdog Covered","Push"))))</f>
        <v>Underdog Covered</v>
      </c>
      <c r="U1482" s="1" t="str">
        <f aca="false">IF(Q1482&gt;J1482,"Over",IF(Q1482&lt;J1482,"Under","Push"))</f>
        <v>Under</v>
      </c>
    </row>
    <row r="1483" customFormat="false" ht="15" hidden="false" customHeight="false" outlineLevel="0" collapsed="false">
      <c r="A1483" s="1" t="s">
        <v>490</v>
      </c>
      <c r="B1483" s="1" t="n">
        <v>2015</v>
      </c>
      <c r="C1483" s="1" t="s">
        <v>207</v>
      </c>
      <c r="D1483" s="1" t="s">
        <v>81</v>
      </c>
      <c r="E1483" s="1" t="s">
        <v>115</v>
      </c>
      <c r="F1483" s="1" t="n">
        <v>19</v>
      </c>
      <c r="G1483" s="1" t="n">
        <v>13</v>
      </c>
      <c r="H1483" s="1" t="s">
        <v>82</v>
      </c>
      <c r="I1483" s="1" t="n">
        <v>-3</v>
      </c>
      <c r="J1483" s="1" t="n">
        <v>41.5</v>
      </c>
      <c r="K1483" s="1" t="s">
        <v>147</v>
      </c>
      <c r="L1483" s="1" t="b">
        <f aca="false">FALSE()</f>
        <v>0</v>
      </c>
      <c r="M1483" s="1" t="str">
        <f aca="false">VLOOKUP(D1483,'Team Reference'!$A:$B,2,FALSE())</f>
        <v>JAX</v>
      </c>
      <c r="N1483" s="1" t="str">
        <f aca="false">VLOOKUP(E1483,'Team Reference'!$A:$B,2,FALSE())</f>
        <v>TEN</v>
      </c>
      <c r="O1483" s="1" t="str">
        <f aca="false">IF(F1483&gt;G1483,M1483,IF(G1483&gt;F1483,N1483,"Tie"))</f>
        <v>JAX</v>
      </c>
      <c r="P1483" s="1" t="n">
        <f aca="false">F1483-G1483</f>
        <v>6</v>
      </c>
      <c r="Q1483" s="1" t="n">
        <f aca="false">F1483+G1483</f>
        <v>32</v>
      </c>
      <c r="R1483" s="1" t="str">
        <f aca="false">IF(H1483=M1483,"Home",IF(H1483=N1483,"Away",IF(H1483="PICK","Pick","N/A")))</f>
        <v>Home</v>
      </c>
      <c r="S1483" s="1" t="n">
        <f aca="false">IF(R1483="Home",P1483,IF(R1483="Away",-P1483,""))</f>
        <v>6</v>
      </c>
      <c r="T1483" s="1" t="str">
        <f aca="false">IF(R1483="Pick","No Line",IF(S1483="","N/A",IF(S1483+I1483&gt;0,"Favorite Covered",IF(S1483+I1483&lt;0,"Underdog Covered","Push"))))</f>
        <v>Favorite Covered</v>
      </c>
      <c r="U1483" s="1" t="str">
        <f aca="false">IF(Q1483&gt;J1483,"Over",IF(Q1483&lt;J1483,"Under","Push"))</f>
        <v>Under</v>
      </c>
    </row>
    <row r="1484" customFormat="false" ht="15" hidden="false" customHeight="false" outlineLevel="0" collapsed="false">
      <c r="A1484" s="1" t="s">
        <v>491</v>
      </c>
      <c r="B1484" s="1" t="n">
        <v>2015</v>
      </c>
      <c r="C1484" s="1" t="s">
        <v>207</v>
      </c>
      <c r="D1484" s="1" t="s">
        <v>53</v>
      </c>
      <c r="E1484" s="1" t="s">
        <v>65</v>
      </c>
      <c r="F1484" s="1" t="n">
        <v>34</v>
      </c>
      <c r="G1484" s="1" t="n">
        <v>31</v>
      </c>
      <c r="H1484" s="1" t="s">
        <v>54</v>
      </c>
      <c r="I1484" s="1" t="n">
        <v>-4</v>
      </c>
      <c r="J1484" s="1" t="n">
        <v>48</v>
      </c>
      <c r="K1484" s="1" t="s">
        <v>177</v>
      </c>
      <c r="L1484" s="1" t="b">
        <f aca="false">FALSE()</f>
        <v>0</v>
      </c>
      <c r="M1484" s="1" t="str">
        <f aca="false">VLOOKUP(D1484,'Team Reference'!$A:$B,2,FALSE())</f>
        <v>ARI</v>
      </c>
      <c r="N1484" s="1" t="str">
        <f aca="false">VLOOKUP(E1484,'Team Reference'!$A:$B,2,FALSE())</f>
        <v>CIN</v>
      </c>
      <c r="O1484" s="1" t="str">
        <f aca="false">IF(F1484&gt;G1484,M1484,IF(G1484&gt;F1484,N1484,"Tie"))</f>
        <v>ARI</v>
      </c>
      <c r="P1484" s="1" t="n">
        <f aca="false">F1484-G1484</f>
        <v>3</v>
      </c>
      <c r="Q1484" s="1" t="n">
        <f aca="false">F1484+G1484</f>
        <v>65</v>
      </c>
      <c r="R1484" s="1" t="str">
        <f aca="false">IF(H1484=M1484,"Home",IF(H1484=N1484,"Away",IF(H1484="PICK","Pick","N/A")))</f>
        <v>Home</v>
      </c>
      <c r="S1484" s="1" t="n">
        <f aca="false">IF(R1484="Home",P1484,IF(R1484="Away",-P1484,""))</f>
        <v>3</v>
      </c>
      <c r="T1484" s="1" t="str">
        <f aca="false">IF(R1484="Pick","No Line",IF(S1484="","N/A",IF(S1484+I1484&gt;0,"Favorite Covered",IF(S1484+I1484&lt;0,"Underdog Covered","Push"))))</f>
        <v>Underdog Covered</v>
      </c>
      <c r="U1484" s="1" t="str">
        <f aca="false">IF(Q1484&gt;J1484,"Over",IF(Q1484&lt;J1484,"Under","Push"))</f>
        <v>Over</v>
      </c>
    </row>
    <row r="1485" customFormat="false" ht="15" hidden="false" customHeight="false" outlineLevel="0" collapsed="false">
      <c r="A1485" s="1" t="s">
        <v>491</v>
      </c>
      <c r="B1485" s="1" t="n">
        <v>2015</v>
      </c>
      <c r="C1485" s="1" t="s">
        <v>207</v>
      </c>
      <c r="D1485" s="1" t="s">
        <v>55</v>
      </c>
      <c r="E1485" s="1" t="s">
        <v>79</v>
      </c>
      <c r="F1485" s="1" t="n">
        <v>21</v>
      </c>
      <c r="G1485" s="1" t="n">
        <v>24</v>
      </c>
      <c r="H1485" s="1" t="s">
        <v>56</v>
      </c>
      <c r="I1485" s="1" t="n">
        <v>-3.5</v>
      </c>
      <c r="J1485" s="1" t="n">
        <v>47.5</v>
      </c>
      <c r="K1485" s="1" t="s">
        <v>161</v>
      </c>
      <c r="L1485" s="1" t="b">
        <f aca="false">FALSE()</f>
        <v>0</v>
      </c>
      <c r="M1485" s="1" t="str">
        <f aca="false">VLOOKUP(D1485,'Team Reference'!$A:$B,2,FALSE())</f>
        <v>ATL</v>
      </c>
      <c r="N1485" s="1" t="str">
        <f aca="false">VLOOKUP(E1485,'Team Reference'!$A:$B,2,FALSE())</f>
        <v>IND</v>
      </c>
      <c r="O1485" s="1" t="str">
        <f aca="false">IF(F1485&gt;G1485,M1485,IF(G1485&gt;F1485,N1485,"Tie"))</f>
        <v>IND</v>
      </c>
      <c r="P1485" s="1" t="n">
        <f aca="false">F1485-G1485</f>
        <v>-3</v>
      </c>
      <c r="Q1485" s="1" t="n">
        <f aca="false">F1485+G1485</f>
        <v>45</v>
      </c>
      <c r="R1485" s="1" t="str">
        <f aca="false">IF(H1485=M1485,"Home",IF(H1485=N1485,"Away",IF(H1485="PICK","Pick","N/A")))</f>
        <v>Home</v>
      </c>
      <c r="S1485" s="1" t="n">
        <f aca="false">IF(R1485="Home",P1485,IF(R1485="Away",-P1485,""))</f>
        <v>-3</v>
      </c>
      <c r="T1485" s="1" t="str">
        <f aca="false">IF(R1485="Pick","No Line",IF(S1485="","N/A",IF(S1485+I1485&gt;0,"Favorite Covered",IF(S1485+I1485&lt;0,"Underdog Covered","Push"))))</f>
        <v>Underdog Covered</v>
      </c>
      <c r="U1485" s="1" t="str">
        <f aca="false">IF(Q1485&gt;J1485,"Over",IF(Q1485&lt;J1485,"Under","Push"))</f>
        <v>Under</v>
      </c>
    </row>
    <row r="1486" customFormat="false" ht="15" hidden="false" customHeight="false" outlineLevel="0" collapsed="false">
      <c r="A1486" s="1" t="s">
        <v>491</v>
      </c>
      <c r="B1486" s="1" t="n">
        <v>2015</v>
      </c>
      <c r="C1486" s="1" t="s">
        <v>207</v>
      </c>
      <c r="D1486" s="1" t="s">
        <v>57</v>
      </c>
      <c r="E1486" s="1" t="s">
        <v>112</v>
      </c>
      <c r="F1486" s="1" t="n">
        <v>16</v>
      </c>
      <c r="G1486" s="1" t="n">
        <v>13</v>
      </c>
      <c r="H1486" s="1" t="s">
        <v>58</v>
      </c>
      <c r="I1486" s="1" t="n">
        <v>-3</v>
      </c>
      <c r="J1486" s="1" t="n">
        <v>41.5</v>
      </c>
      <c r="K1486" s="1" t="s">
        <v>178</v>
      </c>
      <c r="L1486" s="1" t="b">
        <f aca="false">FALSE()</f>
        <v>0</v>
      </c>
      <c r="M1486" s="1" t="str">
        <f aca="false">VLOOKUP(D1486,'Team Reference'!$A:$B,2,FALSE())</f>
        <v>BAL</v>
      </c>
      <c r="N1486" s="1" t="str">
        <f aca="false">VLOOKUP(E1486,'Team Reference'!$A:$B,2,FALSE())</f>
        <v>LAR</v>
      </c>
      <c r="O1486" s="1" t="str">
        <f aca="false">IF(F1486&gt;G1486,M1486,IF(G1486&gt;F1486,N1486,"Tie"))</f>
        <v>BAL</v>
      </c>
      <c r="P1486" s="1" t="n">
        <f aca="false">F1486-G1486</f>
        <v>3</v>
      </c>
      <c r="Q1486" s="1" t="n">
        <f aca="false">F1486+G1486</f>
        <v>29</v>
      </c>
      <c r="R1486" s="1" t="str">
        <f aca="false">IF(H1486=M1486,"Home",IF(H1486=N1486,"Away",IF(H1486="PICK","Pick","N/A")))</f>
        <v>Home</v>
      </c>
      <c r="S1486" s="1" t="n">
        <f aca="false">IF(R1486="Home",P1486,IF(R1486="Away",-P1486,""))</f>
        <v>3</v>
      </c>
      <c r="T1486" s="1" t="str">
        <f aca="false">IF(R1486="Pick","No Line",IF(S1486="","N/A",IF(S1486+I1486&gt;0,"Favorite Covered",IF(S1486+I1486&lt;0,"Underdog Covered","Push"))))</f>
        <v>Push</v>
      </c>
      <c r="U1486" s="1" t="str">
        <f aca="false">IF(Q1486&gt;J1486,"Over",IF(Q1486&lt;J1486,"Under","Push"))</f>
        <v>Under</v>
      </c>
    </row>
    <row r="1487" customFormat="false" ht="15" hidden="false" customHeight="false" outlineLevel="0" collapsed="false">
      <c r="A1487" s="1" t="s">
        <v>491</v>
      </c>
      <c r="B1487" s="1" t="n">
        <v>2015</v>
      </c>
      <c r="C1487" s="1" t="s">
        <v>207</v>
      </c>
      <c r="D1487" s="1" t="s">
        <v>61</v>
      </c>
      <c r="E1487" s="1" t="s">
        <v>117</v>
      </c>
      <c r="F1487" s="1" t="n">
        <v>44</v>
      </c>
      <c r="G1487" s="1" t="n">
        <v>16</v>
      </c>
      <c r="H1487" s="1" t="s">
        <v>62</v>
      </c>
      <c r="I1487" s="1" t="n">
        <v>-7</v>
      </c>
      <c r="J1487" s="1" t="n">
        <v>44.5</v>
      </c>
      <c r="K1487" s="1" t="s">
        <v>162</v>
      </c>
      <c r="L1487" s="1" t="b">
        <f aca="false">FALSE()</f>
        <v>0</v>
      </c>
      <c r="M1487" s="1" t="str">
        <f aca="false">VLOOKUP(D1487,'Team Reference'!$A:$B,2,FALSE())</f>
        <v>CAR</v>
      </c>
      <c r="N1487" s="1" t="str">
        <f aca="false">VLOOKUP(E1487,'Team Reference'!$A:$B,2,FALSE())</f>
        <v>WAS</v>
      </c>
      <c r="O1487" s="1" t="str">
        <f aca="false">IF(F1487&gt;G1487,M1487,IF(G1487&gt;F1487,N1487,"Tie"))</f>
        <v>CAR</v>
      </c>
      <c r="P1487" s="1" t="n">
        <f aca="false">F1487-G1487</f>
        <v>28</v>
      </c>
      <c r="Q1487" s="1" t="n">
        <f aca="false">F1487+G1487</f>
        <v>60</v>
      </c>
      <c r="R1487" s="1" t="str">
        <f aca="false">IF(H1487=M1487,"Home",IF(H1487=N1487,"Away",IF(H1487="PICK","Pick","N/A")))</f>
        <v>Home</v>
      </c>
      <c r="S1487" s="1" t="n">
        <f aca="false">IF(R1487="Home",P1487,IF(R1487="Away",-P1487,""))</f>
        <v>28</v>
      </c>
      <c r="T1487" s="1" t="str">
        <f aca="false">IF(R1487="Pick","No Line",IF(S1487="","N/A",IF(S1487+I1487&gt;0,"Favorite Covered",IF(S1487+I1487&lt;0,"Underdog Covered","Push"))))</f>
        <v>Favorite Covered</v>
      </c>
      <c r="U1487" s="1" t="str">
        <f aca="false">IF(Q1487&gt;J1487,"Over",IF(Q1487&lt;J1487,"Under","Push"))</f>
        <v>Over</v>
      </c>
    </row>
    <row r="1488" customFormat="false" ht="15" hidden="false" customHeight="false" outlineLevel="0" collapsed="false">
      <c r="A1488" s="1" t="s">
        <v>491</v>
      </c>
      <c r="B1488" s="1" t="n">
        <v>2015</v>
      </c>
      <c r="C1488" s="1" t="s">
        <v>207</v>
      </c>
      <c r="D1488" s="1" t="s">
        <v>63</v>
      </c>
      <c r="E1488" s="1" t="s">
        <v>71</v>
      </c>
      <c r="F1488" s="1" t="n">
        <v>15</v>
      </c>
      <c r="G1488" s="1" t="n">
        <v>17</v>
      </c>
      <c r="H1488" s="1" t="s">
        <v>72</v>
      </c>
      <c r="I1488" s="1" t="n">
        <v>-2</v>
      </c>
      <c r="J1488" s="1" t="n">
        <v>41.5</v>
      </c>
      <c r="K1488" s="1" t="s">
        <v>145</v>
      </c>
      <c r="L1488" s="1" t="b">
        <f aca="false">FALSE()</f>
        <v>0</v>
      </c>
      <c r="M1488" s="1" t="str">
        <f aca="false">VLOOKUP(D1488,'Team Reference'!$A:$B,2,FALSE())</f>
        <v>CHI</v>
      </c>
      <c r="N1488" s="1" t="str">
        <f aca="false">VLOOKUP(E1488,'Team Reference'!$A:$B,2,FALSE())</f>
        <v>DEN</v>
      </c>
      <c r="O1488" s="1" t="str">
        <f aca="false">IF(F1488&gt;G1488,M1488,IF(G1488&gt;F1488,N1488,"Tie"))</f>
        <v>DEN</v>
      </c>
      <c r="P1488" s="1" t="n">
        <f aca="false">F1488-G1488</f>
        <v>-2</v>
      </c>
      <c r="Q1488" s="1" t="n">
        <f aca="false">F1488+G1488</f>
        <v>32</v>
      </c>
      <c r="R1488" s="1" t="str">
        <f aca="false">IF(H1488=M1488,"Home",IF(H1488=N1488,"Away",IF(H1488="PICK","Pick","N/A")))</f>
        <v>Away</v>
      </c>
      <c r="S1488" s="1" t="n">
        <f aca="false">IF(R1488="Home",P1488,IF(R1488="Away",-P1488,""))</f>
        <v>2</v>
      </c>
      <c r="T1488" s="1" t="str">
        <f aca="false">IF(R1488="Pick","No Line",IF(S1488="","N/A",IF(S1488+I1488&gt;0,"Favorite Covered",IF(S1488+I1488&lt;0,"Underdog Covered","Push"))))</f>
        <v>Push</v>
      </c>
      <c r="U1488" s="1" t="str">
        <f aca="false">IF(Q1488&gt;J1488,"Over",IF(Q1488&lt;J1488,"Under","Push"))</f>
        <v>Under</v>
      </c>
    </row>
    <row r="1489" customFormat="false" ht="15" hidden="false" customHeight="false" outlineLevel="0" collapsed="false">
      <c r="A1489" s="1" t="s">
        <v>491</v>
      </c>
      <c r="B1489" s="1" t="n">
        <v>2015</v>
      </c>
      <c r="C1489" s="1" t="s">
        <v>207</v>
      </c>
      <c r="D1489" s="1" t="s">
        <v>73</v>
      </c>
      <c r="E1489" s="1" t="s">
        <v>101</v>
      </c>
      <c r="F1489" s="1" t="n">
        <v>18</v>
      </c>
      <c r="G1489" s="1" t="n">
        <v>13</v>
      </c>
      <c r="H1489" s="1" t="s">
        <v>102</v>
      </c>
      <c r="I1489" s="1" t="n">
        <v>-1.5</v>
      </c>
      <c r="J1489" s="1" t="n">
        <v>50</v>
      </c>
      <c r="K1489" s="1" t="s">
        <v>167</v>
      </c>
      <c r="L1489" s="1" t="b">
        <f aca="false">FALSE()</f>
        <v>0</v>
      </c>
      <c r="M1489" s="1" t="str">
        <f aca="false">VLOOKUP(D1489,'Team Reference'!$A:$B,2,FALSE())</f>
        <v>DET</v>
      </c>
      <c r="N1489" s="1" t="str">
        <f aca="false">VLOOKUP(E1489,'Team Reference'!$A:$B,2,FALSE())</f>
        <v>OAK</v>
      </c>
      <c r="O1489" s="1" t="str">
        <f aca="false">IF(F1489&gt;G1489,M1489,IF(G1489&gt;F1489,N1489,"Tie"))</f>
        <v>DET</v>
      </c>
      <c r="P1489" s="1" t="n">
        <f aca="false">F1489-G1489</f>
        <v>5</v>
      </c>
      <c r="Q1489" s="1" t="n">
        <f aca="false">F1489+G1489</f>
        <v>31</v>
      </c>
      <c r="R1489" s="1" t="str">
        <f aca="false">IF(H1489=M1489,"Home",IF(H1489=N1489,"Away",IF(H1489="PICK","Pick","N/A")))</f>
        <v>Away</v>
      </c>
      <c r="S1489" s="1" t="n">
        <f aca="false">IF(R1489="Home",P1489,IF(R1489="Away",-P1489,""))</f>
        <v>-5</v>
      </c>
      <c r="T1489" s="1" t="str">
        <f aca="false">IF(R1489="Pick","No Line",IF(S1489="","N/A",IF(S1489+I1489&gt;0,"Favorite Covered",IF(S1489+I1489&lt;0,"Underdog Covered","Push"))))</f>
        <v>Underdog Covered</v>
      </c>
      <c r="U1489" s="1" t="str">
        <f aca="false">IF(Q1489&gt;J1489,"Over",IF(Q1489&lt;J1489,"Under","Push"))</f>
        <v>Under</v>
      </c>
    </row>
    <row r="1490" customFormat="false" ht="15" hidden="false" customHeight="false" outlineLevel="0" collapsed="false">
      <c r="A1490" s="1" t="s">
        <v>491</v>
      </c>
      <c r="B1490" s="1" t="n">
        <v>2015</v>
      </c>
      <c r="C1490" s="1" t="s">
        <v>207</v>
      </c>
      <c r="D1490" s="1" t="s">
        <v>77</v>
      </c>
      <c r="E1490" s="1" t="s">
        <v>99</v>
      </c>
      <c r="F1490" s="1" t="n">
        <v>24</v>
      </c>
      <c r="G1490" s="1" t="n">
        <v>17</v>
      </c>
      <c r="H1490" s="1" t="s">
        <v>100</v>
      </c>
      <c r="I1490" s="1" t="n">
        <v>-4</v>
      </c>
      <c r="J1490" s="1" t="n">
        <v>40</v>
      </c>
      <c r="K1490" s="1" t="s">
        <v>146</v>
      </c>
      <c r="L1490" s="1" t="b">
        <f aca="false">FALSE()</f>
        <v>0</v>
      </c>
      <c r="M1490" s="1" t="str">
        <f aca="false">VLOOKUP(D1490,'Team Reference'!$A:$B,2,FALSE())</f>
        <v>HOU</v>
      </c>
      <c r="N1490" s="1" t="str">
        <f aca="false">VLOOKUP(E1490,'Team Reference'!$A:$B,2,FALSE())</f>
        <v>NYJ</v>
      </c>
      <c r="O1490" s="1" t="str">
        <f aca="false">IF(F1490&gt;G1490,M1490,IF(G1490&gt;F1490,N1490,"Tie"))</f>
        <v>HOU</v>
      </c>
      <c r="P1490" s="1" t="n">
        <f aca="false">F1490-G1490</f>
        <v>7</v>
      </c>
      <c r="Q1490" s="1" t="n">
        <f aca="false">F1490+G1490</f>
        <v>41</v>
      </c>
      <c r="R1490" s="1" t="str">
        <f aca="false">IF(H1490=M1490,"Home",IF(H1490=N1490,"Away",IF(H1490="PICK","Pick","N/A")))</f>
        <v>Away</v>
      </c>
      <c r="S1490" s="1" t="n">
        <f aca="false">IF(R1490="Home",P1490,IF(R1490="Away",-P1490,""))</f>
        <v>-7</v>
      </c>
      <c r="T1490" s="1" t="str">
        <f aca="false">IF(R1490="Pick","No Line",IF(S1490="","N/A",IF(S1490+I1490&gt;0,"Favorite Covered",IF(S1490+I1490&lt;0,"Underdog Covered","Push"))))</f>
        <v>Underdog Covered</v>
      </c>
      <c r="U1490" s="1" t="str">
        <f aca="false">IF(Q1490&gt;J1490,"Over",IF(Q1490&lt;J1490,"Under","Push"))</f>
        <v>Over</v>
      </c>
    </row>
    <row r="1491" customFormat="false" ht="15" hidden="false" customHeight="false" outlineLevel="0" collapsed="false">
      <c r="A1491" s="1" t="s">
        <v>491</v>
      </c>
      <c r="B1491" s="1" t="n">
        <v>2015</v>
      </c>
      <c r="C1491" s="1" t="s">
        <v>207</v>
      </c>
      <c r="D1491" s="1" t="s">
        <v>89</v>
      </c>
      <c r="E1491" s="1" t="s">
        <v>69</v>
      </c>
      <c r="F1491" s="1" t="n">
        <v>14</v>
      </c>
      <c r="G1491" s="1" t="n">
        <v>24</v>
      </c>
      <c r="H1491" s="1" t="s">
        <v>70</v>
      </c>
      <c r="I1491" s="1" t="n">
        <v>-2</v>
      </c>
      <c r="J1491" s="1" t="n">
        <v>45</v>
      </c>
      <c r="K1491" s="1" t="s">
        <v>179</v>
      </c>
      <c r="L1491" s="1" t="b">
        <f aca="false">FALSE()</f>
        <v>0</v>
      </c>
      <c r="M1491" s="1" t="str">
        <f aca="false">VLOOKUP(D1491,'Team Reference'!$A:$B,2,FALSE())</f>
        <v>MIA</v>
      </c>
      <c r="N1491" s="1" t="str">
        <f aca="false">VLOOKUP(E1491,'Team Reference'!$A:$B,2,FALSE())</f>
        <v>DAL</v>
      </c>
      <c r="O1491" s="1" t="str">
        <f aca="false">IF(F1491&gt;G1491,M1491,IF(G1491&gt;F1491,N1491,"Tie"))</f>
        <v>DAL</v>
      </c>
      <c r="P1491" s="1" t="n">
        <f aca="false">F1491-G1491</f>
        <v>-10</v>
      </c>
      <c r="Q1491" s="1" t="n">
        <f aca="false">F1491+G1491</f>
        <v>38</v>
      </c>
      <c r="R1491" s="1" t="str">
        <f aca="false">IF(H1491=M1491,"Home",IF(H1491=N1491,"Away",IF(H1491="PICK","Pick","N/A")))</f>
        <v>Away</v>
      </c>
      <c r="S1491" s="1" t="n">
        <f aca="false">IF(R1491="Home",P1491,IF(R1491="Away",-P1491,""))</f>
        <v>10</v>
      </c>
      <c r="T1491" s="1" t="str">
        <f aca="false">IF(R1491="Pick","No Line",IF(S1491="","N/A",IF(S1491+I1491&gt;0,"Favorite Covered",IF(S1491+I1491&lt;0,"Underdog Covered","Push"))))</f>
        <v>Favorite Covered</v>
      </c>
      <c r="U1491" s="1" t="str">
        <f aca="false">IF(Q1491&gt;J1491,"Over",IF(Q1491&lt;J1491,"Under","Push"))</f>
        <v>Under</v>
      </c>
    </row>
    <row r="1492" customFormat="false" ht="15" hidden="false" customHeight="false" outlineLevel="0" collapsed="false">
      <c r="A1492" s="1" t="s">
        <v>491</v>
      </c>
      <c r="B1492" s="1" t="n">
        <v>2015</v>
      </c>
      <c r="C1492" s="1" t="s">
        <v>207</v>
      </c>
      <c r="D1492" s="1" t="s">
        <v>91</v>
      </c>
      <c r="E1492" s="1" t="s">
        <v>75</v>
      </c>
      <c r="F1492" s="1" t="n">
        <v>13</v>
      </c>
      <c r="G1492" s="1" t="n">
        <v>30</v>
      </c>
      <c r="H1492" s="1" t="s">
        <v>200</v>
      </c>
      <c r="I1492" s="1" t="n">
        <v>0</v>
      </c>
      <c r="J1492" s="1" t="n">
        <v>45</v>
      </c>
      <c r="K1492" s="1" t="s">
        <v>407</v>
      </c>
      <c r="L1492" s="1" t="b">
        <f aca="false">FALSE()</f>
        <v>0</v>
      </c>
      <c r="M1492" s="1" t="str">
        <f aca="false">VLOOKUP(D1492,'Team Reference'!$A:$B,2,FALSE())</f>
        <v>MIN</v>
      </c>
      <c r="N1492" s="1" t="str">
        <f aca="false">VLOOKUP(E1492,'Team Reference'!$A:$B,2,FALSE())</f>
        <v>GB</v>
      </c>
      <c r="O1492" s="1" t="str">
        <f aca="false">IF(F1492&gt;G1492,M1492,IF(G1492&gt;F1492,N1492,"Tie"))</f>
        <v>GB</v>
      </c>
      <c r="P1492" s="1" t="n">
        <f aca="false">F1492-G1492</f>
        <v>-17</v>
      </c>
      <c r="Q1492" s="1" t="n">
        <f aca="false">F1492+G1492</f>
        <v>43</v>
      </c>
      <c r="R1492" s="1" t="str">
        <f aca="false">IF(H1492=M1492,"Home",IF(H1492=N1492,"Away",IF(H1492="PICK","Pick","N/A")))</f>
        <v>Pick</v>
      </c>
      <c r="S1492" s="1" t="str">
        <f aca="false">IF(R1492="Home",P1492,IF(R1492="Away",-P1492,""))</f>
        <v/>
      </c>
      <c r="T1492" s="1" t="str">
        <f aca="false">IF(R1492="Pick","No Line",IF(S1492="","N/A",IF(S1492+I1492&gt;0,"Favorite Covered",IF(S1492+I1492&lt;0,"Underdog Covered","Push"))))</f>
        <v>No Line</v>
      </c>
      <c r="U1492" s="1" t="str">
        <f aca="false">IF(Q1492&gt;J1492,"Over",IF(Q1492&lt;J1492,"Under","Push"))</f>
        <v>Under</v>
      </c>
    </row>
    <row r="1493" customFormat="false" ht="15" hidden="false" customHeight="false" outlineLevel="0" collapsed="false">
      <c r="A1493" s="1" t="s">
        <v>491</v>
      </c>
      <c r="B1493" s="1" t="n">
        <v>2015</v>
      </c>
      <c r="C1493" s="1" t="s">
        <v>207</v>
      </c>
      <c r="D1493" s="1" t="s">
        <v>103</v>
      </c>
      <c r="E1493" s="1" t="s">
        <v>113</v>
      </c>
      <c r="F1493" s="1" t="n">
        <v>17</v>
      </c>
      <c r="G1493" s="1" t="n">
        <v>45</v>
      </c>
      <c r="H1493" s="1" t="s">
        <v>104</v>
      </c>
      <c r="I1493" s="1" t="n">
        <v>-6.5</v>
      </c>
      <c r="J1493" s="1" t="n">
        <v>45.5</v>
      </c>
      <c r="K1493" s="1" t="s">
        <v>150</v>
      </c>
      <c r="L1493" s="1" t="b">
        <f aca="false">FALSE()</f>
        <v>0</v>
      </c>
      <c r="M1493" s="1" t="str">
        <f aca="false">VLOOKUP(D1493,'Team Reference'!$A:$B,2,FALSE())</f>
        <v>PHI</v>
      </c>
      <c r="N1493" s="1" t="str">
        <f aca="false">VLOOKUP(E1493,'Team Reference'!$A:$B,2,FALSE())</f>
        <v>TB</v>
      </c>
      <c r="O1493" s="1" t="str">
        <f aca="false">IF(F1493&gt;G1493,M1493,IF(G1493&gt;F1493,N1493,"Tie"))</f>
        <v>TB</v>
      </c>
      <c r="P1493" s="1" t="n">
        <f aca="false">F1493-G1493</f>
        <v>-28</v>
      </c>
      <c r="Q1493" s="1" t="n">
        <f aca="false">F1493+G1493</f>
        <v>62</v>
      </c>
      <c r="R1493" s="1" t="str">
        <f aca="false">IF(H1493=M1493,"Home",IF(H1493=N1493,"Away",IF(H1493="PICK","Pick","N/A")))</f>
        <v>Home</v>
      </c>
      <c r="S1493" s="1" t="n">
        <f aca="false">IF(R1493="Home",P1493,IF(R1493="Away",-P1493,""))</f>
        <v>-28</v>
      </c>
      <c r="T1493" s="1" t="str">
        <f aca="false">IF(R1493="Pick","No Line",IF(S1493="","N/A",IF(S1493+I1493&gt;0,"Favorite Covered",IF(S1493+I1493&lt;0,"Underdog Covered","Push"))))</f>
        <v>Underdog Covered</v>
      </c>
      <c r="U1493" s="1" t="str">
        <f aca="false">IF(Q1493&gt;J1493,"Over",IF(Q1493&lt;J1493,"Under","Push"))</f>
        <v>Over</v>
      </c>
    </row>
    <row r="1494" customFormat="false" ht="15" hidden="false" customHeight="false" outlineLevel="0" collapsed="false">
      <c r="A1494" s="1" t="s">
        <v>491</v>
      </c>
      <c r="B1494" s="1" t="n">
        <v>2015</v>
      </c>
      <c r="C1494" s="1" t="s">
        <v>207</v>
      </c>
      <c r="D1494" s="1" t="s">
        <v>107</v>
      </c>
      <c r="E1494" s="1" t="s">
        <v>83</v>
      </c>
      <c r="F1494" s="1" t="n">
        <v>3</v>
      </c>
      <c r="G1494" s="1" t="n">
        <v>33</v>
      </c>
      <c r="H1494" s="1" t="s">
        <v>84</v>
      </c>
      <c r="I1494" s="1" t="n">
        <v>-3</v>
      </c>
      <c r="J1494" s="1" t="n">
        <v>45.5</v>
      </c>
      <c r="K1494" s="1" t="s">
        <v>172</v>
      </c>
      <c r="L1494" s="1" t="b">
        <f aca="false">FALSE()</f>
        <v>0</v>
      </c>
      <c r="M1494" s="1" t="str">
        <f aca="false">VLOOKUP(D1494,'Team Reference'!$A:$B,2,FALSE())</f>
        <v>LAC</v>
      </c>
      <c r="N1494" s="1" t="str">
        <f aca="false">VLOOKUP(E1494,'Team Reference'!$A:$B,2,FALSE())</f>
        <v>KC</v>
      </c>
      <c r="O1494" s="1" t="str">
        <f aca="false">IF(F1494&gt;G1494,M1494,IF(G1494&gt;F1494,N1494,"Tie"))</f>
        <v>KC</v>
      </c>
      <c r="P1494" s="1" t="n">
        <f aca="false">F1494-G1494</f>
        <v>-30</v>
      </c>
      <c r="Q1494" s="1" t="n">
        <f aca="false">F1494+G1494</f>
        <v>36</v>
      </c>
      <c r="R1494" s="1" t="str">
        <f aca="false">IF(H1494=M1494,"Home",IF(H1494=N1494,"Away",IF(H1494="PICK","Pick","N/A")))</f>
        <v>Away</v>
      </c>
      <c r="S1494" s="1" t="n">
        <f aca="false">IF(R1494="Home",P1494,IF(R1494="Away",-P1494,""))</f>
        <v>30</v>
      </c>
      <c r="T1494" s="1" t="str">
        <f aca="false">IF(R1494="Pick","No Line",IF(S1494="","N/A",IF(S1494+I1494&gt;0,"Favorite Covered",IF(S1494+I1494&lt;0,"Underdog Covered","Push"))))</f>
        <v>Favorite Covered</v>
      </c>
      <c r="U1494" s="1" t="str">
        <f aca="false">IF(Q1494&gt;J1494,"Over",IF(Q1494&lt;J1494,"Under","Push"))</f>
        <v>Under</v>
      </c>
    </row>
    <row r="1495" customFormat="false" ht="15" hidden="false" customHeight="false" outlineLevel="0" collapsed="false">
      <c r="A1495" s="1" t="s">
        <v>491</v>
      </c>
      <c r="B1495" s="1" t="n">
        <v>2015</v>
      </c>
      <c r="C1495" s="1" t="s">
        <v>207</v>
      </c>
      <c r="D1495" s="1" t="s">
        <v>110</v>
      </c>
      <c r="E1495" s="1" t="s">
        <v>108</v>
      </c>
      <c r="F1495" s="1" t="n">
        <v>29</v>
      </c>
      <c r="G1495" s="1" t="n">
        <v>13</v>
      </c>
      <c r="H1495" s="1" t="s">
        <v>111</v>
      </c>
      <c r="I1495" s="1" t="n">
        <v>-14</v>
      </c>
      <c r="J1495" s="1" t="n">
        <v>40</v>
      </c>
      <c r="K1495" s="1" t="s">
        <v>152</v>
      </c>
      <c r="L1495" s="1" t="b">
        <f aca="false">FALSE()</f>
        <v>0</v>
      </c>
      <c r="M1495" s="1" t="str">
        <f aca="false">VLOOKUP(D1495,'Team Reference'!$A:$B,2,FALSE())</f>
        <v>SEA</v>
      </c>
      <c r="N1495" s="1" t="str">
        <f aca="false">VLOOKUP(E1495,'Team Reference'!$A:$B,2,FALSE())</f>
        <v>SF</v>
      </c>
      <c r="O1495" s="1" t="str">
        <f aca="false">IF(F1495&gt;G1495,M1495,IF(G1495&gt;F1495,N1495,"Tie"))</f>
        <v>SEA</v>
      </c>
      <c r="P1495" s="1" t="n">
        <f aca="false">F1495-G1495</f>
        <v>16</v>
      </c>
      <c r="Q1495" s="1" t="n">
        <f aca="false">F1495+G1495</f>
        <v>42</v>
      </c>
      <c r="R1495" s="1" t="str">
        <f aca="false">IF(H1495=M1495,"Home",IF(H1495=N1495,"Away",IF(H1495="PICK","Pick","N/A")))</f>
        <v>Home</v>
      </c>
      <c r="S1495" s="1" t="n">
        <f aca="false">IF(R1495="Home",P1495,IF(R1495="Away",-P1495,""))</f>
        <v>16</v>
      </c>
      <c r="T1495" s="1" t="str">
        <f aca="false">IF(R1495="Pick","No Line",IF(S1495="","N/A",IF(S1495+I1495&gt;0,"Favorite Covered",IF(S1495+I1495&lt;0,"Underdog Covered","Push"))))</f>
        <v>Favorite Covered</v>
      </c>
      <c r="U1495" s="1" t="str">
        <f aca="false">IF(Q1495&gt;J1495,"Over",IF(Q1495&lt;J1495,"Under","Push"))</f>
        <v>Over</v>
      </c>
    </row>
    <row r="1496" customFormat="false" ht="15" hidden="false" customHeight="false" outlineLevel="0" collapsed="false">
      <c r="A1496" s="1" t="s">
        <v>492</v>
      </c>
      <c r="B1496" s="1" t="n">
        <v>2015</v>
      </c>
      <c r="C1496" s="1" t="s">
        <v>207</v>
      </c>
      <c r="D1496" s="1" t="s">
        <v>93</v>
      </c>
      <c r="E1496" s="1" t="s">
        <v>59</v>
      </c>
      <c r="F1496" s="1" t="n">
        <v>20</v>
      </c>
      <c r="G1496" s="1" t="n">
        <v>13</v>
      </c>
      <c r="H1496" s="1" t="s">
        <v>94</v>
      </c>
      <c r="I1496" s="1" t="n">
        <v>-7</v>
      </c>
      <c r="J1496" s="1" t="n">
        <v>47.5</v>
      </c>
      <c r="K1496" s="1" t="s">
        <v>148</v>
      </c>
      <c r="L1496" s="1" t="b">
        <f aca="false">FALSE()</f>
        <v>0</v>
      </c>
      <c r="M1496" s="1" t="str">
        <f aca="false">VLOOKUP(D1496,'Team Reference'!$A:$B,2,FALSE())</f>
        <v>NE</v>
      </c>
      <c r="N1496" s="1" t="str">
        <f aca="false">VLOOKUP(E1496,'Team Reference'!$A:$B,2,FALSE())</f>
        <v>BUF</v>
      </c>
      <c r="O1496" s="1" t="str">
        <f aca="false">IF(F1496&gt;G1496,M1496,IF(G1496&gt;F1496,N1496,"Tie"))</f>
        <v>NE</v>
      </c>
      <c r="P1496" s="1" t="n">
        <f aca="false">F1496-G1496</f>
        <v>7</v>
      </c>
      <c r="Q1496" s="1" t="n">
        <f aca="false">F1496+G1496</f>
        <v>33</v>
      </c>
      <c r="R1496" s="1" t="str">
        <f aca="false">IF(H1496=M1496,"Home",IF(H1496=N1496,"Away",IF(H1496="PICK","Pick","N/A")))</f>
        <v>Home</v>
      </c>
      <c r="S1496" s="1" t="n">
        <f aca="false">IF(R1496="Home",P1496,IF(R1496="Away",-P1496,""))</f>
        <v>7</v>
      </c>
      <c r="T1496" s="1" t="str">
        <f aca="false">IF(R1496="Pick","No Line",IF(S1496="","N/A",IF(S1496+I1496&gt;0,"Favorite Covered",IF(S1496+I1496&lt;0,"Underdog Covered","Push"))))</f>
        <v>Push</v>
      </c>
      <c r="U1496" s="1" t="str">
        <f aca="false">IF(Q1496&gt;J1496,"Over",IF(Q1496&lt;J1496,"Under","Push"))</f>
        <v>Under</v>
      </c>
    </row>
    <row r="1497" customFormat="false" ht="15" hidden="false" customHeight="false" outlineLevel="0" collapsed="false">
      <c r="A1497" s="1" t="s">
        <v>493</v>
      </c>
      <c r="B1497" s="1" t="n">
        <v>2015</v>
      </c>
      <c r="C1497" s="1" t="s">
        <v>211</v>
      </c>
      <c r="D1497" s="1" t="s">
        <v>69</v>
      </c>
      <c r="E1497" s="1" t="s">
        <v>61</v>
      </c>
      <c r="F1497" s="1" t="n">
        <v>14</v>
      </c>
      <c r="G1497" s="1" t="n">
        <v>33</v>
      </c>
      <c r="H1497" s="1" t="s">
        <v>62</v>
      </c>
      <c r="I1497" s="1" t="n">
        <v>-1</v>
      </c>
      <c r="J1497" s="1" t="n">
        <v>44.5</v>
      </c>
      <c r="K1497" s="1" t="s">
        <v>165</v>
      </c>
      <c r="L1497" s="1" t="b">
        <f aca="false">FALSE()</f>
        <v>0</v>
      </c>
      <c r="M1497" s="1" t="str">
        <f aca="false">VLOOKUP(D1497,'Team Reference'!$A:$B,2,FALSE())</f>
        <v>DAL</v>
      </c>
      <c r="N1497" s="1" t="str">
        <f aca="false">VLOOKUP(E1497,'Team Reference'!$A:$B,2,FALSE())</f>
        <v>CAR</v>
      </c>
      <c r="O1497" s="1" t="str">
        <f aca="false">IF(F1497&gt;G1497,M1497,IF(G1497&gt;F1497,N1497,"Tie"))</f>
        <v>CAR</v>
      </c>
      <c r="P1497" s="1" t="n">
        <f aca="false">F1497-G1497</f>
        <v>-19</v>
      </c>
      <c r="Q1497" s="1" t="n">
        <f aca="false">F1497+G1497</f>
        <v>47</v>
      </c>
      <c r="R1497" s="1" t="str">
        <f aca="false">IF(H1497=M1497,"Home",IF(H1497=N1497,"Away",IF(H1497="PICK","Pick","N/A")))</f>
        <v>Away</v>
      </c>
      <c r="S1497" s="1" t="n">
        <f aca="false">IF(R1497="Home",P1497,IF(R1497="Away",-P1497,""))</f>
        <v>19</v>
      </c>
      <c r="T1497" s="1" t="str">
        <f aca="false">IF(R1497="Pick","No Line",IF(S1497="","N/A",IF(S1497+I1497&gt;0,"Favorite Covered",IF(S1497+I1497&lt;0,"Underdog Covered","Push"))))</f>
        <v>Favorite Covered</v>
      </c>
      <c r="U1497" s="1" t="str">
        <f aca="false">IF(Q1497&gt;J1497,"Over",IF(Q1497&lt;J1497,"Under","Push"))</f>
        <v>Over</v>
      </c>
    </row>
    <row r="1498" customFormat="false" ht="15" hidden="false" customHeight="false" outlineLevel="0" collapsed="false">
      <c r="A1498" s="1" t="s">
        <v>493</v>
      </c>
      <c r="B1498" s="1" t="n">
        <v>2015</v>
      </c>
      <c r="C1498" s="1" t="s">
        <v>211</v>
      </c>
      <c r="D1498" s="1" t="s">
        <v>73</v>
      </c>
      <c r="E1498" s="1" t="s">
        <v>103</v>
      </c>
      <c r="F1498" s="1" t="n">
        <v>45</v>
      </c>
      <c r="G1498" s="1" t="n">
        <v>14</v>
      </c>
      <c r="H1498" s="1" t="s">
        <v>74</v>
      </c>
      <c r="I1498" s="1" t="n">
        <v>-3</v>
      </c>
      <c r="J1498" s="1" t="n">
        <v>47</v>
      </c>
      <c r="K1498" s="1" t="s">
        <v>167</v>
      </c>
      <c r="L1498" s="1" t="b">
        <f aca="false">FALSE()</f>
        <v>0</v>
      </c>
      <c r="M1498" s="1" t="str">
        <f aca="false">VLOOKUP(D1498,'Team Reference'!$A:$B,2,FALSE())</f>
        <v>DET</v>
      </c>
      <c r="N1498" s="1" t="str">
        <f aca="false">VLOOKUP(E1498,'Team Reference'!$A:$B,2,FALSE())</f>
        <v>PHI</v>
      </c>
      <c r="O1498" s="1" t="str">
        <f aca="false">IF(F1498&gt;G1498,M1498,IF(G1498&gt;F1498,N1498,"Tie"))</f>
        <v>DET</v>
      </c>
      <c r="P1498" s="1" t="n">
        <f aca="false">F1498-G1498</f>
        <v>31</v>
      </c>
      <c r="Q1498" s="1" t="n">
        <f aca="false">F1498+G1498</f>
        <v>59</v>
      </c>
      <c r="R1498" s="1" t="str">
        <f aca="false">IF(H1498=M1498,"Home",IF(H1498=N1498,"Away",IF(H1498="PICK","Pick","N/A")))</f>
        <v>Home</v>
      </c>
      <c r="S1498" s="1" t="n">
        <f aca="false">IF(R1498="Home",P1498,IF(R1498="Away",-P1498,""))</f>
        <v>31</v>
      </c>
      <c r="T1498" s="1" t="str">
        <f aca="false">IF(R1498="Pick","No Line",IF(S1498="","N/A",IF(S1498+I1498&gt;0,"Favorite Covered",IF(S1498+I1498&lt;0,"Underdog Covered","Push"))))</f>
        <v>Favorite Covered</v>
      </c>
      <c r="U1498" s="1" t="str">
        <f aca="false">IF(Q1498&gt;J1498,"Over",IF(Q1498&lt;J1498,"Under","Push"))</f>
        <v>Over</v>
      </c>
    </row>
    <row r="1499" customFormat="false" ht="15" hidden="false" customHeight="false" outlineLevel="0" collapsed="false">
      <c r="A1499" s="1" t="s">
        <v>493</v>
      </c>
      <c r="B1499" s="1" t="n">
        <v>2015</v>
      </c>
      <c r="C1499" s="1" t="s">
        <v>211</v>
      </c>
      <c r="D1499" s="1" t="s">
        <v>75</v>
      </c>
      <c r="E1499" s="1" t="s">
        <v>63</v>
      </c>
      <c r="F1499" s="1" t="n">
        <v>13</v>
      </c>
      <c r="G1499" s="1" t="n">
        <v>17</v>
      </c>
      <c r="H1499" s="1" t="s">
        <v>76</v>
      </c>
      <c r="I1499" s="1" t="n">
        <v>-8</v>
      </c>
      <c r="J1499" s="1" t="n">
        <v>45</v>
      </c>
      <c r="K1499" s="1" t="s">
        <v>168</v>
      </c>
      <c r="L1499" s="1" t="b">
        <f aca="false">FALSE()</f>
        <v>0</v>
      </c>
      <c r="M1499" s="1" t="str">
        <f aca="false">VLOOKUP(D1499,'Team Reference'!$A:$B,2,FALSE())</f>
        <v>GB</v>
      </c>
      <c r="N1499" s="1" t="str">
        <f aca="false">VLOOKUP(E1499,'Team Reference'!$A:$B,2,FALSE())</f>
        <v>CHI</v>
      </c>
      <c r="O1499" s="1" t="str">
        <f aca="false">IF(F1499&gt;G1499,M1499,IF(G1499&gt;F1499,N1499,"Tie"))</f>
        <v>CHI</v>
      </c>
      <c r="P1499" s="1" t="n">
        <f aca="false">F1499-G1499</f>
        <v>-4</v>
      </c>
      <c r="Q1499" s="1" t="n">
        <f aca="false">F1499+G1499</f>
        <v>30</v>
      </c>
      <c r="R1499" s="1" t="str">
        <f aca="false">IF(H1499=M1499,"Home",IF(H1499=N1499,"Away",IF(H1499="PICK","Pick","N/A")))</f>
        <v>Home</v>
      </c>
      <c r="S1499" s="1" t="n">
        <f aca="false">IF(R1499="Home",P1499,IF(R1499="Away",-P1499,""))</f>
        <v>-4</v>
      </c>
      <c r="T1499" s="1" t="str">
        <f aca="false">IF(R1499="Pick","No Line",IF(S1499="","N/A",IF(S1499+I1499&gt;0,"Favorite Covered",IF(S1499+I1499&lt;0,"Underdog Covered","Push"))))</f>
        <v>Underdog Covered</v>
      </c>
      <c r="U1499" s="1" t="str">
        <f aca="false">IF(Q1499&gt;J1499,"Over",IF(Q1499&lt;J1499,"Under","Push"))</f>
        <v>Under</v>
      </c>
    </row>
    <row r="1500" customFormat="false" ht="15" hidden="false" customHeight="false" outlineLevel="0" collapsed="false">
      <c r="A1500" s="1" t="s">
        <v>494</v>
      </c>
      <c r="B1500" s="1" t="n">
        <v>2015</v>
      </c>
      <c r="C1500" s="1" t="s">
        <v>211</v>
      </c>
      <c r="D1500" s="1" t="s">
        <v>55</v>
      </c>
      <c r="E1500" s="1" t="s">
        <v>91</v>
      </c>
      <c r="F1500" s="1" t="n">
        <v>10</v>
      </c>
      <c r="G1500" s="1" t="n">
        <v>20</v>
      </c>
      <c r="H1500" s="1" t="s">
        <v>56</v>
      </c>
      <c r="I1500" s="1" t="n">
        <v>-2</v>
      </c>
      <c r="J1500" s="1" t="n">
        <v>45</v>
      </c>
      <c r="K1500" s="1" t="s">
        <v>161</v>
      </c>
      <c r="L1500" s="1" t="b">
        <f aca="false">FALSE()</f>
        <v>0</v>
      </c>
      <c r="M1500" s="1" t="str">
        <f aca="false">VLOOKUP(D1500,'Team Reference'!$A:$B,2,FALSE())</f>
        <v>ATL</v>
      </c>
      <c r="N1500" s="1" t="str">
        <f aca="false">VLOOKUP(E1500,'Team Reference'!$A:$B,2,FALSE())</f>
        <v>MIN</v>
      </c>
      <c r="O1500" s="1" t="str">
        <f aca="false">IF(F1500&gt;G1500,M1500,IF(G1500&gt;F1500,N1500,"Tie"))</f>
        <v>MIN</v>
      </c>
      <c r="P1500" s="1" t="n">
        <f aca="false">F1500-G1500</f>
        <v>-10</v>
      </c>
      <c r="Q1500" s="1" t="n">
        <f aca="false">F1500+G1500</f>
        <v>30</v>
      </c>
      <c r="R1500" s="1" t="str">
        <f aca="false">IF(H1500=M1500,"Home",IF(H1500=N1500,"Away",IF(H1500="PICK","Pick","N/A")))</f>
        <v>Home</v>
      </c>
      <c r="S1500" s="1" t="n">
        <f aca="false">IF(R1500="Home",P1500,IF(R1500="Away",-P1500,""))</f>
        <v>-10</v>
      </c>
      <c r="T1500" s="1" t="str">
        <f aca="false">IF(R1500="Pick","No Line",IF(S1500="","N/A",IF(S1500+I1500&gt;0,"Favorite Covered",IF(S1500+I1500&lt;0,"Underdog Covered","Push"))))</f>
        <v>Underdog Covered</v>
      </c>
      <c r="U1500" s="1" t="str">
        <f aca="false">IF(Q1500&gt;J1500,"Over",IF(Q1500&lt;J1500,"Under","Push"))</f>
        <v>Under</v>
      </c>
    </row>
    <row r="1501" customFormat="false" ht="15" hidden="false" customHeight="false" outlineLevel="0" collapsed="false">
      <c r="A1501" s="1" t="s">
        <v>494</v>
      </c>
      <c r="B1501" s="1" t="n">
        <v>2015</v>
      </c>
      <c r="C1501" s="1" t="s">
        <v>211</v>
      </c>
      <c r="D1501" s="1" t="s">
        <v>65</v>
      </c>
      <c r="E1501" s="1" t="s">
        <v>112</v>
      </c>
      <c r="F1501" s="1" t="n">
        <v>31</v>
      </c>
      <c r="G1501" s="1" t="n">
        <v>7</v>
      </c>
      <c r="H1501" s="1" t="s">
        <v>66</v>
      </c>
      <c r="I1501" s="1" t="n">
        <v>-9.5</v>
      </c>
      <c r="J1501" s="1" t="n">
        <v>42</v>
      </c>
      <c r="K1501" s="1" t="s">
        <v>163</v>
      </c>
      <c r="L1501" s="1" t="b">
        <f aca="false">FALSE()</f>
        <v>0</v>
      </c>
      <c r="M1501" s="1" t="str">
        <f aca="false">VLOOKUP(D1501,'Team Reference'!$A:$B,2,FALSE())</f>
        <v>CIN</v>
      </c>
      <c r="N1501" s="1" t="str">
        <f aca="false">VLOOKUP(E1501,'Team Reference'!$A:$B,2,FALSE())</f>
        <v>LAR</v>
      </c>
      <c r="O1501" s="1" t="str">
        <f aca="false">IF(F1501&gt;G1501,M1501,IF(G1501&gt;F1501,N1501,"Tie"))</f>
        <v>CIN</v>
      </c>
      <c r="P1501" s="1" t="n">
        <f aca="false">F1501-G1501</f>
        <v>24</v>
      </c>
      <c r="Q1501" s="1" t="n">
        <f aca="false">F1501+G1501</f>
        <v>38</v>
      </c>
      <c r="R1501" s="1" t="str">
        <f aca="false">IF(H1501=M1501,"Home",IF(H1501=N1501,"Away",IF(H1501="PICK","Pick","N/A")))</f>
        <v>Home</v>
      </c>
      <c r="S1501" s="1" t="n">
        <f aca="false">IF(R1501="Home",P1501,IF(R1501="Away",-P1501,""))</f>
        <v>24</v>
      </c>
      <c r="T1501" s="1" t="str">
        <f aca="false">IF(R1501="Pick","No Line",IF(S1501="","N/A",IF(S1501+I1501&gt;0,"Favorite Covered",IF(S1501+I1501&lt;0,"Underdog Covered","Push"))))</f>
        <v>Favorite Covered</v>
      </c>
      <c r="U1501" s="1" t="str">
        <f aca="false">IF(Q1501&gt;J1501,"Over",IF(Q1501&lt;J1501,"Under","Push"))</f>
        <v>Under</v>
      </c>
    </row>
    <row r="1502" customFormat="false" ht="15" hidden="false" customHeight="false" outlineLevel="0" collapsed="false">
      <c r="A1502" s="1" t="s">
        <v>494</v>
      </c>
      <c r="B1502" s="1" t="n">
        <v>2015</v>
      </c>
      <c r="C1502" s="1" t="s">
        <v>211</v>
      </c>
      <c r="D1502" s="1" t="s">
        <v>71</v>
      </c>
      <c r="E1502" s="1" t="s">
        <v>93</v>
      </c>
      <c r="F1502" s="1" t="n">
        <v>30</v>
      </c>
      <c r="G1502" s="1" t="n">
        <v>24</v>
      </c>
      <c r="H1502" s="1" t="s">
        <v>94</v>
      </c>
      <c r="I1502" s="1" t="n">
        <v>-2.5</v>
      </c>
      <c r="J1502" s="1" t="n">
        <v>43</v>
      </c>
      <c r="K1502" s="1" t="s">
        <v>166</v>
      </c>
      <c r="L1502" s="1" t="b">
        <f aca="false">FALSE()</f>
        <v>0</v>
      </c>
      <c r="M1502" s="1" t="str">
        <f aca="false">VLOOKUP(D1502,'Team Reference'!$A:$B,2,FALSE())</f>
        <v>DEN</v>
      </c>
      <c r="N1502" s="1" t="str">
        <f aca="false">VLOOKUP(E1502,'Team Reference'!$A:$B,2,FALSE())</f>
        <v>NE</v>
      </c>
      <c r="O1502" s="1" t="str">
        <f aca="false">IF(F1502&gt;G1502,M1502,IF(G1502&gt;F1502,N1502,"Tie"))</f>
        <v>DEN</v>
      </c>
      <c r="P1502" s="1" t="n">
        <f aca="false">F1502-G1502</f>
        <v>6</v>
      </c>
      <c r="Q1502" s="1" t="n">
        <f aca="false">F1502+G1502</f>
        <v>54</v>
      </c>
      <c r="R1502" s="1" t="str">
        <f aca="false">IF(H1502=M1502,"Home",IF(H1502=N1502,"Away",IF(H1502="PICK","Pick","N/A")))</f>
        <v>Away</v>
      </c>
      <c r="S1502" s="1" t="n">
        <f aca="false">IF(R1502="Home",P1502,IF(R1502="Away",-P1502,""))</f>
        <v>-6</v>
      </c>
      <c r="T1502" s="1" t="str">
        <f aca="false">IF(R1502="Pick","No Line",IF(S1502="","N/A",IF(S1502+I1502&gt;0,"Favorite Covered",IF(S1502+I1502&lt;0,"Underdog Covered","Push"))))</f>
        <v>Underdog Covered</v>
      </c>
      <c r="U1502" s="1" t="str">
        <f aca="false">IF(Q1502&gt;J1502,"Over",IF(Q1502&lt;J1502,"Under","Push"))</f>
        <v>Over</v>
      </c>
    </row>
    <row r="1503" customFormat="false" ht="15" hidden="false" customHeight="false" outlineLevel="0" collapsed="false">
      <c r="A1503" s="1" t="s">
        <v>494</v>
      </c>
      <c r="B1503" s="1" t="n">
        <v>2015</v>
      </c>
      <c r="C1503" s="1" t="s">
        <v>211</v>
      </c>
      <c r="D1503" s="1" t="s">
        <v>77</v>
      </c>
      <c r="E1503" s="1" t="s">
        <v>95</v>
      </c>
      <c r="F1503" s="1" t="n">
        <v>24</v>
      </c>
      <c r="G1503" s="1" t="n">
        <v>6</v>
      </c>
      <c r="H1503" s="1" t="s">
        <v>78</v>
      </c>
      <c r="I1503" s="1" t="n">
        <v>-3.5</v>
      </c>
      <c r="J1503" s="1" t="n">
        <v>51</v>
      </c>
      <c r="K1503" s="1" t="s">
        <v>146</v>
      </c>
      <c r="L1503" s="1" t="b">
        <f aca="false">FALSE()</f>
        <v>0</v>
      </c>
      <c r="M1503" s="1" t="str">
        <f aca="false">VLOOKUP(D1503,'Team Reference'!$A:$B,2,FALSE())</f>
        <v>HOU</v>
      </c>
      <c r="N1503" s="1" t="str">
        <f aca="false">VLOOKUP(E1503,'Team Reference'!$A:$B,2,FALSE())</f>
        <v>NO</v>
      </c>
      <c r="O1503" s="1" t="str">
        <f aca="false">IF(F1503&gt;G1503,M1503,IF(G1503&gt;F1503,N1503,"Tie"))</f>
        <v>HOU</v>
      </c>
      <c r="P1503" s="1" t="n">
        <f aca="false">F1503-G1503</f>
        <v>18</v>
      </c>
      <c r="Q1503" s="1" t="n">
        <f aca="false">F1503+G1503</f>
        <v>30</v>
      </c>
      <c r="R1503" s="1" t="str">
        <f aca="false">IF(H1503=M1503,"Home",IF(H1503=N1503,"Away",IF(H1503="PICK","Pick","N/A")))</f>
        <v>Home</v>
      </c>
      <c r="S1503" s="1" t="n">
        <f aca="false">IF(R1503="Home",P1503,IF(R1503="Away",-P1503,""))</f>
        <v>18</v>
      </c>
      <c r="T1503" s="1" t="str">
        <f aca="false">IF(R1503="Pick","No Line",IF(S1503="","N/A",IF(S1503+I1503&gt;0,"Favorite Covered",IF(S1503+I1503&lt;0,"Underdog Covered","Push"))))</f>
        <v>Favorite Covered</v>
      </c>
      <c r="U1503" s="1" t="str">
        <f aca="false">IF(Q1503&gt;J1503,"Over",IF(Q1503&lt;J1503,"Under","Push"))</f>
        <v>Under</v>
      </c>
    </row>
    <row r="1504" customFormat="false" ht="15" hidden="false" customHeight="false" outlineLevel="0" collapsed="false">
      <c r="A1504" s="1" t="s">
        <v>494</v>
      </c>
      <c r="B1504" s="1" t="n">
        <v>2015</v>
      </c>
      <c r="C1504" s="1" t="s">
        <v>211</v>
      </c>
      <c r="D1504" s="1" t="s">
        <v>79</v>
      </c>
      <c r="E1504" s="1" t="s">
        <v>113</v>
      </c>
      <c r="F1504" s="1" t="n">
        <v>25</v>
      </c>
      <c r="G1504" s="1" t="n">
        <v>12</v>
      </c>
      <c r="H1504" s="1" t="s">
        <v>80</v>
      </c>
      <c r="I1504" s="1" t="n">
        <v>-3</v>
      </c>
      <c r="J1504" s="1" t="n">
        <v>46.5</v>
      </c>
      <c r="K1504" s="1" t="s">
        <v>169</v>
      </c>
      <c r="L1504" s="1" t="b">
        <f aca="false">FALSE()</f>
        <v>0</v>
      </c>
      <c r="M1504" s="1" t="str">
        <f aca="false">VLOOKUP(D1504,'Team Reference'!$A:$B,2,FALSE())</f>
        <v>IND</v>
      </c>
      <c r="N1504" s="1" t="str">
        <f aca="false">VLOOKUP(E1504,'Team Reference'!$A:$B,2,FALSE())</f>
        <v>TB</v>
      </c>
      <c r="O1504" s="1" t="str">
        <f aca="false">IF(F1504&gt;G1504,M1504,IF(G1504&gt;F1504,N1504,"Tie"))</f>
        <v>IND</v>
      </c>
      <c r="P1504" s="1" t="n">
        <f aca="false">F1504-G1504</f>
        <v>13</v>
      </c>
      <c r="Q1504" s="1" t="n">
        <f aca="false">F1504+G1504</f>
        <v>37</v>
      </c>
      <c r="R1504" s="1" t="str">
        <f aca="false">IF(H1504=M1504,"Home",IF(H1504=N1504,"Away",IF(H1504="PICK","Pick","N/A")))</f>
        <v>Home</v>
      </c>
      <c r="S1504" s="1" t="n">
        <f aca="false">IF(R1504="Home",P1504,IF(R1504="Away",-P1504,""))</f>
        <v>13</v>
      </c>
      <c r="T1504" s="1" t="str">
        <f aca="false">IF(R1504="Pick","No Line",IF(S1504="","N/A",IF(S1504+I1504&gt;0,"Favorite Covered",IF(S1504+I1504&lt;0,"Underdog Covered","Push"))))</f>
        <v>Favorite Covered</v>
      </c>
      <c r="U1504" s="1" t="str">
        <f aca="false">IF(Q1504&gt;J1504,"Over",IF(Q1504&lt;J1504,"Under","Push"))</f>
        <v>Under</v>
      </c>
    </row>
    <row r="1505" customFormat="false" ht="15" hidden="false" customHeight="false" outlineLevel="0" collapsed="false">
      <c r="A1505" s="1" t="s">
        <v>494</v>
      </c>
      <c r="B1505" s="1" t="n">
        <v>2015</v>
      </c>
      <c r="C1505" s="1" t="s">
        <v>211</v>
      </c>
      <c r="D1505" s="1" t="s">
        <v>81</v>
      </c>
      <c r="E1505" s="1" t="s">
        <v>107</v>
      </c>
      <c r="F1505" s="1" t="n">
        <v>25</v>
      </c>
      <c r="G1505" s="1" t="n">
        <v>31</v>
      </c>
      <c r="H1505" s="1" t="s">
        <v>82</v>
      </c>
      <c r="I1505" s="1" t="n">
        <v>-5</v>
      </c>
      <c r="J1505" s="1" t="n">
        <v>47</v>
      </c>
      <c r="K1505" s="1" t="s">
        <v>147</v>
      </c>
      <c r="L1505" s="1" t="b">
        <f aca="false">FALSE()</f>
        <v>0</v>
      </c>
      <c r="M1505" s="1" t="str">
        <f aca="false">VLOOKUP(D1505,'Team Reference'!$A:$B,2,FALSE())</f>
        <v>JAX</v>
      </c>
      <c r="N1505" s="1" t="str">
        <f aca="false">VLOOKUP(E1505,'Team Reference'!$A:$B,2,FALSE())</f>
        <v>LAC</v>
      </c>
      <c r="O1505" s="1" t="str">
        <f aca="false">IF(F1505&gt;G1505,M1505,IF(G1505&gt;F1505,N1505,"Tie"))</f>
        <v>LAC</v>
      </c>
      <c r="P1505" s="1" t="n">
        <f aca="false">F1505-G1505</f>
        <v>-6</v>
      </c>
      <c r="Q1505" s="1" t="n">
        <f aca="false">F1505+G1505</f>
        <v>56</v>
      </c>
      <c r="R1505" s="1" t="str">
        <f aca="false">IF(H1505=M1505,"Home",IF(H1505=N1505,"Away",IF(H1505="PICK","Pick","N/A")))</f>
        <v>Home</v>
      </c>
      <c r="S1505" s="1" t="n">
        <f aca="false">IF(R1505="Home",P1505,IF(R1505="Away",-P1505,""))</f>
        <v>-6</v>
      </c>
      <c r="T1505" s="1" t="str">
        <f aca="false">IF(R1505="Pick","No Line",IF(S1505="","N/A",IF(S1505+I1505&gt;0,"Favorite Covered",IF(S1505+I1505&lt;0,"Underdog Covered","Push"))))</f>
        <v>Underdog Covered</v>
      </c>
      <c r="U1505" s="1" t="str">
        <f aca="false">IF(Q1505&gt;J1505,"Over",IF(Q1505&lt;J1505,"Under","Push"))</f>
        <v>Over</v>
      </c>
    </row>
    <row r="1506" customFormat="false" ht="15" hidden="false" customHeight="false" outlineLevel="0" collapsed="false">
      <c r="A1506" s="1" t="s">
        <v>494</v>
      </c>
      <c r="B1506" s="1" t="n">
        <v>2015</v>
      </c>
      <c r="C1506" s="1" t="s">
        <v>211</v>
      </c>
      <c r="D1506" s="1" t="s">
        <v>83</v>
      </c>
      <c r="E1506" s="1" t="s">
        <v>59</v>
      </c>
      <c r="F1506" s="1" t="n">
        <v>30</v>
      </c>
      <c r="G1506" s="1" t="n">
        <v>22</v>
      </c>
      <c r="H1506" s="1" t="s">
        <v>84</v>
      </c>
      <c r="I1506" s="1" t="n">
        <v>-4.5</v>
      </c>
      <c r="J1506" s="1" t="n">
        <v>41</v>
      </c>
      <c r="K1506" s="1" t="s">
        <v>158</v>
      </c>
      <c r="L1506" s="1" t="b">
        <f aca="false">FALSE()</f>
        <v>0</v>
      </c>
      <c r="M1506" s="1" t="str">
        <f aca="false">VLOOKUP(D1506,'Team Reference'!$A:$B,2,FALSE())</f>
        <v>KC</v>
      </c>
      <c r="N1506" s="1" t="str">
        <f aca="false">VLOOKUP(E1506,'Team Reference'!$A:$B,2,FALSE())</f>
        <v>BUF</v>
      </c>
      <c r="O1506" s="1" t="str">
        <f aca="false">IF(F1506&gt;G1506,M1506,IF(G1506&gt;F1506,N1506,"Tie"))</f>
        <v>KC</v>
      </c>
      <c r="P1506" s="1" t="n">
        <f aca="false">F1506-G1506</f>
        <v>8</v>
      </c>
      <c r="Q1506" s="1" t="n">
        <f aca="false">F1506+G1506</f>
        <v>52</v>
      </c>
      <c r="R1506" s="1" t="str">
        <f aca="false">IF(H1506=M1506,"Home",IF(H1506=N1506,"Away",IF(H1506="PICK","Pick","N/A")))</f>
        <v>Home</v>
      </c>
      <c r="S1506" s="1" t="n">
        <f aca="false">IF(R1506="Home",P1506,IF(R1506="Away",-P1506,""))</f>
        <v>8</v>
      </c>
      <c r="T1506" s="1" t="str">
        <f aca="false">IF(R1506="Pick","No Line",IF(S1506="","N/A",IF(S1506+I1506&gt;0,"Favorite Covered",IF(S1506+I1506&lt;0,"Underdog Covered","Push"))))</f>
        <v>Favorite Covered</v>
      </c>
      <c r="U1506" s="1" t="str">
        <f aca="false">IF(Q1506&gt;J1506,"Over",IF(Q1506&lt;J1506,"Under","Push"))</f>
        <v>Over</v>
      </c>
    </row>
    <row r="1507" customFormat="false" ht="15" hidden="false" customHeight="false" outlineLevel="0" collapsed="false">
      <c r="A1507" s="1" t="s">
        <v>494</v>
      </c>
      <c r="B1507" s="1" t="n">
        <v>2015</v>
      </c>
      <c r="C1507" s="1" t="s">
        <v>211</v>
      </c>
      <c r="D1507" s="1" t="s">
        <v>99</v>
      </c>
      <c r="E1507" s="1" t="s">
        <v>89</v>
      </c>
      <c r="F1507" s="1" t="n">
        <v>38</v>
      </c>
      <c r="G1507" s="1" t="n">
        <v>20</v>
      </c>
      <c r="H1507" s="1" t="s">
        <v>100</v>
      </c>
      <c r="I1507" s="1" t="n">
        <v>-4.5</v>
      </c>
      <c r="J1507" s="1" t="n">
        <v>43.5</v>
      </c>
      <c r="K1507" s="1" t="s">
        <v>149</v>
      </c>
      <c r="L1507" s="1" t="b">
        <f aca="false">FALSE()</f>
        <v>0</v>
      </c>
      <c r="M1507" s="1" t="str">
        <f aca="false">VLOOKUP(D1507,'Team Reference'!$A:$B,2,FALSE())</f>
        <v>NYJ</v>
      </c>
      <c r="N1507" s="1" t="str">
        <f aca="false">VLOOKUP(E1507,'Team Reference'!$A:$B,2,FALSE())</f>
        <v>MIA</v>
      </c>
      <c r="O1507" s="1" t="str">
        <f aca="false">IF(F1507&gt;G1507,M1507,IF(G1507&gt;F1507,N1507,"Tie"))</f>
        <v>NYJ</v>
      </c>
      <c r="P1507" s="1" t="n">
        <f aca="false">F1507-G1507</f>
        <v>18</v>
      </c>
      <c r="Q1507" s="1" t="n">
        <f aca="false">F1507+G1507</f>
        <v>58</v>
      </c>
      <c r="R1507" s="1" t="str">
        <f aca="false">IF(H1507=M1507,"Home",IF(H1507=N1507,"Away",IF(H1507="PICK","Pick","N/A")))</f>
        <v>Home</v>
      </c>
      <c r="S1507" s="1" t="n">
        <f aca="false">IF(R1507="Home",P1507,IF(R1507="Away",-P1507,""))</f>
        <v>18</v>
      </c>
      <c r="T1507" s="1" t="str">
        <f aca="false">IF(R1507="Pick","No Line",IF(S1507="","N/A",IF(S1507+I1507&gt;0,"Favorite Covered",IF(S1507+I1507&lt;0,"Underdog Covered","Push"))))</f>
        <v>Favorite Covered</v>
      </c>
      <c r="U1507" s="1" t="str">
        <f aca="false">IF(Q1507&gt;J1507,"Over",IF(Q1507&lt;J1507,"Under","Push"))</f>
        <v>Over</v>
      </c>
    </row>
    <row r="1508" customFormat="false" ht="15" hidden="false" customHeight="false" outlineLevel="0" collapsed="false">
      <c r="A1508" s="1" t="s">
        <v>494</v>
      </c>
      <c r="B1508" s="1" t="n">
        <v>2015</v>
      </c>
      <c r="C1508" s="1" t="s">
        <v>211</v>
      </c>
      <c r="D1508" s="1" t="s">
        <v>108</v>
      </c>
      <c r="E1508" s="1" t="s">
        <v>53</v>
      </c>
      <c r="F1508" s="1" t="n">
        <v>13</v>
      </c>
      <c r="G1508" s="1" t="n">
        <v>19</v>
      </c>
      <c r="H1508" s="1" t="s">
        <v>54</v>
      </c>
      <c r="I1508" s="1" t="n">
        <v>-8.5</v>
      </c>
      <c r="J1508" s="1" t="n">
        <v>45</v>
      </c>
      <c r="K1508" s="1" t="s">
        <v>408</v>
      </c>
      <c r="L1508" s="1" t="b">
        <f aca="false">FALSE()</f>
        <v>0</v>
      </c>
      <c r="M1508" s="1" t="str">
        <f aca="false">VLOOKUP(D1508,'Team Reference'!$A:$B,2,FALSE())</f>
        <v>SF</v>
      </c>
      <c r="N1508" s="1" t="str">
        <f aca="false">VLOOKUP(E1508,'Team Reference'!$A:$B,2,FALSE())</f>
        <v>ARI</v>
      </c>
      <c r="O1508" s="1" t="str">
        <f aca="false">IF(F1508&gt;G1508,M1508,IF(G1508&gt;F1508,N1508,"Tie"))</f>
        <v>ARI</v>
      </c>
      <c r="P1508" s="1" t="n">
        <f aca="false">F1508-G1508</f>
        <v>-6</v>
      </c>
      <c r="Q1508" s="1" t="n">
        <f aca="false">F1508+G1508</f>
        <v>32</v>
      </c>
      <c r="R1508" s="1" t="str">
        <f aca="false">IF(H1508=M1508,"Home",IF(H1508=N1508,"Away",IF(H1508="PICK","Pick","N/A")))</f>
        <v>Away</v>
      </c>
      <c r="S1508" s="1" t="n">
        <f aca="false">IF(R1508="Home",P1508,IF(R1508="Away",-P1508,""))</f>
        <v>6</v>
      </c>
      <c r="T1508" s="1" t="str">
        <f aca="false">IF(R1508="Pick","No Line",IF(S1508="","N/A",IF(S1508+I1508&gt;0,"Favorite Covered",IF(S1508+I1508&lt;0,"Underdog Covered","Push"))))</f>
        <v>Underdog Covered</v>
      </c>
      <c r="U1508" s="1" t="str">
        <f aca="false">IF(Q1508&gt;J1508,"Over",IF(Q1508&lt;J1508,"Under","Push"))</f>
        <v>Under</v>
      </c>
    </row>
    <row r="1509" customFormat="false" ht="15" hidden="false" customHeight="false" outlineLevel="0" collapsed="false">
      <c r="A1509" s="1" t="s">
        <v>494</v>
      </c>
      <c r="B1509" s="1" t="n">
        <v>2015</v>
      </c>
      <c r="C1509" s="1" t="s">
        <v>211</v>
      </c>
      <c r="D1509" s="1" t="s">
        <v>110</v>
      </c>
      <c r="E1509" s="1" t="s">
        <v>105</v>
      </c>
      <c r="F1509" s="1" t="n">
        <v>39</v>
      </c>
      <c r="G1509" s="1" t="n">
        <v>30</v>
      </c>
      <c r="H1509" s="1" t="s">
        <v>111</v>
      </c>
      <c r="I1509" s="1" t="n">
        <v>-3</v>
      </c>
      <c r="J1509" s="1" t="n">
        <v>46.5</v>
      </c>
      <c r="K1509" s="1" t="s">
        <v>152</v>
      </c>
      <c r="L1509" s="1" t="b">
        <f aca="false">FALSE()</f>
        <v>0</v>
      </c>
      <c r="M1509" s="1" t="str">
        <f aca="false">VLOOKUP(D1509,'Team Reference'!$A:$B,2,FALSE())</f>
        <v>SEA</v>
      </c>
      <c r="N1509" s="1" t="str">
        <f aca="false">VLOOKUP(E1509,'Team Reference'!$A:$B,2,FALSE())</f>
        <v>PIT</v>
      </c>
      <c r="O1509" s="1" t="str">
        <f aca="false">IF(F1509&gt;G1509,M1509,IF(G1509&gt;F1509,N1509,"Tie"))</f>
        <v>SEA</v>
      </c>
      <c r="P1509" s="1" t="n">
        <f aca="false">F1509-G1509</f>
        <v>9</v>
      </c>
      <c r="Q1509" s="1" t="n">
        <f aca="false">F1509+G1509</f>
        <v>69</v>
      </c>
      <c r="R1509" s="1" t="str">
        <f aca="false">IF(H1509=M1509,"Home",IF(H1509=N1509,"Away",IF(H1509="PICK","Pick","N/A")))</f>
        <v>Home</v>
      </c>
      <c r="S1509" s="1" t="n">
        <f aca="false">IF(R1509="Home",P1509,IF(R1509="Away",-P1509,""))</f>
        <v>9</v>
      </c>
      <c r="T1509" s="1" t="str">
        <f aca="false">IF(R1509="Pick","No Line",IF(S1509="","N/A",IF(S1509+I1509&gt;0,"Favorite Covered",IF(S1509+I1509&lt;0,"Underdog Covered","Push"))))</f>
        <v>Favorite Covered</v>
      </c>
      <c r="U1509" s="1" t="str">
        <f aca="false">IF(Q1509&gt;J1509,"Over",IF(Q1509&lt;J1509,"Under","Push"))</f>
        <v>Over</v>
      </c>
    </row>
    <row r="1510" customFormat="false" ht="15" hidden="false" customHeight="false" outlineLevel="0" collapsed="false">
      <c r="A1510" s="1" t="s">
        <v>494</v>
      </c>
      <c r="B1510" s="1" t="n">
        <v>2015</v>
      </c>
      <c r="C1510" s="1" t="s">
        <v>211</v>
      </c>
      <c r="D1510" s="1" t="s">
        <v>115</v>
      </c>
      <c r="E1510" s="1" t="s">
        <v>101</v>
      </c>
      <c r="F1510" s="1" t="n">
        <v>21</v>
      </c>
      <c r="G1510" s="1" t="n">
        <v>24</v>
      </c>
      <c r="H1510" s="1" t="s">
        <v>102</v>
      </c>
      <c r="I1510" s="1" t="n">
        <v>-1</v>
      </c>
      <c r="J1510" s="1" t="n">
        <v>45</v>
      </c>
      <c r="K1510" s="1" t="s">
        <v>155</v>
      </c>
      <c r="L1510" s="1" t="b">
        <f aca="false">FALSE()</f>
        <v>0</v>
      </c>
      <c r="M1510" s="1" t="str">
        <f aca="false">VLOOKUP(D1510,'Team Reference'!$A:$B,2,FALSE())</f>
        <v>TEN</v>
      </c>
      <c r="N1510" s="1" t="str">
        <f aca="false">VLOOKUP(E1510,'Team Reference'!$A:$B,2,FALSE())</f>
        <v>OAK</v>
      </c>
      <c r="O1510" s="1" t="str">
        <f aca="false">IF(F1510&gt;G1510,M1510,IF(G1510&gt;F1510,N1510,"Tie"))</f>
        <v>OAK</v>
      </c>
      <c r="P1510" s="1" t="n">
        <f aca="false">F1510-G1510</f>
        <v>-3</v>
      </c>
      <c r="Q1510" s="1" t="n">
        <f aca="false">F1510+G1510</f>
        <v>45</v>
      </c>
      <c r="R1510" s="1" t="str">
        <f aca="false">IF(H1510=M1510,"Home",IF(H1510=N1510,"Away",IF(H1510="PICK","Pick","N/A")))</f>
        <v>Away</v>
      </c>
      <c r="S1510" s="1" t="n">
        <f aca="false">IF(R1510="Home",P1510,IF(R1510="Away",-P1510,""))</f>
        <v>3</v>
      </c>
      <c r="T1510" s="1" t="str">
        <f aca="false">IF(R1510="Pick","No Line",IF(S1510="","N/A",IF(S1510+I1510&gt;0,"Favorite Covered",IF(S1510+I1510&lt;0,"Underdog Covered","Push"))))</f>
        <v>Favorite Covered</v>
      </c>
      <c r="U1510" s="1" t="str">
        <f aca="false">IF(Q1510&gt;J1510,"Over",IF(Q1510&lt;J1510,"Under","Push"))</f>
        <v>Push</v>
      </c>
    </row>
    <row r="1511" customFormat="false" ht="15" hidden="false" customHeight="false" outlineLevel="0" collapsed="false">
      <c r="A1511" s="1" t="s">
        <v>494</v>
      </c>
      <c r="B1511" s="1" t="n">
        <v>2015</v>
      </c>
      <c r="C1511" s="1" t="s">
        <v>211</v>
      </c>
      <c r="D1511" s="1" t="s">
        <v>117</v>
      </c>
      <c r="E1511" s="1" t="s">
        <v>97</v>
      </c>
      <c r="F1511" s="1" t="n">
        <v>20</v>
      </c>
      <c r="G1511" s="1" t="n">
        <v>14</v>
      </c>
      <c r="H1511" s="1" t="s">
        <v>98</v>
      </c>
      <c r="I1511" s="1" t="n">
        <v>-1.5</v>
      </c>
      <c r="J1511" s="1" t="n">
        <v>48</v>
      </c>
      <c r="K1511" s="1" t="s">
        <v>156</v>
      </c>
      <c r="L1511" s="1" t="b">
        <f aca="false">FALSE()</f>
        <v>0</v>
      </c>
      <c r="M1511" s="1" t="str">
        <f aca="false">VLOOKUP(D1511,'Team Reference'!$A:$B,2,FALSE())</f>
        <v>WAS</v>
      </c>
      <c r="N1511" s="1" t="str">
        <f aca="false">VLOOKUP(E1511,'Team Reference'!$A:$B,2,FALSE())</f>
        <v>NYG</v>
      </c>
      <c r="O1511" s="1" t="str">
        <f aca="false">IF(F1511&gt;G1511,M1511,IF(G1511&gt;F1511,N1511,"Tie"))</f>
        <v>WAS</v>
      </c>
      <c r="P1511" s="1" t="n">
        <f aca="false">F1511-G1511</f>
        <v>6</v>
      </c>
      <c r="Q1511" s="1" t="n">
        <f aca="false">F1511+G1511</f>
        <v>34</v>
      </c>
      <c r="R1511" s="1" t="str">
        <f aca="false">IF(H1511=M1511,"Home",IF(H1511=N1511,"Away",IF(H1511="PICK","Pick","N/A")))</f>
        <v>Away</v>
      </c>
      <c r="S1511" s="1" t="n">
        <f aca="false">IF(R1511="Home",P1511,IF(R1511="Away",-P1511,""))</f>
        <v>-6</v>
      </c>
      <c r="T1511" s="1" t="str">
        <f aca="false">IF(R1511="Pick","No Line",IF(S1511="","N/A",IF(S1511+I1511&gt;0,"Favorite Covered",IF(S1511+I1511&lt;0,"Underdog Covered","Push"))))</f>
        <v>Underdog Covered</v>
      </c>
      <c r="U1511" s="1" t="str">
        <f aca="false">IF(Q1511&gt;J1511,"Over",IF(Q1511&lt;J1511,"Under","Push"))</f>
        <v>Under</v>
      </c>
    </row>
    <row r="1512" customFormat="false" ht="15" hidden="false" customHeight="false" outlineLevel="0" collapsed="false">
      <c r="A1512" s="1" t="s">
        <v>495</v>
      </c>
      <c r="B1512" s="1" t="n">
        <v>2015</v>
      </c>
      <c r="C1512" s="1" t="s">
        <v>211</v>
      </c>
      <c r="D1512" s="1" t="s">
        <v>67</v>
      </c>
      <c r="E1512" s="1" t="s">
        <v>57</v>
      </c>
      <c r="F1512" s="1" t="n">
        <v>27</v>
      </c>
      <c r="G1512" s="1" t="n">
        <v>33</v>
      </c>
      <c r="H1512" s="1" t="s">
        <v>68</v>
      </c>
      <c r="I1512" s="1" t="n">
        <v>-6</v>
      </c>
      <c r="J1512" s="1" t="n">
        <v>41</v>
      </c>
      <c r="K1512" s="1" t="s">
        <v>164</v>
      </c>
      <c r="L1512" s="1" t="b">
        <f aca="false">FALSE()</f>
        <v>0</v>
      </c>
      <c r="M1512" s="1" t="str">
        <f aca="false">VLOOKUP(D1512,'Team Reference'!$A:$B,2,FALSE())</f>
        <v>CLE</v>
      </c>
      <c r="N1512" s="1" t="str">
        <f aca="false">VLOOKUP(E1512,'Team Reference'!$A:$B,2,FALSE())</f>
        <v>BAL</v>
      </c>
      <c r="O1512" s="1" t="str">
        <f aca="false">IF(F1512&gt;G1512,M1512,IF(G1512&gt;F1512,N1512,"Tie"))</f>
        <v>BAL</v>
      </c>
      <c r="P1512" s="1" t="n">
        <f aca="false">F1512-G1512</f>
        <v>-6</v>
      </c>
      <c r="Q1512" s="1" t="n">
        <f aca="false">F1512+G1512</f>
        <v>60</v>
      </c>
      <c r="R1512" s="1" t="str">
        <f aca="false">IF(H1512=M1512,"Home",IF(H1512=N1512,"Away",IF(H1512="PICK","Pick","N/A")))</f>
        <v>Home</v>
      </c>
      <c r="S1512" s="1" t="n">
        <f aca="false">IF(R1512="Home",P1512,IF(R1512="Away",-P1512,""))</f>
        <v>-6</v>
      </c>
      <c r="T1512" s="1" t="str">
        <f aca="false">IF(R1512="Pick","No Line",IF(S1512="","N/A",IF(S1512+I1512&gt;0,"Favorite Covered",IF(S1512+I1512&lt;0,"Underdog Covered","Push"))))</f>
        <v>Underdog Covered</v>
      </c>
      <c r="U1512" s="1" t="str">
        <f aca="false">IF(Q1512&gt;J1512,"Over",IF(Q1512&lt;J1512,"Under","Push"))</f>
        <v>Over</v>
      </c>
    </row>
    <row r="1513" customFormat="false" ht="15" hidden="false" customHeight="false" outlineLevel="0" collapsed="false">
      <c r="A1513" s="1" t="s">
        <v>496</v>
      </c>
      <c r="B1513" s="1" t="n">
        <v>2015</v>
      </c>
      <c r="C1513" s="1" t="s">
        <v>215</v>
      </c>
      <c r="D1513" s="1" t="s">
        <v>73</v>
      </c>
      <c r="E1513" s="1" t="s">
        <v>75</v>
      </c>
      <c r="F1513" s="1" t="n">
        <v>23</v>
      </c>
      <c r="G1513" s="1" t="n">
        <v>27</v>
      </c>
      <c r="H1513" s="1" t="s">
        <v>76</v>
      </c>
      <c r="I1513" s="1" t="n">
        <v>-2.5</v>
      </c>
      <c r="J1513" s="1" t="n">
        <v>46.5</v>
      </c>
      <c r="K1513" s="1" t="s">
        <v>167</v>
      </c>
      <c r="L1513" s="1" t="b">
        <f aca="false">FALSE()</f>
        <v>0</v>
      </c>
      <c r="M1513" s="1" t="str">
        <f aca="false">VLOOKUP(D1513,'Team Reference'!$A:$B,2,FALSE())</f>
        <v>DET</v>
      </c>
      <c r="N1513" s="1" t="str">
        <f aca="false">VLOOKUP(E1513,'Team Reference'!$A:$B,2,FALSE())</f>
        <v>GB</v>
      </c>
      <c r="O1513" s="1" t="str">
        <f aca="false">IF(F1513&gt;G1513,M1513,IF(G1513&gt;F1513,N1513,"Tie"))</f>
        <v>GB</v>
      </c>
      <c r="P1513" s="1" t="n">
        <f aca="false">F1513-G1513</f>
        <v>-4</v>
      </c>
      <c r="Q1513" s="1" t="n">
        <f aca="false">F1513+G1513</f>
        <v>50</v>
      </c>
      <c r="R1513" s="1" t="str">
        <f aca="false">IF(H1513=M1513,"Home",IF(H1513=N1513,"Away",IF(H1513="PICK","Pick","N/A")))</f>
        <v>Away</v>
      </c>
      <c r="S1513" s="1" t="n">
        <f aca="false">IF(R1513="Home",P1513,IF(R1513="Away",-P1513,""))</f>
        <v>4</v>
      </c>
      <c r="T1513" s="1" t="str">
        <f aca="false">IF(R1513="Pick","No Line",IF(S1513="","N/A",IF(S1513+I1513&gt;0,"Favorite Covered",IF(S1513+I1513&lt;0,"Underdog Covered","Push"))))</f>
        <v>Favorite Covered</v>
      </c>
      <c r="U1513" s="1" t="str">
        <f aca="false">IF(Q1513&gt;J1513,"Over",IF(Q1513&lt;J1513,"Under","Push"))</f>
        <v>Over</v>
      </c>
    </row>
    <row r="1514" customFormat="false" ht="15" hidden="false" customHeight="false" outlineLevel="0" collapsed="false">
      <c r="A1514" s="1" t="s">
        <v>497</v>
      </c>
      <c r="B1514" s="1" t="n">
        <v>2015</v>
      </c>
      <c r="C1514" s="1" t="s">
        <v>215</v>
      </c>
      <c r="D1514" s="1" t="s">
        <v>59</v>
      </c>
      <c r="E1514" s="1" t="s">
        <v>77</v>
      </c>
      <c r="F1514" s="1" t="n">
        <v>30</v>
      </c>
      <c r="G1514" s="1" t="n">
        <v>21</v>
      </c>
      <c r="H1514" s="1" t="s">
        <v>60</v>
      </c>
      <c r="I1514" s="1" t="n">
        <v>-3</v>
      </c>
      <c r="J1514" s="1" t="n">
        <v>42</v>
      </c>
      <c r="K1514" s="1" t="s">
        <v>144</v>
      </c>
      <c r="L1514" s="1" t="b">
        <f aca="false">FALSE()</f>
        <v>0</v>
      </c>
      <c r="M1514" s="1" t="str">
        <f aca="false">VLOOKUP(D1514,'Team Reference'!$A:$B,2,FALSE())</f>
        <v>BUF</v>
      </c>
      <c r="N1514" s="1" t="str">
        <f aca="false">VLOOKUP(E1514,'Team Reference'!$A:$B,2,FALSE())</f>
        <v>HOU</v>
      </c>
      <c r="O1514" s="1" t="str">
        <f aca="false">IF(F1514&gt;G1514,M1514,IF(G1514&gt;F1514,N1514,"Tie"))</f>
        <v>BUF</v>
      </c>
      <c r="P1514" s="1" t="n">
        <f aca="false">F1514-G1514</f>
        <v>9</v>
      </c>
      <c r="Q1514" s="1" t="n">
        <f aca="false">F1514+G1514</f>
        <v>51</v>
      </c>
      <c r="R1514" s="1" t="str">
        <f aca="false">IF(H1514=M1514,"Home",IF(H1514=N1514,"Away",IF(H1514="PICK","Pick","N/A")))</f>
        <v>Home</v>
      </c>
      <c r="S1514" s="1" t="n">
        <f aca="false">IF(R1514="Home",P1514,IF(R1514="Away",-P1514,""))</f>
        <v>9</v>
      </c>
      <c r="T1514" s="1" t="str">
        <f aca="false">IF(R1514="Pick","No Line",IF(S1514="","N/A",IF(S1514+I1514&gt;0,"Favorite Covered",IF(S1514+I1514&lt;0,"Underdog Covered","Push"))))</f>
        <v>Favorite Covered</v>
      </c>
      <c r="U1514" s="1" t="str">
        <f aca="false">IF(Q1514&gt;J1514,"Over",IF(Q1514&lt;J1514,"Under","Push"))</f>
        <v>Over</v>
      </c>
    </row>
    <row r="1515" customFormat="false" ht="15" hidden="false" customHeight="false" outlineLevel="0" collapsed="false">
      <c r="A1515" s="1" t="s">
        <v>497</v>
      </c>
      <c r="B1515" s="1" t="n">
        <v>2015</v>
      </c>
      <c r="C1515" s="1" t="s">
        <v>215</v>
      </c>
      <c r="D1515" s="1" t="s">
        <v>63</v>
      </c>
      <c r="E1515" s="1" t="s">
        <v>108</v>
      </c>
      <c r="F1515" s="1" t="n">
        <v>20</v>
      </c>
      <c r="G1515" s="1" t="n">
        <v>26</v>
      </c>
      <c r="H1515" s="1" t="s">
        <v>64</v>
      </c>
      <c r="I1515" s="1" t="n">
        <v>-6.5</v>
      </c>
      <c r="J1515" s="1" t="n">
        <v>43</v>
      </c>
      <c r="K1515" s="1" t="s">
        <v>145</v>
      </c>
      <c r="L1515" s="1" t="b">
        <f aca="false">FALSE()</f>
        <v>0</v>
      </c>
      <c r="M1515" s="1" t="str">
        <f aca="false">VLOOKUP(D1515,'Team Reference'!$A:$B,2,FALSE())</f>
        <v>CHI</v>
      </c>
      <c r="N1515" s="1" t="str">
        <f aca="false">VLOOKUP(E1515,'Team Reference'!$A:$B,2,FALSE())</f>
        <v>SF</v>
      </c>
      <c r="O1515" s="1" t="str">
        <f aca="false">IF(F1515&gt;G1515,M1515,IF(G1515&gt;F1515,N1515,"Tie"))</f>
        <v>SF</v>
      </c>
      <c r="P1515" s="1" t="n">
        <f aca="false">F1515-G1515</f>
        <v>-6</v>
      </c>
      <c r="Q1515" s="1" t="n">
        <f aca="false">F1515+G1515</f>
        <v>46</v>
      </c>
      <c r="R1515" s="1" t="str">
        <f aca="false">IF(H1515=M1515,"Home",IF(H1515=N1515,"Away",IF(H1515="PICK","Pick","N/A")))</f>
        <v>Home</v>
      </c>
      <c r="S1515" s="1" t="n">
        <f aca="false">IF(R1515="Home",P1515,IF(R1515="Away",-P1515,""))</f>
        <v>-6</v>
      </c>
      <c r="T1515" s="1" t="str">
        <f aca="false">IF(R1515="Pick","No Line",IF(S1515="","N/A",IF(S1515+I1515&gt;0,"Favorite Covered",IF(S1515+I1515&lt;0,"Underdog Covered","Push"))))</f>
        <v>Underdog Covered</v>
      </c>
      <c r="U1515" s="1" t="str">
        <f aca="false">IF(Q1515&gt;J1515,"Over",IF(Q1515&lt;J1515,"Under","Push"))</f>
        <v>Over</v>
      </c>
    </row>
    <row r="1516" customFormat="false" ht="15" hidden="false" customHeight="false" outlineLevel="0" collapsed="false">
      <c r="A1516" s="1" t="s">
        <v>497</v>
      </c>
      <c r="B1516" s="1" t="n">
        <v>2015</v>
      </c>
      <c r="C1516" s="1" t="s">
        <v>215</v>
      </c>
      <c r="D1516" s="1" t="s">
        <v>67</v>
      </c>
      <c r="E1516" s="1" t="s">
        <v>65</v>
      </c>
      <c r="F1516" s="1" t="n">
        <v>3</v>
      </c>
      <c r="G1516" s="1" t="n">
        <v>37</v>
      </c>
      <c r="H1516" s="1" t="s">
        <v>66</v>
      </c>
      <c r="I1516" s="1" t="n">
        <v>-7.5</v>
      </c>
      <c r="J1516" s="1" t="n">
        <v>44</v>
      </c>
      <c r="K1516" s="1" t="s">
        <v>164</v>
      </c>
      <c r="L1516" s="1" t="b">
        <f aca="false">FALSE()</f>
        <v>0</v>
      </c>
      <c r="M1516" s="1" t="str">
        <f aca="false">VLOOKUP(D1516,'Team Reference'!$A:$B,2,FALSE())</f>
        <v>CLE</v>
      </c>
      <c r="N1516" s="1" t="str">
        <f aca="false">VLOOKUP(E1516,'Team Reference'!$A:$B,2,FALSE())</f>
        <v>CIN</v>
      </c>
      <c r="O1516" s="1" t="str">
        <f aca="false">IF(F1516&gt;G1516,M1516,IF(G1516&gt;F1516,N1516,"Tie"))</f>
        <v>CIN</v>
      </c>
      <c r="P1516" s="1" t="n">
        <f aca="false">F1516-G1516</f>
        <v>-34</v>
      </c>
      <c r="Q1516" s="1" t="n">
        <f aca="false">F1516+G1516</f>
        <v>40</v>
      </c>
      <c r="R1516" s="1" t="str">
        <f aca="false">IF(H1516=M1516,"Home",IF(H1516=N1516,"Away",IF(H1516="PICK","Pick","N/A")))</f>
        <v>Away</v>
      </c>
      <c r="S1516" s="1" t="n">
        <f aca="false">IF(R1516="Home",P1516,IF(R1516="Away",-P1516,""))</f>
        <v>34</v>
      </c>
      <c r="T1516" s="1" t="str">
        <f aca="false">IF(R1516="Pick","No Line",IF(S1516="","N/A",IF(S1516+I1516&gt;0,"Favorite Covered",IF(S1516+I1516&lt;0,"Underdog Covered","Push"))))</f>
        <v>Favorite Covered</v>
      </c>
      <c r="U1516" s="1" t="str">
        <f aca="false">IF(Q1516&gt;J1516,"Over",IF(Q1516&lt;J1516,"Under","Push"))</f>
        <v>Under</v>
      </c>
    </row>
    <row r="1517" customFormat="false" ht="15" hidden="false" customHeight="false" outlineLevel="0" collapsed="false">
      <c r="A1517" s="1" t="s">
        <v>497</v>
      </c>
      <c r="B1517" s="1" t="n">
        <v>2015</v>
      </c>
      <c r="C1517" s="1" t="s">
        <v>215</v>
      </c>
      <c r="D1517" s="1" t="s">
        <v>89</v>
      </c>
      <c r="E1517" s="1" t="s">
        <v>57</v>
      </c>
      <c r="F1517" s="1" t="n">
        <v>15</v>
      </c>
      <c r="G1517" s="1" t="n">
        <v>13</v>
      </c>
      <c r="H1517" s="1" t="s">
        <v>90</v>
      </c>
      <c r="I1517" s="1" t="n">
        <v>-3.5</v>
      </c>
      <c r="J1517" s="1" t="n">
        <v>43</v>
      </c>
      <c r="K1517" s="1" t="s">
        <v>179</v>
      </c>
      <c r="L1517" s="1" t="b">
        <f aca="false">FALSE()</f>
        <v>0</v>
      </c>
      <c r="M1517" s="1" t="str">
        <f aca="false">VLOOKUP(D1517,'Team Reference'!$A:$B,2,FALSE())</f>
        <v>MIA</v>
      </c>
      <c r="N1517" s="1" t="str">
        <f aca="false">VLOOKUP(E1517,'Team Reference'!$A:$B,2,FALSE())</f>
        <v>BAL</v>
      </c>
      <c r="O1517" s="1" t="str">
        <f aca="false">IF(F1517&gt;G1517,M1517,IF(G1517&gt;F1517,N1517,"Tie"))</f>
        <v>MIA</v>
      </c>
      <c r="P1517" s="1" t="n">
        <f aca="false">F1517-G1517</f>
        <v>2</v>
      </c>
      <c r="Q1517" s="1" t="n">
        <f aca="false">F1517+G1517</f>
        <v>28</v>
      </c>
      <c r="R1517" s="1" t="str">
        <f aca="false">IF(H1517=M1517,"Home",IF(H1517=N1517,"Away",IF(H1517="PICK","Pick","N/A")))</f>
        <v>Home</v>
      </c>
      <c r="S1517" s="1" t="n">
        <f aca="false">IF(R1517="Home",P1517,IF(R1517="Away",-P1517,""))</f>
        <v>2</v>
      </c>
      <c r="T1517" s="1" t="str">
        <f aca="false">IF(R1517="Pick","No Line",IF(S1517="","N/A",IF(S1517+I1517&gt;0,"Favorite Covered",IF(S1517+I1517&lt;0,"Underdog Covered","Push"))))</f>
        <v>Underdog Covered</v>
      </c>
      <c r="U1517" s="1" t="str">
        <f aca="false">IF(Q1517&gt;J1517,"Over",IF(Q1517&lt;J1517,"Under","Push"))</f>
        <v>Under</v>
      </c>
    </row>
    <row r="1518" customFormat="false" ht="15" hidden="false" customHeight="false" outlineLevel="0" collapsed="false">
      <c r="A1518" s="1" t="s">
        <v>497</v>
      </c>
      <c r="B1518" s="1" t="n">
        <v>2015</v>
      </c>
      <c r="C1518" s="1" t="s">
        <v>215</v>
      </c>
      <c r="D1518" s="1" t="s">
        <v>91</v>
      </c>
      <c r="E1518" s="1" t="s">
        <v>110</v>
      </c>
      <c r="F1518" s="1" t="n">
        <v>7</v>
      </c>
      <c r="G1518" s="1" t="n">
        <v>38</v>
      </c>
      <c r="H1518" s="1" t="s">
        <v>111</v>
      </c>
      <c r="I1518" s="1" t="n">
        <v>-2.5</v>
      </c>
      <c r="J1518" s="1" t="n">
        <v>43</v>
      </c>
      <c r="K1518" s="1" t="s">
        <v>407</v>
      </c>
      <c r="L1518" s="1" t="b">
        <f aca="false">FALSE()</f>
        <v>0</v>
      </c>
      <c r="M1518" s="1" t="str">
        <f aca="false">VLOOKUP(D1518,'Team Reference'!$A:$B,2,FALSE())</f>
        <v>MIN</v>
      </c>
      <c r="N1518" s="1" t="str">
        <f aca="false">VLOOKUP(E1518,'Team Reference'!$A:$B,2,FALSE())</f>
        <v>SEA</v>
      </c>
      <c r="O1518" s="1" t="str">
        <f aca="false">IF(F1518&gt;G1518,M1518,IF(G1518&gt;F1518,N1518,"Tie"))</f>
        <v>SEA</v>
      </c>
      <c r="P1518" s="1" t="n">
        <f aca="false">F1518-G1518</f>
        <v>-31</v>
      </c>
      <c r="Q1518" s="1" t="n">
        <f aca="false">F1518+G1518</f>
        <v>45</v>
      </c>
      <c r="R1518" s="1" t="str">
        <f aca="false">IF(H1518=M1518,"Home",IF(H1518=N1518,"Away",IF(H1518="PICK","Pick","N/A")))</f>
        <v>Away</v>
      </c>
      <c r="S1518" s="1" t="n">
        <f aca="false">IF(R1518="Home",P1518,IF(R1518="Away",-P1518,""))</f>
        <v>31</v>
      </c>
      <c r="T1518" s="1" t="str">
        <f aca="false">IF(R1518="Pick","No Line",IF(S1518="","N/A",IF(S1518+I1518&gt;0,"Favorite Covered",IF(S1518+I1518&lt;0,"Underdog Covered","Push"))))</f>
        <v>Favorite Covered</v>
      </c>
      <c r="U1518" s="1" t="str">
        <f aca="false">IF(Q1518&gt;J1518,"Over",IF(Q1518&lt;J1518,"Under","Push"))</f>
        <v>Over</v>
      </c>
    </row>
    <row r="1519" customFormat="false" ht="15" hidden="false" customHeight="false" outlineLevel="0" collapsed="false">
      <c r="A1519" s="1" t="s">
        <v>497</v>
      </c>
      <c r="B1519" s="1" t="n">
        <v>2015</v>
      </c>
      <c r="C1519" s="1" t="s">
        <v>215</v>
      </c>
      <c r="D1519" s="1" t="s">
        <v>93</v>
      </c>
      <c r="E1519" s="1" t="s">
        <v>103</v>
      </c>
      <c r="F1519" s="1" t="n">
        <v>28</v>
      </c>
      <c r="G1519" s="1" t="n">
        <v>35</v>
      </c>
      <c r="H1519" s="1" t="s">
        <v>94</v>
      </c>
      <c r="I1519" s="1" t="n">
        <v>-9.5</v>
      </c>
      <c r="J1519" s="1" t="n">
        <v>49</v>
      </c>
      <c r="K1519" s="1" t="s">
        <v>148</v>
      </c>
      <c r="L1519" s="1" t="b">
        <f aca="false">FALSE()</f>
        <v>0</v>
      </c>
      <c r="M1519" s="1" t="str">
        <f aca="false">VLOOKUP(D1519,'Team Reference'!$A:$B,2,FALSE())</f>
        <v>NE</v>
      </c>
      <c r="N1519" s="1" t="str">
        <f aca="false">VLOOKUP(E1519,'Team Reference'!$A:$B,2,FALSE())</f>
        <v>PHI</v>
      </c>
      <c r="O1519" s="1" t="str">
        <f aca="false">IF(F1519&gt;G1519,M1519,IF(G1519&gt;F1519,N1519,"Tie"))</f>
        <v>PHI</v>
      </c>
      <c r="P1519" s="1" t="n">
        <f aca="false">F1519-G1519</f>
        <v>-7</v>
      </c>
      <c r="Q1519" s="1" t="n">
        <f aca="false">F1519+G1519</f>
        <v>63</v>
      </c>
      <c r="R1519" s="1" t="str">
        <f aca="false">IF(H1519=M1519,"Home",IF(H1519=N1519,"Away",IF(H1519="PICK","Pick","N/A")))</f>
        <v>Home</v>
      </c>
      <c r="S1519" s="1" t="n">
        <f aca="false">IF(R1519="Home",P1519,IF(R1519="Away",-P1519,""))</f>
        <v>-7</v>
      </c>
      <c r="T1519" s="1" t="str">
        <f aca="false">IF(R1519="Pick","No Line",IF(S1519="","N/A",IF(S1519+I1519&gt;0,"Favorite Covered",IF(S1519+I1519&lt;0,"Underdog Covered","Push"))))</f>
        <v>Underdog Covered</v>
      </c>
      <c r="U1519" s="1" t="str">
        <f aca="false">IF(Q1519&gt;J1519,"Over",IF(Q1519&lt;J1519,"Under","Push"))</f>
        <v>Over</v>
      </c>
    </row>
    <row r="1520" customFormat="false" ht="15" hidden="false" customHeight="false" outlineLevel="0" collapsed="false">
      <c r="A1520" s="1" t="s">
        <v>497</v>
      </c>
      <c r="B1520" s="1" t="n">
        <v>2015</v>
      </c>
      <c r="C1520" s="1" t="s">
        <v>215</v>
      </c>
      <c r="D1520" s="1" t="s">
        <v>95</v>
      </c>
      <c r="E1520" s="1" t="s">
        <v>61</v>
      </c>
      <c r="F1520" s="1" t="n">
        <v>38</v>
      </c>
      <c r="G1520" s="1" t="n">
        <v>41</v>
      </c>
      <c r="H1520" s="1" t="s">
        <v>62</v>
      </c>
      <c r="I1520" s="1" t="n">
        <v>-6</v>
      </c>
      <c r="J1520" s="1" t="n">
        <v>50.5</v>
      </c>
      <c r="K1520" s="1" t="s">
        <v>142</v>
      </c>
      <c r="L1520" s="1" t="b">
        <f aca="false">FALSE()</f>
        <v>0</v>
      </c>
      <c r="M1520" s="1" t="str">
        <f aca="false">VLOOKUP(D1520,'Team Reference'!$A:$B,2,FALSE())</f>
        <v>NO</v>
      </c>
      <c r="N1520" s="1" t="str">
        <f aca="false">VLOOKUP(E1520,'Team Reference'!$A:$B,2,FALSE())</f>
        <v>CAR</v>
      </c>
      <c r="O1520" s="1" t="str">
        <f aca="false">IF(F1520&gt;G1520,M1520,IF(G1520&gt;F1520,N1520,"Tie"))</f>
        <v>CAR</v>
      </c>
      <c r="P1520" s="1" t="n">
        <f aca="false">F1520-G1520</f>
        <v>-3</v>
      </c>
      <c r="Q1520" s="1" t="n">
        <f aca="false">F1520+G1520</f>
        <v>79</v>
      </c>
      <c r="R1520" s="1" t="str">
        <f aca="false">IF(H1520=M1520,"Home",IF(H1520=N1520,"Away",IF(H1520="PICK","Pick","N/A")))</f>
        <v>Away</v>
      </c>
      <c r="S1520" s="1" t="n">
        <f aca="false">IF(R1520="Home",P1520,IF(R1520="Away",-P1520,""))</f>
        <v>3</v>
      </c>
      <c r="T1520" s="1" t="str">
        <f aca="false">IF(R1520="Pick","No Line",IF(S1520="","N/A",IF(S1520+I1520&gt;0,"Favorite Covered",IF(S1520+I1520&lt;0,"Underdog Covered","Push"))))</f>
        <v>Underdog Covered</v>
      </c>
      <c r="U1520" s="1" t="str">
        <f aca="false">IF(Q1520&gt;J1520,"Over",IF(Q1520&lt;J1520,"Under","Push"))</f>
        <v>Over</v>
      </c>
    </row>
    <row r="1521" customFormat="false" ht="15" hidden="false" customHeight="false" outlineLevel="0" collapsed="false">
      <c r="A1521" s="1" t="s">
        <v>497</v>
      </c>
      <c r="B1521" s="1" t="n">
        <v>2015</v>
      </c>
      <c r="C1521" s="1" t="s">
        <v>215</v>
      </c>
      <c r="D1521" s="1" t="s">
        <v>97</v>
      </c>
      <c r="E1521" s="1" t="s">
        <v>99</v>
      </c>
      <c r="F1521" s="1" t="n">
        <v>20</v>
      </c>
      <c r="G1521" s="1" t="n">
        <v>23</v>
      </c>
      <c r="H1521" s="1" t="s">
        <v>100</v>
      </c>
      <c r="I1521" s="1" t="n">
        <v>-2.5</v>
      </c>
      <c r="J1521" s="1" t="n">
        <v>46</v>
      </c>
      <c r="K1521" s="1" t="s">
        <v>149</v>
      </c>
      <c r="L1521" s="1" t="b">
        <f aca="false">FALSE()</f>
        <v>0</v>
      </c>
      <c r="M1521" s="1" t="str">
        <f aca="false">VLOOKUP(D1521,'Team Reference'!$A:$B,2,FALSE())</f>
        <v>NYG</v>
      </c>
      <c r="N1521" s="1" t="str">
        <f aca="false">VLOOKUP(E1521,'Team Reference'!$A:$B,2,FALSE())</f>
        <v>NYJ</v>
      </c>
      <c r="O1521" s="1" t="str">
        <f aca="false">IF(F1521&gt;G1521,M1521,IF(G1521&gt;F1521,N1521,"Tie"))</f>
        <v>NYJ</v>
      </c>
      <c r="P1521" s="1" t="n">
        <f aca="false">F1521-G1521</f>
        <v>-3</v>
      </c>
      <c r="Q1521" s="1" t="n">
        <f aca="false">F1521+G1521</f>
        <v>43</v>
      </c>
      <c r="R1521" s="1" t="str">
        <f aca="false">IF(H1521=M1521,"Home",IF(H1521=N1521,"Away",IF(H1521="PICK","Pick","N/A")))</f>
        <v>Away</v>
      </c>
      <c r="S1521" s="1" t="n">
        <f aca="false">IF(R1521="Home",P1521,IF(R1521="Away",-P1521,""))</f>
        <v>3</v>
      </c>
      <c r="T1521" s="1" t="str">
        <f aca="false">IF(R1521="Pick","No Line",IF(S1521="","N/A",IF(S1521+I1521&gt;0,"Favorite Covered",IF(S1521+I1521&lt;0,"Underdog Covered","Push"))))</f>
        <v>Favorite Covered</v>
      </c>
      <c r="U1521" s="1" t="str">
        <f aca="false">IF(Q1521&gt;J1521,"Over",IF(Q1521&lt;J1521,"Under","Push"))</f>
        <v>Under</v>
      </c>
    </row>
    <row r="1522" customFormat="false" ht="15" hidden="false" customHeight="false" outlineLevel="0" collapsed="false">
      <c r="A1522" s="1" t="s">
        <v>497</v>
      </c>
      <c r="B1522" s="1" t="n">
        <v>2015</v>
      </c>
      <c r="C1522" s="1" t="s">
        <v>215</v>
      </c>
      <c r="D1522" s="1" t="s">
        <v>101</v>
      </c>
      <c r="E1522" s="1" t="s">
        <v>83</v>
      </c>
      <c r="F1522" s="1" t="n">
        <v>20</v>
      </c>
      <c r="G1522" s="1" t="n">
        <v>34</v>
      </c>
      <c r="H1522" s="1" t="s">
        <v>84</v>
      </c>
      <c r="I1522" s="1" t="n">
        <v>-3</v>
      </c>
      <c r="J1522" s="1" t="n">
        <v>45.5</v>
      </c>
      <c r="K1522" s="1" t="s">
        <v>171</v>
      </c>
      <c r="L1522" s="1" t="b">
        <f aca="false">FALSE()</f>
        <v>0</v>
      </c>
      <c r="M1522" s="1" t="str">
        <f aca="false">VLOOKUP(D1522,'Team Reference'!$A:$B,2,FALSE())</f>
        <v>OAK</v>
      </c>
      <c r="N1522" s="1" t="str">
        <f aca="false">VLOOKUP(E1522,'Team Reference'!$A:$B,2,FALSE())</f>
        <v>KC</v>
      </c>
      <c r="O1522" s="1" t="str">
        <f aca="false">IF(F1522&gt;G1522,M1522,IF(G1522&gt;F1522,N1522,"Tie"))</f>
        <v>KC</v>
      </c>
      <c r="P1522" s="1" t="n">
        <f aca="false">F1522-G1522</f>
        <v>-14</v>
      </c>
      <c r="Q1522" s="1" t="n">
        <f aca="false">F1522+G1522</f>
        <v>54</v>
      </c>
      <c r="R1522" s="1" t="str">
        <f aca="false">IF(H1522=M1522,"Home",IF(H1522=N1522,"Away",IF(H1522="PICK","Pick","N/A")))</f>
        <v>Away</v>
      </c>
      <c r="S1522" s="1" t="n">
        <f aca="false">IF(R1522="Home",P1522,IF(R1522="Away",-P1522,""))</f>
        <v>14</v>
      </c>
      <c r="T1522" s="1" t="str">
        <f aca="false">IF(R1522="Pick","No Line",IF(S1522="","N/A",IF(S1522+I1522&gt;0,"Favorite Covered",IF(S1522+I1522&lt;0,"Underdog Covered","Push"))))</f>
        <v>Favorite Covered</v>
      </c>
      <c r="U1522" s="1" t="str">
        <f aca="false">IF(Q1522&gt;J1522,"Over",IF(Q1522&lt;J1522,"Under","Push"))</f>
        <v>Over</v>
      </c>
    </row>
    <row r="1523" customFormat="false" ht="15" hidden="false" customHeight="false" outlineLevel="0" collapsed="false">
      <c r="A1523" s="1" t="s">
        <v>497</v>
      </c>
      <c r="B1523" s="1" t="n">
        <v>2015</v>
      </c>
      <c r="C1523" s="1" t="s">
        <v>215</v>
      </c>
      <c r="D1523" s="1" t="s">
        <v>105</v>
      </c>
      <c r="E1523" s="1" t="s">
        <v>79</v>
      </c>
      <c r="F1523" s="1" t="n">
        <v>45</v>
      </c>
      <c r="G1523" s="1" t="n">
        <v>10</v>
      </c>
      <c r="H1523" s="1" t="s">
        <v>106</v>
      </c>
      <c r="I1523" s="1" t="n">
        <v>-9.5</v>
      </c>
      <c r="J1523" s="1" t="n">
        <v>50.5</v>
      </c>
      <c r="K1523" s="1" t="s">
        <v>151</v>
      </c>
      <c r="L1523" s="1" t="b">
        <f aca="false">FALSE()</f>
        <v>0</v>
      </c>
      <c r="M1523" s="1" t="str">
        <f aca="false">VLOOKUP(D1523,'Team Reference'!$A:$B,2,FALSE())</f>
        <v>PIT</v>
      </c>
      <c r="N1523" s="1" t="str">
        <f aca="false">VLOOKUP(E1523,'Team Reference'!$A:$B,2,FALSE())</f>
        <v>IND</v>
      </c>
      <c r="O1523" s="1" t="str">
        <f aca="false">IF(F1523&gt;G1523,M1523,IF(G1523&gt;F1523,N1523,"Tie"))</f>
        <v>PIT</v>
      </c>
      <c r="P1523" s="1" t="n">
        <f aca="false">F1523-G1523</f>
        <v>35</v>
      </c>
      <c r="Q1523" s="1" t="n">
        <f aca="false">F1523+G1523</f>
        <v>55</v>
      </c>
      <c r="R1523" s="1" t="str">
        <f aca="false">IF(H1523=M1523,"Home",IF(H1523=N1523,"Away",IF(H1523="PICK","Pick","N/A")))</f>
        <v>Home</v>
      </c>
      <c r="S1523" s="1" t="n">
        <f aca="false">IF(R1523="Home",P1523,IF(R1523="Away",-P1523,""))</f>
        <v>35</v>
      </c>
      <c r="T1523" s="1" t="str">
        <f aca="false">IF(R1523="Pick","No Line",IF(S1523="","N/A",IF(S1523+I1523&gt;0,"Favorite Covered",IF(S1523+I1523&lt;0,"Underdog Covered","Push"))))</f>
        <v>Favorite Covered</v>
      </c>
      <c r="U1523" s="1" t="str">
        <f aca="false">IF(Q1523&gt;J1523,"Over",IF(Q1523&lt;J1523,"Under","Push"))</f>
        <v>Over</v>
      </c>
    </row>
    <row r="1524" customFormat="false" ht="15" hidden="false" customHeight="false" outlineLevel="0" collapsed="false">
      <c r="A1524" s="1" t="s">
        <v>497</v>
      </c>
      <c r="B1524" s="1" t="n">
        <v>2015</v>
      </c>
      <c r="C1524" s="1" t="s">
        <v>215</v>
      </c>
      <c r="D1524" s="1" t="s">
        <v>107</v>
      </c>
      <c r="E1524" s="1" t="s">
        <v>71</v>
      </c>
      <c r="F1524" s="1" t="n">
        <v>3</v>
      </c>
      <c r="G1524" s="1" t="n">
        <v>17</v>
      </c>
      <c r="H1524" s="1" t="s">
        <v>72</v>
      </c>
      <c r="I1524" s="1" t="n">
        <v>-6</v>
      </c>
      <c r="J1524" s="1" t="n">
        <v>45</v>
      </c>
      <c r="K1524" s="1" t="s">
        <v>172</v>
      </c>
      <c r="L1524" s="1" t="b">
        <f aca="false">FALSE()</f>
        <v>0</v>
      </c>
      <c r="M1524" s="1" t="str">
        <f aca="false">VLOOKUP(D1524,'Team Reference'!$A:$B,2,FALSE())</f>
        <v>LAC</v>
      </c>
      <c r="N1524" s="1" t="str">
        <f aca="false">VLOOKUP(E1524,'Team Reference'!$A:$B,2,FALSE())</f>
        <v>DEN</v>
      </c>
      <c r="O1524" s="1" t="str">
        <f aca="false">IF(F1524&gt;G1524,M1524,IF(G1524&gt;F1524,N1524,"Tie"))</f>
        <v>DEN</v>
      </c>
      <c r="P1524" s="1" t="n">
        <f aca="false">F1524-G1524</f>
        <v>-14</v>
      </c>
      <c r="Q1524" s="1" t="n">
        <f aca="false">F1524+G1524</f>
        <v>20</v>
      </c>
      <c r="R1524" s="1" t="str">
        <f aca="false">IF(H1524=M1524,"Home",IF(H1524=N1524,"Away",IF(H1524="PICK","Pick","N/A")))</f>
        <v>Away</v>
      </c>
      <c r="S1524" s="1" t="n">
        <f aca="false">IF(R1524="Home",P1524,IF(R1524="Away",-P1524,""))</f>
        <v>14</v>
      </c>
      <c r="T1524" s="1" t="str">
        <f aca="false">IF(R1524="Pick","No Line",IF(S1524="","N/A",IF(S1524+I1524&gt;0,"Favorite Covered",IF(S1524+I1524&lt;0,"Underdog Covered","Push"))))</f>
        <v>Favorite Covered</v>
      </c>
      <c r="U1524" s="1" t="str">
        <f aca="false">IF(Q1524&gt;J1524,"Over",IF(Q1524&lt;J1524,"Under","Push"))</f>
        <v>Under</v>
      </c>
    </row>
    <row r="1525" customFormat="false" ht="15" hidden="false" customHeight="false" outlineLevel="0" collapsed="false">
      <c r="A1525" s="1" t="s">
        <v>497</v>
      </c>
      <c r="B1525" s="1" t="n">
        <v>2015</v>
      </c>
      <c r="C1525" s="1" t="s">
        <v>215</v>
      </c>
      <c r="D1525" s="1" t="s">
        <v>112</v>
      </c>
      <c r="E1525" s="1" t="s">
        <v>53</v>
      </c>
      <c r="F1525" s="1" t="n">
        <v>3</v>
      </c>
      <c r="G1525" s="1" t="n">
        <v>27</v>
      </c>
      <c r="H1525" s="1" t="s">
        <v>54</v>
      </c>
      <c r="I1525" s="1" t="n">
        <v>-3.5</v>
      </c>
      <c r="J1525" s="1" t="n">
        <v>43</v>
      </c>
      <c r="K1525" s="1" t="s">
        <v>153</v>
      </c>
      <c r="L1525" s="1" t="b">
        <f aca="false">FALSE()</f>
        <v>0</v>
      </c>
      <c r="M1525" s="1" t="str">
        <f aca="false">VLOOKUP(D1525,'Team Reference'!$A:$B,2,FALSE())</f>
        <v>LAR</v>
      </c>
      <c r="N1525" s="1" t="str">
        <f aca="false">VLOOKUP(E1525,'Team Reference'!$A:$B,2,FALSE())</f>
        <v>ARI</v>
      </c>
      <c r="O1525" s="1" t="str">
        <f aca="false">IF(F1525&gt;G1525,M1525,IF(G1525&gt;F1525,N1525,"Tie"))</f>
        <v>ARI</v>
      </c>
      <c r="P1525" s="1" t="n">
        <f aca="false">F1525-G1525</f>
        <v>-24</v>
      </c>
      <c r="Q1525" s="1" t="n">
        <f aca="false">F1525+G1525</f>
        <v>30</v>
      </c>
      <c r="R1525" s="1" t="str">
        <f aca="false">IF(H1525=M1525,"Home",IF(H1525=N1525,"Away",IF(H1525="PICK","Pick","N/A")))</f>
        <v>Away</v>
      </c>
      <c r="S1525" s="1" t="n">
        <f aca="false">IF(R1525="Home",P1525,IF(R1525="Away",-P1525,""))</f>
        <v>24</v>
      </c>
      <c r="T1525" s="1" t="str">
        <f aca="false">IF(R1525="Pick","No Line",IF(S1525="","N/A",IF(S1525+I1525&gt;0,"Favorite Covered",IF(S1525+I1525&lt;0,"Underdog Covered","Push"))))</f>
        <v>Favorite Covered</v>
      </c>
      <c r="U1525" s="1" t="str">
        <f aca="false">IF(Q1525&gt;J1525,"Over",IF(Q1525&lt;J1525,"Under","Push"))</f>
        <v>Under</v>
      </c>
    </row>
    <row r="1526" customFormat="false" ht="15" hidden="false" customHeight="false" outlineLevel="0" collapsed="false">
      <c r="A1526" s="1" t="s">
        <v>497</v>
      </c>
      <c r="B1526" s="1" t="n">
        <v>2015</v>
      </c>
      <c r="C1526" s="1" t="s">
        <v>215</v>
      </c>
      <c r="D1526" s="1" t="s">
        <v>113</v>
      </c>
      <c r="E1526" s="1" t="s">
        <v>55</v>
      </c>
      <c r="F1526" s="1" t="n">
        <v>23</v>
      </c>
      <c r="G1526" s="1" t="n">
        <v>19</v>
      </c>
      <c r="H1526" s="1" t="s">
        <v>200</v>
      </c>
      <c r="I1526" s="1" t="n">
        <v>0</v>
      </c>
      <c r="J1526" s="1" t="n">
        <v>46.5</v>
      </c>
      <c r="K1526" s="1" t="s">
        <v>154</v>
      </c>
      <c r="L1526" s="1" t="b">
        <f aca="false">FALSE()</f>
        <v>0</v>
      </c>
      <c r="M1526" s="1" t="str">
        <f aca="false">VLOOKUP(D1526,'Team Reference'!$A:$B,2,FALSE())</f>
        <v>TB</v>
      </c>
      <c r="N1526" s="1" t="str">
        <f aca="false">VLOOKUP(E1526,'Team Reference'!$A:$B,2,FALSE())</f>
        <v>ATL</v>
      </c>
      <c r="O1526" s="1" t="str">
        <f aca="false">IF(F1526&gt;G1526,M1526,IF(G1526&gt;F1526,N1526,"Tie"))</f>
        <v>TB</v>
      </c>
      <c r="P1526" s="1" t="n">
        <f aca="false">F1526-G1526</f>
        <v>4</v>
      </c>
      <c r="Q1526" s="1" t="n">
        <f aca="false">F1526+G1526</f>
        <v>42</v>
      </c>
      <c r="R1526" s="1" t="str">
        <f aca="false">IF(H1526=M1526,"Home",IF(H1526=N1526,"Away",IF(H1526="PICK","Pick","N/A")))</f>
        <v>Pick</v>
      </c>
      <c r="S1526" s="1" t="str">
        <f aca="false">IF(R1526="Home",P1526,IF(R1526="Away",-P1526,""))</f>
        <v/>
      </c>
      <c r="T1526" s="1" t="str">
        <f aca="false">IF(R1526="Pick","No Line",IF(S1526="","N/A",IF(S1526+I1526&gt;0,"Favorite Covered",IF(S1526+I1526&lt;0,"Underdog Covered","Push"))))</f>
        <v>No Line</v>
      </c>
      <c r="U1526" s="1" t="str">
        <f aca="false">IF(Q1526&gt;J1526,"Over",IF(Q1526&lt;J1526,"Under","Push"))</f>
        <v>Under</v>
      </c>
    </row>
    <row r="1527" customFormat="false" ht="15" hidden="false" customHeight="false" outlineLevel="0" collapsed="false">
      <c r="A1527" s="1" t="s">
        <v>497</v>
      </c>
      <c r="B1527" s="1" t="n">
        <v>2015</v>
      </c>
      <c r="C1527" s="1" t="s">
        <v>215</v>
      </c>
      <c r="D1527" s="1" t="s">
        <v>115</v>
      </c>
      <c r="E1527" s="1" t="s">
        <v>81</v>
      </c>
      <c r="F1527" s="1" t="n">
        <v>42</v>
      </c>
      <c r="G1527" s="1" t="n">
        <v>39</v>
      </c>
      <c r="H1527" s="1" t="s">
        <v>116</v>
      </c>
      <c r="I1527" s="1" t="n">
        <v>-3</v>
      </c>
      <c r="J1527" s="1" t="n">
        <v>43.5</v>
      </c>
      <c r="K1527" s="1" t="s">
        <v>155</v>
      </c>
      <c r="L1527" s="1" t="b">
        <f aca="false">FALSE()</f>
        <v>0</v>
      </c>
      <c r="M1527" s="1" t="str">
        <f aca="false">VLOOKUP(D1527,'Team Reference'!$A:$B,2,FALSE())</f>
        <v>TEN</v>
      </c>
      <c r="N1527" s="1" t="str">
        <f aca="false">VLOOKUP(E1527,'Team Reference'!$A:$B,2,FALSE())</f>
        <v>JAX</v>
      </c>
      <c r="O1527" s="1" t="str">
        <f aca="false">IF(F1527&gt;G1527,M1527,IF(G1527&gt;F1527,N1527,"Tie"))</f>
        <v>TEN</v>
      </c>
      <c r="P1527" s="1" t="n">
        <f aca="false">F1527-G1527</f>
        <v>3</v>
      </c>
      <c r="Q1527" s="1" t="n">
        <f aca="false">F1527+G1527</f>
        <v>81</v>
      </c>
      <c r="R1527" s="1" t="str">
        <f aca="false">IF(H1527=M1527,"Home",IF(H1527=N1527,"Away",IF(H1527="PICK","Pick","N/A")))</f>
        <v>Home</v>
      </c>
      <c r="S1527" s="1" t="n">
        <f aca="false">IF(R1527="Home",P1527,IF(R1527="Away",-P1527,""))</f>
        <v>3</v>
      </c>
      <c r="T1527" s="1" t="str">
        <f aca="false">IF(R1527="Pick","No Line",IF(S1527="","N/A",IF(S1527+I1527&gt;0,"Favorite Covered",IF(S1527+I1527&lt;0,"Underdog Covered","Push"))))</f>
        <v>Push</v>
      </c>
      <c r="U1527" s="1" t="str">
        <f aca="false">IF(Q1527&gt;J1527,"Over",IF(Q1527&lt;J1527,"Under","Push"))</f>
        <v>Over</v>
      </c>
    </row>
    <row r="1528" customFormat="false" ht="15" hidden="false" customHeight="false" outlineLevel="0" collapsed="false">
      <c r="A1528" s="1" t="s">
        <v>498</v>
      </c>
      <c r="B1528" s="1" t="n">
        <v>2015</v>
      </c>
      <c r="C1528" s="1" t="s">
        <v>215</v>
      </c>
      <c r="D1528" s="1" t="s">
        <v>117</v>
      </c>
      <c r="E1528" s="1" t="s">
        <v>69</v>
      </c>
      <c r="F1528" s="1" t="n">
        <v>16</v>
      </c>
      <c r="G1528" s="1" t="n">
        <v>19</v>
      </c>
      <c r="H1528" s="1" t="s">
        <v>118</v>
      </c>
      <c r="I1528" s="1" t="n">
        <v>-2</v>
      </c>
      <c r="J1528" s="1" t="n">
        <v>43.5</v>
      </c>
      <c r="K1528" s="1" t="s">
        <v>156</v>
      </c>
      <c r="L1528" s="1" t="b">
        <f aca="false">FALSE()</f>
        <v>0</v>
      </c>
      <c r="M1528" s="1" t="str">
        <f aca="false">VLOOKUP(D1528,'Team Reference'!$A:$B,2,FALSE())</f>
        <v>WAS</v>
      </c>
      <c r="N1528" s="1" t="str">
        <f aca="false">VLOOKUP(E1528,'Team Reference'!$A:$B,2,FALSE())</f>
        <v>DAL</v>
      </c>
      <c r="O1528" s="1" t="str">
        <f aca="false">IF(F1528&gt;G1528,M1528,IF(G1528&gt;F1528,N1528,"Tie"))</f>
        <v>DAL</v>
      </c>
      <c r="P1528" s="1" t="n">
        <f aca="false">F1528-G1528</f>
        <v>-3</v>
      </c>
      <c r="Q1528" s="1" t="n">
        <f aca="false">F1528+G1528</f>
        <v>35</v>
      </c>
      <c r="R1528" s="1" t="str">
        <f aca="false">IF(H1528=M1528,"Home",IF(H1528=N1528,"Away",IF(H1528="PICK","Pick","N/A")))</f>
        <v>Home</v>
      </c>
      <c r="S1528" s="1" t="n">
        <f aca="false">IF(R1528="Home",P1528,IF(R1528="Away",-P1528,""))</f>
        <v>-3</v>
      </c>
      <c r="T1528" s="1" t="str">
        <f aca="false">IF(R1528="Pick","No Line",IF(S1528="","N/A",IF(S1528+I1528&gt;0,"Favorite Covered",IF(S1528+I1528&lt;0,"Underdog Covered","Push"))))</f>
        <v>Underdog Covered</v>
      </c>
      <c r="U1528" s="1" t="str">
        <f aca="false">IF(Q1528&gt;J1528,"Over",IF(Q1528&lt;J1528,"Under","Push"))</f>
        <v>Under</v>
      </c>
    </row>
    <row r="1529" customFormat="false" ht="15" hidden="false" customHeight="false" outlineLevel="0" collapsed="false">
      <c r="A1529" s="1" t="s">
        <v>499</v>
      </c>
      <c r="B1529" s="1" t="n">
        <v>2015</v>
      </c>
      <c r="C1529" s="1" t="s">
        <v>219</v>
      </c>
      <c r="D1529" s="1" t="s">
        <v>53</v>
      </c>
      <c r="E1529" s="1" t="s">
        <v>91</v>
      </c>
      <c r="F1529" s="1" t="n">
        <v>23</v>
      </c>
      <c r="G1529" s="1" t="n">
        <v>20</v>
      </c>
      <c r="H1529" s="1" t="s">
        <v>54</v>
      </c>
      <c r="I1529" s="1" t="n">
        <v>-10</v>
      </c>
      <c r="J1529" s="1" t="n">
        <v>46.5</v>
      </c>
      <c r="K1529" s="1" t="s">
        <v>177</v>
      </c>
      <c r="L1529" s="1" t="b">
        <f aca="false">FALSE()</f>
        <v>0</v>
      </c>
      <c r="M1529" s="1" t="str">
        <f aca="false">VLOOKUP(D1529,'Team Reference'!$A:$B,2,FALSE())</f>
        <v>ARI</v>
      </c>
      <c r="N1529" s="1" t="str">
        <f aca="false">VLOOKUP(E1529,'Team Reference'!$A:$B,2,FALSE())</f>
        <v>MIN</v>
      </c>
      <c r="O1529" s="1" t="str">
        <f aca="false">IF(F1529&gt;G1529,M1529,IF(G1529&gt;F1529,N1529,"Tie"))</f>
        <v>ARI</v>
      </c>
      <c r="P1529" s="1" t="n">
        <f aca="false">F1529-G1529</f>
        <v>3</v>
      </c>
      <c r="Q1529" s="1" t="n">
        <f aca="false">F1529+G1529</f>
        <v>43</v>
      </c>
      <c r="R1529" s="1" t="str">
        <f aca="false">IF(H1529=M1529,"Home",IF(H1529=N1529,"Away",IF(H1529="PICK","Pick","N/A")))</f>
        <v>Home</v>
      </c>
      <c r="S1529" s="1" t="n">
        <f aca="false">IF(R1529="Home",P1529,IF(R1529="Away",-P1529,""))</f>
        <v>3</v>
      </c>
      <c r="T1529" s="1" t="str">
        <f aca="false">IF(R1529="Pick","No Line",IF(S1529="","N/A",IF(S1529+I1529&gt;0,"Favorite Covered",IF(S1529+I1529&lt;0,"Underdog Covered","Push"))))</f>
        <v>Underdog Covered</v>
      </c>
      <c r="U1529" s="1" t="str">
        <f aca="false">IF(Q1529&gt;J1529,"Over",IF(Q1529&lt;J1529,"Under","Push"))</f>
        <v>Under</v>
      </c>
    </row>
    <row r="1530" customFormat="false" ht="15" hidden="false" customHeight="false" outlineLevel="0" collapsed="false">
      <c r="A1530" s="1" t="s">
        <v>500</v>
      </c>
      <c r="B1530" s="1" t="n">
        <v>2015</v>
      </c>
      <c r="C1530" s="1" t="s">
        <v>219</v>
      </c>
      <c r="D1530" s="1" t="s">
        <v>57</v>
      </c>
      <c r="E1530" s="1" t="s">
        <v>110</v>
      </c>
      <c r="F1530" s="1" t="n">
        <v>6</v>
      </c>
      <c r="G1530" s="1" t="n">
        <v>35</v>
      </c>
      <c r="H1530" s="1" t="s">
        <v>111</v>
      </c>
      <c r="I1530" s="1" t="n">
        <v>-10.5</v>
      </c>
      <c r="J1530" s="1" t="n">
        <v>42</v>
      </c>
      <c r="K1530" s="1" t="s">
        <v>178</v>
      </c>
      <c r="L1530" s="1" t="b">
        <f aca="false">FALSE()</f>
        <v>0</v>
      </c>
      <c r="M1530" s="1" t="str">
        <f aca="false">VLOOKUP(D1530,'Team Reference'!$A:$B,2,FALSE())</f>
        <v>BAL</v>
      </c>
      <c r="N1530" s="1" t="str">
        <f aca="false">VLOOKUP(E1530,'Team Reference'!$A:$B,2,FALSE())</f>
        <v>SEA</v>
      </c>
      <c r="O1530" s="1" t="str">
        <f aca="false">IF(F1530&gt;G1530,M1530,IF(G1530&gt;F1530,N1530,"Tie"))</f>
        <v>SEA</v>
      </c>
      <c r="P1530" s="1" t="n">
        <f aca="false">F1530-G1530</f>
        <v>-29</v>
      </c>
      <c r="Q1530" s="1" t="n">
        <f aca="false">F1530+G1530</f>
        <v>41</v>
      </c>
      <c r="R1530" s="1" t="str">
        <f aca="false">IF(H1530=M1530,"Home",IF(H1530=N1530,"Away",IF(H1530="PICK","Pick","N/A")))</f>
        <v>Away</v>
      </c>
      <c r="S1530" s="1" t="n">
        <f aca="false">IF(R1530="Home",P1530,IF(R1530="Away",-P1530,""))</f>
        <v>29</v>
      </c>
      <c r="T1530" s="1" t="str">
        <f aca="false">IF(R1530="Pick","No Line",IF(S1530="","N/A",IF(S1530+I1530&gt;0,"Favorite Covered",IF(S1530+I1530&lt;0,"Underdog Covered","Push"))))</f>
        <v>Favorite Covered</v>
      </c>
      <c r="U1530" s="1" t="str">
        <f aca="false">IF(Q1530&gt;J1530,"Over",IF(Q1530&lt;J1530,"Under","Push"))</f>
        <v>Under</v>
      </c>
    </row>
    <row r="1531" customFormat="false" ht="15" hidden="false" customHeight="false" outlineLevel="0" collapsed="false">
      <c r="A1531" s="1" t="s">
        <v>500</v>
      </c>
      <c r="B1531" s="1" t="n">
        <v>2015</v>
      </c>
      <c r="C1531" s="1" t="s">
        <v>219</v>
      </c>
      <c r="D1531" s="1" t="s">
        <v>61</v>
      </c>
      <c r="E1531" s="1" t="s">
        <v>55</v>
      </c>
      <c r="F1531" s="1" t="n">
        <v>38</v>
      </c>
      <c r="G1531" s="1" t="n">
        <v>0</v>
      </c>
      <c r="H1531" s="1" t="s">
        <v>62</v>
      </c>
      <c r="I1531" s="1" t="n">
        <v>-8.5</v>
      </c>
      <c r="J1531" s="1" t="n">
        <v>45.5</v>
      </c>
      <c r="K1531" s="1" t="s">
        <v>162</v>
      </c>
      <c r="L1531" s="1" t="b">
        <f aca="false">FALSE()</f>
        <v>0</v>
      </c>
      <c r="M1531" s="1" t="str">
        <f aca="false">VLOOKUP(D1531,'Team Reference'!$A:$B,2,FALSE())</f>
        <v>CAR</v>
      </c>
      <c r="N1531" s="1" t="str">
        <f aca="false">VLOOKUP(E1531,'Team Reference'!$A:$B,2,FALSE())</f>
        <v>ATL</v>
      </c>
      <c r="O1531" s="1" t="str">
        <f aca="false">IF(F1531&gt;G1531,M1531,IF(G1531&gt;F1531,N1531,"Tie"))</f>
        <v>CAR</v>
      </c>
      <c r="P1531" s="1" t="n">
        <f aca="false">F1531-G1531</f>
        <v>38</v>
      </c>
      <c r="Q1531" s="1" t="n">
        <f aca="false">F1531+G1531</f>
        <v>38</v>
      </c>
      <c r="R1531" s="1" t="str">
        <f aca="false">IF(H1531=M1531,"Home",IF(H1531=N1531,"Away",IF(H1531="PICK","Pick","N/A")))</f>
        <v>Home</v>
      </c>
      <c r="S1531" s="1" t="n">
        <f aca="false">IF(R1531="Home",P1531,IF(R1531="Away",-P1531,""))</f>
        <v>38</v>
      </c>
      <c r="T1531" s="1" t="str">
        <f aca="false">IF(R1531="Pick","No Line",IF(S1531="","N/A",IF(S1531+I1531&gt;0,"Favorite Covered",IF(S1531+I1531&lt;0,"Underdog Covered","Push"))))</f>
        <v>Favorite Covered</v>
      </c>
      <c r="U1531" s="1" t="str">
        <f aca="false">IF(Q1531&gt;J1531,"Over",IF(Q1531&lt;J1531,"Under","Push"))</f>
        <v>Under</v>
      </c>
    </row>
    <row r="1532" customFormat="false" ht="15" hidden="false" customHeight="false" outlineLevel="0" collapsed="false">
      <c r="A1532" s="1" t="s">
        <v>500</v>
      </c>
      <c r="B1532" s="1" t="n">
        <v>2015</v>
      </c>
      <c r="C1532" s="1" t="s">
        <v>219</v>
      </c>
      <c r="D1532" s="1" t="s">
        <v>63</v>
      </c>
      <c r="E1532" s="1" t="s">
        <v>117</v>
      </c>
      <c r="F1532" s="1" t="n">
        <v>21</v>
      </c>
      <c r="G1532" s="1" t="n">
        <v>24</v>
      </c>
      <c r="H1532" s="1" t="s">
        <v>64</v>
      </c>
      <c r="I1532" s="1" t="n">
        <v>-4</v>
      </c>
      <c r="J1532" s="1" t="n">
        <v>43.5</v>
      </c>
      <c r="K1532" s="1" t="s">
        <v>145</v>
      </c>
      <c r="L1532" s="1" t="b">
        <f aca="false">FALSE()</f>
        <v>0</v>
      </c>
      <c r="M1532" s="1" t="str">
        <f aca="false">VLOOKUP(D1532,'Team Reference'!$A:$B,2,FALSE())</f>
        <v>CHI</v>
      </c>
      <c r="N1532" s="1" t="str">
        <f aca="false">VLOOKUP(E1532,'Team Reference'!$A:$B,2,FALSE())</f>
        <v>WAS</v>
      </c>
      <c r="O1532" s="1" t="str">
        <f aca="false">IF(F1532&gt;G1532,M1532,IF(G1532&gt;F1532,N1532,"Tie"))</f>
        <v>WAS</v>
      </c>
      <c r="P1532" s="1" t="n">
        <f aca="false">F1532-G1532</f>
        <v>-3</v>
      </c>
      <c r="Q1532" s="1" t="n">
        <f aca="false">F1532+G1532</f>
        <v>45</v>
      </c>
      <c r="R1532" s="1" t="str">
        <f aca="false">IF(H1532=M1532,"Home",IF(H1532=N1532,"Away",IF(H1532="PICK","Pick","N/A")))</f>
        <v>Home</v>
      </c>
      <c r="S1532" s="1" t="n">
        <f aca="false">IF(R1532="Home",P1532,IF(R1532="Away",-P1532,""))</f>
        <v>-3</v>
      </c>
      <c r="T1532" s="1" t="str">
        <f aca="false">IF(R1532="Pick","No Line",IF(S1532="","N/A",IF(S1532+I1532&gt;0,"Favorite Covered",IF(S1532+I1532&lt;0,"Underdog Covered","Push"))))</f>
        <v>Underdog Covered</v>
      </c>
      <c r="U1532" s="1" t="str">
        <f aca="false">IF(Q1532&gt;J1532,"Over",IF(Q1532&lt;J1532,"Under","Push"))</f>
        <v>Over</v>
      </c>
    </row>
    <row r="1533" customFormat="false" ht="15" hidden="false" customHeight="false" outlineLevel="0" collapsed="false">
      <c r="A1533" s="1" t="s">
        <v>500</v>
      </c>
      <c r="B1533" s="1" t="n">
        <v>2015</v>
      </c>
      <c r="C1533" s="1" t="s">
        <v>219</v>
      </c>
      <c r="D1533" s="1" t="s">
        <v>65</v>
      </c>
      <c r="E1533" s="1" t="s">
        <v>105</v>
      </c>
      <c r="F1533" s="1" t="n">
        <v>20</v>
      </c>
      <c r="G1533" s="1" t="n">
        <v>33</v>
      </c>
      <c r="H1533" s="1" t="s">
        <v>66</v>
      </c>
      <c r="I1533" s="1" t="n">
        <v>-1</v>
      </c>
      <c r="J1533" s="1" t="n">
        <v>48.5</v>
      </c>
      <c r="K1533" s="1" t="s">
        <v>163</v>
      </c>
      <c r="L1533" s="1" t="b">
        <f aca="false">FALSE()</f>
        <v>0</v>
      </c>
      <c r="M1533" s="1" t="str">
        <f aca="false">VLOOKUP(D1533,'Team Reference'!$A:$B,2,FALSE())</f>
        <v>CIN</v>
      </c>
      <c r="N1533" s="1" t="str">
        <f aca="false">VLOOKUP(E1533,'Team Reference'!$A:$B,2,FALSE())</f>
        <v>PIT</v>
      </c>
      <c r="O1533" s="1" t="str">
        <f aca="false">IF(F1533&gt;G1533,M1533,IF(G1533&gt;F1533,N1533,"Tie"))</f>
        <v>PIT</v>
      </c>
      <c r="P1533" s="1" t="n">
        <f aca="false">F1533-G1533</f>
        <v>-13</v>
      </c>
      <c r="Q1533" s="1" t="n">
        <f aca="false">F1533+G1533</f>
        <v>53</v>
      </c>
      <c r="R1533" s="1" t="str">
        <f aca="false">IF(H1533=M1533,"Home",IF(H1533=N1533,"Away",IF(H1533="PICK","Pick","N/A")))</f>
        <v>Home</v>
      </c>
      <c r="S1533" s="1" t="n">
        <f aca="false">IF(R1533="Home",P1533,IF(R1533="Away",-P1533,""))</f>
        <v>-13</v>
      </c>
      <c r="T1533" s="1" t="str">
        <f aca="false">IF(R1533="Pick","No Line",IF(S1533="","N/A",IF(S1533+I1533&gt;0,"Favorite Covered",IF(S1533+I1533&lt;0,"Underdog Covered","Push"))))</f>
        <v>Underdog Covered</v>
      </c>
      <c r="U1533" s="1" t="str">
        <f aca="false">IF(Q1533&gt;J1533,"Over",IF(Q1533&lt;J1533,"Under","Push"))</f>
        <v>Over</v>
      </c>
    </row>
    <row r="1534" customFormat="false" ht="15" hidden="false" customHeight="false" outlineLevel="0" collapsed="false">
      <c r="A1534" s="1" t="s">
        <v>500</v>
      </c>
      <c r="B1534" s="1" t="n">
        <v>2015</v>
      </c>
      <c r="C1534" s="1" t="s">
        <v>219</v>
      </c>
      <c r="D1534" s="1" t="s">
        <v>67</v>
      </c>
      <c r="E1534" s="1" t="s">
        <v>108</v>
      </c>
      <c r="F1534" s="1" t="n">
        <v>24</v>
      </c>
      <c r="G1534" s="1" t="n">
        <v>10</v>
      </c>
      <c r="H1534" s="1" t="s">
        <v>68</v>
      </c>
      <c r="I1534" s="1" t="n">
        <v>-2.5</v>
      </c>
      <c r="J1534" s="1" t="n">
        <v>43</v>
      </c>
      <c r="K1534" s="1" t="s">
        <v>164</v>
      </c>
      <c r="L1534" s="1" t="b">
        <f aca="false">FALSE()</f>
        <v>0</v>
      </c>
      <c r="M1534" s="1" t="str">
        <f aca="false">VLOOKUP(D1534,'Team Reference'!$A:$B,2,FALSE())</f>
        <v>CLE</v>
      </c>
      <c r="N1534" s="1" t="str">
        <f aca="false">VLOOKUP(E1534,'Team Reference'!$A:$B,2,FALSE())</f>
        <v>SF</v>
      </c>
      <c r="O1534" s="1" t="str">
        <f aca="false">IF(F1534&gt;G1534,M1534,IF(G1534&gt;F1534,N1534,"Tie"))</f>
        <v>CLE</v>
      </c>
      <c r="P1534" s="1" t="n">
        <f aca="false">F1534-G1534</f>
        <v>14</v>
      </c>
      <c r="Q1534" s="1" t="n">
        <f aca="false">F1534+G1534</f>
        <v>34</v>
      </c>
      <c r="R1534" s="1" t="str">
        <f aca="false">IF(H1534=M1534,"Home",IF(H1534=N1534,"Away",IF(H1534="PICK","Pick","N/A")))</f>
        <v>Home</v>
      </c>
      <c r="S1534" s="1" t="n">
        <f aca="false">IF(R1534="Home",P1534,IF(R1534="Away",-P1534,""))</f>
        <v>14</v>
      </c>
      <c r="T1534" s="1" t="str">
        <f aca="false">IF(R1534="Pick","No Line",IF(S1534="","N/A",IF(S1534+I1534&gt;0,"Favorite Covered",IF(S1534+I1534&lt;0,"Underdog Covered","Push"))))</f>
        <v>Favorite Covered</v>
      </c>
      <c r="U1534" s="1" t="str">
        <f aca="false">IF(Q1534&gt;J1534,"Over",IF(Q1534&lt;J1534,"Under","Push"))</f>
        <v>Under</v>
      </c>
    </row>
    <row r="1535" customFormat="false" ht="15" hidden="false" customHeight="false" outlineLevel="0" collapsed="false">
      <c r="A1535" s="1" t="s">
        <v>500</v>
      </c>
      <c r="B1535" s="1" t="n">
        <v>2015</v>
      </c>
      <c r="C1535" s="1" t="s">
        <v>219</v>
      </c>
      <c r="D1535" s="1" t="s">
        <v>71</v>
      </c>
      <c r="E1535" s="1" t="s">
        <v>101</v>
      </c>
      <c r="F1535" s="1" t="n">
        <v>12</v>
      </c>
      <c r="G1535" s="1" t="n">
        <v>15</v>
      </c>
      <c r="H1535" s="1" t="s">
        <v>72</v>
      </c>
      <c r="I1535" s="1" t="n">
        <v>-6</v>
      </c>
      <c r="J1535" s="1" t="n">
        <v>43</v>
      </c>
      <c r="K1535" s="1" t="s">
        <v>166</v>
      </c>
      <c r="L1535" s="1" t="b">
        <f aca="false">FALSE()</f>
        <v>0</v>
      </c>
      <c r="M1535" s="1" t="str">
        <f aca="false">VLOOKUP(D1535,'Team Reference'!$A:$B,2,FALSE())</f>
        <v>DEN</v>
      </c>
      <c r="N1535" s="1" t="str">
        <f aca="false">VLOOKUP(E1535,'Team Reference'!$A:$B,2,FALSE())</f>
        <v>OAK</v>
      </c>
      <c r="O1535" s="1" t="str">
        <f aca="false">IF(F1535&gt;G1535,M1535,IF(G1535&gt;F1535,N1535,"Tie"))</f>
        <v>OAK</v>
      </c>
      <c r="P1535" s="1" t="n">
        <f aca="false">F1535-G1535</f>
        <v>-3</v>
      </c>
      <c r="Q1535" s="1" t="n">
        <f aca="false">F1535+G1535</f>
        <v>27</v>
      </c>
      <c r="R1535" s="1" t="str">
        <f aca="false">IF(H1535=M1535,"Home",IF(H1535=N1535,"Away",IF(H1535="PICK","Pick","N/A")))</f>
        <v>Home</v>
      </c>
      <c r="S1535" s="1" t="n">
        <f aca="false">IF(R1535="Home",P1535,IF(R1535="Away",-P1535,""))</f>
        <v>-3</v>
      </c>
      <c r="T1535" s="1" t="str">
        <f aca="false">IF(R1535="Pick","No Line",IF(S1535="","N/A",IF(S1535+I1535&gt;0,"Favorite Covered",IF(S1535+I1535&lt;0,"Underdog Covered","Push"))))</f>
        <v>Underdog Covered</v>
      </c>
      <c r="U1535" s="1" t="str">
        <f aca="false">IF(Q1535&gt;J1535,"Over",IF(Q1535&lt;J1535,"Under","Push"))</f>
        <v>Under</v>
      </c>
    </row>
    <row r="1536" customFormat="false" ht="15" hidden="false" customHeight="false" outlineLevel="0" collapsed="false">
      <c r="A1536" s="1" t="s">
        <v>500</v>
      </c>
      <c r="B1536" s="1" t="n">
        <v>2015</v>
      </c>
      <c r="C1536" s="1" t="s">
        <v>219</v>
      </c>
      <c r="D1536" s="1" t="s">
        <v>75</v>
      </c>
      <c r="E1536" s="1" t="s">
        <v>69</v>
      </c>
      <c r="F1536" s="1" t="n">
        <v>28</v>
      </c>
      <c r="G1536" s="1" t="n">
        <v>7</v>
      </c>
      <c r="H1536" s="1" t="s">
        <v>76</v>
      </c>
      <c r="I1536" s="1" t="n">
        <v>-6.5</v>
      </c>
      <c r="J1536" s="1" t="n">
        <v>42.5</v>
      </c>
      <c r="K1536" s="1" t="s">
        <v>168</v>
      </c>
      <c r="L1536" s="1" t="b">
        <f aca="false">FALSE()</f>
        <v>0</v>
      </c>
      <c r="M1536" s="1" t="str">
        <f aca="false">VLOOKUP(D1536,'Team Reference'!$A:$B,2,FALSE())</f>
        <v>GB</v>
      </c>
      <c r="N1536" s="1" t="str">
        <f aca="false">VLOOKUP(E1536,'Team Reference'!$A:$B,2,FALSE())</f>
        <v>DAL</v>
      </c>
      <c r="O1536" s="1" t="str">
        <f aca="false">IF(F1536&gt;G1536,M1536,IF(G1536&gt;F1536,N1536,"Tie"))</f>
        <v>GB</v>
      </c>
      <c r="P1536" s="1" t="n">
        <f aca="false">F1536-G1536</f>
        <v>21</v>
      </c>
      <c r="Q1536" s="1" t="n">
        <f aca="false">F1536+G1536</f>
        <v>35</v>
      </c>
      <c r="R1536" s="1" t="str">
        <f aca="false">IF(H1536=M1536,"Home",IF(H1536=N1536,"Away",IF(H1536="PICK","Pick","N/A")))</f>
        <v>Home</v>
      </c>
      <c r="S1536" s="1" t="n">
        <f aca="false">IF(R1536="Home",P1536,IF(R1536="Away",-P1536,""))</f>
        <v>21</v>
      </c>
      <c r="T1536" s="1" t="str">
        <f aca="false">IF(R1536="Pick","No Line",IF(S1536="","N/A",IF(S1536+I1536&gt;0,"Favorite Covered",IF(S1536+I1536&lt;0,"Underdog Covered","Push"))))</f>
        <v>Favorite Covered</v>
      </c>
      <c r="U1536" s="1" t="str">
        <f aca="false">IF(Q1536&gt;J1536,"Over",IF(Q1536&lt;J1536,"Under","Push"))</f>
        <v>Under</v>
      </c>
    </row>
    <row r="1537" customFormat="false" ht="15" hidden="false" customHeight="false" outlineLevel="0" collapsed="false">
      <c r="A1537" s="1" t="s">
        <v>500</v>
      </c>
      <c r="B1537" s="1" t="n">
        <v>2015</v>
      </c>
      <c r="C1537" s="1" t="s">
        <v>219</v>
      </c>
      <c r="D1537" s="1" t="s">
        <v>77</v>
      </c>
      <c r="E1537" s="1" t="s">
        <v>93</v>
      </c>
      <c r="F1537" s="1" t="n">
        <v>6</v>
      </c>
      <c r="G1537" s="1" t="n">
        <v>27</v>
      </c>
      <c r="H1537" s="1" t="s">
        <v>94</v>
      </c>
      <c r="I1537" s="1" t="n">
        <v>-5</v>
      </c>
      <c r="J1537" s="1" t="n">
        <v>46.5</v>
      </c>
      <c r="K1537" s="1" t="s">
        <v>146</v>
      </c>
      <c r="L1537" s="1" t="b">
        <f aca="false">FALSE()</f>
        <v>0</v>
      </c>
      <c r="M1537" s="1" t="str">
        <f aca="false">VLOOKUP(D1537,'Team Reference'!$A:$B,2,FALSE())</f>
        <v>HOU</v>
      </c>
      <c r="N1537" s="1" t="str">
        <f aca="false">VLOOKUP(E1537,'Team Reference'!$A:$B,2,FALSE())</f>
        <v>NE</v>
      </c>
      <c r="O1537" s="1" t="str">
        <f aca="false">IF(F1537&gt;G1537,M1537,IF(G1537&gt;F1537,N1537,"Tie"))</f>
        <v>NE</v>
      </c>
      <c r="P1537" s="1" t="n">
        <f aca="false">F1537-G1537</f>
        <v>-21</v>
      </c>
      <c r="Q1537" s="1" t="n">
        <f aca="false">F1537+G1537</f>
        <v>33</v>
      </c>
      <c r="R1537" s="1" t="str">
        <f aca="false">IF(H1537=M1537,"Home",IF(H1537=N1537,"Away",IF(H1537="PICK","Pick","N/A")))</f>
        <v>Away</v>
      </c>
      <c r="S1537" s="1" t="n">
        <f aca="false">IF(R1537="Home",P1537,IF(R1537="Away",-P1537,""))</f>
        <v>21</v>
      </c>
      <c r="T1537" s="1" t="str">
        <f aca="false">IF(R1537="Pick","No Line",IF(S1537="","N/A",IF(S1537+I1537&gt;0,"Favorite Covered",IF(S1537+I1537&lt;0,"Underdog Covered","Push"))))</f>
        <v>Favorite Covered</v>
      </c>
      <c r="U1537" s="1" t="str">
        <f aca="false">IF(Q1537&gt;J1537,"Over",IF(Q1537&lt;J1537,"Under","Push"))</f>
        <v>Under</v>
      </c>
    </row>
    <row r="1538" customFormat="false" ht="15" hidden="false" customHeight="false" outlineLevel="0" collapsed="false">
      <c r="A1538" s="1" t="s">
        <v>500</v>
      </c>
      <c r="B1538" s="1" t="n">
        <v>2015</v>
      </c>
      <c r="C1538" s="1" t="s">
        <v>219</v>
      </c>
      <c r="D1538" s="1" t="s">
        <v>81</v>
      </c>
      <c r="E1538" s="1" t="s">
        <v>79</v>
      </c>
      <c r="F1538" s="1" t="n">
        <v>51</v>
      </c>
      <c r="G1538" s="1" t="n">
        <v>16</v>
      </c>
      <c r="H1538" s="1" t="s">
        <v>82</v>
      </c>
      <c r="I1538" s="1" t="n">
        <v>-1</v>
      </c>
      <c r="J1538" s="1" t="n">
        <v>46</v>
      </c>
      <c r="K1538" s="1" t="s">
        <v>147</v>
      </c>
      <c r="L1538" s="1" t="b">
        <f aca="false">FALSE()</f>
        <v>0</v>
      </c>
      <c r="M1538" s="1" t="str">
        <f aca="false">VLOOKUP(D1538,'Team Reference'!$A:$B,2,FALSE())</f>
        <v>JAX</v>
      </c>
      <c r="N1538" s="1" t="str">
        <f aca="false">VLOOKUP(E1538,'Team Reference'!$A:$B,2,FALSE())</f>
        <v>IND</v>
      </c>
      <c r="O1538" s="1" t="str">
        <f aca="false">IF(F1538&gt;G1538,M1538,IF(G1538&gt;F1538,N1538,"Tie"))</f>
        <v>JAX</v>
      </c>
      <c r="P1538" s="1" t="n">
        <f aca="false">F1538-G1538</f>
        <v>35</v>
      </c>
      <c r="Q1538" s="1" t="n">
        <f aca="false">F1538+G1538</f>
        <v>67</v>
      </c>
      <c r="R1538" s="1" t="str">
        <f aca="false">IF(H1538=M1538,"Home",IF(H1538=N1538,"Away",IF(H1538="PICK","Pick","N/A")))</f>
        <v>Home</v>
      </c>
      <c r="S1538" s="1" t="n">
        <f aca="false">IF(R1538="Home",P1538,IF(R1538="Away",-P1538,""))</f>
        <v>35</v>
      </c>
      <c r="T1538" s="1" t="str">
        <f aca="false">IF(R1538="Pick","No Line",IF(S1538="","N/A",IF(S1538+I1538&gt;0,"Favorite Covered",IF(S1538+I1538&lt;0,"Underdog Covered","Push"))))</f>
        <v>Favorite Covered</v>
      </c>
      <c r="U1538" s="1" t="str">
        <f aca="false">IF(Q1538&gt;J1538,"Over",IF(Q1538&lt;J1538,"Under","Push"))</f>
        <v>Over</v>
      </c>
    </row>
    <row r="1539" customFormat="false" ht="15" hidden="false" customHeight="false" outlineLevel="0" collapsed="false">
      <c r="A1539" s="1" t="s">
        <v>500</v>
      </c>
      <c r="B1539" s="1" t="n">
        <v>2015</v>
      </c>
      <c r="C1539" s="1" t="s">
        <v>219</v>
      </c>
      <c r="D1539" s="1" t="s">
        <v>83</v>
      </c>
      <c r="E1539" s="1" t="s">
        <v>107</v>
      </c>
      <c r="F1539" s="1" t="n">
        <v>10</v>
      </c>
      <c r="G1539" s="1" t="n">
        <v>3</v>
      </c>
      <c r="H1539" s="1" t="s">
        <v>84</v>
      </c>
      <c r="I1539" s="1" t="n">
        <v>-12</v>
      </c>
      <c r="J1539" s="1" t="n">
        <v>41.5</v>
      </c>
      <c r="K1539" s="1" t="s">
        <v>158</v>
      </c>
      <c r="L1539" s="1" t="b">
        <f aca="false">FALSE()</f>
        <v>0</v>
      </c>
      <c r="M1539" s="1" t="str">
        <f aca="false">VLOOKUP(D1539,'Team Reference'!$A:$B,2,FALSE())</f>
        <v>KC</v>
      </c>
      <c r="N1539" s="1" t="str">
        <f aca="false">VLOOKUP(E1539,'Team Reference'!$A:$B,2,FALSE())</f>
        <v>LAC</v>
      </c>
      <c r="O1539" s="1" t="str">
        <f aca="false">IF(F1539&gt;G1539,M1539,IF(G1539&gt;F1539,N1539,"Tie"))</f>
        <v>KC</v>
      </c>
      <c r="P1539" s="1" t="n">
        <f aca="false">F1539-G1539</f>
        <v>7</v>
      </c>
      <c r="Q1539" s="1" t="n">
        <f aca="false">F1539+G1539</f>
        <v>13</v>
      </c>
      <c r="R1539" s="1" t="str">
        <f aca="false">IF(H1539=M1539,"Home",IF(H1539=N1539,"Away",IF(H1539="PICK","Pick","N/A")))</f>
        <v>Home</v>
      </c>
      <c r="S1539" s="1" t="n">
        <f aca="false">IF(R1539="Home",P1539,IF(R1539="Away",-P1539,""))</f>
        <v>7</v>
      </c>
      <c r="T1539" s="1" t="str">
        <f aca="false">IF(R1539="Pick","No Line",IF(S1539="","N/A",IF(S1539+I1539&gt;0,"Favorite Covered",IF(S1539+I1539&lt;0,"Underdog Covered","Push"))))</f>
        <v>Underdog Covered</v>
      </c>
      <c r="U1539" s="1" t="str">
        <f aca="false">IF(Q1539&gt;J1539,"Over",IF(Q1539&lt;J1539,"Under","Push"))</f>
        <v>Under</v>
      </c>
    </row>
    <row r="1540" customFormat="false" ht="15" hidden="false" customHeight="false" outlineLevel="0" collapsed="false">
      <c r="A1540" s="1" t="s">
        <v>500</v>
      </c>
      <c r="B1540" s="1" t="n">
        <v>2015</v>
      </c>
      <c r="C1540" s="1" t="s">
        <v>219</v>
      </c>
      <c r="D1540" s="1" t="s">
        <v>99</v>
      </c>
      <c r="E1540" s="1" t="s">
        <v>115</v>
      </c>
      <c r="F1540" s="1" t="n">
        <v>30</v>
      </c>
      <c r="G1540" s="1" t="n">
        <v>8</v>
      </c>
      <c r="H1540" s="1" t="s">
        <v>100</v>
      </c>
      <c r="I1540" s="1" t="n">
        <v>-8</v>
      </c>
      <c r="J1540" s="1" t="n">
        <v>43</v>
      </c>
      <c r="K1540" s="1" t="s">
        <v>149</v>
      </c>
      <c r="L1540" s="1" t="b">
        <f aca="false">FALSE()</f>
        <v>0</v>
      </c>
      <c r="M1540" s="1" t="str">
        <f aca="false">VLOOKUP(D1540,'Team Reference'!$A:$B,2,FALSE())</f>
        <v>NYJ</v>
      </c>
      <c r="N1540" s="1" t="str">
        <f aca="false">VLOOKUP(E1540,'Team Reference'!$A:$B,2,FALSE())</f>
        <v>TEN</v>
      </c>
      <c r="O1540" s="1" t="str">
        <f aca="false">IF(F1540&gt;G1540,M1540,IF(G1540&gt;F1540,N1540,"Tie"))</f>
        <v>NYJ</v>
      </c>
      <c r="P1540" s="1" t="n">
        <f aca="false">F1540-G1540</f>
        <v>22</v>
      </c>
      <c r="Q1540" s="1" t="n">
        <f aca="false">F1540+G1540</f>
        <v>38</v>
      </c>
      <c r="R1540" s="1" t="str">
        <f aca="false">IF(H1540=M1540,"Home",IF(H1540=N1540,"Away",IF(H1540="PICK","Pick","N/A")))</f>
        <v>Home</v>
      </c>
      <c r="S1540" s="1" t="n">
        <f aca="false">IF(R1540="Home",P1540,IF(R1540="Away",-P1540,""))</f>
        <v>22</v>
      </c>
      <c r="T1540" s="1" t="str">
        <f aca="false">IF(R1540="Pick","No Line",IF(S1540="","N/A",IF(S1540+I1540&gt;0,"Favorite Covered",IF(S1540+I1540&lt;0,"Underdog Covered","Push"))))</f>
        <v>Favorite Covered</v>
      </c>
      <c r="U1540" s="1" t="str">
        <f aca="false">IF(Q1540&gt;J1540,"Over",IF(Q1540&lt;J1540,"Under","Push"))</f>
        <v>Under</v>
      </c>
    </row>
    <row r="1541" customFormat="false" ht="15" hidden="false" customHeight="false" outlineLevel="0" collapsed="false">
      <c r="A1541" s="1" t="s">
        <v>500</v>
      </c>
      <c r="B1541" s="1" t="n">
        <v>2015</v>
      </c>
      <c r="C1541" s="1" t="s">
        <v>219</v>
      </c>
      <c r="D1541" s="1" t="s">
        <v>103</v>
      </c>
      <c r="E1541" s="1" t="s">
        <v>59</v>
      </c>
      <c r="F1541" s="1" t="n">
        <v>23</v>
      </c>
      <c r="G1541" s="1" t="n">
        <v>20</v>
      </c>
      <c r="H1541" s="1" t="s">
        <v>104</v>
      </c>
      <c r="I1541" s="1" t="n">
        <v>-1</v>
      </c>
      <c r="J1541" s="1" t="n">
        <v>48.5</v>
      </c>
      <c r="K1541" s="1" t="s">
        <v>150</v>
      </c>
      <c r="L1541" s="1" t="b">
        <f aca="false">FALSE()</f>
        <v>0</v>
      </c>
      <c r="M1541" s="1" t="str">
        <f aca="false">VLOOKUP(D1541,'Team Reference'!$A:$B,2,FALSE())</f>
        <v>PHI</v>
      </c>
      <c r="N1541" s="1" t="str">
        <f aca="false">VLOOKUP(E1541,'Team Reference'!$A:$B,2,FALSE())</f>
        <v>BUF</v>
      </c>
      <c r="O1541" s="1" t="str">
        <f aca="false">IF(F1541&gt;G1541,M1541,IF(G1541&gt;F1541,N1541,"Tie"))</f>
        <v>PHI</v>
      </c>
      <c r="P1541" s="1" t="n">
        <f aca="false">F1541-G1541</f>
        <v>3</v>
      </c>
      <c r="Q1541" s="1" t="n">
        <f aca="false">F1541+G1541</f>
        <v>43</v>
      </c>
      <c r="R1541" s="1" t="str">
        <f aca="false">IF(H1541=M1541,"Home",IF(H1541=N1541,"Away",IF(H1541="PICK","Pick","N/A")))</f>
        <v>Home</v>
      </c>
      <c r="S1541" s="1" t="n">
        <f aca="false">IF(R1541="Home",P1541,IF(R1541="Away",-P1541,""))</f>
        <v>3</v>
      </c>
      <c r="T1541" s="1" t="str">
        <f aca="false">IF(R1541="Pick","No Line",IF(S1541="","N/A",IF(S1541+I1541&gt;0,"Favorite Covered",IF(S1541+I1541&lt;0,"Underdog Covered","Push"))))</f>
        <v>Favorite Covered</v>
      </c>
      <c r="U1541" s="1" t="str">
        <f aca="false">IF(Q1541&gt;J1541,"Over",IF(Q1541&lt;J1541,"Under","Push"))</f>
        <v>Under</v>
      </c>
    </row>
    <row r="1542" customFormat="false" ht="15" hidden="false" customHeight="false" outlineLevel="0" collapsed="false">
      <c r="A1542" s="1" t="s">
        <v>500</v>
      </c>
      <c r="B1542" s="1" t="n">
        <v>2015</v>
      </c>
      <c r="C1542" s="1" t="s">
        <v>219</v>
      </c>
      <c r="D1542" s="1" t="s">
        <v>112</v>
      </c>
      <c r="E1542" s="1" t="s">
        <v>73</v>
      </c>
      <c r="F1542" s="1" t="n">
        <v>21</v>
      </c>
      <c r="G1542" s="1" t="n">
        <v>14</v>
      </c>
      <c r="H1542" s="1" t="s">
        <v>74</v>
      </c>
      <c r="I1542" s="1" t="n">
        <v>-3</v>
      </c>
      <c r="J1542" s="1" t="n">
        <v>41.5</v>
      </c>
      <c r="K1542" s="1" t="s">
        <v>153</v>
      </c>
      <c r="L1542" s="1" t="b">
        <f aca="false">FALSE()</f>
        <v>0</v>
      </c>
      <c r="M1542" s="1" t="str">
        <f aca="false">VLOOKUP(D1542,'Team Reference'!$A:$B,2,FALSE())</f>
        <v>LAR</v>
      </c>
      <c r="N1542" s="1" t="str">
        <f aca="false">VLOOKUP(E1542,'Team Reference'!$A:$B,2,FALSE())</f>
        <v>DET</v>
      </c>
      <c r="O1542" s="1" t="str">
        <f aca="false">IF(F1542&gt;G1542,M1542,IF(G1542&gt;F1542,N1542,"Tie"))</f>
        <v>LAR</v>
      </c>
      <c r="P1542" s="1" t="n">
        <f aca="false">F1542-G1542</f>
        <v>7</v>
      </c>
      <c r="Q1542" s="1" t="n">
        <f aca="false">F1542+G1542</f>
        <v>35</v>
      </c>
      <c r="R1542" s="1" t="str">
        <f aca="false">IF(H1542=M1542,"Home",IF(H1542=N1542,"Away",IF(H1542="PICK","Pick","N/A")))</f>
        <v>Away</v>
      </c>
      <c r="S1542" s="1" t="n">
        <f aca="false">IF(R1542="Home",P1542,IF(R1542="Away",-P1542,""))</f>
        <v>-7</v>
      </c>
      <c r="T1542" s="1" t="str">
        <f aca="false">IF(R1542="Pick","No Line",IF(S1542="","N/A",IF(S1542+I1542&gt;0,"Favorite Covered",IF(S1542+I1542&lt;0,"Underdog Covered","Push"))))</f>
        <v>Underdog Covered</v>
      </c>
      <c r="U1542" s="1" t="str">
        <f aca="false">IF(Q1542&gt;J1542,"Over",IF(Q1542&lt;J1542,"Under","Push"))</f>
        <v>Under</v>
      </c>
    </row>
    <row r="1543" customFormat="false" ht="15" hidden="false" customHeight="false" outlineLevel="0" collapsed="false">
      <c r="A1543" s="1" t="s">
        <v>500</v>
      </c>
      <c r="B1543" s="1" t="n">
        <v>2015</v>
      </c>
      <c r="C1543" s="1" t="s">
        <v>219</v>
      </c>
      <c r="D1543" s="1" t="s">
        <v>113</v>
      </c>
      <c r="E1543" s="1" t="s">
        <v>95</v>
      </c>
      <c r="F1543" s="1" t="n">
        <v>17</v>
      </c>
      <c r="G1543" s="1" t="n">
        <v>24</v>
      </c>
      <c r="H1543" s="1" t="s">
        <v>114</v>
      </c>
      <c r="I1543" s="1" t="n">
        <v>-6</v>
      </c>
      <c r="J1543" s="1" t="n">
        <v>51.5</v>
      </c>
      <c r="K1543" s="1" t="s">
        <v>154</v>
      </c>
      <c r="L1543" s="1" t="b">
        <f aca="false">FALSE()</f>
        <v>0</v>
      </c>
      <c r="M1543" s="1" t="str">
        <f aca="false">VLOOKUP(D1543,'Team Reference'!$A:$B,2,FALSE())</f>
        <v>TB</v>
      </c>
      <c r="N1543" s="1" t="str">
        <f aca="false">VLOOKUP(E1543,'Team Reference'!$A:$B,2,FALSE())</f>
        <v>NO</v>
      </c>
      <c r="O1543" s="1" t="str">
        <f aca="false">IF(F1543&gt;G1543,M1543,IF(G1543&gt;F1543,N1543,"Tie"))</f>
        <v>NO</v>
      </c>
      <c r="P1543" s="1" t="n">
        <f aca="false">F1543-G1543</f>
        <v>-7</v>
      </c>
      <c r="Q1543" s="1" t="n">
        <f aca="false">F1543+G1543</f>
        <v>41</v>
      </c>
      <c r="R1543" s="1" t="str">
        <f aca="false">IF(H1543=M1543,"Home",IF(H1543=N1543,"Away",IF(H1543="PICK","Pick","N/A")))</f>
        <v>Home</v>
      </c>
      <c r="S1543" s="1" t="n">
        <f aca="false">IF(R1543="Home",P1543,IF(R1543="Away",-P1543,""))</f>
        <v>-7</v>
      </c>
      <c r="T1543" s="1" t="str">
        <f aca="false">IF(R1543="Pick","No Line",IF(S1543="","N/A",IF(S1543+I1543&gt;0,"Favorite Covered",IF(S1543+I1543&lt;0,"Underdog Covered","Push"))))</f>
        <v>Underdog Covered</v>
      </c>
      <c r="U1543" s="1" t="str">
        <f aca="false">IF(Q1543&gt;J1543,"Over",IF(Q1543&lt;J1543,"Under","Push"))</f>
        <v>Under</v>
      </c>
    </row>
    <row r="1544" customFormat="false" ht="15" hidden="false" customHeight="false" outlineLevel="0" collapsed="false">
      <c r="A1544" s="1" t="s">
        <v>501</v>
      </c>
      <c r="B1544" s="1" t="n">
        <v>2015</v>
      </c>
      <c r="C1544" s="1" t="s">
        <v>219</v>
      </c>
      <c r="D1544" s="1" t="s">
        <v>89</v>
      </c>
      <c r="E1544" s="1" t="s">
        <v>97</v>
      </c>
      <c r="F1544" s="1" t="n">
        <v>24</v>
      </c>
      <c r="G1544" s="1" t="n">
        <v>31</v>
      </c>
      <c r="H1544" s="1" t="s">
        <v>98</v>
      </c>
      <c r="I1544" s="1" t="n">
        <v>-2</v>
      </c>
      <c r="J1544" s="1" t="n">
        <v>48</v>
      </c>
      <c r="K1544" s="1" t="s">
        <v>179</v>
      </c>
      <c r="L1544" s="1" t="b">
        <f aca="false">FALSE()</f>
        <v>0</v>
      </c>
      <c r="M1544" s="1" t="str">
        <f aca="false">VLOOKUP(D1544,'Team Reference'!$A:$B,2,FALSE())</f>
        <v>MIA</v>
      </c>
      <c r="N1544" s="1" t="str">
        <f aca="false">VLOOKUP(E1544,'Team Reference'!$A:$B,2,FALSE())</f>
        <v>NYG</v>
      </c>
      <c r="O1544" s="1" t="str">
        <f aca="false">IF(F1544&gt;G1544,M1544,IF(G1544&gt;F1544,N1544,"Tie"))</f>
        <v>NYG</v>
      </c>
      <c r="P1544" s="1" t="n">
        <f aca="false">F1544-G1544</f>
        <v>-7</v>
      </c>
      <c r="Q1544" s="1" t="n">
        <f aca="false">F1544+G1544</f>
        <v>55</v>
      </c>
      <c r="R1544" s="1" t="str">
        <f aca="false">IF(H1544=M1544,"Home",IF(H1544=N1544,"Away",IF(H1544="PICK","Pick","N/A")))</f>
        <v>Away</v>
      </c>
      <c r="S1544" s="1" t="n">
        <f aca="false">IF(R1544="Home",P1544,IF(R1544="Away",-P1544,""))</f>
        <v>7</v>
      </c>
      <c r="T1544" s="1" t="str">
        <f aca="false">IF(R1544="Pick","No Line",IF(S1544="","N/A",IF(S1544+I1544&gt;0,"Favorite Covered",IF(S1544+I1544&lt;0,"Underdog Covered","Push"))))</f>
        <v>Favorite Covered</v>
      </c>
      <c r="U1544" s="1" t="str">
        <f aca="false">IF(Q1544&gt;J1544,"Over",IF(Q1544&lt;J1544,"Under","Push"))</f>
        <v>Over</v>
      </c>
    </row>
    <row r="1545" customFormat="false" ht="15" hidden="false" customHeight="false" outlineLevel="0" collapsed="false">
      <c r="A1545" s="1" t="s">
        <v>502</v>
      </c>
      <c r="B1545" s="1" t="n">
        <v>2015</v>
      </c>
      <c r="C1545" s="1" t="s">
        <v>223</v>
      </c>
      <c r="D1545" s="1" t="s">
        <v>112</v>
      </c>
      <c r="E1545" s="1" t="s">
        <v>113</v>
      </c>
      <c r="F1545" s="1" t="n">
        <v>31</v>
      </c>
      <c r="G1545" s="1" t="n">
        <v>23</v>
      </c>
      <c r="H1545" s="1" t="s">
        <v>88</v>
      </c>
      <c r="I1545" s="1" t="n">
        <v>-1</v>
      </c>
      <c r="J1545" s="1" t="n">
        <v>41</v>
      </c>
      <c r="K1545" s="1" t="s">
        <v>153</v>
      </c>
      <c r="L1545" s="1" t="b">
        <f aca="false">FALSE()</f>
        <v>0</v>
      </c>
      <c r="M1545" s="1" t="str">
        <f aca="false">VLOOKUP(D1545,'Team Reference'!$A:$B,2,FALSE())</f>
        <v>LAR</v>
      </c>
      <c r="N1545" s="1" t="str">
        <f aca="false">VLOOKUP(E1545,'Team Reference'!$A:$B,2,FALSE())</f>
        <v>TB</v>
      </c>
      <c r="O1545" s="1" t="str">
        <f aca="false">IF(F1545&gt;G1545,M1545,IF(G1545&gt;F1545,N1545,"Tie"))</f>
        <v>LAR</v>
      </c>
      <c r="P1545" s="1" t="n">
        <f aca="false">F1545-G1545</f>
        <v>8</v>
      </c>
      <c r="Q1545" s="1" t="n">
        <f aca="false">F1545+G1545</f>
        <v>54</v>
      </c>
      <c r="R1545" s="1" t="str">
        <f aca="false">IF(H1545=M1545,"Home",IF(H1545=N1545,"Away",IF(H1545="PICK","Pick","N/A")))</f>
        <v>Home</v>
      </c>
      <c r="S1545" s="1" t="n">
        <f aca="false">IF(R1545="Home",P1545,IF(R1545="Away",-P1545,""))</f>
        <v>8</v>
      </c>
      <c r="T1545" s="1" t="str">
        <f aca="false">IF(R1545="Pick","No Line",IF(S1545="","N/A",IF(S1545+I1545&gt;0,"Favorite Covered",IF(S1545+I1545&lt;0,"Underdog Covered","Push"))))</f>
        <v>Favorite Covered</v>
      </c>
      <c r="U1545" s="1" t="str">
        <f aca="false">IF(Q1545&gt;J1545,"Over",IF(Q1545&lt;J1545,"Under","Push"))</f>
        <v>Over</v>
      </c>
    </row>
    <row r="1546" customFormat="false" ht="15" hidden="false" customHeight="false" outlineLevel="0" collapsed="false">
      <c r="A1546" s="1" t="s">
        <v>503</v>
      </c>
      <c r="B1546" s="1" t="n">
        <v>2015</v>
      </c>
      <c r="C1546" s="1" t="s">
        <v>223</v>
      </c>
      <c r="D1546" s="1" t="s">
        <v>69</v>
      </c>
      <c r="E1546" s="1" t="s">
        <v>99</v>
      </c>
      <c r="F1546" s="1" t="n">
        <v>16</v>
      </c>
      <c r="G1546" s="1" t="n">
        <v>19</v>
      </c>
      <c r="H1546" s="1" t="s">
        <v>100</v>
      </c>
      <c r="I1546" s="1" t="n">
        <v>-3.5</v>
      </c>
      <c r="J1546" s="1" t="n">
        <v>41</v>
      </c>
      <c r="K1546" s="1" t="s">
        <v>165</v>
      </c>
      <c r="L1546" s="1" t="b">
        <f aca="false">FALSE()</f>
        <v>0</v>
      </c>
      <c r="M1546" s="1" t="str">
        <f aca="false">VLOOKUP(D1546,'Team Reference'!$A:$B,2,FALSE())</f>
        <v>DAL</v>
      </c>
      <c r="N1546" s="1" t="str">
        <f aca="false">VLOOKUP(E1546,'Team Reference'!$A:$B,2,FALSE())</f>
        <v>NYJ</v>
      </c>
      <c r="O1546" s="1" t="str">
        <f aca="false">IF(F1546&gt;G1546,M1546,IF(G1546&gt;F1546,N1546,"Tie"))</f>
        <v>NYJ</v>
      </c>
      <c r="P1546" s="1" t="n">
        <f aca="false">F1546-G1546</f>
        <v>-3</v>
      </c>
      <c r="Q1546" s="1" t="n">
        <f aca="false">F1546+G1546</f>
        <v>35</v>
      </c>
      <c r="R1546" s="1" t="str">
        <f aca="false">IF(H1546=M1546,"Home",IF(H1546=N1546,"Away",IF(H1546="PICK","Pick","N/A")))</f>
        <v>Away</v>
      </c>
      <c r="S1546" s="1" t="n">
        <f aca="false">IF(R1546="Home",P1546,IF(R1546="Away",-P1546,""))</f>
        <v>3</v>
      </c>
      <c r="T1546" s="1" t="str">
        <f aca="false">IF(R1546="Pick","No Line",IF(S1546="","N/A",IF(S1546+I1546&gt;0,"Favorite Covered",IF(S1546+I1546&lt;0,"Underdog Covered","Push"))))</f>
        <v>Underdog Covered</v>
      </c>
      <c r="U1546" s="1" t="str">
        <f aca="false">IF(Q1546&gt;J1546,"Over",IF(Q1546&lt;J1546,"Under","Push"))</f>
        <v>Under</v>
      </c>
    </row>
    <row r="1547" customFormat="false" ht="15" hidden="false" customHeight="false" outlineLevel="0" collapsed="false">
      <c r="A1547" s="1" t="s">
        <v>504</v>
      </c>
      <c r="B1547" s="1" t="n">
        <v>2015</v>
      </c>
      <c r="C1547" s="1" t="s">
        <v>223</v>
      </c>
      <c r="D1547" s="1" t="s">
        <v>57</v>
      </c>
      <c r="E1547" s="1" t="s">
        <v>83</v>
      </c>
      <c r="F1547" s="1" t="n">
        <v>14</v>
      </c>
      <c r="G1547" s="1" t="n">
        <v>34</v>
      </c>
      <c r="H1547" s="1" t="s">
        <v>84</v>
      </c>
      <c r="I1547" s="1" t="n">
        <v>-6.5</v>
      </c>
      <c r="J1547" s="1" t="n">
        <v>41</v>
      </c>
      <c r="K1547" s="1" t="s">
        <v>178</v>
      </c>
      <c r="L1547" s="1" t="b">
        <f aca="false">FALSE()</f>
        <v>0</v>
      </c>
      <c r="M1547" s="1" t="str">
        <f aca="false">VLOOKUP(D1547,'Team Reference'!$A:$B,2,FALSE())</f>
        <v>BAL</v>
      </c>
      <c r="N1547" s="1" t="str">
        <f aca="false">VLOOKUP(E1547,'Team Reference'!$A:$B,2,FALSE())</f>
        <v>KC</v>
      </c>
      <c r="O1547" s="1" t="str">
        <f aca="false">IF(F1547&gt;G1547,M1547,IF(G1547&gt;F1547,N1547,"Tie"))</f>
        <v>KC</v>
      </c>
      <c r="P1547" s="1" t="n">
        <f aca="false">F1547-G1547</f>
        <v>-20</v>
      </c>
      <c r="Q1547" s="1" t="n">
        <f aca="false">F1547+G1547</f>
        <v>48</v>
      </c>
      <c r="R1547" s="1" t="str">
        <f aca="false">IF(H1547=M1547,"Home",IF(H1547=N1547,"Away",IF(H1547="PICK","Pick","N/A")))</f>
        <v>Away</v>
      </c>
      <c r="S1547" s="1" t="n">
        <f aca="false">IF(R1547="Home",P1547,IF(R1547="Away",-P1547,""))</f>
        <v>20</v>
      </c>
      <c r="T1547" s="1" t="str">
        <f aca="false">IF(R1547="Pick","No Line",IF(S1547="","N/A",IF(S1547+I1547&gt;0,"Favorite Covered",IF(S1547+I1547&lt;0,"Underdog Covered","Push"))))</f>
        <v>Favorite Covered</v>
      </c>
      <c r="U1547" s="1" t="str">
        <f aca="false">IF(Q1547&gt;J1547,"Over",IF(Q1547&lt;J1547,"Under","Push"))</f>
        <v>Over</v>
      </c>
    </row>
    <row r="1548" customFormat="false" ht="15" hidden="false" customHeight="false" outlineLevel="0" collapsed="false">
      <c r="A1548" s="1" t="s">
        <v>504</v>
      </c>
      <c r="B1548" s="1" t="n">
        <v>2015</v>
      </c>
      <c r="C1548" s="1" t="s">
        <v>223</v>
      </c>
      <c r="D1548" s="1" t="s">
        <v>79</v>
      </c>
      <c r="E1548" s="1" t="s">
        <v>77</v>
      </c>
      <c r="F1548" s="1" t="n">
        <v>10</v>
      </c>
      <c r="G1548" s="1" t="n">
        <v>16</v>
      </c>
      <c r="H1548" s="1" t="s">
        <v>80</v>
      </c>
      <c r="I1548" s="1" t="n">
        <v>-2</v>
      </c>
      <c r="J1548" s="1" t="n">
        <v>41.5</v>
      </c>
      <c r="K1548" s="1" t="s">
        <v>169</v>
      </c>
      <c r="L1548" s="1" t="b">
        <f aca="false">FALSE()</f>
        <v>0</v>
      </c>
      <c r="M1548" s="1" t="str">
        <f aca="false">VLOOKUP(D1548,'Team Reference'!$A:$B,2,FALSE())</f>
        <v>IND</v>
      </c>
      <c r="N1548" s="1" t="str">
        <f aca="false">VLOOKUP(E1548,'Team Reference'!$A:$B,2,FALSE())</f>
        <v>HOU</v>
      </c>
      <c r="O1548" s="1" t="str">
        <f aca="false">IF(F1548&gt;G1548,M1548,IF(G1548&gt;F1548,N1548,"Tie"))</f>
        <v>HOU</v>
      </c>
      <c r="P1548" s="1" t="n">
        <f aca="false">F1548-G1548</f>
        <v>-6</v>
      </c>
      <c r="Q1548" s="1" t="n">
        <f aca="false">F1548+G1548</f>
        <v>26</v>
      </c>
      <c r="R1548" s="1" t="str">
        <f aca="false">IF(H1548=M1548,"Home",IF(H1548=N1548,"Away",IF(H1548="PICK","Pick","N/A")))</f>
        <v>Home</v>
      </c>
      <c r="S1548" s="1" t="n">
        <f aca="false">IF(R1548="Home",P1548,IF(R1548="Away",-P1548,""))</f>
        <v>-6</v>
      </c>
      <c r="T1548" s="1" t="str">
        <f aca="false">IF(R1548="Pick","No Line",IF(S1548="","N/A",IF(S1548+I1548&gt;0,"Favorite Covered",IF(S1548+I1548&lt;0,"Underdog Covered","Push"))))</f>
        <v>Underdog Covered</v>
      </c>
      <c r="U1548" s="1" t="str">
        <f aca="false">IF(Q1548&gt;J1548,"Over",IF(Q1548&lt;J1548,"Under","Push"))</f>
        <v>Under</v>
      </c>
    </row>
    <row r="1549" customFormat="false" ht="15" hidden="false" customHeight="false" outlineLevel="0" collapsed="false">
      <c r="A1549" s="1" t="s">
        <v>504</v>
      </c>
      <c r="B1549" s="1" t="n">
        <v>2015</v>
      </c>
      <c r="C1549" s="1" t="s">
        <v>223</v>
      </c>
      <c r="D1549" s="1" t="s">
        <v>81</v>
      </c>
      <c r="E1549" s="1" t="s">
        <v>55</v>
      </c>
      <c r="F1549" s="1" t="n">
        <v>17</v>
      </c>
      <c r="G1549" s="1" t="n">
        <v>23</v>
      </c>
      <c r="H1549" s="1" t="s">
        <v>82</v>
      </c>
      <c r="I1549" s="1" t="n">
        <v>-2</v>
      </c>
      <c r="J1549" s="1" t="n">
        <v>48</v>
      </c>
      <c r="K1549" s="1" t="s">
        <v>147</v>
      </c>
      <c r="L1549" s="1" t="b">
        <f aca="false">FALSE()</f>
        <v>0</v>
      </c>
      <c r="M1549" s="1" t="str">
        <f aca="false">VLOOKUP(D1549,'Team Reference'!$A:$B,2,FALSE())</f>
        <v>JAX</v>
      </c>
      <c r="N1549" s="1" t="str">
        <f aca="false">VLOOKUP(E1549,'Team Reference'!$A:$B,2,FALSE())</f>
        <v>ATL</v>
      </c>
      <c r="O1549" s="1" t="str">
        <f aca="false">IF(F1549&gt;G1549,M1549,IF(G1549&gt;F1549,N1549,"Tie"))</f>
        <v>ATL</v>
      </c>
      <c r="P1549" s="1" t="n">
        <f aca="false">F1549-G1549</f>
        <v>-6</v>
      </c>
      <c r="Q1549" s="1" t="n">
        <f aca="false">F1549+G1549</f>
        <v>40</v>
      </c>
      <c r="R1549" s="1" t="str">
        <f aca="false">IF(H1549=M1549,"Home",IF(H1549=N1549,"Away",IF(H1549="PICK","Pick","N/A")))</f>
        <v>Home</v>
      </c>
      <c r="S1549" s="1" t="n">
        <f aca="false">IF(R1549="Home",P1549,IF(R1549="Away",-P1549,""))</f>
        <v>-6</v>
      </c>
      <c r="T1549" s="1" t="str">
        <f aca="false">IF(R1549="Pick","No Line",IF(S1549="","N/A",IF(S1549+I1549&gt;0,"Favorite Covered",IF(S1549+I1549&lt;0,"Underdog Covered","Push"))))</f>
        <v>Underdog Covered</v>
      </c>
      <c r="U1549" s="1" t="str">
        <f aca="false">IF(Q1549&gt;J1549,"Over",IF(Q1549&lt;J1549,"Under","Push"))</f>
        <v>Under</v>
      </c>
    </row>
    <row r="1550" customFormat="false" ht="15" hidden="false" customHeight="false" outlineLevel="0" collapsed="false">
      <c r="A1550" s="1" t="s">
        <v>504</v>
      </c>
      <c r="B1550" s="1" t="n">
        <v>2015</v>
      </c>
      <c r="C1550" s="1" t="s">
        <v>223</v>
      </c>
      <c r="D1550" s="1" t="s">
        <v>91</v>
      </c>
      <c r="E1550" s="1" t="s">
        <v>63</v>
      </c>
      <c r="F1550" s="1" t="n">
        <v>38</v>
      </c>
      <c r="G1550" s="1" t="n">
        <v>17</v>
      </c>
      <c r="H1550" s="1" t="s">
        <v>92</v>
      </c>
      <c r="I1550" s="1" t="n">
        <v>-4</v>
      </c>
      <c r="J1550" s="1" t="n">
        <v>44</v>
      </c>
      <c r="K1550" s="1" t="s">
        <v>407</v>
      </c>
      <c r="L1550" s="1" t="b">
        <f aca="false">FALSE()</f>
        <v>0</v>
      </c>
      <c r="M1550" s="1" t="str">
        <f aca="false">VLOOKUP(D1550,'Team Reference'!$A:$B,2,FALSE())</f>
        <v>MIN</v>
      </c>
      <c r="N1550" s="1" t="str">
        <f aca="false">VLOOKUP(E1550,'Team Reference'!$A:$B,2,FALSE())</f>
        <v>CHI</v>
      </c>
      <c r="O1550" s="1" t="str">
        <f aca="false">IF(F1550&gt;G1550,M1550,IF(G1550&gt;F1550,N1550,"Tie"))</f>
        <v>MIN</v>
      </c>
      <c r="P1550" s="1" t="n">
        <f aca="false">F1550-G1550</f>
        <v>21</v>
      </c>
      <c r="Q1550" s="1" t="n">
        <f aca="false">F1550+G1550</f>
        <v>55</v>
      </c>
      <c r="R1550" s="1" t="str">
        <f aca="false">IF(H1550=M1550,"Home",IF(H1550=N1550,"Away",IF(H1550="PICK","Pick","N/A")))</f>
        <v>Home</v>
      </c>
      <c r="S1550" s="1" t="n">
        <f aca="false">IF(R1550="Home",P1550,IF(R1550="Away",-P1550,""))</f>
        <v>21</v>
      </c>
      <c r="T1550" s="1" t="str">
        <f aca="false">IF(R1550="Pick","No Line",IF(S1550="","N/A",IF(S1550+I1550&gt;0,"Favorite Covered",IF(S1550+I1550&lt;0,"Underdog Covered","Push"))))</f>
        <v>Favorite Covered</v>
      </c>
      <c r="U1550" s="1" t="str">
        <f aca="false">IF(Q1550&gt;J1550,"Over",IF(Q1550&lt;J1550,"Under","Push"))</f>
        <v>Over</v>
      </c>
    </row>
    <row r="1551" customFormat="false" ht="15" hidden="false" customHeight="false" outlineLevel="0" collapsed="false">
      <c r="A1551" s="1" t="s">
        <v>504</v>
      </c>
      <c r="B1551" s="1" t="n">
        <v>2015</v>
      </c>
      <c r="C1551" s="1" t="s">
        <v>223</v>
      </c>
      <c r="D1551" s="1" t="s">
        <v>93</v>
      </c>
      <c r="E1551" s="1" t="s">
        <v>115</v>
      </c>
      <c r="F1551" s="1" t="n">
        <v>33</v>
      </c>
      <c r="G1551" s="1" t="n">
        <v>16</v>
      </c>
      <c r="H1551" s="1" t="s">
        <v>94</v>
      </c>
      <c r="I1551" s="1" t="n">
        <v>-14.5</v>
      </c>
      <c r="J1551" s="1" t="n">
        <v>48</v>
      </c>
      <c r="K1551" s="1" t="s">
        <v>148</v>
      </c>
      <c r="L1551" s="1" t="b">
        <f aca="false">FALSE()</f>
        <v>0</v>
      </c>
      <c r="M1551" s="1" t="str">
        <f aca="false">VLOOKUP(D1551,'Team Reference'!$A:$B,2,FALSE())</f>
        <v>NE</v>
      </c>
      <c r="N1551" s="1" t="str">
        <f aca="false">VLOOKUP(E1551,'Team Reference'!$A:$B,2,FALSE())</f>
        <v>TEN</v>
      </c>
      <c r="O1551" s="1" t="str">
        <f aca="false">IF(F1551&gt;G1551,M1551,IF(G1551&gt;F1551,N1551,"Tie"))</f>
        <v>NE</v>
      </c>
      <c r="P1551" s="1" t="n">
        <f aca="false">F1551-G1551</f>
        <v>17</v>
      </c>
      <c r="Q1551" s="1" t="n">
        <f aca="false">F1551+G1551</f>
        <v>49</v>
      </c>
      <c r="R1551" s="1" t="str">
        <f aca="false">IF(H1551=M1551,"Home",IF(H1551=N1551,"Away",IF(H1551="PICK","Pick","N/A")))</f>
        <v>Home</v>
      </c>
      <c r="S1551" s="1" t="n">
        <f aca="false">IF(R1551="Home",P1551,IF(R1551="Away",-P1551,""))</f>
        <v>17</v>
      </c>
      <c r="T1551" s="1" t="str">
        <f aca="false">IF(R1551="Pick","No Line",IF(S1551="","N/A",IF(S1551+I1551&gt;0,"Favorite Covered",IF(S1551+I1551&lt;0,"Underdog Covered","Push"))))</f>
        <v>Favorite Covered</v>
      </c>
      <c r="U1551" s="1" t="str">
        <f aca="false">IF(Q1551&gt;J1551,"Over",IF(Q1551&lt;J1551,"Under","Push"))</f>
        <v>Over</v>
      </c>
    </row>
    <row r="1552" customFormat="false" ht="15" hidden="false" customHeight="false" outlineLevel="0" collapsed="false">
      <c r="A1552" s="1" t="s">
        <v>504</v>
      </c>
      <c r="B1552" s="1" t="n">
        <v>2015</v>
      </c>
      <c r="C1552" s="1" t="s">
        <v>223</v>
      </c>
      <c r="D1552" s="1" t="s">
        <v>97</v>
      </c>
      <c r="E1552" s="1" t="s">
        <v>61</v>
      </c>
      <c r="F1552" s="1" t="n">
        <v>35</v>
      </c>
      <c r="G1552" s="1" t="n">
        <v>38</v>
      </c>
      <c r="H1552" s="1" t="s">
        <v>62</v>
      </c>
      <c r="I1552" s="1" t="n">
        <v>-5</v>
      </c>
      <c r="J1552" s="1" t="n">
        <v>46.5</v>
      </c>
      <c r="K1552" s="1" t="s">
        <v>149</v>
      </c>
      <c r="L1552" s="1" t="b">
        <f aca="false">FALSE()</f>
        <v>0</v>
      </c>
      <c r="M1552" s="1" t="str">
        <f aca="false">VLOOKUP(D1552,'Team Reference'!$A:$B,2,FALSE())</f>
        <v>NYG</v>
      </c>
      <c r="N1552" s="1" t="str">
        <f aca="false">VLOOKUP(E1552,'Team Reference'!$A:$B,2,FALSE())</f>
        <v>CAR</v>
      </c>
      <c r="O1552" s="1" t="str">
        <f aca="false">IF(F1552&gt;G1552,M1552,IF(G1552&gt;F1552,N1552,"Tie"))</f>
        <v>CAR</v>
      </c>
      <c r="P1552" s="1" t="n">
        <f aca="false">F1552-G1552</f>
        <v>-3</v>
      </c>
      <c r="Q1552" s="1" t="n">
        <f aca="false">F1552+G1552</f>
        <v>73</v>
      </c>
      <c r="R1552" s="1" t="str">
        <f aca="false">IF(H1552=M1552,"Home",IF(H1552=N1552,"Away",IF(H1552="PICK","Pick","N/A")))</f>
        <v>Away</v>
      </c>
      <c r="S1552" s="1" t="n">
        <f aca="false">IF(R1552="Home",P1552,IF(R1552="Away",-P1552,""))</f>
        <v>3</v>
      </c>
      <c r="T1552" s="1" t="str">
        <f aca="false">IF(R1552="Pick","No Line",IF(S1552="","N/A",IF(S1552+I1552&gt;0,"Favorite Covered",IF(S1552+I1552&lt;0,"Underdog Covered","Push"))))</f>
        <v>Underdog Covered</v>
      </c>
      <c r="U1552" s="1" t="str">
        <f aca="false">IF(Q1552&gt;J1552,"Over",IF(Q1552&lt;J1552,"Under","Push"))</f>
        <v>Over</v>
      </c>
    </row>
    <row r="1553" customFormat="false" ht="15" hidden="false" customHeight="false" outlineLevel="0" collapsed="false">
      <c r="A1553" s="1" t="s">
        <v>504</v>
      </c>
      <c r="B1553" s="1" t="n">
        <v>2015</v>
      </c>
      <c r="C1553" s="1" t="s">
        <v>223</v>
      </c>
      <c r="D1553" s="1" t="s">
        <v>101</v>
      </c>
      <c r="E1553" s="1" t="s">
        <v>75</v>
      </c>
      <c r="F1553" s="1" t="n">
        <v>20</v>
      </c>
      <c r="G1553" s="1" t="n">
        <v>30</v>
      </c>
      <c r="H1553" s="1" t="s">
        <v>76</v>
      </c>
      <c r="I1553" s="1" t="n">
        <v>-4</v>
      </c>
      <c r="J1553" s="1" t="n">
        <v>47</v>
      </c>
      <c r="K1553" s="1" t="s">
        <v>171</v>
      </c>
      <c r="L1553" s="1" t="b">
        <f aca="false">FALSE()</f>
        <v>0</v>
      </c>
      <c r="M1553" s="1" t="str">
        <f aca="false">VLOOKUP(D1553,'Team Reference'!$A:$B,2,FALSE())</f>
        <v>OAK</v>
      </c>
      <c r="N1553" s="1" t="str">
        <f aca="false">VLOOKUP(E1553,'Team Reference'!$A:$B,2,FALSE())</f>
        <v>GB</v>
      </c>
      <c r="O1553" s="1" t="str">
        <f aca="false">IF(F1553&gt;G1553,M1553,IF(G1553&gt;F1553,N1553,"Tie"))</f>
        <v>GB</v>
      </c>
      <c r="P1553" s="1" t="n">
        <f aca="false">F1553-G1553</f>
        <v>-10</v>
      </c>
      <c r="Q1553" s="1" t="n">
        <f aca="false">F1553+G1553</f>
        <v>50</v>
      </c>
      <c r="R1553" s="1" t="str">
        <f aca="false">IF(H1553=M1553,"Home",IF(H1553=N1553,"Away",IF(H1553="PICK","Pick","N/A")))</f>
        <v>Away</v>
      </c>
      <c r="S1553" s="1" t="n">
        <f aca="false">IF(R1553="Home",P1553,IF(R1553="Away",-P1553,""))</f>
        <v>10</v>
      </c>
      <c r="T1553" s="1" t="str">
        <f aca="false">IF(R1553="Pick","No Line",IF(S1553="","N/A",IF(S1553+I1553&gt;0,"Favorite Covered",IF(S1553+I1553&lt;0,"Underdog Covered","Push"))))</f>
        <v>Favorite Covered</v>
      </c>
      <c r="U1553" s="1" t="str">
        <f aca="false">IF(Q1553&gt;J1553,"Over",IF(Q1553&lt;J1553,"Under","Push"))</f>
        <v>Over</v>
      </c>
    </row>
    <row r="1554" customFormat="false" ht="15" hidden="false" customHeight="false" outlineLevel="0" collapsed="false">
      <c r="A1554" s="1" t="s">
        <v>504</v>
      </c>
      <c r="B1554" s="1" t="n">
        <v>2015</v>
      </c>
      <c r="C1554" s="1" t="s">
        <v>223</v>
      </c>
      <c r="D1554" s="1" t="s">
        <v>103</v>
      </c>
      <c r="E1554" s="1" t="s">
        <v>53</v>
      </c>
      <c r="F1554" s="1" t="n">
        <v>17</v>
      </c>
      <c r="G1554" s="1" t="n">
        <v>40</v>
      </c>
      <c r="H1554" s="1" t="s">
        <v>54</v>
      </c>
      <c r="I1554" s="1" t="n">
        <v>-4</v>
      </c>
      <c r="J1554" s="1" t="n">
        <v>51.5</v>
      </c>
      <c r="K1554" s="1" t="s">
        <v>150</v>
      </c>
      <c r="L1554" s="1" t="b">
        <f aca="false">FALSE()</f>
        <v>0</v>
      </c>
      <c r="M1554" s="1" t="str">
        <f aca="false">VLOOKUP(D1554,'Team Reference'!$A:$B,2,FALSE())</f>
        <v>PHI</v>
      </c>
      <c r="N1554" s="1" t="str">
        <f aca="false">VLOOKUP(E1554,'Team Reference'!$A:$B,2,FALSE())</f>
        <v>ARI</v>
      </c>
      <c r="O1554" s="1" t="str">
        <f aca="false">IF(F1554&gt;G1554,M1554,IF(G1554&gt;F1554,N1554,"Tie"))</f>
        <v>ARI</v>
      </c>
      <c r="P1554" s="1" t="n">
        <f aca="false">F1554-G1554</f>
        <v>-23</v>
      </c>
      <c r="Q1554" s="1" t="n">
        <f aca="false">F1554+G1554</f>
        <v>57</v>
      </c>
      <c r="R1554" s="1" t="str">
        <f aca="false">IF(H1554=M1554,"Home",IF(H1554=N1554,"Away",IF(H1554="PICK","Pick","N/A")))</f>
        <v>Away</v>
      </c>
      <c r="S1554" s="1" t="n">
        <f aca="false">IF(R1554="Home",P1554,IF(R1554="Away",-P1554,""))</f>
        <v>23</v>
      </c>
      <c r="T1554" s="1" t="str">
        <f aca="false">IF(R1554="Pick","No Line",IF(S1554="","N/A",IF(S1554+I1554&gt;0,"Favorite Covered",IF(S1554+I1554&lt;0,"Underdog Covered","Push"))))</f>
        <v>Favorite Covered</v>
      </c>
      <c r="U1554" s="1" t="str">
        <f aca="false">IF(Q1554&gt;J1554,"Over",IF(Q1554&lt;J1554,"Under","Push"))</f>
        <v>Over</v>
      </c>
    </row>
    <row r="1555" customFormat="false" ht="15" hidden="false" customHeight="false" outlineLevel="0" collapsed="false">
      <c r="A1555" s="1" t="s">
        <v>504</v>
      </c>
      <c r="B1555" s="1" t="n">
        <v>2015</v>
      </c>
      <c r="C1555" s="1" t="s">
        <v>223</v>
      </c>
      <c r="D1555" s="1" t="s">
        <v>105</v>
      </c>
      <c r="E1555" s="1" t="s">
        <v>71</v>
      </c>
      <c r="F1555" s="1" t="n">
        <v>34</v>
      </c>
      <c r="G1555" s="1" t="n">
        <v>27</v>
      </c>
      <c r="H1555" s="1" t="s">
        <v>106</v>
      </c>
      <c r="I1555" s="1" t="n">
        <v>-7.5</v>
      </c>
      <c r="J1555" s="1" t="n">
        <v>45.5</v>
      </c>
      <c r="K1555" s="1" t="s">
        <v>151</v>
      </c>
      <c r="L1555" s="1" t="b">
        <f aca="false">FALSE()</f>
        <v>0</v>
      </c>
      <c r="M1555" s="1" t="str">
        <f aca="false">VLOOKUP(D1555,'Team Reference'!$A:$B,2,FALSE())</f>
        <v>PIT</v>
      </c>
      <c r="N1555" s="1" t="str">
        <f aca="false">VLOOKUP(E1555,'Team Reference'!$A:$B,2,FALSE())</f>
        <v>DEN</v>
      </c>
      <c r="O1555" s="1" t="str">
        <f aca="false">IF(F1555&gt;G1555,M1555,IF(G1555&gt;F1555,N1555,"Tie"))</f>
        <v>PIT</v>
      </c>
      <c r="P1555" s="1" t="n">
        <f aca="false">F1555-G1555</f>
        <v>7</v>
      </c>
      <c r="Q1555" s="1" t="n">
        <f aca="false">F1555+G1555</f>
        <v>61</v>
      </c>
      <c r="R1555" s="1" t="str">
        <f aca="false">IF(H1555=M1555,"Home",IF(H1555=N1555,"Away",IF(H1555="PICK","Pick","N/A")))</f>
        <v>Home</v>
      </c>
      <c r="S1555" s="1" t="n">
        <f aca="false">IF(R1555="Home",P1555,IF(R1555="Away",-P1555,""))</f>
        <v>7</v>
      </c>
      <c r="T1555" s="1" t="str">
        <f aca="false">IF(R1555="Pick","No Line",IF(S1555="","N/A",IF(S1555+I1555&gt;0,"Favorite Covered",IF(S1555+I1555&lt;0,"Underdog Covered","Push"))))</f>
        <v>Underdog Covered</v>
      </c>
      <c r="U1555" s="1" t="str">
        <f aca="false">IF(Q1555&gt;J1555,"Over",IF(Q1555&lt;J1555,"Under","Push"))</f>
        <v>Over</v>
      </c>
    </row>
    <row r="1556" customFormat="false" ht="15" hidden="false" customHeight="false" outlineLevel="0" collapsed="false">
      <c r="A1556" s="1" t="s">
        <v>504</v>
      </c>
      <c r="B1556" s="1" t="n">
        <v>2015</v>
      </c>
      <c r="C1556" s="1" t="s">
        <v>223</v>
      </c>
      <c r="D1556" s="1" t="s">
        <v>107</v>
      </c>
      <c r="E1556" s="1" t="s">
        <v>89</v>
      </c>
      <c r="F1556" s="1" t="n">
        <v>30</v>
      </c>
      <c r="G1556" s="1" t="n">
        <v>14</v>
      </c>
      <c r="H1556" s="1" t="s">
        <v>86</v>
      </c>
      <c r="I1556" s="1" t="n">
        <v>-1</v>
      </c>
      <c r="J1556" s="1" t="n">
        <v>47</v>
      </c>
      <c r="K1556" s="1" t="s">
        <v>172</v>
      </c>
      <c r="L1556" s="1" t="b">
        <f aca="false">FALSE()</f>
        <v>0</v>
      </c>
      <c r="M1556" s="1" t="str">
        <f aca="false">VLOOKUP(D1556,'Team Reference'!$A:$B,2,FALSE())</f>
        <v>LAC</v>
      </c>
      <c r="N1556" s="1" t="str">
        <f aca="false">VLOOKUP(E1556,'Team Reference'!$A:$B,2,FALSE())</f>
        <v>MIA</v>
      </c>
      <c r="O1556" s="1" t="str">
        <f aca="false">IF(F1556&gt;G1556,M1556,IF(G1556&gt;F1556,N1556,"Tie"))</f>
        <v>LAC</v>
      </c>
      <c r="P1556" s="1" t="n">
        <f aca="false">F1556-G1556</f>
        <v>16</v>
      </c>
      <c r="Q1556" s="1" t="n">
        <f aca="false">F1556+G1556</f>
        <v>44</v>
      </c>
      <c r="R1556" s="1" t="str">
        <f aca="false">IF(H1556=M1556,"Home",IF(H1556=N1556,"Away",IF(H1556="PICK","Pick","N/A")))</f>
        <v>Home</v>
      </c>
      <c r="S1556" s="1" t="n">
        <f aca="false">IF(R1556="Home",P1556,IF(R1556="Away",-P1556,""))</f>
        <v>16</v>
      </c>
      <c r="T1556" s="1" t="str">
        <f aca="false">IF(R1556="Pick","No Line",IF(S1556="","N/A",IF(S1556+I1556&gt;0,"Favorite Covered",IF(S1556+I1556&lt;0,"Underdog Covered","Push"))))</f>
        <v>Favorite Covered</v>
      </c>
      <c r="U1556" s="1" t="str">
        <f aca="false">IF(Q1556&gt;J1556,"Over",IF(Q1556&lt;J1556,"Under","Push"))</f>
        <v>Under</v>
      </c>
    </row>
    <row r="1557" customFormat="false" ht="15" hidden="false" customHeight="false" outlineLevel="0" collapsed="false">
      <c r="A1557" s="1" t="s">
        <v>504</v>
      </c>
      <c r="B1557" s="1" t="n">
        <v>2015</v>
      </c>
      <c r="C1557" s="1" t="s">
        <v>223</v>
      </c>
      <c r="D1557" s="1" t="s">
        <v>108</v>
      </c>
      <c r="E1557" s="1" t="s">
        <v>65</v>
      </c>
      <c r="F1557" s="1" t="n">
        <v>14</v>
      </c>
      <c r="G1557" s="1" t="n">
        <v>24</v>
      </c>
      <c r="H1557" s="1" t="s">
        <v>66</v>
      </c>
      <c r="I1557" s="1" t="n">
        <v>-6.5</v>
      </c>
      <c r="J1557" s="1" t="n">
        <v>41</v>
      </c>
      <c r="K1557" s="1" t="s">
        <v>408</v>
      </c>
      <c r="L1557" s="1" t="b">
        <f aca="false">FALSE()</f>
        <v>0</v>
      </c>
      <c r="M1557" s="1" t="str">
        <f aca="false">VLOOKUP(D1557,'Team Reference'!$A:$B,2,FALSE())</f>
        <v>SF</v>
      </c>
      <c r="N1557" s="1" t="str">
        <f aca="false">VLOOKUP(E1557,'Team Reference'!$A:$B,2,FALSE())</f>
        <v>CIN</v>
      </c>
      <c r="O1557" s="1" t="str">
        <f aca="false">IF(F1557&gt;G1557,M1557,IF(G1557&gt;F1557,N1557,"Tie"))</f>
        <v>CIN</v>
      </c>
      <c r="P1557" s="1" t="n">
        <f aca="false">F1557-G1557</f>
        <v>-10</v>
      </c>
      <c r="Q1557" s="1" t="n">
        <f aca="false">F1557+G1557</f>
        <v>38</v>
      </c>
      <c r="R1557" s="1" t="str">
        <f aca="false">IF(H1557=M1557,"Home",IF(H1557=N1557,"Away",IF(H1557="PICK","Pick","N/A")))</f>
        <v>Away</v>
      </c>
      <c r="S1557" s="1" t="n">
        <f aca="false">IF(R1557="Home",P1557,IF(R1557="Away",-P1557,""))</f>
        <v>10</v>
      </c>
      <c r="T1557" s="1" t="str">
        <f aca="false">IF(R1557="Pick","No Line",IF(S1557="","N/A",IF(S1557+I1557&gt;0,"Favorite Covered",IF(S1557+I1557&lt;0,"Underdog Covered","Push"))))</f>
        <v>Favorite Covered</v>
      </c>
      <c r="U1557" s="1" t="str">
        <f aca="false">IF(Q1557&gt;J1557,"Over",IF(Q1557&lt;J1557,"Under","Push"))</f>
        <v>Under</v>
      </c>
    </row>
    <row r="1558" customFormat="false" ht="15" hidden="false" customHeight="false" outlineLevel="0" collapsed="false">
      <c r="A1558" s="1" t="s">
        <v>504</v>
      </c>
      <c r="B1558" s="1" t="n">
        <v>2015</v>
      </c>
      <c r="C1558" s="1" t="s">
        <v>223</v>
      </c>
      <c r="D1558" s="1" t="s">
        <v>110</v>
      </c>
      <c r="E1558" s="1" t="s">
        <v>67</v>
      </c>
      <c r="F1558" s="1" t="n">
        <v>30</v>
      </c>
      <c r="G1558" s="1" t="n">
        <v>13</v>
      </c>
      <c r="H1558" s="1" t="s">
        <v>111</v>
      </c>
      <c r="I1558" s="1" t="n">
        <v>-14.5</v>
      </c>
      <c r="J1558" s="1" t="n">
        <v>45.5</v>
      </c>
      <c r="K1558" s="1" t="s">
        <v>152</v>
      </c>
      <c r="L1558" s="1" t="b">
        <f aca="false">FALSE()</f>
        <v>0</v>
      </c>
      <c r="M1558" s="1" t="str">
        <f aca="false">VLOOKUP(D1558,'Team Reference'!$A:$B,2,FALSE())</f>
        <v>SEA</v>
      </c>
      <c r="N1558" s="1" t="str">
        <f aca="false">VLOOKUP(E1558,'Team Reference'!$A:$B,2,FALSE())</f>
        <v>CLE</v>
      </c>
      <c r="O1558" s="1" t="str">
        <f aca="false">IF(F1558&gt;G1558,M1558,IF(G1558&gt;F1558,N1558,"Tie"))</f>
        <v>SEA</v>
      </c>
      <c r="P1558" s="1" t="n">
        <f aca="false">F1558-G1558</f>
        <v>17</v>
      </c>
      <c r="Q1558" s="1" t="n">
        <f aca="false">F1558+G1558</f>
        <v>43</v>
      </c>
      <c r="R1558" s="1" t="str">
        <f aca="false">IF(H1558=M1558,"Home",IF(H1558=N1558,"Away",IF(H1558="PICK","Pick","N/A")))</f>
        <v>Home</v>
      </c>
      <c r="S1558" s="1" t="n">
        <f aca="false">IF(R1558="Home",P1558,IF(R1558="Away",-P1558,""))</f>
        <v>17</v>
      </c>
      <c r="T1558" s="1" t="str">
        <f aca="false">IF(R1558="Pick","No Line",IF(S1558="","N/A",IF(S1558+I1558&gt;0,"Favorite Covered",IF(S1558+I1558&lt;0,"Underdog Covered","Push"))))</f>
        <v>Favorite Covered</v>
      </c>
      <c r="U1558" s="1" t="str">
        <f aca="false">IF(Q1558&gt;J1558,"Over",IF(Q1558&lt;J1558,"Under","Push"))</f>
        <v>Under</v>
      </c>
    </row>
    <row r="1559" customFormat="false" ht="15" hidden="false" customHeight="false" outlineLevel="0" collapsed="false">
      <c r="A1559" s="1" t="s">
        <v>504</v>
      </c>
      <c r="B1559" s="1" t="n">
        <v>2015</v>
      </c>
      <c r="C1559" s="1" t="s">
        <v>223</v>
      </c>
      <c r="D1559" s="1" t="s">
        <v>117</v>
      </c>
      <c r="E1559" s="1" t="s">
        <v>59</v>
      </c>
      <c r="F1559" s="1" t="n">
        <v>35</v>
      </c>
      <c r="G1559" s="1" t="n">
        <v>25</v>
      </c>
      <c r="H1559" s="1" t="s">
        <v>60</v>
      </c>
      <c r="I1559" s="1" t="n">
        <v>-2</v>
      </c>
      <c r="J1559" s="1" t="n">
        <v>46</v>
      </c>
      <c r="K1559" s="1" t="s">
        <v>156</v>
      </c>
      <c r="L1559" s="1" t="b">
        <f aca="false">FALSE()</f>
        <v>0</v>
      </c>
      <c r="M1559" s="1" t="str">
        <f aca="false">VLOOKUP(D1559,'Team Reference'!$A:$B,2,FALSE())</f>
        <v>WAS</v>
      </c>
      <c r="N1559" s="1" t="str">
        <f aca="false">VLOOKUP(E1559,'Team Reference'!$A:$B,2,FALSE())</f>
        <v>BUF</v>
      </c>
      <c r="O1559" s="1" t="str">
        <f aca="false">IF(F1559&gt;G1559,M1559,IF(G1559&gt;F1559,N1559,"Tie"))</f>
        <v>WAS</v>
      </c>
      <c r="P1559" s="1" t="n">
        <f aca="false">F1559-G1559</f>
        <v>10</v>
      </c>
      <c r="Q1559" s="1" t="n">
        <f aca="false">F1559+G1559</f>
        <v>60</v>
      </c>
      <c r="R1559" s="1" t="str">
        <f aca="false">IF(H1559=M1559,"Home",IF(H1559=N1559,"Away",IF(H1559="PICK","Pick","N/A")))</f>
        <v>Away</v>
      </c>
      <c r="S1559" s="1" t="n">
        <f aca="false">IF(R1559="Home",P1559,IF(R1559="Away",-P1559,""))</f>
        <v>-10</v>
      </c>
      <c r="T1559" s="1" t="str">
        <f aca="false">IF(R1559="Pick","No Line",IF(S1559="","N/A",IF(S1559+I1559&gt;0,"Favorite Covered",IF(S1559+I1559&lt;0,"Underdog Covered","Push"))))</f>
        <v>Underdog Covered</v>
      </c>
      <c r="U1559" s="1" t="str">
        <f aca="false">IF(Q1559&gt;J1559,"Over",IF(Q1559&lt;J1559,"Under","Push"))</f>
        <v>Over</v>
      </c>
    </row>
    <row r="1560" customFormat="false" ht="15" hidden="false" customHeight="false" outlineLevel="0" collapsed="false">
      <c r="A1560" s="1" t="s">
        <v>505</v>
      </c>
      <c r="B1560" s="1" t="n">
        <v>2015</v>
      </c>
      <c r="C1560" s="1" t="s">
        <v>223</v>
      </c>
      <c r="D1560" s="1" t="s">
        <v>95</v>
      </c>
      <c r="E1560" s="1" t="s">
        <v>73</v>
      </c>
      <c r="F1560" s="1" t="n">
        <v>27</v>
      </c>
      <c r="G1560" s="1" t="n">
        <v>35</v>
      </c>
      <c r="H1560" s="1" t="s">
        <v>96</v>
      </c>
      <c r="I1560" s="1" t="n">
        <v>-2.5</v>
      </c>
      <c r="J1560" s="1" t="n">
        <v>52</v>
      </c>
      <c r="K1560" s="1" t="s">
        <v>142</v>
      </c>
      <c r="L1560" s="1" t="b">
        <f aca="false">FALSE()</f>
        <v>0</v>
      </c>
      <c r="M1560" s="1" t="str">
        <f aca="false">VLOOKUP(D1560,'Team Reference'!$A:$B,2,FALSE())</f>
        <v>NO</v>
      </c>
      <c r="N1560" s="1" t="str">
        <f aca="false">VLOOKUP(E1560,'Team Reference'!$A:$B,2,FALSE())</f>
        <v>DET</v>
      </c>
      <c r="O1560" s="1" t="str">
        <f aca="false">IF(F1560&gt;G1560,M1560,IF(G1560&gt;F1560,N1560,"Tie"))</f>
        <v>DET</v>
      </c>
      <c r="P1560" s="1" t="n">
        <f aca="false">F1560-G1560</f>
        <v>-8</v>
      </c>
      <c r="Q1560" s="1" t="n">
        <f aca="false">F1560+G1560</f>
        <v>62</v>
      </c>
      <c r="R1560" s="1" t="str">
        <f aca="false">IF(H1560=M1560,"Home",IF(H1560=N1560,"Away",IF(H1560="PICK","Pick","N/A")))</f>
        <v>Home</v>
      </c>
      <c r="S1560" s="1" t="n">
        <f aca="false">IF(R1560="Home",P1560,IF(R1560="Away",-P1560,""))</f>
        <v>-8</v>
      </c>
      <c r="T1560" s="1" t="str">
        <f aca="false">IF(R1560="Pick","No Line",IF(S1560="","N/A",IF(S1560+I1560&gt;0,"Favorite Covered",IF(S1560+I1560&lt;0,"Underdog Covered","Push"))))</f>
        <v>Underdog Covered</v>
      </c>
      <c r="U1560" s="1" t="str">
        <f aca="false">IF(Q1560&gt;J1560,"Over",IF(Q1560&lt;J1560,"Under","Push"))</f>
        <v>Over</v>
      </c>
    </row>
    <row r="1561" customFormat="false" ht="15" hidden="false" customHeight="false" outlineLevel="0" collapsed="false">
      <c r="A1561" s="1" t="s">
        <v>506</v>
      </c>
      <c r="B1561" s="1" t="n">
        <v>2015</v>
      </c>
      <c r="C1561" s="1" t="s">
        <v>227</v>
      </c>
      <c r="D1561" s="1" t="s">
        <v>101</v>
      </c>
      <c r="E1561" s="1" t="s">
        <v>107</v>
      </c>
      <c r="F1561" s="1" t="n">
        <v>23</v>
      </c>
      <c r="G1561" s="1" t="n">
        <v>20</v>
      </c>
      <c r="H1561" s="1" t="s">
        <v>102</v>
      </c>
      <c r="I1561" s="1" t="n">
        <v>-4</v>
      </c>
      <c r="J1561" s="1" t="n">
        <v>45.5</v>
      </c>
      <c r="K1561" s="1" t="s">
        <v>171</v>
      </c>
      <c r="L1561" s="1" t="b">
        <f aca="false">FALSE()</f>
        <v>0</v>
      </c>
      <c r="M1561" s="1" t="str">
        <f aca="false">VLOOKUP(D1561,'Team Reference'!$A:$B,2,FALSE())</f>
        <v>OAK</v>
      </c>
      <c r="N1561" s="1" t="str">
        <f aca="false">VLOOKUP(E1561,'Team Reference'!$A:$B,2,FALSE())</f>
        <v>LAC</v>
      </c>
      <c r="O1561" s="1" t="str">
        <f aca="false">IF(F1561&gt;G1561,M1561,IF(G1561&gt;F1561,N1561,"Tie"))</f>
        <v>OAK</v>
      </c>
      <c r="P1561" s="1" t="n">
        <f aca="false">F1561-G1561</f>
        <v>3</v>
      </c>
      <c r="Q1561" s="1" t="n">
        <f aca="false">F1561+G1561</f>
        <v>43</v>
      </c>
      <c r="R1561" s="1" t="str">
        <f aca="false">IF(H1561=M1561,"Home",IF(H1561=N1561,"Away",IF(H1561="PICK","Pick","N/A")))</f>
        <v>Home</v>
      </c>
      <c r="S1561" s="1" t="n">
        <f aca="false">IF(R1561="Home",P1561,IF(R1561="Away",-P1561,""))</f>
        <v>3</v>
      </c>
      <c r="T1561" s="1" t="str">
        <f aca="false">IF(R1561="Pick","No Line",IF(S1561="","N/A",IF(S1561+I1561&gt;0,"Favorite Covered",IF(S1561+I1561&lt;0,"Underdog Covered","Push"))))</f>
        <v>Underdog Covered</v>
      </c>
      <c r="U1561" s="1" t="str">
        <f aca="false">IF(Q1561&gt;J1561,"Over",IF(Q1561&lt;J1561,"Under","Push"))</f>
        <v>Under</v>
      </c>
    </row>
    <row r="1562" customFormat="false" ht="15" hidden="false" customHeight="false" outlineLevel="0" collapsed="false">
      <c r="A1562" s="1" t="s">
        <v>507</v>
      </c>
      <c r="B1562" s="1" t="n">
        <v>2015</v>
      </c>
      <c r="C1562" s="1" t="s">
        <v>227</v>
      </c>
      <c r="D1562" s="1" t="s">
        <v>103</v>
      </c>
      <c r="E1562" s="1" t="s">
        <v>117</v>
      </c>
      <c r="F1562" s="1" t="n">
        <v>24</v>
      </c>
      <c r="G1562" s="1" t="n">
        <v>38</v>
      </c>
      <c r="H1562" s="1" t="s">
        <v>104</v>
      </c>
      <c r="I1562" s="1" t="n">
        <v>-3.5</v>
      </c>
      <c r="J1562" s="1" t="n">
        <v>48.5</v>
      </c>
      <c r="K1562" s="1" t="s">
        <v>150</v>
      </c>
      <c r="L1562" s="1" t="b">
        <f aca="false">FALSE()</f>
        <v>0</v>
      </c>
      <c r="M1562" s="1" t="str">
        <f aca="false">VLOOKUP(D1562,'Team Reference'!$A:$B,2,FALSE())</f>
        <v>PHI</v>
      </c>
      <c r="N1562" s="1" t="str">
        <f aca="false">VLOOKUP(E1562,'Team Reference'!$A:$B,2,FALSE())</f>
        <v>WAS</v>
      </c>
      <c r="O1562" s="1" t="str">
        <f aca="false">IF(F1562&gt;G1562,M1562,IF(G1562&gt;F1562,N1562,"Tie"))</f>
        <v>WAS</v>
      </c>
      <c r="P1562" s="1" t="n">
        <f aca="false">F1562-G1562</f>
        <v>-14</v>
      </c>
      <c r="Q1562" s="1" t="n">
        <f aca="false">F1562+G1562</f>
        <v>62</v>
      </c>
      <c r="R1562" s="1" t="str">
        <f aca="false">IF(H1562=M1562,"Home",IF(H1562=N1562,"Away",IF(H1562="PICK","Pick","N/A")))</f>
        <v>Home</v>
      </c>
      <c r="S1562" s="1" t="n">
        <f aca="false">IF(R1562="Home",P1562,IF(R1562="Away",-P1562,""))</f>
        <v>-14</v>
      </c>
      <c r="T1562" s="1" t="str">
        <f aca="false">IF(R1562="Pick","No Line",IF(S1562="","N/A",IF(S1562+I1562&gt;0,"Favorite Covered",IF(S1562+I1562&lt;0,"Underdog Covered","Push"))))</f>
        <v>Underdog Covered</v>
      </c>
      <c r="U1562" s="1" t="str">
        <f aca="false">IF(Q1562&gt;J1562,"Over",IF(Q1562&lt;J1562,"Under","Push"))</f>
        <v>Over</v>
      </c>
    </row>
    <row r="1563" customFormat="false" ht="15" hidden="false" customHeight="false" outlineLevel="0" collapsed="false">
      <c r="A1563" s="1" t="s">
        <v>508</v>
      </c>
      <c r="B1563" s="1" t="n">
        <v>2015</v>
      </c>
      <c r="C1563" s="1" t="s">
        <v>227</v>
      </c>
      <c r="D1563" s="1" t="s">
        <v>53</v>
      </c>
      <c r="E1563" s="1" t="s">
        <v>75</v>
      </c>
      <c r="F1563" s="1" t="n">
        <v>38</v>
      </c>
      <c r="G1563" s="1" t="n">
        <v>8</v>
      </c>
      <c r="H1563" s="1" t="s">
        <v>54</v>
      </c>
      <c r="I1563" s="1" t="n">
        <v>-6</v>
      </c>
      <c r="J1563" s="1" t="n">
        <v>50.5</v>
      </c>
      <c r="K1563" s="1" t="s">
        <v>177</v>
      </c>
      <c r="L1563" s="1" t="b">
        <f aca="false">FALSE()</f>
        <v>0</v>
      </c>
      <c r="M1563" s="1" t="str">
        <f aca="false">VLOOKUP(D1563,'Team Reference'!$A:$B,2,FALSE())</f>
        <v>ARI</v>
      </c>
      <c r="N1563" s="1" t="str">
        <f aca="false">VLOOKUP(E1563,'Team Reference'!$A:$B,2,FALSE())</f>
        <v>GB</v>
      </c>
      <c r="O1563" s="1" t="str">
        <f aca="false">IF(F1563&gt;G1563,M1563,IF(G1563&gt;F1563,N1563,"Tie"))</f>
        <v>ARI</v>
      </c>
      <c r="P1563" s="1" t="n">
        <f aca="false">F1563-G1563</f>
        <v>30</v>
      </c>
      <c r="Q1563" s="1" t="n">
        <f aca="false">F1563+G1563</f>
        <v>46</v>
      </c>
      <c r="R1563" s="1" t="str">
        <f aca="false">IF(H1563=M1563,"Home",IF(H1563=N1563,"Away",IF(H1563="PICK","Pick","N/A")))</f>
        <v>Home</v>
      </c>
      <c r="S1563" s="1" t="n">
        <f aca="false">IF(R1563="Home",P1563,IF(R1563="Away",-P1563,""))</f>
        <v>30</v>
      </c>
      <c r="T1563" s="1" t="str">
        <f aca="false">IF(R1563="Pick","No Line",IF(S1563="","N/A",IF(S1563+I1563&gt;0,"Favorite Covered",IF(S1563+I1563&lt;0,"Underdog Covered","Push"))))</f>
        <v>Favorite Covered</v>
      </c>
      <c r="U1563" s="1" t="str">
        <f aca="false">IF(Q1563&gt;J1563,"Over",IF(Q1563&lt;J1563,"Under","Push"))</f>
        <v>Under</v>
      </c>
    </row>
    <row r="1564" customFormat="false" ht="15" hidden="false" customHeight="false" outlineLevel="0" collapsed="false">
      <c r="A1564" s="1" t="s">
        <v>508</v>
      </c>
      <c r="B1564" s="1" t="n">
        <v>2015</v>
      </c>
      <c r="C1564" s="1" t="s">
        <v>227</v>
      </c>
      <c r="D1564" s="1" t="s">
        <v>55</v>
      </c>
      <c r="E1564" s="1" t="s">
        <v>61</v>
      </c>
      <c r="F1564" s="1" t="n">
        <v>20</v>
      </c>
      <c r="G1564" s="1" t="n">
        <v>13</v>
      </c>
      <c r="H1564" s="1" t="s">
        <v>62</v>
      </c>
      <c r="I1564" s="1" t="n">
        <v>-7</v>
      </c>
      <c r="J1564" s="1" t="n">
        <v>46</v>
      </c>
      <c r="K1564" s="1" t="s">
        <v>161</v>
      </c>
      <c r="L1564" s="1" t="b">
        <f aca="false">FALSE()</f>
        <v>0</v>
      </c>
      <c r="M1564" s="1" t="str">
        <f aca="false">VLOOKUP(D1564,'Team Reference'!$A:$B,2,FALSE())</f>
        <v>ATL</v>
      </c>
      <c r="N1564" s="1" t="str">
        <f aca="false">VLOOKUP(E1564,'Team Reference'!$A:$B,2,FALSE())</f>
        <v>CAR</v>
      </c>
      <c r="O1564" s="1" t="str">
        <f aca="false">IF(F1564&gt;G1564,M1564,IF(G1564&gt;F1564,N1564,"Tie"))</f>
        <v>ATL</v>
      </c>
      <c r="P1564" s="1" t="n">
        <f aca="false">F1564-G1564</f>
        <v>7</v>
      </c>
      <c r="Q1564" s="1" t="n">
        <f aca="false">F1564+G1564</f>
        <v>33</v>
      </c>
      <c r="R1564" s="1" t="str">
        <f aca="false">IF(H1564=M1564,"Home",IF(H1564=N1564,"Away",IF(H1564="PICK","Pick","N/A")))</f>
        <v>Away</v>
      </c>
      <c r="S1564" s="1" t="n">
        <f aca="false">IF(R1564="Home",P1564,IF(R1564="Away",-P1564,""))</f>
        <v>-7</v>
      </c>
      <c r="T1564" s="1" t="str">
        <f aca="false">IF(R1564="Pick","No Line",IF(S1564="","N/A",IF(S1564+I1564&gt;0,"Favorite Covered",IF(S1564+I1564&lt;0,"Underdog Covered","Push"))))</f>
        <v>Underdog Covered</v>
      </c>
      <c r="U1564" s="1" t="str">
        <f aca="false">IF(Q1564&gt;J1564,"Over",IF(Q1564&lt;J1564,"Under","Push"))</f>
        <v>Under</v>
      </c>
    </row>
    <row r="1565" customFormat="false" ht="15" hidden="false" customHeight="false" outlineLevel="0" collapsed="false">
      <c r="A1565" s="1" t="s">
        <v>508</v>
      </c>
      <c r="B1565" s="1" t="n">
        <v>2015</v>
      </c>
      <c r="C1565" s="1" t="s">
        <v>227</v>
      </c>
      <c r="D1565" s="1" t="s">
        <v>57</v>
      </c>
      <c r="E1565" s="1" t="s">
        <v>105</v>
      </c>
      <c r="F1565" s="1" t="n">
        <v>20</v>
      </c>
      <c r="G1565" s="1" t="n">
        <v>17</v>
      </c>
      <c r="H1565" s="1" t="s">
        <v>106</v>
      </c>
      <c r="I1565" s="1" t="n">
        <v>-11.5</v>
      </c>
      <c r="J1565" s="1" t="n">
        <v>47.5</v>
      </c>
      <c r="K1565" s="1" t="s">
        <v>178</v>
      </c>
      <c r="L1565" s="1" t="b">
        <f aca="false">FALSE()</f>
        <v>0</v>
      </c>
      <c r="M1565" s="1" t="str">
        <f aca="false">VLOOKUP(D1565,'Team Reference'!$A:$B,2,FALSE())</f>
        <v>BAL</v>
      </c>
      <c r="N1565" s="1" t="str">
        <f aca="false">VLOOKUP(E1565,'Team Reference'!$A:$B,2,FALSE())</f>
        <v>PIT</v>
      </c>
      <c r="O1565" s="1" t="str">
        <f aca="false">IF(F1565&gt;G1565,M1565,IF(G1565&gt;F1565,N1565,"Tie"))</f>
        <v>BAL</v>
      </c>
      <c r="P1565" s="1" t="n">
        <f aca="false">F1565-G1565</f>
        <v>3</v>
      </c>
      <c r="Q1565" s="1" t="n">
        <f aca="false">F1565+G1565</f>
        <v>37</v>
      </c>
      <c r="R1565" s="1" t="str">
        <f aca="false">IF(H1565=M1565,"Home",IF(H1565=N1565,"Away",IF(H1565="PICK","Pick","N/A")))</f>
        <v>Away</v>
      </c>
      <c r="S1565" s="1" t="n">
        <f aca="false">IF(R1565="Home",P1565,IF(R1565="Away",-P1565,""))</f>
        <v>-3</v>
      </c>
      <c r="T1565" s="1" t="str">
        <f aca="false">IF(R1565="Pick","No Line",IF(S1565="","N/A",IF(S1565+I1565&gt;0,"Favorite Covered",IF(S1565+I1565&lt;0,"Underdog Covered","Push"))))</f>
        <v>Underdog Covered</v>
      </c>
      <c r="U1565" s="1" t="str">
        <f aca="false">IF(Q1565&gt;J1565,"Over",IF(Q1565&lt;J1565,"Under","Push"))</f>
        <v>Under</v>
      </c>
    </row>
    <row r="1566" customFormat="false" ht="15" hidden="false" customHeight="false" outlineLevel="0" collapsed="false">
      <c r="A1566" s="1" t="s">
        <v>508</v>
      </c>
      <c r="B1566" s="1" t="n">
        <v>2015</v>
      </c>
      <c r="C1566" s="1" t="s">
        <v>227</v>
      </c>
      <c r="D1566" s="1" t="s">
        <v>59</v>
      </c>
      <c r="E1566" s="1" t="s">
        <v>69</v>
      </c>
      <c r="F1566" s="1" t="n">
        <v>16</v>
      </c>
      <c r="G1566" s="1" t="n">
        <v>6</v>
      </c>
      <c r="H1566" s="1" t="s">
        <v>60</v>
      </c>
      <c r="I1566" s="1" t="n">
        <v>-6.5</v>
      </c>
      <c r="J1566" s="1" t="n">
        <v>42</v>
      </c>
      <c r="K1566" s="1" t="s">
        <v>144</v>
      </c>
      <c r="L1566" s="1" t="b">
        <f aca="false">FALSE()</f>
        <v>0</v>
      </c>
      <c r="M1566" s="1" t="str">
        <f aca="false">VLOOKUP(D1566,'Team Reference'!$A:$B,2,FALSE())</f>
        <v>BUF</v>
      </c>
      <c r="N1566" s="1" t="str">
        <f aca="false">VLOOKUP(E1566,'Team Reference'!$A:$B,2,FALSE())</f>
        <v>DAL</v>
      </c>
      <c r="O1566" s="1" t="str">
        <f aca="false">IF(F1566&gt;G1566,M1566,IF(G1566&gt;F1566,N1566,"Tie"))</f>
        <v>BUF</v>
      </c>
      <c r="P1566" s="1" t="n">
        <f aca="false">F1566-G1566</f>
        <v>10</v>
      </c>
      <c r="Q1566" s="1" t="n">
        <f aca="false">F1566+G1566</f>
        <v>22</v>
      </c>
      <c r="R1566" s="1" t="str">
        <f aca="false">IF(H1566=M1566,"Home",IF(H1566=N1566,"Away",IF(H1566="PICK","Pick","N/A")))</f>
        <v>Home</v>
      </c>
      <c r="S1566" s="1" t="n">
        <f aca="false">IF(R1566="Home",P1566,IF(R1566="Away",-P1566,""))</f>
        <v>10</v>
      </c>
      <c r="T1566" s="1" t="str">
        <f aca="false">IF(R1566="Pick","No Line",IF(S1566="","N/A",IF(S1566+I1566&gt;0,"Favorite Covered",IF(S1566+I1566&lt;0,"Underdog Covered","Push"))))</f>
        <v>Favorite Covered</v>
      </c>
      <c r="U1566" s="1" t="str">
        <f aca="false">IF(Q1566&gt;J1566,"Over",IF(Q1566&lt;J1566,"Under","Push"))</f>
        <v>Under</v>
      </c>
    </row>
    <row r="1567" customFormat="false" ht="15" hidden="false" customHeight="false" outlineLevel="0" collapsed="false">
      <c r="A1567" s="1" t="s">
        <v>508</v>
      </c>
      <c r="B1567" s="1" t="n">
        <v>2015</v>
      </c>
      <c r="C1567" s="1" t="s">
        <v>227</v>
      </c>
      <c r="D1567" s="1" t="s">
        <v>73</v>
      </c>
      <c r="E1567" s="1" t="s">
        <v>108</v>
      </c>
      <c r="F1567" s="1" t="n">
        <v>32</v>
      </c>
      <c r="G1567" s="1" t="n">
        <v>17</v>
      </c>
      <c r="H1567" s="1" t="s">
        <v>74</v>
      </c>
      <c r="I1567" s="1" t="n">
        <v>-9</v>
      </c>
      <c r="J1567" s="1" t="n">
        <v>42.5</v>
      </c>
      <c r="K1567" s="1" t="s">
        <v>167</v>
      </c>
      <c r="L1567" s="1" t="b">
        <f aca="false">FALSE()</f>
        <v>0</v>
      </c>
      <c r="M1567" s="1" t="str">
        <f aca="false">VLOOKUP(D1567,'Team Reference'!$A:$B,2,FALSE())</f>
        <v>DET</v>
      </c>
      <c r="N1567" s="1" t="str">
        <f aca="false">VLOOKUP(E1567,'Team Reference'!$A:$B,2,FALSE())</f>
        <v>SF</v>
      </c>
      <c r="O1567" s="1" t="str">
        <f aca="false">IF(F1567&gt;G1567,M1567,IF(G1567&gt;F1567,N1567,"Tie"))</f>
        <v>DET</v>
      </c>
      <c r="P1567" s="1" t="n">
        <f aca="false">F1567-G1567</f>
        <v>15</v>
      </c>
      <c r="Q1567" s="1" t="n">
        <f aca="false">F1567+G1567</f>
        <v>49</v>
      </c>
      <c r="R1567" s="1" t="str">
        <f aca="false">IF(H1567=M1567,"Home",IF(H1567=N1567,"Away",IF(H1567="PICK","Pick","N/A")))</f>
        <v>Home</v>
      </c>
      <c r="S1567" s="1" t="n">
        <f aca="false">IF(R1567="Home",P1567,IF(R1567="Away",-P1567,""))</f>
        <v>15</v>
      </c>
      <c r="T1567" s="1" t="str">
        <f aca="false">IF(R1567="Pick","No Line",IF(S1567="","N/A",IF(S1567+I1567&gt;0,"Favorite Covered",IF(S1567+I1567&lt;0,"Underdog Covered","Push"))))</f>
        <v>Favorite Covered</v>
      </c>
      <c r="U1567" s="1" t="str">
        <f aca="false">IF(Q1567&gt;J1567,"Over",IF(Q1567&lt;J1567,"Under","Push"))</f>
        <v>Over</v>
      </c>
    </row>
    <row r="1568" customFormat="false" ht="15" hidden="false" customHeight="false" outlineLevel="0" collapsed="false">
      <c r="A1568" s="1" t="s">
        <v>508</v>
      </c>
      <c r="B1568" s="1" t="n">
        <v>2015</v>
      </c>
      <c r="C1568" s="1" t="s">
        <v>227</v>
      </c>
      <c r="D1568" s="1" t="s">
        <v>83</v>
      </c>
      <c r="E1568" s="1" t="s">
        <v>67</v>
      </c>
      <c r="F1568" s="1" t="n">
        <v>17</v>
      </c>
      <c r="G1568" s="1" t="n">
        <v>13</v>
      </c>
      <c r="H1568" s="1" t="s">
        <v>84</v>
      </c>
      <c r="I1568" s="1" t="n">
        <v>-11.5</v>
      </c>
      <c r="J1568" s="1" t="n">
        <v>42.5</v>
      </c>
      <c r="K1568" s="1" t="s">
        <v>158</v>
      </c>
      <c r="L1568" s="1" t="b">
        <f aca="false">FALSE()</f>
        <v>0</v>
      </c>
      <c r="M1568" s="1" t="str">
        <f aca="false">VLOOKUP(D1568,'Team Reference'!$A:$B,2,FALSE())</f>
        <v>KC</v>
      </c>
      <c r="N1568" s="1" t="str">
        <f aca="false">VLOOKUP(E1568,'Team Reference'!$A:$B,2,FALSE())</f>
        <v>CLE</v>
      </c>
      <c r="O1568" s="1" t="str">
        <f aca="false">IF(F1568&gt;G1568,M1568,IF(G1568&gt;F1568,N1568,"Tie"))</f>
        <v>KC</v>
      </c>
      <c r="P1568" s="1" t="n">
        <f aca="false">F1568-G1568</f>
        <v>4</v>
      </c>
      <c r="Q1568" s="1" t="n">
        <f aca="false">F1568+G1568</f>
        <v>30</v>
      </c>
      <c r="R1568" s="1" t="str">
        <f aca="false">IF(H1568=M1568,"Home",IF(H1568=N1568,"Away",IF(H1568="PICK","Pick","N/A")))</f>
        <v>Home</v>
      </c>
      <c r="S1568" s="1" t="n">
        <f aca="false">IF(R1568="Home",P1568,IF(R1568="Away",-P1568,""))</f>
        <v>4</v>
      </c>
      <c r="T1568" s="1" t="str">
        <f aca="false">IF(R1568="Pick","No Line",IF(S1568="","N/A",IF(S1568+I1568&gt;0,"Favorite Covered",IF(S1568+I1568&lt;0,"Underdog Covered","Push"))))</f>
        <v>Underdog Covered</v>
      </c>
      <c r="U1568" s="1" t="str">
        <f aca="false">IF(Q1568&gt;J1568,"Over",IF(Q1568&lt;J1568,"Under","Push"))</f>
        <v>Under</v>
      </c>
    </row>
    <row r="1569" customFormat="false" ht="15" hidden="false" customHeight="false" outlineLevel="0" collapsed="false">
      <c r="A1569" s="1" t="s">
        <v>508</v>
      </c>
      <c r="B1569" s="1" t="n">
        <v>2015</v>
      </c>
      <c r="C1569" s="1" t="s">
        <v>227</v>
      </c>
      <c r="D1569" s="1" t="s">
        <v>89</v>
      </c>
      <c r="E1569" s="1" t="s">
        <v>79</v>
      </c>
      <c r="F1569" s="1" t="n">
        <v>12</v>
      </c>
      <c r="G1569" s="1" t="n">
        <v>18</v>
      </c>
      <c r="H1569" s="1" t="s">
        <v>90</v>
      </c>
      <c r="I1569" s="1" t="n">
        <v>-2.5</v>
      </c>
      <c r="J1569" s="1" t="n">
        <v>44</v>
      </c>
      <c r="K1569" s="1" t="s">
        <v>179</v>
      </c>
      <c r="L1569" s="1" t="b">
        <f aca="false">FALSE()</f>
        <v>0</v>
      </c>
      <c r="M1569" s="1" t="str">
        <f aca="false">VLOOKUP(D1569,'Team Reference'!$A:$B,2,FALSE())</f>
        <v>MIA</v>
      </c>
      <c r="N1569" s="1" t="str">
        <f aca="false">VLOOKUP(E1569,'Team Reference'!$A:$B,2,FALSE())</f>
        <v>IND</v>
      </c>
      <c r="O1569" s="1" t="str">
        <f aca="false">IF(F1569&gt;G1569,M1569,IF(G1569&gt;F1569,N1569,"Tie"))</f>
        <v>IND</v>
      </c>
      <c r="P1569" s="1" t="n">
        <f aca="false">F1569-G1569</f>
        <v>-6</v>
      </c>
      <c r="Q1569" s="1" t="n">
        <f aca="false">F1569+G1569</f>
        <v>30</v>
      </c>
      <c r="R1569" s="1" t="str">
        <f aca="false">IF(H1569=M1569,"Home",IF(H1569=N1569,"Away",IF(H1569="PICK","Pick","N/A")))</f>
        <v>Home</v>
      </c>
      <c r="S1569" s="1" t="n">
        <f aca="false">IF(R1569="Home",P1569,IF(R1569="Away",-P1569,""))</f>
        <v>-6</v>
      </c>
      <c r="T1569" s="1" t="str">
        <f aca="false">IF(R1569="Pick","No Line",IF(S1569="","N/A",IF(S1569+I1569&gt;0,"Favorite Covered",IF(S1569+I1569&lt;0,"Underdog Covered","Push"))))</f>
        <v>Underdog Covered</v>
      </c>
      <c r="U1569" s="1" t="str">
        <f aca="false">IF(Q1569&gt;J1569,"Over",IF(Q1569&lt;J1569,"Under","Push"))</f>
        <v>Under</v>
      </c>
    </row>
    <row r="1570" customFormat="false" ht="15" hidden="false" customHeight="false" outlineLevel="0" collapsed="false">
      <c r="A1570" s="1" t="s">
        <v>508</v>
      </c>
      <c r="B1570" s="1" t="n">
        <v>2015</v>
      </c>
      <c r="C1570" s="1" t="s">
        <v>227</v>
      </c>
      <c r="D1570" s="1" t="s">
        <v>91</v>
      </c>
      <c r="E1570" s="1" t="s">
        <v>97</v>
      </c>
      <c r="F1570" s="1" t="n">
        <v>49</v>
      </c>
      <c r="G1570" s="1" t="n">
        <v>17</v>
      </c>
      <c r="H1570" s="1" t="s">
        <v>92</v>
      </c>
      <c r="I1570" s="1" t="n">
        <v>-7</v>
      </c>
      <c r="J1570" s="1" t="n">
        <v>44.5</v>
      </c>
      <c r="K1570" s="1" t="s">
        <v>407</v>
      </c>
      <c r="L1570" s="1" t="b">
        <f aca="false">FALSE()</f>
        <v>0</v>
      </c>
      <c r="M1570" s="1" t="str">
        <f aca="false">VLOOKUP(D1570,'Team Reference'!$A:$B,2,FALSE())</f>
        <v>MIN</v>
      </c>
      <c r="N1570" s="1" t="str">
        <f aca="false">VLOOKUP(E1570,'Team Reference'!$A:$B,2,FALSE())</f>
        <v>NYG</v>
      </c>
      <c r="O1570" s="1" t="str">
        <f aca="false">IF(F1570&gt;G1570,M1570,IF(G1570&gt;F1570,N1570,"Tie"))</f>
        <v>MIN</v>
      </c>
      <c r="P1570" s="1" t="n">
        <f aca="false">F1570-G1570</f>
        <v>32</v>
      </c>
      <c r="Q1570" s="1" t="n">
        <f aca="false">F1570+G1570</f>
        <v>66</v>
      </c>
      <c r="R1570" s="1" t="str">
        <f aca="false">IF(H1570=M1570,"Home",IF(H1570=N1570,"Away",IF(H1570="PICK","Pick","N/A")))</f>
        <v>Home</v>
      </c>
      <c r="S1570" s="1" t="n">
        <f aca="false">IF(R1570="Home",P1570,IF(R1570="Away",-P1570,""))</f>
        <v>32</v>
      </c>
      <c r="T1570" s="1" t="str">
        <f aca="false">IF(R1570="Pick","No Line",IF(S1570="","N/A",IF(S1570+I1570&gt;0,"Favorite Covered",IF(S1570+I1570&lt;0,"Underdog Covered","Push"))))</f>
        <v>Favorite Covered</v>
      </c>
      <c r="U1570" s="1" t="str">
        <f aca="false">IF(Q1570&gt;J1570,"Over",IF(Q1570&lt;J1570,"Under","Push"))</f>
        <v>Over</v>
      </c>
    </row>
    <row r="1571" customFormat="false" ht="15" hidden="false" customHeight="false" outlineLevel="0" collapsed="false">
      <c r="A1571" s="1" t="s">
        <v>508</v>
      </c>
      <c r="B1571" s="1" t="n">
        <v>2015</v>
      </c>
      <c r="C1571" s="1" t="s">
        <v>227</v>
      </c>
      <c r="D1571" s="1" t="s">
        <v>95</v>
      </c>
      <c r="E1571" s="1" t="s">
        <v>81</v>
      </c>
      <c r="F1571" s="1" t="n">
        <v>38</v>
      </c>
      <c r="G1571" s="1" t="n">
        <v>27</v>
      </c>
      <c r="H1571" s="1" t="s">
        <v>96</v>
      </c>
      <c r="I1571" s="1" t="n">
        <v>-2.5</v>
      </c>
      <c r="J1571" s="1" t="n">
        <v>53.5</v>
      </c>
      <c r="K1571" s="1" t="s">
        <v>142</v>
      </c>
      <c r="L1571" s="1" t="b">
        <f aca="false">FALSE()</f>
        <v>0</v>
      </c>
      <c r="M1571" s="1" t="str">
        <f aca="false">VLOOKUP(D1571,'Team Reference'!$A:$B,2,FALSE())</f>
        <v>NO</v>
      </c>
      <c r="N1571" s="1" t="str">
        <f aca="false">VLOOKUP(E1571,'Team Reference'!$A:$B,2,FALSE())</f>
        <v>JAX</v>
      </c>
      <c r="O1571" s="1" t="str">
        <f aca="false">IF(F1571&gt;G1571,M1571,IF(G1571&gt;F1571,N1571,"Tie"))</f>
        <v>NO</v>
      </c>
      <c r="P1571" s="1" t="n">
        <f aca="false">F1571-G1571</f>
        <v>11</v>
      </c>
      <c r="Q1571" s="1" t="n">
        <f aca="false">F1571+G1571</f>
        <v>65</v>
      </c>
      <c r="R1571" s="1" t="str">
        <f aca="false">IF(H1571=M1571,"Home",IF(H1571=N1571,"Away",IF(H1571="PICK","Pick","N/A")))</f>
        <v>Home</v>
      </c>
      <c r="S1571" s="1" t="n">
        <f aca="false">IF(R1571="Home",P1571,IF(R1571="Away",-P1571,""))</f>
        <v>11</v>
      </c>
      <c r="T1571" s="1" t="str">
        <f aca="false">IF(R1571="Pick","No Line",IF(S1571="","N/A",IF(S1571+I1571&gt;0,"Favorite Covered",IF(S1571+I1571&lt;0,"Underdog Covered","Push"))))</f>
        <v>Favorite Covered</v>
      </c>
      <c r="U1571" s="1" t="str">
        <f aca="false">IF(Q1571&gt;J1571,"Over",IF(Q1571&lt;J1571,"Under","Push"))</f>
        <v>Over</v>
      </c>
    </row>
    <row r="1572" customFormat="false" ht="15" hidden="false" customHeight="false" outlineLevel="0" collapsed="false">
      <c r="A1572" s="1" t="s">
        <v>508</v>
      </c>
      <c r="B1572" s="1" t="n">
        <v>2015</v>
      </c>
      <c r="C1572" s="1" t="s">
        <v>227</v>
      </c>
      <c r="D1572" s="1" t="s">
        <v>99</v>
      </c>
      <c r="E1572" s="1" t="s">
        <v>93</v>
      </c>
      <c r="F1572" s="1" t="n">
        <v>26</v>
      </c>
      <c r="G1572" s="1" t="n">
        <v>20</v>
      </c>
      <c r="H1572" s="1" t="s">
        <v>94</v>
      </c>
      <c r="I1572" s="1" t="n">
        <v>-2.5</v>
      </c>
      <c r="J1572" s="1" t="n">
        <v>45.5</v>
      </c>
      <c r="K1572" s="1" t="s">
        <v>149</v>
      </c>
      <c r="L1572" s="1" t="b">
        <f aca="false">FALSE()</f>
        <v>0</v>
      </c>
      <c r="M1572" s="1" t="str">
        <f aca="false">VLOOKUP(D1572,'Team Reference'!$A:$B,2,FALSE())</f>
        <v>NYJ</v>
      </c>
      <c r="N1572" s="1" t="str">
        <f aca="false">VLOOKUP(E1572,'Team Reference'!$A:$B,2,FALSE())</f>
        <v>NE</v>
      </c>
      <c r="O1572" s="1" t="str">
        <f aca="false">IF(F1572&gt;G1572,M1572,IF(G1572&gt;F1572,N1572,"Tie"))</f>
        <v>NYJ</v>
      </c>
      <c r="P1572" s="1" t="n">
        <f aca="false">F1572-G1572</f>
        <v>6</v>
      </c>
      <c r="Q1572" s="1" t="n">
        <f aca="false">F1572+G1572</f>
        <v>46</v>
      </c>
      <c r="R1572" s="1" t="str">
        <f aca="false">IF(H1572=M1572,"Home",IF(H1572=N1572,"Away",IF(H1572="PICK","Pick","N/A")))</f>
        <v>Away</v>
      </c>
      <c r="S1572" s="1" t="n">
        <f aca="false">IF(R1572="Home",P1572,IF(R1572="Away",-P1572,""))</f>
        <v>-6</v>
      </c>
      <c r="T1572" s="1" t="str">
        <f aca="false">IF(R1572="Pick","No Line",IF(S1572="","N/A",IF(S1572+I1572&gt;0,"Favorite Covered",IF(S1572+I1572&lt;0,"Underdog Covered","Push"))))</f>
        <v>Underdog Covered</v>
      </c>
      <c r="U1572" s="1" t="str">
        <f aca="false">IF(Q1572&gt;J1572,"Over",IF(Q1572&lt;J1572,"Under","Push"))</f>
        <v>Over</v>
      </c>
    </row>
    <row r="1573" customFormat="false" ht="15" hidden="false" customHeight="false" outlineLevel="0" collapsed="false">
      <c r="A1573" s="1" t="s">
        <v>508</v>
      </c>
      <c r="B1573" s="1" t="n">
        <v>2015</v>
      </c>
      <c r="C1573" s="1" t="s">
        <v>227</v>
      </c>
      <c r="D1573" s="1" t="s">
        <v>110</v>
      </c>
      <c r="E1573" s="1" t="s">
        <v>112</v>
      </c>
      <c r="F1573" s="1" t="n">
        <v>17</v>
      </c>
      <c r="G1573" s="1" t="n">
        <v>23</v>
      </c>
      <c r="H1573" s="1" t="s">
        <v>111</v>
      </c>
      <c r="I1573" s="1" t="n">
        <v>-11</v>
      </c>
      <c r="J1573" s="1" t="n">
        <v>42</v>
      </c>
      <c r="K1573" s="1" t="s">
        <v>152</v>
      </c>
      <c r="L1573" s="1" t="b">
        <f aca="false">FALSE()</f>
        <v>0</v>
      </c>
      <c r="M1573" s="1" t="str">
        <f aca="false">VLOOKUP(D1573,'Team Reference'!$A:$B,2,FALSE())</f>
        <v>SEA</v>
      </c>
      <c r="N1573" s="1" t="str">
        <f aca="false">VLOOKUP(E1573,'Team Reference'!$A:$B,2,FALSE())</f>
        <v>LAR</v>
      </c>
      <c r="O1573" s="1" t="str">
        <f aca="false">IF(F1573&gt;G1573,M1573,IF(G1573&gt;F1573,N1573,"Tie"))</f>
        <v>LAR</v>
      </c>
      <c r="P1573" s="1" t="n">
        <f aca="false">F1573-G1573</f>
        <v>-6</v>
      </c>
      <c r="Q1573" s="1" t="n">
        <f aca="false">F1573+G1573</f>
        <v>40</v>
      </c>
      <c r="R1573" s="1" t="str">
        <f aca="false">IF(H1573=M1573,"Home",IF(H1573=N1573,"Away",IF(H1573="PICK","Pick","N/A")))</f>
        <v>Home</v>
      </c>
      <c r="S1573" s="1" t="n">
        <f aca="false">IF(R1573="Home",P1573,IF(R1573="Away",-P1573,""))</f>
        <v>-6</v>
      </c>
      <c r="T1573" s="1" t="str">
        <f aca="false">IF(R1573="Pick","No Line",IF(S1573="","N/A",IF(S1573+I1573&gt;0,"Favorite Covered",IF(S1573+I1573&lt;0,"Underdog Covered","Push"))))</f>
        <v>Underdog Covered</v>
      </c>
      <c r="U1573" s="1" t="str">
        <f aca="false">IF(Q1573&gt;J1573,"Over",IF(Q1573&lt;J1573,"Under","Push"))</f>
        <v>Under</v>
      </c>
    </row>
    <row r="1574" customFormat="false" ht="15" hidden="false" customHeight="false" outlineLevel="0" collapsed="false">
      <c r="A1574" s="1" t="s">
        <v>508</v>
      </c>
      <c r="B1574" s="1" t="n">
        <v>2015</v>
      </c>
      <c r="C1574" s="1" t="s">
        <v>227</v>
      </c>
      <c r="D1574" s="1" t="s">
        <v>113</v>
      </c>
      <c r="E1574" s="1" t="s">
        <v>63</v>
      </c>
      <c r="F1574" s="1" t="n">
        <v>21</v>
      </c>
      <c r="G1574" s="1" t="n">
        <v>26</v>
      </c>
      <c r="H1574" s="1" t="s">
        <v>114</v>
      </c>
      <c r="I1574" s="1" t="n">
        <v>-3</v>
      </c>
      <c r="J1574" s="1" t="n">
        <v>44</v>
      </c>
      <c r="K1574" s="1" t="s">
        <v>154</v>
      </c>
      <c r="L1574" s="1" t="b">
        <f aca="false">FALSE()</f>
        <v>0</v>
      </c>
      <c r="M1574" s="1" t="str">
        <f aca="false">VLOOKUP(D1574,'Team Reference'!$A:$B,2,FALSE())</f>
        <v>TB</v>
      </c>
      <c r="N1574" s="1" t="str">
        <f aca="false">VLOOKUP(E1574,'Team Reference'!$A:$B,2,FALSE())</f>
        <v>CHI</v>
      </c>
      <c r="O1574" s="1" t="str">
        <f aca="false">IF(F1574&gt;G1574,M1574,IF(G1574&gt;F1574,N1574,"Tie"))</f>
        <v>CHI</v>
      </c>
      <c r="P1574" s="1" t="n">
        <f aca="false">F1574-G1574</f>
        <v>-5</v>
      </c>
      <c r="Q1574" s="1" t="n">
        <f aca="false">F1574+G1574</f>
        <v>47</v>
      </c>
      <c r="R1574" s="1" t="str">
        <f aca="false">IF(H1574=M1574,"Home",IF(H1574=N1574,"Away",IF(H1574="PICK","Pick","N/A")))</f>
        <v>Home</v>
      </c>
      <c r="S1574" s="1" t="n">
        <f aca="false">IF(R1574="Home",P1574,IF(R1574="Away",-P1574,""))</f>
        <v>-5</v>
      </c>
      <c r="T1574" s="1" t="str">
        <f aca="false">IF(R1574="Pick","No Line",IF(S1574="","N/A",IF(S1574+I1574&gt;0,"Favorite Covered",IF(S1574+I1574&lt;0,"Underdog Covered","Push"))))</f>
        <v>Underdog Covered</v>
      </c>
      <c r="U1574" s="1" t="str">
        <f aca="false">IF(Q1574&gt;J1574,"Over",IF(Q1574&lt;J1574,"Under","Push"))</f>
        <v>Over</v>
      </c>
    </row>
    <row r="1575" customFormat="false" ht="15" hidden="false" customHeight="false" outlineLevel="0" collapsed="false">
      <c r="A1575" s="1" t="s">
        <v>508</v>
      </c>
      <c r="B1575" s="1" t="n">
        <v>2015</v>
      </c>
      <c r="C1575" s="1" t="s">
        <v>227</v>
      </c>
      <c r="D1575" s="1" t="s">
        <v>115</v>
      </c>
      <c r="E1575" s="1" t="s">
        <v>77</v>
      </c>
      <c r="F1575" s="1" t="n">
        <v>6</v>
      </c>
      <c r="G1575" s="1" t="n">
        <v>34</v>
      </c>
      <c r="H1575" s="1" t="s">
        <v>78</v>
      </c>
      <c r="I1575" s="1" t="n">
        <v>-3.5</v>
      </c>
      <c r="J1575" s="1" t="n">
        <v>39</v>
      </c>
      <c r="K1575" s="1" t="s">
        <v>155</v>
      </c>
      <c r="L1575" s="1" t="b">
        <f aca="false">FALSE()</f>
        <v>0</v>
      </c>
      <c r="M1575" s="1" t="str">
        <f aca="false">VLOOKUP(D1575,'Team Reference'!$A:$B,2,FALSE())</f>
        <v>TEN</v>
      </c>
      <c r="N1575" s="1" t="str">
        <f aca="false">VLOOKUP(E1575,'Team Reference'!$A:$B,2,FALSE())</f>
        <v>HOU</v>
      </c>
      <c r="O1575" s="1" t="str">
        <f aca="false">IF(F1575&gt;G1575,M1575,IF(G1575&gt;F1575,N1575,"Tie"))</f>
        <v>HOU</v>
      </c>
      <c r="P1575" s="1" t="n">
        <f aca="false">F1575-G1575</f>
        <v>-28</v>
      </c>
      <c r="Q1575" s="1" t="n">
        <f aca="false">F1575+G1575</f>
        <v>40</v>
      </c>
      <c r="R1575" s="1" t="str">
        <f aca="false">IF(H1575=M1575,"Home",IF(H1575=N1575,"Away",IF(H1575="PICK","Pick","N/A")))</f>
        <v>Away</v>
      </c>
      <c r="S1575" s="1" t="n">
        <f aca="false">IF(R1575="Home",P1575,IF(R1575="Away",-P1575,""))</f>
        <v>28</v>
      </c>
      <c r="T1575" s="1" t="str">
        <f aca="false">IF(R1575="Pick","No Line",IF(S1575="","N/A",IF(S1575+I1575&gt;0,"Favorite Covered",IF(S1575+I1575&lt;0,"Underdog Covered","Push"))))</f>
        <v>Favorite Covered</v>
      </c>
      <c r="U1575" s="1" t="str">
        <f aca="false">IF(Q1575&gt;J1575,"Over",IF(Q1575&lt;J1575,"Under","Push"))</f>
        <v>Over</v>
      </c>
    </row>
    <row r="1576" customFormat="false" ht="15" hidden="false" customHeight="false" outlineLevel="0" collapsed="false">
      <c r="A1576" s="1" t="s">
        <v>509</v>
      </c>
      <c r="B1576" s="1" t="n">
        <v>2015</v>
      </c>
      <c r="C1576" s="1" t="s">
        <v>227</v>
      </c>
      <c r="D1576" s="1" t="s">
        <v>71</v>
      </c>
      <c r="E1576" s="1" t="s">
        <v>65</v>
      </c>
      <c r="F1576" s="1" t="n">
        <v>20</v>
      </c>
      <c r="G1576" s="1" t="n">
        <v>17</v>
      </c>
      <c r="H1576" s="1" t="s">
        <v>72</v>
      </c>
      <c r="I1576" s="1" t="n">
        <v>-4</v>
      </c>
      <c r="J1576" s="1" t="n">
        <v>39</v>
      </c>
      <c r="K1576" s="1" t="s">
        <v>166</v>
      </c>
      <c r="L1576" s="1" t="b">
        <f aca="false">FALSE()</f>
        <v>0</v>
      </c>
      <c r="M1576" s="1" t="str">
        <f aca="false">VLOOKUP(D1576,'Team Reference'!$A:$B,2,FALSE())</f>
        <v>DEN</v>
      </c>
      <c r="N1576" s="1" t="str">
        <f aca="false">VLOOKUP(E1576,'Team Reference'!$A:$B,2,FALSE())</f>
        <v>CIN</v>
      </c>
      <c r="O1576" s="1" t="str">
        <f aca="false">IF(F1576&gt;G1576,M1576,IF(G1576&gt;F1576,N1576,"Tie"))</f>
        <v>DEN</v>
      </c>
      <c r="P1576" s="1" t="n">
        <f aca="false">F1576-G1576</f>
        <v>3</v>
      </c>
      <c r="Q1576" s="1" t="n">
        <f aca="false">F1576+G1576</f>
        <v>37</v>
      </c>
      <c r="R1576" s="1" t="str">
        <f aca="false">IF(H1576=M1576,"Home",IF(H1576=N1576,"Away",IF(H1576="PICK","Pick","N/A")))</f>
        <v>Home</v>
      </c>
      <c r="S1576" s="1" t="n">
        <f aca="false">IF(R1576="Home",P1576,IF(R1576="Away",-P1576,""))</f>
        <v>3</v>
      </c>
      <c r="T1576" s="1" t="str">
        <f aca="false">IF(R1576="Pick","No Line",IF(S1576="","N/A",IF(S1576+I1576&gt;0,"Favorite Covered",IF(S1576+I1576&lt;0,"Underdog Covered","Push"))))</f>
        <v>Underdog Covered</v>
      </c>
      <c r="U1576" s="1" t="str">
        <f aca="false">IF(Q1576&gt;J1576,"Over",IF(Q1576&lt;J1576,"Under","Push"))</f>
        <v>Under</v>
      </c>
    </row>
    <row r="1577" customFormat="false" ht="15" hidden="false" customHeight="false" outlineLevel="0" collapsed="false">
      <c r="A1577" s="1" t="s">
        <v>510</v>
      </c>
      <c r="B1577" s="1" t="n">
        <v>2015</v>
      </c>
      <c r="C1577" s="1" t="s">
        <v>233</v>
      </c>
      <c r="D1577" s="1" t="s">
        <v>53</v>
      </c>
      <c r="E1577" s="1" t="s">
        <v>110</v>
      </c>
      <c r="F1577" s="1" t="n">
        <v>6</v>
      </c>
      <c r="G1577" s="1" t="n">
        <v>36</v>
      </c>
      <c r="H1577" s="1" t="s">
        <v>54</v>
      </c>
      <c r="I1577" s="1" t="n">
        <v>-6</v>
      </c>
      <c r="J1577" s="1" t="n">
        <v>47</v>
      </c>
      <c r="K1577" s="1" t="s">
        <v>177</v>
      </c>
      <c r="L1577" s="1" t="b">
        <f aca="false">FALSE()</f>
        <v>0</v>
      </c>
      <c r="M1577" s="1" t="str">
        <f aca="false">VLOOKUP(D1577,'Team Reference'!$A:$B,2,FALSE())</f>
        <v>ARI</v>
      </c>
      <c r="N1577" s="1" t="str">
        <f aca="false">VLOOKUP(E1577,'Team Reference'!$A:$B,2,FALSE())</f>
        <v>SEA</v>
      </c>
      <c r="O1577" s="1" t="str">
        <f aca="false">IF(F1577&gt;G1577,M1577,IF(G1577&gt;F1577,N1577,"Tie"))</f>
        <v>SEA</v>
      </c>
      <c r="P1577" s="1" t="n">
        <f aca="false">F1577-G1577</f>
        <v>-30</v>
      </c>
      <c r="Q1577" s="1" t="n">
        <f aca="false">F1577+G1577</f>
        <v>42</v>
      </c>
      <c r="R1577" s="1" t="str">
        <f aca="false">IF(H1577=M1577,"Home",IF(H1577=N1577,"Away",IF(H1577="PICK","Pick","N/A")))</f>
        <v>Home</v>
      </c>
      <c r="S1577" s="1" t="n">
        <f aca="false">IF(R1577="Home",P1577,IF(R1577="Away",-P1577,""))</f>
        <v>-30</v>
      </c>
      <c r="T1577" s="1" t="str">
        <f aca="false">IF(R1577="Pick","No Line",IF(S1577="","N/A",IF(S1577+I1577&gt;0,"Favorite Covered",IF(S1577+I1577&lt;0,"Underdog Covered","Push"))))</f>
        <v>Underdog Covered</v>
      </c>
      <c r="U1577" s="1" t="str">
        <f aca="false">IF(Q1577&gt;J1577,"Over",IF(Q1577&lt;J1577,"Under","Push"))</f>
        <v>Under</v>
      </c>
    </row>
    <row r="1578" customFormat="false" ht="15" hidden="false" customHeight="false" outlineLevel="0" collapsed="false">
      <c r="A1578" s="1" t="s">
        <v>510</v>
      </c>
      <c r="B1578" s="1" t="n">
        <v>2015</v>
      </c>
      <c r="C1578" s="1" t="s">
        <v>233</v>
      </c>
      <c r="D1578" s="1" t="s">
        <v>55</v>
      </c>
      <c r="E1578" s="1" t="s">
        <v>95</v>
      </c>
      <c r="F1578" s="1" t="n">
        <v>17</v>
      </c>
      <c r="G1578" s="1" t="n">
        <v>20</v>
      </c>
      <c r="H1578" s="1" t="s">
        <v>56</v>
      </c>
      <c r="I1578" s="1" t="n">
        <v>-6</v>
      </c>
      <c r="J1578" s="1" t="n">
        <v>53.5</v>
      </c>
      <c r="K1578" s="1" t="s">
        <v>161</v>
      </c>
      <c r="L1578" s="1" t="b">
        <f aca="false">FALSE()</f>
        <v>0</v>
      </c>
      <c r="M1578" s="1" t="str">
        <f aca="false">VLOOKUP(D1578,'Team Reference'!$A:$B,2,FALSE())</f>
        <v>ATL</v>
      </c>
      <c r="N1578" s="1" t="str">
        <f aca="false">VLOOKUP(E1578,'Team Reference'!$A:$B,2,FALSE())</f>
        <v>NO</v>
      </c>
      <c r="O1578" s="1" t="str">
        <f aca="false">IF(F1578&gt;G1578,M1578,IF(G1578&gt;F1578,N1578,"Tie"))</f>
        <v>NO</v>
      </c>
      <c r="P1578" s="1" t="n">
        <f aca="false">F1578-G1578</f>
        <v>-3</v>
      </c>
      <c r="Q1578" s="1" t="n">
        <f aca="false">F1578+G1578</f>
        <v>37</v>
      </c>
      <c r="R1578" s="1" t="str">
        <f aca="false">IF(H1578=M1578,"Home",IF(H1578=N1578,"Away",IF(H1578="PICK","Pick","N/A")))</f>
        <v>Home</v>
      </c>
      <c r="S1578" s="1" t="n">
        <f aca="false">IF(R1578="Home",P1578,IF(R1578="Away",-P1578,""))</f>
        <v>-3</v>
      </c>
      <c r="T1578" s="1" t="str">
        <f aca="false">IF(R1578="Pick","No Line",IF(S1578="","N/A",IF(S1578+I1578&gt;0,"Favorite Covered",IF(S1578+I1578&lt;0,"Underdog Covered","Push"))))</f>
        <v>Underdog Covered</v>
      </c>
      <c r="U1578" s="1" t="str">
        <f aca="false">IF(Q1578&gt;J1578,"Over",IF(Q1578&lt;J1578,"Under","Push"))</f>
        <v>Under</v>
      </c>
    </row>
    <row r="1579" customFormat="false" ht="15" hidden="false" customHeight="false" outlineLevel="0" collapsed="false">
      <c r="A1579" s="1" t="s">
        <v>510</v>
      </c>
      <c r="B1579" s="1" t="n">
        <v>2015</v>
      </c>
      <c r="C1579" s="1" t="s">
        <v>233</v>
      </c>
      <c r="D1579" s="1" t="s">
        <v>59</v>
      </c>
      <c r="E1579" s="1" t="s">
        <v>99</v>
      </c>
      <c r="F1579" s="1" t="n">
        <v>22</v>
      </c>
      <c r="G1579" s="1" t="n">
        <v>17</v>
      </c>
      <c r="H1579" s="1" t="s">
        <v>100</v>
      </c>
      <c r="I1579" s="1" t="n">
        <v>-3</v>
      </c>
      <c r="J1579" s="1" t="n">
        <v>41</v>
      </c>
      <c r="K1579" s="1" t="s">
        <v>144</v>
      </c>
      <c r="L1579" s="1" t="b">
        <f aca="false">FALSE()</f>
        <v>0</v>
      </c>
      <c r="M1579" s="1" t="str">
        <f aca="false">VLOOKUP(D1579,'Team Reference'!$A:$B,2,FALSE())</f>
        <v>BUF</v>
      </c>
      <c r="N1579" s="1" t="str">
        <f aca="false">VLOOKUP(E1579,'Team Reference'!$A:$B,2,FALSE())</f>
        <v>NYJ</v>
      </c>
      <c r="O1579" s="1" t="str">
        <f aca="false">IF(F1579&gt;G1579,M1579,IF(G1579&gt;F1579,N1579,"Tie"))</f>
        <v>BUF</v>
      </c>
      <c r="P1579" s="1" t="n">
        <f aca="false">F1579-G1579</f>
        <v>5</v>
      </c>
      <c r="Q1579" s="1" t="n">
        <f aca="false">F1579+G1579</f>
        <v>39</v>
      </c>
      <c r="R1579" s="1" t="str">
        <f aca="false">IF(H1579=M1579,"Home",IF(H1579=N1579,"Away",IF(H1579="PICK","Pick","N/A")))</f>
        <v>Away</v>
      </c>
      <c r="S1579" s="1" t="n">
        <f aca="false">IF(R1579="Home",P1579,IF(R1579="Away",-P1579,""))</f>
        <v>-5</v>
      </c>
      <c r="T1579" s="1" t="str">
        <f aca="false">IF(R1579="Pick","No Line",IF(S1579="","N/A",IF(S1579+I1579&gt;0,"Favorite Covered",IF(S1579+I1579&lt;0,"Underdog Covered","Push"))))</f>
        <v>Underdog Covered</v>
      </c>
      <c r="U1579" s="1" t="str">
        <f aca="false">IF(Q1579&gt;J1579,"Over",IF(Q1579&lt;J1579,"Under","Push"))</f>
        <v>Under</v>
      </c>
    </row>
    <row r="1580" customFormat="false" ht="15" hidden="false" customHeight="false" outlineLevel="0" collapsed="false">
      <c r="A1580" s="1" t="s">
        <v>510</v>
      </c>
      <c r="B1580" s="1" t="n">
        <v>2015</v>
      </c>
      <c r="C1580" s="1" t="s">
        <v>233</v>
      </c>
      <c r="D1580" s="1" t="s">
        <v>61</v>
      </c>
      <c r="E1580" s="1" t="s">
        <v>113</v>
      </c>
      <c r="F1580" s="1" t="n">
        <v>38</v>
      </c>
      <c r="G1580" s="1" t="n">
        <v>10</v>
      </c>
      <c r="H1580" s="1" t="s">
        <v>62</v>
      </c>
      <c r="I1580" s="1" t="n">
        <v>-10</v>
      </c>
      <c r="J1580" s="1" t="n">
        <v>45</v>
      </c>
      <c r="K1580" s="1" t="s">
        <v>162</v>
      </c>
      <c r="L1580" s="1" t="b">
        <f aca="false">FALSE()</f>
        <v>0</v>
      </c>
      <c r="M1580" s="1" t="str">
        <f aca="false">VLOOKUP(D1580,'Team Reference'!$A:$B,2,FALSE())</f>
        <v>CAR</v>
      </c>
      <c r="N1580" s="1" t="str">
        <f aca="false">VLOOKUP(E1580,'Team Reference'!$A:$B,2,FALSE())</f>
        <v>TB</v>
      </c>
      <c r="O1580" s="1" t="str">
        <f aca="false">IF(F1580&gt;G1580,M1580,IF(G1580&gt;F1580,N1580,"Tie"))</f>
        <v>CAR</v>
      </c>
      <c r="P1580" s="1" t="n">
        <f aca="false">F1580-G1580</f>
        <v>28</v>
      </c>
      <c r="Q1580" s="1" t="n">
        <f aca="false">F1580+G1580</f>
        <v>48</v>
      </c>
      <c r="R1580" s="1" t="str">
        <f aca="false">IF(H1580=M1580,"Home",IF(H1580=N1580,"Away",IF(H1580="PICK","Pick","N/A")))</f>
        <v>Home</v>
      </c>
      <c r="S1580" s="1" t="n">
        <f aca="false">IF(R1580="Home",P1580,IF(R1580="Away",-P1580,""))</f>
        <v>28</v>
      </c>
      <c r="T1580" s="1" t="str">
        <f aca="false">IF(R1580="Pick","No Line",IF(S1580="","N/A",IF(S1580+I1580&gt;0,"Favorite Covered",IF(S1580+I1580&lt;0,"Underdog Covered","Push"))))</f>
        <v>Favorite Covered</v>
      </c>
      <c r="U1580" s="1" t="str">
        <f aca="false">IF(Q1580&gt;J1580,"Over",IF(Q1580&lt;J1580,"Under","Push"))</f>
        <v>Over</v>
      </c>
    </row>
    <row r="1581" customFormat="false" ht="15" hidden="false" customHeight="false" outlineLevel="0" collapsed="false">
      <c r="A1581" s="1" t="s">
        <v>510</v>
      </c>
      <c r="B1581" s="1" t="n">
        <v>2015</v>
      </c>
      <c r="C1581" s="1" t="s">
        <v>233</v>
      </c>
      <c r="D1581" s="1" t="s">
        <v>63</v>
      </c>
      <c r="E1581" s="1" t="s">
        <v>73</v>
      </c>
      <c r="F1581" s="1" t="n">
        <v>20</v>
      </c>
      <c r="G1581" s="1" t="n">
        <v>24</v>
      </c>
      <c r="H1581" s="1" t="s">
        <v>74</v>
      </c>
      <c r="I1581" s="1" t="n">
        <v>-2.5</v>
      </c>
      <c r="J1581" s="1" t="n">
        <v>45</v>
      </c>
      <c r="K1581" s="1" t="s">
        <v>145</v>
      </c>
      <c r="L1581" s="1" t="b">
        <f aca="false">FALSE()</f>
        <v>0</v>
      </c>
      <c r="M1581" s="1" t="str">
        <f aca="false">VLOOKUP(D1581,'Team Reference'!$A:$B,2,FALSE())</f>
        <v>CHI</v>
      </c>
      <c r="N1581" s="1" t="str">
        <f aca="false">VLOOKUP(E1581,'Team Reference'!$A:$B,2,FALSE())</f>
        <v>DET</v>
      </c>
      <c r="O1581" s="1" t="str">
        <f aca="false">IF(F1581&gt;G1581,M1581,IF(G1581&gt;F1581,N1581,"Tie"))</f>
        <v>DET</v>
      </c>
      <c r="P1581" s="1" t="n">
        <f aca="false">F1581-G1581</f>
        <v>-4</v>
      </c>
      <c r="Q1581" s="1" t="n">
        <f aca="false">F1581+G1581</f>
        <v>44</v>
      </c>
      <c r="R1581" s="1" t="str">
        <f aca="false">IF(H1581=M1581,"Home",IF(H1581=N1581,"Away",IF(H1581="PICK","Pick","N/A")))</f>
        <v>Away</v>
      </c>
      <c r="S1581" s="1" t="n">
        <f aca="false">IF(R1581="Home",P1581,IF(R1581="Away",-P1581,""))</f>
        <v>4</v>
      </c>
      <c r="T1581" s="1" t="str">
        <f aca="false">IF(R1581="Pick","No Line",IF(S1581="","N/A",IF(S1581+I1581&gt;0,"Favorite Covered",IF(S1581+I1581&lt;0,"Underdog Covered","Push"))))</f>
        <v>Favorite Covered</v>
      </c>
      <c r="U1581" s="1" t="str">
        <f aca="false">IF(Q1581&gt;J1581,"Over",IF(Q1581&lt;J1581,"Under","Push"))</f>
        <v>Under</v>
      </c>
    </row>
    <row r="1582" customFormat="false" ht="15" hidden="false" customHeight="false" outlineLevel="0" collapsed="false">
      <c r="A1582" s="1" t="s">
        <v>510</v>
      </c>
      <c r="B1582" s="1" t="n">
        <v>2015</v>
      </c>
      <c r="C1582" s="1" t="s">
        <v>233</v>
      </c>
      <c r="D1582" s="1" t="s">
        <v>65</v>
      </c>
      <c r="E1582" s="1" t="s">
        <v>57</v>
      </c>
      <c r="F1582" s="1" t="n">
        <v>24</v>
      </c>
      <c r="G1582" s="1" t="n">
        <v>16</v>
      </c>
      <c r="H1582" s="1" t="s">
        <v>66</v>
      </c>
      <c r="I1582" s="1" t="n">
        <v>-9.5</v>
      </c>
      <c r="J1582" s="1" t="n">
        <v>41</v>
      </c>
      <c r="K1582" s="1" t="s">
        <v>163</v>
      </c>
      <c r="L1582" s="1" t="b">
        <f aca="false">FALSE()</f>
        <v>0</v>
      </c>
      <c r="M1582" s="1" t="str">
        <f aca="false">VLOOKUP(D1582,'Team Reference'!$A:$B,2,FALSE())</f>
        <v>CIN</v>
      </c>
      <c r="N1582" s="1" t="str">
        <f aca="false">VLOOKUP(E1582,'Team Reference'!$A:$B,2,FALSE())</f>
        <v>BAL</v>
      </c>
      <c r="O1582" s="1" t="str">
        <f aca="false">IF(F1582&gt;G1582,M1582,IF(G1582&gt;F1582,N1582,"Tie"))</f>
        <v>CIN</v>
      </c>
      <c r="P1582" s="1" t="n">
        <f aca="false">F1582-G1582</f>
        <v>8</v>
      </c>
      <c r="Q1582" s="1" t="n">
        <f aca="false">F1582+G1582</f>
        <v>40</v>
      </c>
      <c r="R1582" s="1" t="str">
        <f aca="false">IF(H1582=M1582,"Home",IF(H1582=N1582,"Away",IF(H1582="PICK","Pick","N/A")))</f>
        <v>Home</v>
      </c>
      <c r="S1582" s="1" t="n">
        <f aca="false">IF(R1582="Home",P1582,IF(R1582="Away",-P1582,""))</f>
        <v>8</v>
      </c>
      <c r="T1582" s="1" t="str">
        <f aca="false">IF(R1582="Pick","No Line",IF(S1582="","N/A",IF(S1582+I1582&gt;0,"Favorite Covered",IF(S1582+I1582&lt;0,"Underdog Covered","Push"))))</f>
        <v>Underdog Covered</v>
      </c>
      <c r="U1582" s="1" t="str">
        <f aca="false">IF(Q1582&gt;J1582,"Over",IF(Q1582&lt;J1582,"Under","Push"))</f>
        <v>Under</v>
      </c>
    </row>
    <row r="1583" customFormat="false" ht="15" hidden="false" customHeight="false" outlineLevel="0" collapsed="false">
      <c r="A1583" s="1" t="s">
        <v>510</v>
      </c>
      <c r="B1583" s="1" t="n">
        <v>2015</v>
      </c>
      <c r="C1583" s="1" t="s">
        <v>233</v>
      </c>
      <c r="D1583" s="1" t="s">
        <v>67</v>
      </c>
      <c r="E1583" s="1" t="s">
        <v>105</v>
      </c>
      <c r="F1583" s="1" t="n">
        <v>12</v>
      </c>
      <c r="G1583" s="1" t="n">
        <v>28</v>
      </c>
      <c r="H1583" s="1" t="s">
        <v>106</v>
      </c>
      <c r="I1583" s="1" t="n">
        <v>-13</v>
      </c>
      <c r="J1583" s="1" t="n">
        <v>47</v>
      </c>
      <c r="K1583" s="1" t="s">
        <v>164</v>
      </c>
      <c r="L1583" s="1" t="b">
        <f aca="false">FALSE()</f>
        <v>0</v>
      </c>
      <c r="M1583" s="1" t="str">
        <f aca="false">VLOOKUP(D1583,'Team Reference'!$A:$B,2,FALSE())</f>
        <v>CLE</v>
      </c>
      <c r="N1583" s="1" t="str">
        <f aca="false">VLOOKUP(E1583,'Team Reference'!$A:$B,2,FALSE())</f>
        <v>PIT</v>
      </c>
      <c r="O1583" s="1" t="str">
        <f aca="false">IF(F1583&gt;G1583,M1583,IF(G1583&gt;F1583,N1583,"Tie"))</f>
        <v>PIT</v>
      </c>
      <c r="P1583" s="1" t="n">
        <f aca="false">F1583-G1583</f>
        <v>-16</v>
      </c>
      <c r="Q1583" s="1" t="n">
        <f aca="false">F1583+G1583</f>
        <v>40</v>
      </c>
      <c r="R1583" s="1" t="str">
        <f aca="false">IF(H1583=M1583,"Home",IF(H1583=N1583,"Away",IF(H1583="PICK","Pick","N/A")))</f>
        <v>Away</v>
      </c>
      <c r="S1583" s="1" t="n">
        <f aca="false">IF(R1583="Home",P1583,IF(R1583="Away",-P1583,""))</f>
        <v>16</v>
      </c>
      <c r="T1583" s="1" t="str">
        <f aca="false">IF(R1583="Pick","No Line",IF(S1583="","N/A",IF(S1583+I1583&gt;0,"Favorite Covered",IF(S1583+I1583&lt;0,"Underdog Covered","Push"))))</f>
        <v>Favorite Covered</v>
      </c>
      <c r="U1583" s="1" t="str">
        <f aca="false">IF(Q1583&gt;J1583,"Over",IF(Q1583&lt;J1583,"Under","Push"))</f>
        <v>Under</v>
      </c>
    </row>
    <row r="1584" customFormat="false" ht="15" hidden="false" customHeight="false" outlineLevel="0" collapsed="false">
      <c r="A1584" s="1" t="s">
        <v>510</v>
      </c>
      <c r="B1584" s="1" t="n">
        <v>2015</v>
      </c>
      <c r="C1584" s="1" t="s">
        <v>233</v>
      </c>
      <c r="D1584" s="1" t="s">
        <v>69</v>
      </c>
      <c r="E1584" s="1" t="s">
        <v>117</v>
      </c>
      <c r="F1584" s="1" t="n">
        <v>23</v>
      </c>
      <c r="G1584" s="1" t="n">
        <v>34</v>
      </c>
      <c r="H1584" s="1" t="s">
        <v>70</v>
      </c>
      <c r="I1584" s="1" t="n">
        <v>-3</v>
      </c>
      <c r="J1584" s="1" t="n">
        <v>41</v>
      </c>
      <c r="K1584" s="1" t="s">
        <v>165</v>
      </c>
      <c r="L1584" s="1" t="b">
        <f aca="false">FALSE()</f>
        <v>0</v>
      </c>
      <c r="M1584" s="1" t="str">
        <f aca="false">VLOOKUP(D1584,'Team Reference'!$A:$B,2,FALSE())</f>
        <v>DAL</v>
      </c>
      <c r="N1584" s="1" t="str">
        <f aca="false">VLOOKUP(E1584,'Team Reference'!$A:$B,2,FALSE())</f>
        <v>WAS</v>
      </c>
      <c r="O1584" s="1" t="str">
        <f aca="false">IF(F1584&gt;G1584,M1584,IF(G1584&gt;F1584,N1584,"Tie"))</f>
        <v>WAS</v>
      </c>
      <c r="P1584" s="1" t="n">
        <f aca="false">F1584-G1584</f>
        <v>-11</v>
      </c>
      <c r="Q1584" s="1" t="n">
        <f aca="false">F1584+G1584</f>
        <v>57</v>
      </c>
      <c r="R1584" s="1" t="str">
        <f aca="false">IF(H1584=M1584,"Home",IF(H1584=N1584,"Away",IF(H1584="PICK","Pick","N/A")))</f>
        <v>Home</v>
      </c>
      <c r="S1584" s="1" t="n">
        <f aca="false">IF(R1584="Home",P1584,IF(R1584="Away",-P1584,""))</f>
        <v>-11</v>
      </c>
      <c r="T1584" s="1" t="str">
        <f aca="false">IF(R1584="Pick","No Line",IF(S1584="","N/A",IF(S1584+I1584&gt;0,"Favorite Covered",IF(S1584+I1584&lt;0,"Underdog Covered","Push"))))</f>
        <v>Underdog Covered</v>
      </c>
      <c r="U1584" s="1" t="str">
        <f aca="false">IF(Q1584&gt;J1584,"Over",IF(Q1584&lt;J1584,"Under","Push"))</f>
        <v>Over</v>
      </c>
    </row>
    <row r="1585" customFormat="false" ht="15" hidden="false" customHeight="false" outlineLevel="0" collapsed="false">
      <c r="A1585" s="1" t="s">
        <v>510</v>
      </c>
      <c r="B1585" s="1" t="n">
        <v>2015</v>
      </c>
      <c r="C1585" s="1" t="s">
        <v>233</v>
      </c>
      <c r="D1585" s="1" t="s">
        <v>71</v>
      </c>
      <c r="E1585" s="1" t="s">
        <v>107</v>
      </c>
      <c r="F1585" s="1" t="n">
        <v>27</v>
      </c>
      <c r="G1585" s="1" t="n">
        <v>20</v>
      </c>
      <c r="H1585" s="1" t="s">
        <v>72</v>
      </c>
      <c r="I1585" s="1" t="n">
        <v>-10</v>
      </c>
      <c r="J1585" s="1" t="n">
        <v>42</v>
      </c>
      <c r="K1585" s="1" t="s">
        <v>166</v>
      </c>
      <c r="L1585" s="1" t="b">
        <f aca="false">FALSE()</f>
        <v>0</v>
      </c>
      <c r="M1585" s="1" t="str">
        <f aca="false">VLOOKUP(D1585,'Team Reference'!$A:$B,2,FALSE())</f>
        <v>DEN</v>
      </c>
      <c r="N1585" s="1" t="str">
        <f aca="false">VLOOKUP(E1585,'Team Reference'!$A:$B,2,FALSE())</f>
        <v>LAC</v>
      </c>
      <c r="O1585" s="1" t="str">
        <f aca="false">IF(F1585&gt;G1585,M1585,IF(G1585&gt;F1585,N1585,"Tie"))</f>
        <v>DEN</v>
      </c>
      <c r="P1585" s="1" t="n">
        <f aca="false">F1585-G1585</f>
        <v>7</v>
      </c>
      <c r="Q1585" s="1" t="n">
        <f aca="false">F1585+G1585</f>
        <v>47</v>
      </c>
      <c r="R1585" s="1" t="str">
        <f aca="false">IF(H1585=M1585,"Home",IF(H1585=N1585,"Away",IF(H1585="PICK","Pick","N/A")))</f>
        <v>Home</v>
      </c>
      <c r="S1585" s="1" t="n">
        <f aca="false">IF(R1585="Home",P1585,IF(R1585="Away",-P1585,""))</f>
        <v>7</v>
      </c>
      <c r="T1585" s="1" t="str">
        <f aca="false">IF(R1585="Pick","No Line",IF(S1585="","N/A",IF(S1585+I1585&gt;0,"Favorite Covered",IF(S1585+I1585&lt;0,"Underdog Covered","Push"))))</f>
        <v>Underdog Covered</v>
      </c>
      <c r="U1585" s="1" t="str">
        <f aca="false">IF(Q1585&gt;J1585,"Over",IF(Q1585&lt;J1585,"Under","Push"))</f>
        <v>Over</v>
      </c>
    </row>
    <row r="1586" customFormat="false" ht="15" hidden="false" customHeight="false" outlineLevel="0" collapsed="false">
      <c r="A1586" s="1" t="s">
        <v>510</v>
      </c>
      <c r="B1586" s="1" t="n">
        <v>2015</v>
      </c>
      <c r="C1586" s="1" t="s">
        <v>233</v>
      </c>
      <c r="D1586" s="1" t="s">
        <v>75</v>
      </c>
      <c r="E1586" s="1" t="s">
        <v>91</v>
      </c>
      <c r="F1586" s="1" t="n">
        <v>13</v>
      </c>
      <c r="G1586" s="1" t="n">
        <v>20</v>
      </c>
      <c r="H1586" s="1" t="s">
        <v>76</v>
      </c>
      <c r="I1586" s="1" t="n">
        <v>-3</v>
      </c>
      <c r="J1586" s="1" t="n">
        <v>44</v>
      </c>
      <c r="K1586" s="1" t="s">
        <v>168</v>
      </c>
      <c r="L1586" s="1" t="b">
        <f aca="false">FALSE()</f>
        <v>0</v>
      </c>
      <c r="M1586" s="1" t="str">
        <f aca="false">VLOOKUP(D1586,'Team Reference'!$A:$B,2,FALSE())</f>
        <v>GB</v>
      </c>
      <c r="N1586" s="1" t="str">
        <f aca="false">VLOOKUP(E1586,'Team Reference'!$A:$B,2,FALSE())</f>
        <v>MIN</v>
      </c>
      <c r="O1586" s="1" t="str">
        <f aca="false">IF(F1586&gt;G1586,M1586,IF(G1586&gt;F1586,N1586,"Tie"))</f>
        <v>MIN</v>
      </c>
      <c r="P1586" s="1" t="n">
        <f aca="false">F1586-G1586</f>
        <v>-7</v>
      </c>
      <c r="Q1586" s="1" t="n">
        <f aca="false">F1586+G1586</f>
        <v>33</v>
      </c>
      <c r="R1586" s="1" t="str">
        <f aca="false">IF(H1586=M1586,"Home",IF(H1586=N1586,"Away",IF(H1586="PICK","Pick","N/A")))</f>
        <v>Home</v>
      </c>
      <c r="S1586" s="1" t="n">
        <f aca="false">IF(R1586="Home",P1586,IF(R1586="Away",-P1586,""))</f>
        <v>-7</v>
      </c>
      <c r="T1586" s="1" t="str">
        <f aca="false">IF(R1586="Pick","No Line",IF(S1586="","N/A",IF(S1586+I1586&gt;0,"Favorite Covered",IF(S1586+I1586&lt;0,"Underdog Covered","Push"))))</f>
        <v>Underdog Covered</v>
      </c>
      <c r="U1586" s="1" t="str">
        <f aca="false">IF(Q1586&gt;J1586,"Over",IF(Q1586&lt;J1586,"Under","Push"))</f>
        <v>Under</v>
      </c>
    </row>
    <row r="1587" customFormat="false" ht="15" hidden="false" customHeight="false" outlineLevel="0" collapsed="false">
      <c r="A1587" s="1" t="s">
        <v>510</v>
      </c>
      <c r="B1587" s="1" t="n">
        <v>2015</v>
      </c>
      <c r="C1587" s="1" t="s">
        <v>233</v>
      </c>
      <c r="D1587" s="1" t="s">
        <v>77</v>
      </c>
      <c r="E1587" s="1" t="s">
        <v>81</v>
      </c>
      <c r="F1587" s="1" t="n">
        <v>30</v>
      </c>
      <c r="G1587" s="1" t="n">
        <v>6</v>
      </c>
      <c r="H1587" s="1" t="s">
        <v>78</v>
      </c>
      <c r="I1587" s="1" t="n">
        <v>-6</v>
      </c>
      <c r="J1587" s="1" t="n">
        <v>45</v>
      </c>
      <c r="K1587" s="1" t="s">
        <v>146</v>
      </c>
      <c r="L1587" s="1" t="b">
        <f aca="false">FALSE()</f>
        <v>0</v>
      </c>
      <c r="M1587" s="1" t="str">
        <f aca="false">VLOOKUP(D1587,'Team Reference'!$A:$B,2,FALSE())</f>
        <v>HOU</v>
      </c>
      <c r="N1587" s="1" t="str">
        <f aca="false">VLOOKUP(E1587,'Team Reference'!$A:$B,2,FALSE())</f>
        <v>JAX</v>
      </c>
      <c r="O1587" s="1" t="str">
        <f aca="false">IF(F1587&gt;G1587,M1587,IF(G1587&gt;F1587,N1587,"Tie"))</f>
        <v>HOU</v>
      </c>
      <c r="P1587" s="1" t="n">
        <f aca="false">F1587-G1587</f>
        <v>24</v>
      </c>
      <c r="Q1587" s="1" t="n">
        <f aca="false">F1587+G1587</f>
        <v>36</v>
      </c>
      <c r="R1587" s="1" t="str">
        <f aca="false">IF(H1587=M1587,"Home",IF(H1587=N1587,"Away",IF(H1587="PICK","Pick","N/A")))</f>
        <v>Home</v>
      </c>
      <c r="S1587" s="1" t="n">
        <f aca="false">IF(R1587="Home",P1587,IF(R1587="Away",-P1587,""))</f>
        <v>24</v>
      </c>
      <c r="T1587" s="1" t="str">
        <f aca="false">IF(R1587="Pick","No Line",IF(S1587="","N/A",IF(S1587+I1587&gt;0,"Favorite Covered",IF(S1587+I1587&lt;0,"Underdog Covered","Push"))))</f>
        <v>Favorite Covered</v>
      </c>
      <c r="U1587" s="1" t="str">
        <f aca="false">IF(Q1587&gt;J1587,"Over",IF(Q1587&lt;J1587,"Under","Push"))</f>
        <v>Under</v>
      </c>
    </row>
    <row r="1588" customFormat="false" ht="15" hidden="false" customHeight="false" outlineLevel="0" collapsed="false">
      <c r="A1588" s="1" t="s">
        <v>510</v>
      </c>
      <c r="B1588" s="1" t="n">
        <v>2015</v>
      </c>
      <c r="C1588" s="1" t="s">
        <v>233</v>
      </c>
      <c r="D1588" s="1" t="s">
        <v>79</v>
      </c>
      <c r="E1588" s="1" t="s">
        <v>115</v>
      </c>
      <c r="F1588" s="1" t="n">
        <v>30</v>
      </c>
      <c r="G1588" s="1" t="n">
        <v>24</v>
      </c>
      <c r="H1588" s="1" t="s">
        <v>80</v>
      </c>
      <c r="I1588" s="1" t="n">
        <v>-4</v>
      </c>
      <c r="J1588" s="1" t="n">
        <v>39</v>
      </c>
      <c r="K1588" s="1" t="s">
        <v>169</v>
      </c>
      <c r="L1588" s="1" t="b">
        <f aca="false">FALSE()</f>
        <v>0</v>
      </c>
      <c r="M1588" s="1" t="str">
        <f aca="false">VLOOKUP(D1588,'Team Reference'!$A:$B,2,FALSE())</f>
        <v>IND</v>
      </c>
      <c r="N1588" s="1" t="str">
        <f aca="false">VLOOKUP(E1588,'Team Reference'!$A:$B,2,FALSE())</f>
        <v>TEN</v>
      </c>
      <c r="O1588" s="1" t="str">
        <f aca="false">IF(F1588&gt;G1588,M1588,IF(G1588&gt;F1588,N1588,"Tie"))</f>
        <v>IND</v>
      </c>
      <c r="P1588" s="1" t="n">
        <f aca="false">F1588-G1588</f>
        <v>6</v>
      </c>
      <c r="Q1588" s="1" t="n">
        <f aca="false">F1588+G1588</f>
        <v>54</v>
      </c>
      <c r="R1588" s="1" t="str">
        <f aca="false">IF(H1588=M1588,"Home",IF(H1588=N1588,"Away",IF(H1588="PICK","Pick","N/A")))</f>
        <v>Home</v>
      </c>
      <c r="S1588" s="1" t="n">
        <f aca="false">IF(R1588="Home",P1588,IF(R1588="Away",-P1588,""))</f>
        <v>6</v>
      </c>
      <c r="T1588" s="1" t="str">
        <f aca="false">IF(R1588="Pick","No Line",IF(S1588="","N/A",IF(S1588+I1588&gt;0,"Favorite Covered",IF(S1588+I1588&lt;0,"Underdog Covered","Push"))))</f>
        <v>Favorite Covered</v>
      </c>
      <c r="U1588" s="1" t="str">
        <f aca="false">IF(Q1588&gt;J1588,"Over",IF(Q1588&lt;J1588,"Under","Push"))</f>
        <v>Over</v>
      </c>
    </row>
    <row r="1589" customFormat="false" ht="15" hidden="false" customHeight="false" outlineLevel="0" collapsed="false">
      <c r="A1589" s="1" t="s">
        <v>510</v>
      </c>
      <c r="B1589" s="1" t="n">
        <v>2015</v>
      </c>
      <c r="C1589" s="1" t="s">
        <v>233</v>
      </c>
      <c r="D1589" s="1" t="s">
        <v>83</v>
      </c>
      <c r="E1589" s="1" t="s">
        <v>101</v>
      </c>
      <c r="F1589" s="1" t="n">
        <v>23</v>
      </c>
      <c r="G1589" s="1" t="n">
        <v>17</v>
      </c>
      <c r="H1589" s="1" t="s">
        <v>84</v>
      </c>
      <c r="I1589" s="1" t="n">
        <v>-6.5</v>
      </c>
      <c r="J1589" s="1" t="n">
        <v>43.5</v>
      </c>
      <c r="K1589" s="1" t="s">
        <v>158</v>
      </c>
      <c r="L1589" s="1" t="b">
        <f aca="false">FALSE()</f>
        <v>0</v>
      </c>
      <c r="M1589" s="1" t="str">
        <f aca="false">VLOOKUP(D1589,'Team Reference'!$A:$B,2,FALSE())</f>
        <v>KC</v>
      </c>
      <c r="N1589" s="1" t="str">
        <f aca="false">VLOOKUP(E1589,'Team Reference'!$A:$B,2,FALSE())</f>
        <v>OAK</v>
      </c>
      <c r="O1589" s="1" t="str">
        <f aca="false">IF(F1589&gt;G1589,M1589,IF(G1589&gt;F1589,N1589,"Tie"))</f>
        <v>KC</v>
      </c>
      <c r="P1589" s="1" t="n">
        <f aca="false">F1589-G1589</f>
        <v>6</v>
      </c>
      <c r="Q1589" s="1" t="n">
        <f aca="false">F1589+G1589</f>
        <v>40</v>
      </c>
      <c r="R1589" s="1" t="str">
        <f aca="false">IF(H1589=M1589,"Home",IF(H1589=N1589,"Away",IF(H1589="PICK","Pick","N/A")))</f>
        <v>Home</v>
      </c>
      <c r="S1589" s="1" t="n">
        <f aca="false">IF(R1589="Home",P1589,IF(R1589="Away",-P1589,""))</f>
        <v>6</v>
      </c>
      <c r="T1589" s="1" t="str">
        <f aca="false">IF(R1589="Pick","No Line",IF(S1589="","N/A",IF(S1589+I1589&gt;0,"Favorite Covered",IF(S1589+I1589&lt;0,"Underdog Covered","Push"))))</f>
        <v>Underdog Covered</v>
      </c>
      <c r="U1589" s="1" t="str">
        <f aca="false">IF(Q1589&gt;J1589,"Over",IF(Q1589&lt;J1589,"Under","Push"))</f>
        <v>Under</v>
      </c>
    </row>
    <row r="1590" customFormat="false" ht="15" hidden="false" customHeight="false" outlineLevel="0" collapsed="false">
      <c r="A1590" s="1" t="s">
        <v>510</v>
      </c>
      <c r="B1590" s="1" t="n">
        <v>2015</v>
      </c>
      <c r="C1590" s="1" t="s">
        <v>233</v>
      </c>
      <c r="D1590" s="1" t="s">
        <v>89</v>
      </c>
      <c r="E1590" s="1" t="s">
        <v>93</v>
      </c>
      <c r="F1590" s="1" t="n">
        <v>20</v>
      </c>
      <c r="G1590" s="1" t="n">
        <v>10</v>
      </c>
      <c r="H1590" s="1" t="s">
        <v>94</v>
      </c>
      <c r="I1590" s="1" t="n">
        <v>-10</v>
      </c>
      <c r="J1590" s="1" t="n">
        <v>46.5</v>
      </c>
      <c r="K1590" s="1" t="s">
        <v>179</v>
      </c>
      <c r="L1590" s="1" t="b">
        <f aca="false">FALSE()</f>
        <v>0</v>
      </c>
      <c r="M1590" s="1" t="str">
        <f aca="false">VLOOKUP(D1590,'Team Reference'!$A:$B,2,FALSE())</f>
        <v>MIA</v>
      </c>
      <c r="N1590" s="1" t="str">
        <f aca="false">VLOOKUP(E1590,'Team Reference'!$A:$B,2,FALSE())</f>
        <v>NE</v>
      </c>
      <c r="O1590" s="1" t="str">
        <f aca="false">IF(F1590&gt;G1590,M1590,IF(G1590&gt;F1590,N1590,"Tie"))</f>
        <v>MIA</v>
      </c>
      <c r="P1590" s="1" t="n">
        <f aca="false">F1590-G1590</f>
        <v>10</v>
      </c>
      <c r="Q1590" s="1" t="n">
        <f aca="false">F1590+G1590</f>
        <v>30</v>
      </c>
      <c r="R1590" s="1" t="str">
        <f aca="false">IF(H1590=M1590,"Home",IF(H1590=N1590,"Away",IF(H1590="PICK","Pick","N/A")))</f>
        <v>Away</v>
      </c>
      <c r="S1590" s="1" t="n">
        <f aca="false">IF(R1590="Home",P1590,IF(R1590="Away",-P1590,""))</f>
        <v>-10</v>
      </c>
      <c r="T1590" s="1" t="str">
        <f aca="false">IF(R1590="Pick","No Line",IF(S1590="","N/A",IF(S1590+I1590&gt;0,"Favorite Covered",IF(S1590+I1590&lt;0,"Underdog Covered","Push"))))</f>
        <v>Underdog Covered</v>
      </c>
      <c r="U1590" s="1" t="str">
        <f aca="false">IF(Q1590&gt;J1590,"Over",IF(Q1590&lt;J1590,"Under","Push"))</f>
        <v>Under</v>
      </c>
    </row>
    <row r="1591" customFormat="false" ht="15" hidden="false" customHeight="false" outlineLevel="0" collapsed="false">
      <c r="A1591" s="1" t="s">
        <v>510</v>
      </c>
      <c r="B1591" s="1" t="n">
        <v>2015</v>
      </c>
      <c r="C1591" s="1" t="s">
        <v>233</v>
      </c>
      <c r="D1591" s="1" t="s">
        <v>97</v>
      </c>
      <c r="E1591" s="1" t="s">
        <v>103</v>
      </c>
      <c r="F1591" s="1" t="n">
        <v>30</v>
      </c>
      <c r="G1591" s="1" t="n">
        <v>35</v>
      </c>
      <c r="H1591" s="1" t="s">
        <v>98</v>
      </c>
      <c r="I1591" s="1" t="n">
        <v>-3.5</v>
      </c>
      <c r="J1591" s="1" t="n">
        <v>51</v>
      </c>
      <c r="K1591" s="1" t="s">
        <v>149</v>
      </c>
      <c r="L1591" s="1" t="b">
        <f aca="false">FALSE()</f>
        <v>0</v>
      </c>
      <c r="M1591" s="1" t="str">
        <f aca="false">VLOOKUP(D1591,'Team Reference'!$A:$B,2,FALSE())</f>
        <v>NYG</v>
      </c>
      <c r="N1591" s="1" t="str">
        <f aca="false">VLOOKUP(E1591,'Team Reference'!$A:$B,2,FALSE())</f>
        <v>PHI</v>
      </c>
      <c r="O1591" s="1" t="str">
        <f aca="false">IF(F1591&gt;G1591,M1591,IF(G1591&gt;F1591,N1591,"Tie"))</f>
        <v>PHI</v>
      </c>
      <c r="P1591" s="1" t="n">
        <f aca="false">F1591-G1591</f>
        <v>-5</v>
      </c>
      <c r="Q1591" s="1" t="n">
        <f aca="false">F1591+G1591</f>
        <v>65</v>
      </c>
      <c r="R1591" s="1" t="str">
        <f aca="false">IF(H1591=M1591,"Home",IF(H1591=N1591,"Away",IF(H1591="PICK","Pick","N/A")))</f>
        <v>Home</v>
      </c>
      <c r="S1591" s="1" t="n">
        <f aca="false">IF(R1591="Home",P1591,IF(R1591="Away",-P1591,""))</f>
        <v>-5</v>
      </c>
      <c r="T1591" s="1" t="str">
        <f aca="false">IF(R1591="Pick","No Line",IF(S1591="","N/A",IF(S1591+I1591&gt;0,"Favorite Covered",IF(S1591+I1591&lt;0,"Underdog Covered","Push"))))</f>
        <v>Underdog Covered</v>
      </c>
      <c r="U1591" s="1" t="str">
        <f aca="false">IF(Q1591&gt;J1591,"Over",IF(Q1591&lt;J1591,"Under","Push"))</f>
        <v>Over</v>
      </c>
    </row>
    <row r="1592" customFormat="false" ht="15" hidden="false" customHeight="false" outlineLevel="0" collapsed="false">
      <c r="A1592" s="1" t="s">
        <v>510</v>
      </c>
      <c r="B1592" s="1" t="n">
        <v>2015</v>
      </c>
      <c r="C1592" s="1" t="s">
        <v>233</v>
      </c>
      <c r="D1592" s="1" t="s">
        <v>108</v>
      </c>
      <c r="E1592" s="1" t="s">
        <v>112</v>
      </c>
      <c r="F1592" s="1" t="n">
        <v>19</v>
      </c>
      <c r="G1592" s="1" t="n">
        <v>16</v>
      </c>
      <c r="H1592" s="1" t="s">
        <v>88</v>
      </c>
      <c r="I1592" s="1" t="n">
        <v>-3</v>
      </c>
      <c r="J1592" s="1" t="n">
        <v>38.5</v>
      </c>
      <c r="K1592" s="1" t="s">
        <v>408</v>
      </c>
      <c r="L1592" s="1" t="b">
        <f aca="false">FALSE()</f>
        <v>0</v>
      </c>
      <c r="M1592" s="1" t="str">
        <f aca="false">VLOOKUP(D1592,'Team Reference'!$A:$B,2,FALSE())</f>
        <v>SF</v>
      </c>
      <c r="N1592" s="1" t="str">
        <f aca="false">VLOOKUP(E1592,'Team Reference'!$A:$B,2,FALSE())</f>
        <v>LAR</v>
      </c>
      <c r="O1592" s="1" t="str">
        <f aca="false">IF(F1592&gt;G1592,M1592,IF(G1592&gt;F1592,N1592,"Tie"))</f>
        <v>SF</v>
      </c>
      <c r="P1592" s="1" t="n">
        <f aca="false">F1592-G1592</f>
        <v>3</v>
      </c>
      <c r="Q1592" s="1" t="n">
        <f aca="false">F1592+G1592</f>
        <v>35</v>
      </c>
      <c r="R1592" s="1" t="str">
        <f aca="false">IF(H1592=M1592,"Home",IF(H1592=N1592,"Away",IF(H1592="PICK","Pick","N/A")))</f>
        <v>Away</v>
      </c>
      <c r="S1592" s="1" t="n">
        <f aca="false">IF(R1592="Home",P1592,IF(R1592="Away",-P1592,""))</f>
        <v>-3</v>
      </c>
      <c r="T1592" s="1" t="str">
        <f aca="false">IF(R1592="Pick","No Line",IF(S1592="","N/A",IF(S1592+I1592&gt;0,"Favorite Covered",IF(S1592+I1592&lt;0,"Underdog Covered","Push"))))</f>
        <v>Underdog Covered</v>
      </c>
      <c r="U1592" s="1" t="str">
        <f aca="false">IF(Q1592&gt;J1592,"Over",IF(Q1592&lt;J1592,"Under","Push"))</f>
        <v>Under</v>
      </c>
    </row>
    <row r="1593" customFormat="false" ht="15" hidden="false" customHeight="false" outlineLevel="0" collapsed="false">
      <c r="A1593" s="1" t="s">
        <v>511</v>
      </c>
      <c r="B1593" s="1" t="n">
        <v>2015</v>
      </c>
      <c r="C1593" s="1" t="s">
        <v>235</v>
      </c>
      <c r="D1593" s="1" t="s">
        <v>65</v>
      </c>
      <c r="E1593" s="1" t="s">
        <v>105</v>
      </c>
      <c r="F1593" s="1" t="n">
        <v>16</v>
      </c>
      <c r="G1593" s="1" t="n">
        <v>18</v>
      </c>
      <c r="H1593" s="1" t="s">
        <v>106</v>
      </c>
      <c r="I1593" s="1" t="n">
        <v>-3</v>
      </c>
      <c r="J1593" s="1" t="n">
        <v>45</v>
      </c>
      <c r="K1593" s="1" t="s">
        <v>163</v>
      </c>
      <c r="L1593" s="1" t="b">
        <f aca="false">TRUE()</f>
        <v>1</v>
      </c>
      <c r="M1593" s="1" t="str">
        <f aca="false">VLOOKUP(D1593,'Team Reference'!$A:$B,2,FALSE())</f>
        <v>CIN</v>
      </c>
      <c r="N1593" s="1" t="str">
        <f aca="false">VLOOKUP(E1593,'Team Reference'!$A:$B,2,FALSE())</f>
        <v>PIT</v>
      </c>
      <c r="O1593" s="1" t="str">
        <f aca="false">IF(F1593&gt;G1593,M1593,IF(G1593&gt;F1593,N1593,"Tie"))</f>
        <v>PIT</v>
      </c>
      <c r="P1593" s="1" t="n">
        <f aca="false">F1593-G1593</f>
        <v>-2</v>
      </c>
      <c r="Q1593" s="1" t="n">
        <f aca="false">F1593+G1593</f>
        <v>34</v>
      </c>
      <c r="R1593" s="1" t="str">
        <f aca="false">IF(H1593=M1593,"Home",IF(H1593=N1593,"Away",IF(H1593="PICK","Pick","N/A")))</f>
        <v>Away</v>
      </c>
      <c r="S1593" s="1" t="n">
        <f aca="false">IF(R1593="Home",P1593,IF(R1593="Away",-P1593,""))</f>
        <v>2</v>
      </c>
      <c r="T1593" s="1" t="str">
        <f aca="false">IF(R1593="Pick","No Line",IF(S1593="","N/A",IF(S1593+I1593&gt;0,"Favorite Covered",IF(S1593+I1593&lt;0,"Underdog Covered","Push"))))</f>
        <v>Underdog Covered</v>
      </c>
      <c r="U1593" s="1" t="str">
        <f aca="false">IF(Q1593&gt;J1593,"Over",IF(Q1593&lt;J1593,"Under","Push"))</f>
        <v>Under</v>
      </c>
    </row>
    <row r="1594" customFormat="false" ht="15" hidden="false" customHeight="false" outlineLevel="0" collapsed="false">
      <c r="A1594" s="1" t="s">
        <v>511</v>
      </c>
      <c r="B1594" s="1" t="n">
        <v>2015</v>
      </c>
      <c r="C1594" s="1" t="s">
        <v>235</v>
      </c>
      <c r="D1594" s="1" t="s">
        <v>77</v>
      </c>
      <c r="E1594" s="1" t="s">
        <v>83</v>
      </c>
      <c r="F1594" s="1" t="n">
        <v>0</v>
      </c>
      <c r="G1594" s="1" t="n">
        <v>30</v>
      </c>
      <c r="H1594" s="1" t="s">
        <v>84</v>
      </c>
      <c r="I1594" s="1" t="n">
        <v>-3</v>
      </c>
      <c r="J1594" s="1" t="n">
        <v>40</v>
      </c>
      <c r="L1594" s="1" t="b">
        <f aca="false">TRUE()</f>
        <v>1</v>
      </c>
      <c r="M1594" s="1" t="str">
        <f aca="false">VLOOKUP(D1594,'Team Reference'!$A:$B,2,FALSE())</f>
        <v>HOU</v>
      </c>
      <c r="N1594" s="1" t="str">
        <f aca="false">VLOOKUP(E1594,'Team Reference'!$A:$B,2,FALSE())</f>
        <v>KC</v>
      </c>
      <c r="O1594" s="1" t="str">
        <f aca="false">IF(F1594&gt;G1594,M1594,IF(G1594&gt;F1594,N1594,"Tie"))</f>
        <v>KC</v>
      </c>
      <c r="P1594" s="1" t="n">
        <f aca="false">F1594-G1594</f>
        <v>-30</v>
      </c>
      <c r="Q1594" s="1" t="n">
        <f aca="false">F1594+G1594</f>
        <v>30</v>
      </c>
      <c r="R1594" s="1" t="str">
        <f aca="false">IF(H1594=M1594,"Home",IF(H1594=N1594,"Away",IF(H1594="PICK","Pick","N/A")))</f>
        <v>Away</v>
      </c>
      <c r="S1594" s="1" t="n">
        <f aca="false">IF(R1594="Home",P1594,IF(R1594="Away",-P1594,""))</f>
        <v>30</v>
      </c>
      <c r="T1594" s="1" t="str">
        <f aca="false">IF(R1594="Pick","No Line",IF(S1594="","N/A",IF(S1594+I1594&gt;0,"Favorite Covered",IF(S1594+I1594&lt;0,"Underdog Covered","Push"))))</f>
        <v>Favorite Covered</v>
      </c>
      <c r="U1594" s="1" t="str">
        <f aca="false">IF(Q1594&gt;J1594,"Over",IF(Q1594&lt;J1594,"Under","Push"))</f>
        <v>Under</v>
      </c>
    </row>
    <row r="1595" customFormat="false" ht="15" hidden="false" customHeight="false" outlineLevel="0" collapsed="false">
      <c r="A1595" s="1" t="s">
        <v>512</v>
      </c>
      <c r="B1595" s="1" t="n">
        <v>2015</v>
      </c>
      <c r="C1595" s="1" t="s">
        <v>235</v>
      </c>
      <c r="D1595" s="1" t="s">
        <v>91</v>
      </c>
      <c r="E1595" s="1" t="s">
        <v>110</v>
      </c>
      <c r="F1595" s="1" t="n">
        <v>9</v>
      </c>
      <c r="G1595" s="1" t="n">
        <v>10</v>
      </c>
      <c r="H1595" s="1" t="s">
        <v>111</v>
      </c>
      <c r="I1595" s="1" t="n">
        <v>-4.5</v>
      </c>
      <c r="J1595" s="1" t="n">
        <v>40</v>
      </c>
      <c r="L1595" s="1" t="b">
        <f aca="false">TRUE()</f>
        <v>1</v>
      </c>
      <c r="M1595" s="1" t="str">
        <f aca="false">VLOOKUP(D1595,'Team Reference'!$A:$B,2,FALSE())</f>
        <v>MIN</v>
      </c>
      <c r="N1595" s="1" t="str">
        <f aca="false">VLOOKUP(E1595,'Team Reference'!$A:$B,2,FALSE())</f>
        <v>SEA</v>
      </c>
      <c r="O1595" s="1" t="str">
        <f aca="false">IF(F1595&gt;G1595,M1595,IF(G1595&gt;F1595,N1595,"Tie"))</f>
        <v>SEA</v>
      </c>
      <c r="P1595" s="1" t="n">
        <f aca="false">F1595-G1595</f>
        <v>-1</v>
      </c>
      <c r="Q1595" s="1" t="n">
        <f aca="false">F1595+G1595</f>
        <v>19</v>
      </c>
      <c r="R1595" s="1" t="str">
        <f aca="false">IF(H1595=M1595,"Home",IF(H1595=N1595,"Away",IF(H1595="PICK","Pick","N/A")))</f>
        <v>Away</v>
      </c>
      <c r="S1595" s="1" t="n">
        <f aca="false">IF(R1595="Home",P1595,IF(R1595="Away",-P1595,""))</f>
        <v>1</v>
      </c>
      <c r="T1595" s="1" t="str">
        <f aca="false">IF(R1595="Pick","No Line",IF(S1595="","N/A",IF(S1595+I1595&gt;0,"Favorite Covered",IF(S1595+I1595&lt;0,"Underdog Covered","Push"))))</f>
        <v>Underdog Covered</v>
      </c>
      <c r="U1595" s="1" t="str">
        <f aca="false">IF(Q1595&gt;J1595,"Over",IF(Q1595&lt;J1595,"Under","Push"))</f>
        <v>Under</v>
      </c>
    </row>
    <row r="1596" customFormat="false" ht="15" hidden="false" customHeight="false" outlineLevel="0" collapsed="false">
      <c r="A1596" s="1" t="s">
        <v>512</v>
      </c>
      <c r="B1596" s="1" t="n">
        <v>2015</v>
      </c>
      <c r="C1596" s="1" t="s">
        <v>235</v>
      </c>
      <c r="D1596" s="1" t="s">
        <v>117</v>
      </c>
      <c r="E1596" s="1" t="s">
        <v>75</v>
      </c>
      <c r="F1596" s="1" t="n">
        <v>18</v>
      </c>
      <c r="G1596" s="1" t="n">
        <v>35</v>
      </c>
      <c r="H1596" s="1" t="s">
        <v>118</v>
      </c>
      <c r="I1596" s="1" t="n">
        <v>-1</v>
      </c>
      <c r="J1596" s="1" t="n">
        <v>46</v>
      </c>
      <c r="L1596" s="1" t="b">
        <f aca="false">TRUE()</f>
        <v>1</v>
      </c>
      <c r="M1596" s="1" t="str">
        <f aca="false">VLOOKUP(D1596,'Team Reference'!$A:$B,2,FALSE())</f>
        <v>WAS</v>
      </c>
      <c r="N1596" s="1" t="str">
        <f aca="false">VLOOKUP(E1596,'Team Reference'!$A:$B,2,FALSE())</f>
        <v>GB</v>
      </c>
      <c r="O1596" s="1" t="str">
        <f aca="false">IF(F1596&gt;G1596,M1596,IF(G1596&gt;F1596,N1596,"Tie"))</f>
        <v>GB</v>
      </c>
      <c r="P1596" s="1" t="n">
        <f aca="false">F1596-G1596</f>
        <v>-17</v>
      </c>
      <c r="Q1596" s="1" t="n">
        <f aca="false">F1596+G1596</f>
        <v>53</v>
      </c>
      <c r="R1596" s="1" t="str">
        <f aca="false">IF(H1596=M1596,"Home",IF(H1596=N1596,"Away",IF(H1596="PICK","Pick","N/A")))</f>
        <v>Home</v>
      </c>
      <c r="S1596" s="1" t="n">
        <f aca="false">IF(R1596="Home",P1596,IF(R1596="Away",-P1596,""))</f>
        <v>-17</v>
      </c>
      <c r="T1596" s="1" t="str">
        <f aca="false">IF(R1596="Pick","No Line",IF(S1596="","N/A",IF(S1596+I1596&gt;0,"Favorite Covered",IF(S1596+I1596&lt;0,"Underdog Covered","Push"))))</f>
        <v>Underdog Covered</v>
      </c>
      <c r="U1596" s="1" t="str">
        <f aca="false">IF(Q1596&gt;J1596,"Over",IF(Q1596&lt;J1596,"Under","Push"))</f>
        <v>Over</v>
      </c>
    </row>
    <row r="1597" customFormat="false" ht="15" hidden="false" customHeight="false" outlineLevel="0" collapsed="false">
      <c r="A1597" s="1" t="s">
        <v>513</v>
      </c>
      <c r="B1597" s="1" t="n">
        <v>2015</v>
      </c>
      <c r="C1597" s="1" t="s">
        <v>238</v>
      </c>
      <c r="D1597" s="1" t="s">
        <v>53</v>
      </c>
      <c r="E1597" s="1" t="s">
        <v>75</v>
      </c>
      <c r="F1597" s="1" t="n">
        <v>26</v>
      </c>
      <c r="G1597" s="1" t="n">
        <v>20</v>
      </c>
      <c r="H1597" s="1" t="s">
        <v>54</v>
      </c>
      <c r="I1597" s="1" t="n">
        <v>-7</v>
      </c>
      <c r="J1597" s="1" t="n">
        <v>49</v>
      </c>
      <c r="K1597" s="1" t="s">
        <v>177</v>
      </c>
      <c r="L1597" s="1" t="b">
        <f aca="false">TRUE()</f>
        <v>1</v>
      </c>
      <c r="M1597" s="1" t="str">
        <f aca="false">VLOOKUP(D1597,'Team Reference'!$A:$B,2,FALSE())</f>
        <v>ARI</v>
      </c>
      <c r="N1597" s="1" t="str">
        <f aca="false">VLOOKUP(E1597,'Team Reference'!$A:$B,2,FALSE())</f>
        <v>GB</v>
      </c>
      <c r="O1597" s="1" t="str">
        <f aca="false">IF(F1597&gt;G1597,M1597,IF(G1597&gt;F1597,N1597,"Tie"))</f>
        <v>ARI</v>
      </c>
      <c r="P1597" s="1" t="n">
        <f aca="false">F1597-G1597</f>
        <v>6</v>
      </c>
      <c r="Q1597" s="1" t="n">
        <f aca="false">F1597+G1597</f>
        <v>46</v>
      </c>
      <c r="R1597" s="1" t="str">
        <f aca="false">IF(H1597=M1597,"Home",IF(H1597=N1597,"Away",IF(H1597="PICK","Pick","N/A")))</f>
        <v>Home</v>
      </c>
      <c r="S1597" s="1" t="n">
        <f aca="false">IF(R1597="Home",P1597,IF(R1597="Away",-P1597,""))</f>
        <v>6</v>
      </c>
      <c r="T1597" s="1" t="str">
        <f aca="false">IF(R1597="Pick","No Line",IF(S1597="","N/A",IF(S1597+I1597&gt;0,"Favorite Covered",IF(S1597+I1597&lt;0,"Underdog Covered","Push"))))</f>
        <v>Underdog Covered</v>
      </c>
      <c r="U1597" s="1" t="str">
        <f aca="false">IF(Q1597&gt;J1597,"Over",IF(Q1597&lt;J1597,"Under","Push"))</f>
        <v>Under</v>
      </c>
    </row>
    <row r="1598" customFormat="false" ht="15" hidden="false" customHeight="false" outlineLevel="0" collapsed="false">
      <c r="A1598" s="1" t="s">
        <v>513</v>
      </c>
      <c r="B1598" s="1" t="n">
        <v>2015</v>
      </c>
      <c r="C1598" s="1" t="s">
        <v>238</v>
      </c>
      <c r="D1598" s="1" t="s">
        <v>93</v>
      </c>
      <c r="E1598" s="1" t="s">
        <v>83</v>
      </c>
      <c r="F1598" s="1" t="n">
        <v>27</v>
      </c>
      <c r="G1598" s="1" t="n">
        <v>20</v>
      </c>
      <c r="H1598" s="1" t="s">
        <v>94</v>
      </c>
      <c r="I1598" s="1" t="n">
        <v>-4.5</v>
      </c>
      <c r="J1598" s="1" t="n">
        <v>43</v>
      </c>
      <c r="L1598" s="1" t="b">
        <f aca="false">TRUE()</f>
        <v>1</v>
      </c>
      <c r="M1598" s="1" t="str">
        <f aca="false">VLOOKUP(D1598,'Team Reference'!$A:$B,2,FALSE())</f>
        <v>NE</v>
      </c>
      <c r="N1598" s="1" t="str">
        <f aca="false">VLOOKUP(E1598,'Team Reference'!$A:$B,2,FALSE())</f>
        <v>KC</v>
      </c>
      <c r="O1598" s="1" t="str">
        <f aca="false">IF(F1598&gt;G1598,M1598,IF(G1598&gt;F1598,N1598,"Tie"))</f>
        <v>NE</v>
      </c>
      <c r="P1598" s="1" t="n">
        <f aca="false">F1598-G1598</f>
        <v>7</v>
      </c>
      <c r="Q1598" s="1" t="n">
        <f aca="false">F1598+G1598</f>
        <v>47</v>
      </c>
      <c r="R1598" s="1" t="str">
        <f aca="false">IF(H1598=M1598,"Home",IF(H1598=N1598,"Away",IF(H1598="PICK","Pick","N/A")))</f>
        <v>Home</v>
      </c>
      <c r="S1598" s="1" t="n">
        <f aca="false">IF(R1598="Home",P1598,IF(R1598="Away",-P1598,""))</f>
        <v>7</v>
      </c>
      <c r="T1598" s="1" t="str">
        <f aca="false">IF(R1598="Pick","No Line",IF(S1598="","N/A",IF(S1598+I1598&gt;0,"Favorite Covered",IF(S1598+I1598&lt;0,"Underdog Covered","Push"))))</f>
        <v>Favorite Covered</v>
      </c>
      <c r="U1598" s="1" t="str">
        <f aca="false">IF(Q1598&gt;J1598,"Over",IF(Q1598&lt;J1598,"Under","Push"))</f>
        <v>Over</v>
      </c>
    </row>
    <row r="1599" customFormat="false" ht="15" hidden="false" customHeight="false" outlineLevel="0" collapsed="false">
      <c r="A1599" s="1" t="s">
        <v>514</v>
      </c>
      <c r="B1599" s="1" t="n">
        <v>2015</v>
      </c>
      <c r="C1599" s="1" t="s">
        <v>238</v>
      </c>
      <c r="D1599" s="1" t="s">
        <v>61</v>
      </c>
      <c r="E1599" s="1" t="s">
        <v>110</v>
      </c>
      <c r="F1599" s="1" t="n">
        <v>31</v>
      </c>
      <c r="G1599" s="1" t="n">
        <v>24</v>
      </c>
      <c r="H1599" s="1" t="s">
        <v>62</v>
      </c>
      <c r="I1599" s="1" t="n">
        <v>-2.5</v>
      </c>
      <c r="J1599" s="1" t="n">
        <v>44</v>
      </c>
      <c r="K1599" s="1" t="s">
        <v>162</v>
      </c>
      <c r="L1599" s="1" t="b">
        <f aca="false">TRUE()</f>
        <v>1</v>
      </c>
      <c r="M1599" s="1" t="str">
        <f aca="false">VLOOKUP(D1599,'Team Reference'!$A:$B,2,FALSE())</f>
        <v>CAR</v>
      </c>
      <c r="N1599" s="1" t="str">
        <f aca="false">VLOOKUP(E1599,'Team Reference'!$A:$B,2,FALSE())</f>
        <v>SEA</v>
      </c>
      <c r="O1599" s="1" t="str">
        <f aca="false">IF(F1599&gt;G1599,M1599,IF(G1599&gt;F1599,N1599,"Tie"))</f>
        <v>CAR</v>
      </c>
      <c r="P1599" s="1" t="n">
        <f aca="false">F1599-G1599</f>
        <v>7</v>
      </c>
      <c r="Q1599" s="1" t="n">
        <f aca="false">F1599+G1599</f>
        <v>55</v>
      </c>
      <c r="R1599" s="1" t="str">
        <f aca="false">IF(H1599=M1599,"Home",IF(H1599=N1599,"Away",IF(H1599="PICK","Pick","N/A")))</f>
        <v>Home</v>
      </c>
      <c r="S1599" s="1" t="n">
        <f aca="false">IF(R1599="Home",P1599,IF(R1599="Away",-P1599,""))</f>
        <v>7</v>
      </c>
      <c r="T1599" s="1" t="str">
        <f aca="false">IF(R1599="Pick","No Line",IF(S1599="","N/A",IF(S1599+I1599&gt;0,"Favorite Covered",IF(S1599+I1599&lt;0,"Underdog Covered","Push"))))</f>
        <v>Favorite Covered</v>
      </c>
      <c r="U1599" s="1" t="str">
        <f aca="false">IF(Q1599&gt;J1599,"Over",IF(Q1599&lt;J1599,"Under","Push"))</f>
        <v>Over</v>
      </c>
    </row>
    <row r="1600" customFormat="false" ht="15" hidden="false" customHeight="false" outlineLevel="0" collapsed="false">
      <c r="A1600" s="1" t="s">
        <v>514</v>
      </c>
      <c r="B1600" s="1" t="n">
        <v>2015</v>
      </c>
      <c r="C1600" s="1" t="s">
        <v>238</v>
      </c>
      <c r="D1600" s="1" t="s">
        <v>71</v>
      </c>
      <c r="E1600" s="1" t="s">
        <v>105</v>
      </c>
      <c r="F1600" s="1" t="n">
        <v>23</v>
      </c>
      <c r="G1600" s="1" t="n">
        <v>16</v>
      </c>
      <c r="H1600" s="1" t="s">
        <v>72</v>
      </c>
      <c r="I1600" s="1" t="n">
        <v>-7.5</v>
      </c>
      <c r="J1600" s="1" t="n">
        <v>41</v>
      </c>
      <c r="L1600" s="1" t="b">
        <f aca="false">TRUE()</f>
        <v>1</v>
      </c>
      <c r="M1600" s="1" t="str">
        <f aca="false">VLOOKUP(D1600,'Team Reference'!$A:$B,2,FALSE())</f>
        <v>DEN</v>
      </c>
      <c r="N1600" s="1" t="str">
        <f aca="false">VLOOKUP(E1600,'Team Reference'!$A:$B,2,FALSE())</f>
        <v>PIT</v>
      </c>
      <c r="O1600" s="1" t="str">
        <f aca="false">IF(F1600&gt;G1600,M1600,IF(G1600&gt;F1600,N1600,"Tie"))</f>
        <v>DEN</v>
      </c>
      <c r="P1600" s="1" t="n">
        <f aca="false">F1600-G1600</f>
        <v>7</v>
      </c>
      <c r="Q1600" s="1" t="n">
        <f aca="false">F1600+G1600</f>
        <v>39</v>
      </c>
      <c r="R1600" s="1" t="str">
        <f aca="false">IF(H1600=M1600,"Home",IF(H1600=N1600,"Away",IF(H1600="PICK","Pick","N/A")))</f>
        <v>Home</v>
      </c>
      <c r="S1600" s="1" t="n">
        <f aca="false">IF(R1600="Home",P1600,IF(R1600="Away",-P1600,""))</f>
        <v>7</v>
      </c>
      <c r="T1600" s="1" t="str">
        <f aca="false">IF(R1600="Pick","No Line",IF(S1600="","N/A",IF(S1600+I1600&gt;0,"Favorite Covered",IF(S1600+I1600&lt;0,"Underdog Covered","Push"))))</f>
        <v>Underdog Covered</v>
      </c>
      <c r="U1600" s="1" t="str">
        <f aca="false">IF(Q1600&gt;J1600,"Over",IF(Q1600&lt;J1600,"Under","Push"))</f>
        <v>Under</v>
      </c>
    </row>
    <row r="1601" customFormat="false" ht="15" hidden="false" customHeight="false" outlineLevel="0" collapsed="false">
      <c r="A1601" s="1" t="s">
        <v>515</v>
      </c>
      <c r="B1601" s="1" t="n">
        <v>2015</v>
      </c>
      <c r="C1601" s="1" t="s">
        <v>241</v>
      </c>
      <c r="D1601" s="1" t="s">
        <v>61</v>
      </c>
      <c r="E1601" s="1" t="s">
        <v>53</v>
      </c>
      <c r="F1601" s="1" t="n">
        <v>49</v>
      </c>
      <c r="G1601" s="1" t="n">
        <v>15</v>
      </c>
      <c r="H1601" s="1" t="s">
        <v>62</v>
      </c>
      <c r="I1601" s="1" t="n">
        <v>-3</v>
      </c>
      <c r="J1601" s="1" t="n">
        <v>47.5</v>
      </c>
      <c r="K1601" s="1" t="s">
        <v>162</v>
      </c>
      <c r="L1601" s="1" t="b">
        <f aca="false">TRUE()</f>
        <v>1</v>
      </c>
      <c r="M1601" s="1" t="str">
        <f aca="false">VLOOKUP(D1601,'Team Reference'!$A:$B,2,FALSE())</f>
        <v>CAR</v>
      </c>
      <c r="N1601" s="1" t="str">
        <f aca="false">VLOOKUP(E1601,'Team Reference'!$A:$B,2,FALSE())</f>
        <v>ARI</v>
      </c>
      <c r="O1601" s="1" t="str">
        <f aca="false">IF(F1601&gt;G1601,M1601,IF(G1601&gt;F1601,N1601,"Tie"))</f>
        <v>CAR</v>
      </c>
      <c r="P1601" s="1" t="n">
        <f aca="false">F1601-G1601</f>
        <v>34</v>
      </c>
      <c r="Q1601" s="1" t="n">
        <f aca="false">F1601+G1601</f>
        <v>64</v>
      </c>
      <c r="R1601" s="1" t="str">
        <f aca="false">IF(H1601=M1601,"Home",IF(H1601=N1601,"Away",IF(H1601="PICK","Pick","N/A")))</f>
        <v>Home</v>
      </c>
      <c r="S1601" s="1" t="n">
        <f aca="false">IF(R1601="Home",P1601,IF(R1601="Away",-P1601,""))</f>
        <v>34</v>
      </c>
      <c r="T1601" s="1" t="str">
        <f aca="false">IF(R1601="Pick","No Line",IF(S1601="","N/A",IF(S1601+I1601&gt;0,"Favorite Covered",IF(S1601+I1601&lt;0,"Underdog Covered","Push"))))</f>
        <v>Favorite Covered</v>
      </c>
      <c r="U1601" s="1" t="str">
        <f aca="false">IF(Q1601&gt;J1601,"Over",IF(Q1601&lt;J1601,"Under","Push"))</f>
        <v>Over</v>
      </c>
    </row>
    <row r="1602" customFormat="false" ht="15" hidden="false" customHeight="false" outlineLevel="0" collapsed="false">
      <c r="A1602" s="1" t="s">
        <v>515</v>
      </c>
      <c r="B1602" s="1" t="n">
        <v>2015</v>
      </c>
      <c r="C1602" s="1" t="s">
        <v>241</v>
      </c>
      <c r="D1602" s="1" t="s">
        <v>71</v>
      </c>
      <c r="E1602" s="1" t="s">
        <v>93</v>
      </c>
      <c r="F1602" s="1" t="n">
        <v>20</v>
      </c>
      <c r="G1602" s="1" t="n">
        <v>18</v>
      </c>
      <c r="H1602" s="1" t="s">
        <v>94</v>
      </c>
      <c r="I1602" s="1" t="n">
        <v>-3</v>
      </c>
      <c r="J1602" s="1" t="n">
        <v>44.5</v>
      </c>
      <c r="L1602" s="1" t="b">
        <f aca="false">TRUE()</f>
        <v>1</v>
      </c>
      <c r="M1602" s="1" t="str">
        <f aca="false">VLOOKUP(D1602,'Team Reference'!$A:$B,2,FALSE())</f>
        <v>DEN</v>
      </c>
      <c r="N1602" s="1" t="str">
        <f aca="false">VLOOKUP(E1602,'Team Reference'!$A:$B,2,FALSE())</f>
        <v>NE</v>
      </c>
      <c r="O1602" s="1" t="str">
        <f aca="false">IF(F1602&gt;G1602,M1602,IF(G1602&gt;F1602,N1602,"Tie"))</f>
        <v>DEN</v>
      </c>
      <c r="P1602" s="1" t="n">
        <f aca="false">F1602-G1602</f>
        <v>2</v>
      </c>
      <c r="Q1602" s="1" t="n">
        <f aca="false">F1602+G1602</f>
        <v>38</v>
      </c>
      <c r="R1602" s="1" t="str">
        <f aca="false">IF(H1602=M1602,"Home",IF(H1602=N1602,"Away",IF(H1602="PICK","Pick","N/A")))</f>
        <v>Away</v>
      </c>
      <c r="S1602" s="1" t="n">
        <f aca="false">IF(R1602="Home",P1602,IF(R1602="Away",-P1602,""))</f>
        <v>-2</v>
      </c>
      <c r="T1602" s="1" t="str">
        <f aca="false">IF(R1602="Pick","No Line",IF(S1602="","N/A",IF(S1602+I1602&gt;0,"Favorite Covered",IF(S1602+I1602&lt;0,"Underdog Covered","Push"))))</f>
        <v>Underdog Covered</v>
      </c>
      <c r="U1602" s="1" t="str">
        <f aca="false">IF(Q1602&gt;J1602,"Over",IF(Q1602&lt;J1602,"Under","Push"))</f>
        <v>Under</v>
      </c>
    </row>
    <row r="1603" customFormat="false" ht="15" hidden="false" customHeight="false" outlineLevel="0" collapsed="false">
      <c r="A1603" s="1" t="s">
        <v>516</v>
      </c>
      <c r="B1603" s="1" t="n">
        <v>2015</v>
      </c>
      <c r="C1603" s="1" t="s">
        <v>243</v>
      </c>
      <c r="D1603" s="1" t="s">
        <v>71</v>
      </c>
      <c r="E1603" s="1" t="s">
        <v>61</v>
      </c>
      <c r="F1603" s="1" t="n">
        <v>24</v>
      </c>
      <c r="G1603" s="1" t="n">
        <v>10</v>
      </c>
      <c r="H1603" s="1" t="s">
        <v>62</v>
      </c>
      <c r="I1603" s="1" t="n">
        <v>-4.5</v>
      </c>
      <c r="J1603" s="1" t="n">
        <v>43</v>
      </c>
      <c r="K1603" s="1" t="s">
        <v>408</v>
      </c>
      <c r="L1603" s="1" t="b">
        <f aca="false">TRUE()</f>
        <v>1</v>
      </c>
      <c r="M1603" s="1" t="str">
        <f aca="false">VLOOKUP(D1603,'Team Reference'!$A:$B,2,FALSE())</f>
        <v>DEN</v>
      </c>
      <c r="N1603" s="1" t="str">
        <f aca="false">VLOOKUP(E1603,'Team Reference'!$A:$B,2,FALSE())</f>
        <v>CAR</v>
      </c>
      <c r="O1603" s="1" t="str">
        <f aca="false">IF(F1603&gt;G1603,M1603,IF(G1603&gt;F1603,N1603,"Tie"))</f>
        <v>DEN</v>
      </c>
      <c r="P1603" s="1" t="n">
        <f aca="false">F1603-G1603</f>
        <v>14</v>
      </c>
      <c r="Q1603" s="1" t="n">
        <f aca="false">F1603+G1603</f>
        <v>34</v>
      </c>
      <c r="R1603" s="1" t="str">
        <f aca="false">IF(H1603=M1603,"Home",IF(H1603=N1603,"Away",IF(H1603="PICK","Pick","N/A")))</f>
        <v>Away</v>
      </c>
      <c r="S1603" s="1" t="n">
        <f aca="false">IF(R1603="Home",P1603,IF(R1603="Away",-P1603,""))</f>
        <v>-14</v>
      </c>
      <c r="T1603" s="1" t="str">
        <f aca="false">IF(R1603="Pick","No Line",IF(S1603="","N/A",IF(S1603+I1603&gt;0,"Favorite Covered",IF(S1603+I1603&lt;0,"Underdog Covered","Push"))))</f>
        <v>Underdog Covered</v>
      </c>
      <c r="U1603" s="1" t="str">
        <f aca="false">IF(Q1603&gt;J1603,"Over",IF(Q1603&lt;J1603,"Under","Push"))</f>
        <v>Under</v>
      </c>
    </row>
    <row r="1604" customFormat="false" ht="15" hidden="false" customHeight="false" outlineLevel="0" collapsed="false">
      <c r="A1604" s="1" t="s">
        <v>517</v>
      </c>
      <c r="B1604" s="1" t="n">
        <v>2016</v>
      </c>
      <c r="C1604" s="1" t="s">
        <v>141</v>
      </c>
      <c r="D1604" s="1" t="s">
        <v>71</v>
      </c>
      <c r="E1604" s="1" t="s">
        <v>61</v>
      </c>
      <c r="F1604" s="1" t="n">
        <v>21</v>
      </c>
      <c r="G1604" s="1" t="n">
        <v>20</v>
      </c>
      <c r="H1604" s="1" t="s">
        <v>62</v>
      </c>
      <c r="I1604" s="1" t="n">
        <v>-3</v>
      </c>
      <c r="J1604" s="1" t="n">
        <v>40.5</v>
      </c>
      <c r="K1604" s="1" t="s">
        <v>166</v>
      </c>
      <c r="L1604" s="1" t="b">
        <f aca="false">FALSE()</f>
        <v>0</v>
      </c>
      <c r="M1604" s="1" t="str">
        <f aca="false">VLOOKUP(D1604,'Team Reference'!$A:$B,2,FALSE())</f>
        <v>DEN</v>
      </c>
      <c r="N1604" s="1" t="str">
        <f aca="false">VLOOKUP(E1604,'Team Reference'!$A:$B,2,FALSE())</f>
        <v>CAR</v>
      </c>
      <c r="O1604" s="1" t="str">
        <f aca="false">IF(F1604&gt;G1604,M1604,IF(G1604&gt;F1604,N1604,"Tie"))</f>
        <v>DEN</v>
      </c>
      <c r="P1604" s="1" t="n">
        <f aca="false">F1604-G1604</f>
        <v>1</v>
      </c>
      <c r="Q1604" s="1" t="n">
        <f aca="false">F1604+G1604</f>
        <v>41</v>
      </c>
      <c r="R1604" s="1" t="str">
        <f aca="false">IF(H1604=M1604,"Home",IF(H1604=N1604,"Away",IF(H1604="PICK","Pick","N/A")))</f>
        <v>Away</v>
      </c>
      <c r="S1604" s="1" t="n">
        <f aca="false">IF(R1604="Home",P1604,IF(R1604="Away",-P1604,""))</f>
        <v>-1</v>
      </c>
      <c r="T1604" s="1" t="str">
        <f aca="false">IF(R1604="Pick","No Line",IF(S1604="","N/A",IF(S1604+I1604&gt;0,"Favorite Covered",IF(S1604+I1604&lt;0,"Underdog Covered","Push"))))</f>
        <v>Underdog Covered</v>
      </c>
      <c r="U1604" s="1" t="str">
        <f aca="false">IF(Q1604&gt;J1604,"Over",IF(Q1604&lt;J1604,"Under","Push"))</f>
        <v>Over</v>
      </c>
    </row>
    <row r="1605" customFormat="false" ht="15" hidden="false" customHeight="false" outlineLevel="0" collapsed="false">
      <c r="A1605" s="1" t="s">
        <v>518</v>
      </c>
      <c r="B1605" s="1" t="n">
        <v>2016</v>
      </c>
      <c r="C1605" s="1" t="s">
        <v>141</v>
      </c>
      <c r="D1605" s="1" t="s">
        <v>53</v>
      </c>
      <c r="E1605" s="1" t="s">
        <v>93</v>
      </c>
      <c r="F1605" s="1" t="n">
        <v>21</v>
      </c>
      <c r="G1605" s="1" t="n">
        <v>23</v>
      </c>
      <c r="H1605" s="1" t="s">
        <v>54</v>
      </c>
      <c r="I1605" s="1" t="n">
        <v>-8.5</v>
      </c>
      <c r="J1605" s="1" t="n">
        <v>44</v>
      </c>
      <c r="K1605" s="1" t="s">
        <v>177</v>
      </c>
      <c r="L1605" s="1" t="b">
        <f aca="false">FALSE()</f>
        <v>0</v>
      </c>
      <c r="M1605" s="1" t="str">
        <f aca="false">VLOOKUP(D1605,'Team Reference'!$A:$B,2,FALSE())</f>
        <v>ARI</v>
      </c>
      <c r="N1605" s="1" t="str">
        <f aca="false">VLOOKUP(E1605,'Team Reference'!$A:$B,2,FALSE())</f>
        <v>NE</v>
      </c>
      <c r="O1605" s="1" t="str">
        <f aca="false">IF(F1605&gt;G1605,M1605,IF(G1605&gt;F1605,N1605,"Tie"))</f>
        <v>NE</v>
      </c>
      <c r="P1605" s="1" t="n">
        <f aca="false">F1605-G1605</f>
        <v>-2</v>
      </c>
      <c r="Q1605" s="1" t="n">
        <f aca="false">F1605+G1605</f>
        <v>44</v>
      </c>
      <c r="R1605" s="1" t="str">
        <f aca="false">IF(H1605=M1605,"Home",IF(H1605=N1605,"Away",IF(H1605="PICK","Pick","N/A")))</f>
        <v>Home</v>
      </c>
      <c r="S1605" s="1" t="n">
        <f aca="false">IF(R1605="Home",P1605,IF(R1605="Away",-P1605,""))</f>
        <v>-2</v>
      </c>
      <c r="T1605" s="1" t="str">
        <f aca="false">IF(R1605="Pick","No Line",IF(S1605="","N/A",IF(S1605+I1605&gt;0,"Favorite Covered",IF(S1605+I1605&lt;0,"Underdog Covered","Push"))))</f>
        <v>Underdog Covered</v>
      </c>
      <c r="U1605" s="1" t="str">
        <f aca="false">IF(Q1605&gt;J1605,"Over",IF(Q1605&lt;J1605,"Under","Push"))</f>
        <v>Push</v>
      </c>
    </row>
    <row r="1606" customFormat="false" ht="15" hidden="false" customHeight="false" outlineLevel="0" collapsed="false">
      <c r="A1606" s="1" t="s">
        <v>518</v>
      </c>
      <c r="B1606" s="1" t="n">
        <v>2016</v>
      </c>
      <c r="C1606" s="1" t="s">
        <v>141</v>
      </c>
      <c r="D1606" s="1" t="s">
        <v>55</v>
      </c>
      <c r="E1606" s="1" t="s">
        <v>113</v>
      </c>
      <c r="F1606" s="1" t="n">
        <v>24</v>
      </c>
      <c r="G1606" s="1" t="n">
        <v>31</v>
      </c>
      <c r="H1606" s="1" t="s">
        <v>56</v>
      </c>
      <c r="I1606" s="1" t="n">
        <v>-2.5</v>
      </c>
      <c r="J1606" s="1" t="n">
        <v>47</v>
      </c>
      <c r="K1606" s="1" t="s">
        <v>161</v>
      </c>
      <c r="L1606" s="1" t="b">
        <f aca="false">FALSE()</f>
        <v>0</v>
      </c>
      <c r="M1606" s="1" t="str">
        <f aca="false">VLOOKUP(D1606,'Team Reference'!$A:$B,2,FALSE())</f>
        <v>ATL</v>
      </c>
      <c r="N1606" s="1" t="str">
        <f aca="false">VLOOKUP(E1606,'Team Reference'!$A:$B,2,FALSE())</f>
        <v>TB</v>
      </c>
      <c r="O1606" s="1" t="str">
        <f aca="false">IF(F1606&gt;G1606,M1606,IF(G1606&gt;F1606,N1606,"Tie"))</f>
        <v>TB</v>
      </c>
      <c r="P1606" s="1" t="n">
        <f aca="false">F1606-G1606</f>
        <v>-7</v>
      </c>
      <c r="Q1606" s="1" t="n">
        <f aca="false">F1606+G1606</f>
        <v>55</v>
      </c>
      <c r="R1606" s="1" t="str">
        <f aca="false">IF(H1606=M1606,"Home",IF(H1606=N1606,"Away",IF(H1606="PICK","Pick","N/A")))</f>
        <v>Home</v>
      </c>
      <c r="S1606" s="1" t="n">
        <f aca="false">IF(R1606="Home",P1606,IF(R1606="Away",-P1606,""))</f>
        <v>-7</v>
      </c>
      <c r="T1606" s="1" t="str">
        <f aca="false">IF(R1606="Pick","No Line",IF(S1606="","N/A",IF(S1606+I1606&gt;0,"Favorite Covered",IF(S1606+I1606&lt;0,"Underdog Covered","Push"))))</f>
        <v>Underdog Covered</v>
      </c>
      <c r="U1606" s="1" t="str">
        <f aca="false">IF(Q1606&gt;J1606,"Over",IF(Q1606&lt;J1606,"Under","Push"))</f>
        <v>Over</v>
      </c>
    </row>
    <row r="1607" customFormat="false" ht="15" hidden="false" customHeight="false" outlineLevel="0" collapsed="false">
      <c r="A1607" s="1" t="s">
        <v>518</v>
      </c>
      <c r="B1607" s="1" t="n">
        <v>2016</v>
      </c>
      <c r="C1607" s="1" t="s">
        <v>141</v>
      </c>
      <c r="D1607" s="1" t="s">
        <v>57</v>
      </c>
      <c r="E1607" s="1" t="s">
        <v>59</v>
      </c>
      <c r="F1607" s="1" t="n">
        <v>13</v>
      </c>
      <c r="G1607" s="1" t="n">
        <v>7</v>
      </c>
      <c r="H1607" s="1" t="s">
        <v>58</v>
      </c>
      <c r="I1607" s="1" t="n">
        <v>-3</v>
      </c>
      <c r="J1607" s="1" t="n">
        <v>44.5</v>
      </c>
      <c r="K1607" s="1" t="s">
        <v>178</v>
      </c>
      <c r="L1607" s="1" t="b">
        <f aca="false">FALSE()</f>
        <v>0</v>
      </c>
      <c r="M1607" s="1" t="str">
        <f aca="false">VLOOKUP(D1607,'Team Reference'!$A:$B,2,FALSE())</f>
        <v>BAL</v>
      </c>
      <c r="N1607" s="1" t="str">
        <f aca="false">VLOOKUP(E1607,'Team Reference'!$A:$B,2,FALSE())</f>
        <v>BUF</v>
      </c>
      <c r="O1607" s="1" t="str">
        <f aca="false">IF(F1607&gt;G1607,M1607,IF(G1607&gt;F1607,N1607,"Tie"))</f>
        <v>BAL</v>
      </c>
      <c r="P1607" s="1" t="n">
        <f aca="false">F1607-G1607</f>
        <v>6</v>
      </c>
      <c r="Q1607" s="1" t="n">
        <f aca="false">F1607+G1607</f>
        <v>20</v>
      </c>
      <c r="R1607" s="1" t="str">
        <f aca="false">IF(H1607=M1607,"Home",IF(H1607=N1607,"Away",IF(H1607="PICK","Pick","N/A")))</f>
        <v>Home</v>
      </c>
      <c r="S1607" s="1" t="n">
        <f aca="false">IF(R1607="Home",P1607,IF(R1607="Away",-P1607,""))</f>
        <v>6</v>
      </c>
      <c r="T1607" s="1" t="str">
        <f aca="false">IF(R1607="Pick","No Line",IF(S1607="","N/A",IF(S1607+I1607&gt;0,"Favorite Covered",IF(S1607+I1607&lt;0,"Underdog Covered","Push"))))</f>
        <v>Favorite Covered</v>
      </c>
      <c r="U1607" s="1" t="str">
        <f aca="false">IF(Q1607&gt;J1607,"Over",IF(Q1607&lt;J1607,"Under","Push"))</f>
        <v>Under</v>
      </c>
    </row>
    <row r="1608" customFormat="false" ht="15" hidden="false" customHeight="false" outlineLevel="0" collapsed="false">
      <c r="A1608" s="1" t="s">
        <v>518</v>
      </c>
      <c r="B1608" s="1" t="n">
        <v>2016</v>
      </c>
      <c r="C1608" s="1" t="s">
        <v>141</v>
      </c>
      <c r="D1608" s="1" t="s">
        <v>69</v>
      </c>
      <c r="E1608" s="1" t="s">
        <v>97</v>
      </c>
      <c r="F1608" s="1" t="n">
        <v>19</v>
      </c>
      <c r="G1608" s="1" t="n">
        <v>20</v>
      </c>
      <c r="H1608" s="1" t="s">
        <v>98</v>
      </c>
      <c r="I1608" s="1" t="n">
        <v>-1</v>
      </c>
      <c r="J1608" s="1" t="n">
        <v>47.5</v>
      </c>
      <c r="K1608" s="1" t="s">
        <v>165</v>
      </c>
      <c r="L1608" s="1" t="b">
        <f aca="false">FALSE()</f>
        <v>0</v>
      </c>
      <c r="M1608" s="1" t="str">
        <f aca="false">VLOOKUP(D1608,'Team Reference'!$A:$B,2,FALSE())</f>
        <v>DAL</v>
      </c>
      <c r="N1608" s="1" t="str">
        <f aca="false">VLOOKUP(E1608,'Team Reference'!$A:$B,2,FALSE())</f>
        <v>NYG</v>
      </c>
      <c r="O1608" s="1" t="str">
        <f aca="false">IF(F1608&gt;G1608,M1608,IF(G1608&gt;F1608,N1608,"Tie"))</f>
        <v>NYG</v>
      </c>
      <c r="P1608" s="1" t="n">
        <f aca="false">F1608-G1608</f>
        <v>-1</v>
      </c>
      <c r="Q1608" s="1" t="n">
        <f aca="false">F1608+G1608</f>
        <v>39</v>
      </c>
      <c r="R1608" s="1" t="str">
        <f aca="false">IF(H1608=M1608,"Home",IF(H1608=N1608,"Away",IF(H1608="PICK","Pick","N/A")))</f>
        <v>Away</v>
      </c>
      <c r="S1608" s="1" t="n">
        <f aca="false">IF(R1608="Home",P1608,IF(R1608="Away",-P1608,""))</f>
        <v>1</v>
      </c>
      <c r="T1608" s="1" t="str">
        <f aca="false">IF(R1608="Pick","No Line",IF(S1608="","N/A",IF(S1608+I1608&gt;0,"Favorite Covered",IF(S1608+I1608&lt;0,"Underdog Covered","Push"))))</f>
        <v>Push</v>
      </c>
      <c r="U1608" s="1" t="str">
        <f aca="false">IF(Q1608&gt;J1608,"Over",IF(Q1608&lt;J1608,"Under","Push"))</f>
        <v>Under</v>
      </c>
    </row>
    <row r="1609" customFormat="false" ht="15" hidden="false" customHeight="false" outlineLevel="0" collapsed="false">
      <c r="A1609" s="1" t="s">
        <v>518</v>
      </c>
      <c r="B1609" s="1" t="n">
        <v>2016</v>
      </c>
      <c r="C1609" s="1" t="s">
        <v>141</v>
      </c>
      <c r="D1609" s="1" t="s">
        <v>77</v>
      </c>
      <c r="E1609" s="1" t="s">
        <v>63</v>
      </c>
      <c r="F1609" s="1" t="n">
        <v>23</v>
      </c>
      <c r="G1609" s="1" t="n">
        <v>14</v>
      </c>
      <c r="H1609" s="1" t="s">
        <v>78</v>
      </c>
      <c r="I1609" s="1" t="n">
        <v>-5.5</v>
      </c>
      <c r="J1609" s="1" t="n">
        <v>42.5</v>
      </c>
      <c r="K1609" s="1" t="s">
        <v>146</v>
      </c>
      <c r="L1609" s="1" t="b">
        <f aca="false">FALSE()</f>
        <v>0</v>
      </c>
      <c r="M1609" s="1" t="str">
        <f aca="false">VLOOKUP(D1609,'Team Reference'!$A:$B,2,FALSE())</f>
        <v>HOU</v>
      </c>
      <c r="N1609" s="1" t="str">
        <f aca="false">VLOOKUP(E1609,'Team Reference'!$A:$B,2,FALSE())</f>
        <v>CHI</v>
      </c>
      <c r="O1609" s="1" t="str">
        <f aca="false">IF(F1609&gt;G1609,M1609,IF(G1609&gt;F1609,N1609,"Tie"))</f>
        <v>HOU</v>
      </c>
      <c r="P1609" s="1" t="n">
        <f aca="false">F1609-G1609</f>
        <v>9</v>
      </c>
      <c r="Q1609" s="1" t="n">
        <f aca="false">F1609+G1609</f>
        <v>37</v>
      </c>
      <c r="R1609" s="1" t="str">
        <f aca="false">IF(H1609=M1609,"Home",IF(H1609=N1609,"Away",IF(H1609="PICK","Pick","N/A")))</f>
        <v>Home</v>
      </c>
      <c r="S1609" s="1" t="n">
        <f aca="false">IF(R1609="Home",P1609,IF(R1609="Away",-P1609,""))</f>
        <v>9</v>
      </c>
      <c r="T1609" s="1" t="str">
        <f aca="false">IF(R1609="Pick","No Line",IF(S1609="","N/A",IF(S1609+I1609&gt;0,"Favorite Covered",IF(S1609+I1609&lt;0,"Underdog Covered","Push"))))</f>
        <v>Favorite Covered</v>
      </c>
      <c r="U1609" s="1" t="str">
        <f aca="false">IF(Q1609&gt;J1609,"Over",IF(Q1609&lt;J1609,"Under","Push"))</f>
        <v>Under</v>
      </c>
    </row>
    <row r="1610" customFormat="false" ht="15" hidden="false" customHeight="false" outlineLevel="0" collapsed="false">
      <c r="A1610" s="1" t="s">
        <v>518</v>
      </c>
      <c r="B1610" s="1" t="n">
        <v>2016</v>
      </c>
      <c r="C1610" s="1" t="s">
        <v>141</v>
      </c>
      <c r="D1610" s="1" t="s">
        <v>79</v>
      </c>
      <c r="E1610" s="1" t="s">
        <v>73</v>
      </c>
      <c r="F1610" s="1" t="n">
        <v>35</v>
      </c>
      <c r="G1610" s="1" t="n">
        <v>39</v>
      </c>
      <c r="H1610" s="1" t="s">
        <v>80</v>
      </c>
      <c r="I1610" s="1" t="n">
        <v>-2.5</v>
      </c>
      <c r="J1610" s="1" t="n">
        <v>51.5</v>
      </c>
      <c r="K1610" s="1" t="s">
        <v>169</v>
      </c>
      <c r="L1610" s="1" t="b">
        <f aca="false">FALSE()</f>
        <v>0</v>
      </c>
      <c r="M1610" s="1" t="str">
        <f aca="false">VLOOKUP(D1610,'Team Reference'!$A:$B,2,FALSE())</f>
        <v>IND</v>
      </c>
      <c r="N1610" s="1" t="str">
        <f aca="false">VLOOKUP(E1610,'Team Reference'!$A:$B,2,FALSE())</f>
        <v>DET</v>
      </c>
      <c r="O1610" s="1" t="str">
        <f aca="false">IF(F1610&gt;G1610,M1610,IF(G1610&gt;F1610,N1610,"Tie"))</f>
        <v>DET</v>
      </c>
      <c r="P1610" s="1" t="n">
        <f aca="false">F1610-G1610</f>
        <v>-4</v>
      </c>
      <c r="Q1610" s="1" t="n">
        <f aca="false">F1610+G1610</f>
        <v>74</v>
      </c>
      <c r="R1610" s="1" t="str">
        <f aca="false">IF(H1610=M1610,"Home",IF(H1610=N1610,"Away",IF(H1610="PICK","Pick","N/A")))</f>
        <v>Home</v>
      </c>
      <c r="S1610" s="1" t="n">
        <f aca="false">IF(R1610="Home",P1610,IF(R1610="Away",-P1610,""))</f>
        <v>-4</v>
      </c>
      <c r="T1610" s="1" t="str">
        <f aca="false">IF(R1610="Pick","No Line",IF(S1610="","N/A",IF(S1610+I1610&gt;0,"Favorite Covered",IF(S1610+I1610&lt;0,"Underdog Covered","Push"))))</f>
        <v>Underdog Covered</v>
      </c>
      <c r="U1610" s="1" t="str">
        <f aca="false">IF(Q1610&gt;J1610,"Over",IF(Q1610&lt;J1610,"Under","Push"))</f>
        <v>Over</v>
      </c>
    </row>
    <row r="1611" customFormat="false" ht="15" hidden="false" customHeight="false" outlineLevel="0" collapsed="false">
      <c r="A1611" s="1" t="s">
        <v>518</v>
      </c>
      <c r="B1611" s="1" t="n">
        <v>2016</v>
      </c>
      <c r="C1611" s="1" t="s">
        <v>141</v>
      </c>
      <c r="D1611" s="1" t="s">
        <v>81</v>
      </c>
      <c r="E1611" s="1" t="s">
        <v>75</v>
      </c>
      <c r="F1611" s="1" t="n">
        <v>23</v>
      </c>
      <c r="G1611" s="1" t="n">
        <v>27</v>
      </c>
      <c r="H1611" s="1" t="s">
        <v>76</v>
      </c>
      <c r="I1611" s="1" t="n">
        <v>-3.5</v>
      </c>
      <c r="J1611" s="1" t="n">
        <v>47.5</v>
      </c>
      <c r="K1611" s="1" t="s">
        <v>147</v>
      </c>
      <c r="L1611" s="1" t="b">
        <f aca="false">FALSE()</f>
        <v>0</v>
      </c>
      <c r="M1611" s="1" t="str">
        <f aca="false">VLOOKUP(D1611,'Team Reference'!$A:$B,2,FALSE())</f>
        <v>JAX</v>
      </c>
      <c r="N1611" s="1" t="str">
        <f aca="false">VLOOKUP(E1611,'Team Reference'!$A:$B,2,FALSE())</f>
        <v>GB</v>
      </c>
      <c r="O1611" s="1" t="str">
        <f aca="false">IF(F1611&gt;G1611,M1611,IF(G1611&gt;F1611,N1611,"Tie"))</f>
        <v>GB</v>
      </c>
      <c r="P1611" s="1" t="n">
        <f aca="false">F1611-G1611</f>
        <v>-4</v>
      </c>
      <c r="Q1611" s="1" t="n">
        <f aca="false">F1611+G1611</f>
        <v>50</v>
      </c>
      <c r="R1611" s="1" t="str">
        <f aca="false">IF(H1611=M1611,"Home",IF(H1611=N1611,"Away",IF(H1611="PICK","Pick","N/A")))</f>
        <v>Away</v>
      </c>
      <c r="S1611" s="1" t="n">
        <f aca="false">IF(R1611="Home",P1611,IF(R1611="Away",-P1611,""))</f>
        <v>4</v>
      </c>
      <c r="T1611" s="1" t="str">
        <f aca="false">IF(R1611="Pick","No Line",IF(S1611="","N/A",IF(S1611+I1611&gt;0,"Favorite Covered",IF(S1611+I1611&lt;0,"Underdog Covered","Push"))))</f>
        <v>Favorite Covered</v>
      </c>
      <c r="U1611" s="1" t="str">
        <f aca="false">IF(Q1611&gt;J1611,"Over",IF(Q1611&lt;J1611,"Under","Push"))</f>
        <v>Over</v>
      </c>
    </row>
    <row r="1612" customFormat="false" ht="15" hidden="false" customHeight="false" outlineLevel="0" collapsed="false">
      <c r="A1612" s="1" t="s">
        <v>518</v>
      </c>
      <c r="B1612" s="1" t="n">
        <v>2016</v>
      </c>
      <c r="C1612" s="1" t="s">
        <v>141</v>
      </c>
      <c r="D1612" s="1" t="s">
        <v>83</v>
      </c>
      <c r="E1612" s="1" t="s">
        <v>107</v>
      </c>
      <c r="F1612" s="1" t="n">
        <v>33</v>
      </c>
      <c r="G1612" s="1" t="n">
        <v>27</v>
      </c>
      <c r="H1612" s="1" t="s">
        <v>84</v>
      </c>
      <c r="I1612" s="1" t="n">
        <v>-6.5</v>
      </c>
      <c r="J1612" s="1" t="n">
        <v>46</v>
      </c>
      <c r="K1612" s="1" t="s">
        <v>158</v>
      </c>
      <c r="L1612" s="1" t="b">
        <f aca="false">FALSE()</f>
        <v>0</v>
      </c>
      <c r="M1612" s="1" t="str">
        <f aca="false">VLOOKUP(D1612,'Team Reference'!$A:$B,2,FALSE())</f>
        <v>KC</v>
      </c>
      <c r="N1612" s="1" t="str">
        <f aca="false">VLOOKUP(E1612,'Team Reference'!$A:$B,2,FALSE())</f>
        <v>LAC</v>
      </c>
      <c r="O1612" s="1" t="str">
        <f aca="false">IF(F1612&gt;G1612,M1612,IF(G1612&gt;F1612,N1612,"Tie"))</f>
        <v>KC</v>
      </c>
      <c r="P1612" s="1" t="n">
        <f aca="false">F1612-G1612</f>
        <v>6</v>
      </c>
      <c r="Q1612" s="1" t="n">
        <f aca="false">F1612+G1612</f>
        <v>60</v>
      </c>
      <c r="R1612" s="1" t="str">
        <f aca="false">IF(H1612=M1612,"Home",IF(H1612=N1612,"Away",IF(H1612="PICK","Pick","N/A")))</f>
        <v>Home</v>
      </c>
      <c r="S1612" s="1" t="n">
        <f aca="false">IF(R1612="Home",P1612,IF(R1612="Away",-P1612,""))</f>
        <v>6</v>
      </c>
      <c r="T1612" s="1" t="str">
        <f aca="false">IF(R1612="Pick","No Line",IF(S1612="","N/A",IF(S1612+I1612&gt;0,"Favorite Covered",IF(S1612+I1612&lt;0,"Underdog Covered","Push"))))</f>
        <v>Underdog Covered</v>
      </c>
      <c r="U1612" s="1" t="str">
        <f aca="false">IF(Q1612&gt;J1612,"Over",IF(Q1612&lt;J1612,"Under","Push"))</f>
        <v>Over</v>
      </c>
    </row>
    <row r="1613" customFormat="false" ht="15" hidden="false" customHeight="false" outlineLevel="0" collapsed="false">
      <c r="A1613" s="1" t="s">
        <v>518</v>
      </c>
      <c r="B1613" s="1" t="n">
        <v>2016</v>
      </c>
      <c r="C1613" s="1" t="s">
        <v>141</v>
      </c>
      <c r="D1613" s="1" t="s">
        <v>95</v>
      </c>
      <c r="E1613" s="1" t="s">
        <v>101</v>
      </c>
      <c r="F1613" s="1" t="n">
        <v>34</v>
      </c>
      <c r="G1613" s="1" t="n">
        <v>35</v>
      </c>
      <c r="H1613" s="1" t="s">
        <v>96</v>
      </c>
      <c r="I1613" s="1" t="n">
        <v>-3</v>
      </c>
      <c r="J1613" s="1" t="n">
        <v>50.5</v>
      </c>
      <c r="K1613" s="1" t="s">
        <v>142</v>
      </c>
      <c r="L1613" s="1" t="b">
        <f aca="false">FALSE()</f>
        <v>0</v>
      </c>
      <c r="M1613" s="1" t="str">
        <f aca="false">VLOOKUP(D1613,'Team Reference'!$A:$B,2,FALSE())</f>
        <v>NO</v>
      </c>
      <c r="N1613" s="1" t="str">
        <f aca="false">VLOOKUP(E1613,'Team Reference'!$A:$B,2,FALSE())</f>
        <v>OAK</v>
      </c>
      <c r="O1613" s="1" t="str">
        <f aca="false">IF(F1613&gt;G1613,M1613,IF(G1613&gt;F1613,N1613,"Tie"))</f>
        <v>OAK</v>
      </c>
      <c r="P1613" s="1" t="n">
        <f aca="false">F1613-G1613</f>
        <v>-1</v>
      </c>
      <c r="Q1613" s="1" t="n">
        <f aca="false">F1613+G1613</f>
        <v>69</v>
      </c>
      <c r="R1613" s="1" t="str">
        <f aca="false">IF(H1613=M1613,"Home",IF(H1613=N1613,"Away",IF(H1613="PICK","Pick","N/A")))</f>
        <v>Home</v>
      </c>
      <c r="S1613" s="1" t="n">
        <f aca="false">IF(R1613="Home",P1613,IF(R1613="Away",-P1613,""))</f>
        <v>-1</v>
      </c>
      <c r="T1613" s="1" t="str">
        <f aca="false">IF(R1613="Pick","No Line",IF(S1613="","N/A",IF(S1613+I1613&gt;0,"Favorite Covered",IF(S1613+I1613&lt;0,"Underdog Covered","Push"))))</f>
        <v>Underdog Covered</v>
      </c>
      <c r="U1613" s="1" t="str">
        <f aca="false">IF(Q1613&gt;J1613,"Over",IF(Q1613&lt;J1613,"Under","Push"))</f>
        <v>Over</v>
      </c>
    </row>
    <row r="1614" customFormat="false" ht="15" hidden="false" customHeight="false" outlineLevel="0" collapsed="false">
      <c r="A1614" s="1" t="s">
        <v>518</v>
      </c>
      <c r="B1614" s="1" t="n">
        <v>2016</v>
      </c>
      <c r="C1614" s="1" t="s">
        <v>141</v>
      </c>
      <c r="D1614" s="1" t="s">
        <v>99</v>
      </c>
      <c r="E1614" s="1" t="s">
        <v>65</v>
      </c>
      <c r="F1614" s="1" t="n">
        <v>22</v>
      </c>
      <c r="G1614" s="1" t="n">
        <v>23</v>
      </c>
      <c r="H1614" s="1" t="s">
        <v>66</v>
      </c>
      <c r="I1614" s="1" t="n">
        <v>-1</v>
      </c>
      <c r="J1614" s="1" t="n">
        <v>42</v>
      </c>
      <c r="K1614" s="1" t="s">
        <v>149</v>
      </c>
      <c r="L1614" s="1" t="b">
        <f aca="false">FALSE()</f>
        <v>0</v>
      </c>
      <c r="M1614" s="1" t="str">
        <f aca="false">VLOOKUP(D1614,'Team Reference'!$A:$B,2,FALSE())</f>
        <v>NYJ</v>
      </c>
      <c r="N1614" s="1" t="str">
        <f aca="false">VLOOKUP(E1614,'Team Reference'!$A:$B,2,FALSE())</f>
        <v>CIN</v>
      </c>
      <c r="O1614" s="1" t="str">
        <f aca="false">IF(F1614&gt;G1614,M1614,IF(G1614&gt;F1614,N1614,"Tie"))</f>
        <v>CIN</v>
      </c>
      <c r="P1614" s="1" t="n">
        <f aca="false">F1614-G1614</f>
        <v>-1</v>
      </c>
      <c r="Q1614" s="1" t="n">
        <f aca="false">F1614+G1614</f>
        <v>45</v>
      </c>
      <c r="R1614" s="1" t="str">
        <f aca="false">IF(H1614=M1614,"Home",IF(H1614=N1614,"Away",IF(H1614="PICK","Pick","N/A")))</f>
        <v>Away</v>
      </c>
      <c r="S1614" s="1" t="n">
        <f aca="false">IF(R1614="Home",P1614,IF(R1614="Away",-P1614,""))</f>
        <v>1</v>
      </c>
      <c r="T1614" s="1" t="str">
        <f aca="false">IF(R1614="Pick","No Line",IF(S1614="","N/A",IF(S1614+I1614&gt;0,"Favorite Covered",IF(S1614+I1614&lt;0,"Underdog Covered","Push"))))</f>
        <v>Push</v>
      </c>
      <c r="U1614" s="1" t="str">
        <f aca="false">IF(Q1614&gt;J1614,"Over",IF(Q1614&lt;J1614,"Under","Push"))</f>
        <v>Over</v>
      </c>
    </row>
    <row r="1615" customFormat="false" ht="15" hidden="false" customHeight="false" outlineLevel="0" collapsed="false">
      <c r="A1615" s="1" t="s">
        <v>518</v>
      </c>
      <c r="B1615" s="1" t="n">
        <v>2016</v>
      </c>
      <c r="C1615" s="1" t="s">
        <v>141</v>
      </c>
      <c r="D1615" s="1" t="s">
        <v>103</v>
      </c>
      <c r="E1615" s="1" t="s">
        <v>67</v>
      </c>
      <c r="F1615" s="1" t="n">
        <v>29</v>
      </c>
      <c r="G1615" s="1" t="n">
        <v>10</v>
      </c>
      <c r="H1615" s="1" t="s">
        <v>104</v>
      </c>
      <c r="I1615" s="1" t="n">
        <v>-3.5</v>
      </c>
      <c r="J1615" s="1" t="n">
        <v>41</v>
      </c>
      <c r="K1615" s="1" t="s">
        <v>150</v>
      </c>
      <c r="L1615" s="1" t="b">
        <f aca="false">FALSE()</f>
        <v>0</v>
      </c>
      <c r="M1615" s="1" t="str">
        <f aca="false">VLOOKUP(D1615,'Team Reference'!$A:$B,2,FALSE())</f>
        <v>PHI</v>
      </c>
      <c r="N1615" s="1" t="str">
        <f aca="false">VLOOKUP(E1615,'Team Reference'!$A:$B,2,FALSE())</f>
        <v>CLE</v>
      </c>
      <c r="O1615" s="1" t="str">
        <f aca="false">IF(F1615&gt;G1615,M1615,IF(G1615&gt;F1615,N1615,"Tie"))</f>
        <v>PHI</v>
      </c>
      <c r="P1615" s="1" t="n">
        <f aca="false">F1615-G1615</f>
        <v>19</v>
      </c>
      <c r="Q1615" s="1" t="n">
        <f aca="false">F1615+G1615</f>
        <v>39</v>
      </c>
      <c r="R1615" s="1" t="str">
        <f aca="false">IF(H1615=M1615,"Home",IF(H1615=N1615,"Away",IF(H1615="PICK","Pick","N/A")))</f>
        <v>Home</v>
      </c>
      <c r="S1615" s="1" t="n">
        <f aca="false">IF(R1615="Home",P1615,IF(R1615="Away",-P1615,""))</f>
        <v>19</v>
      </c>
      <c r="T1615" s="1" t="str">
        <f aca="false">IF(R1615="Pick","No Line",IF(S1615="","N/A",IF(S1615+I1615&gt;0,"Favorite Covered",IF(S1615+I1615&lt;0,"Underdog Covered","Push"))))</f>
        <v>Favorite Covered</v>
      </c>
      <c r="U1615" s="1" t="str">
        <f aca="false">IF(Q1615&gt;J1615,"Over",IF(Q1615&lt;J1615,"Under","Push"))</f>
        <v>Under</v>
      </c>
    </row>
    <row r="1616" customFormat="false" ht="15" hidden="false" customHeight="false" outlineLevel="0" collapsed="false">
      <c r="A1616" s="1" t="s">
        <v>518</v>
      </c>
      <c r="B1616" s="1" t="n">
        <v>2016</v>
      </c>
      <c r="C1616" s="1" t="s">
        <v>141</v>
      </c>
      <c r="D1616" s="1" t="s">
        <v>110</v>
      </c>
      <c r="E1616" s="1" t="s">
        <v>89</v>
      </c>
      <c r="F1616" s="1" t="n">
        <v>12</v>
      </c>
      <c r="G1616" s="1" t="n">
        <v>10</v>
      </c>
      <c r="H1616" s="1" t="s">
        <v>111</v>
      </c>
      <c r="I1616" s="1" t="n">
        <v>-10.5</v>
      </c>
      <c r="J1616" s="1" t="n">
        <v>44</v>
      </c>
      <c r="K1616" s="1" t="s">
        <v>152</v>
      </c>
      <c r="L1616" s="1" t="b">
        <f aca="false">FALSE()</f>
        <v>0</v>
      </c>
      <c r="M1616" s="1" t="str">
        <f aca="false">VLOOKUP(D1616,'Team Reference'!$A:$B,2,FALSE())</f>
        <v>SEA</v>
      </c>
      <c r="N1616" s="1" t="str">
        <f aca="false">VLOOKUP(E1616,'Team Reference'!$A:$B,2,FALSE())</f>
        <v>MIA</v>
      </c>
      <c r="O1616" s="1" t="str">
        <f aca="false">IF(F1616&gt;G1616,M1616,IF(G1616&gt;F1616,N1616,"Tie"))</f>
        <v>SEA</v>
      </c>
      <c r="P1616" s="1" t="n">
        <f aca="false">F1616-G1616</f>
        <v>2</v>
      </c>
      <c r="Q1616" s="1" t="n">
        <f aca="false">F1616+G1616</f>
        <v>22</v>
      </c>
      <c r="R1616" s="1" t="str">
        <f aca="false">IF(H1616=M1616,"Home",IF(H1616=N1616,"Away",IF(H1616="PICK","Pick","N/A")))</f>
        <v>Home</v>
      </c>
      <c r="S1616" s="1" t="n">
        <f aca="false">IF(R1616="Home",P1616,IF(R1616="Away",-P1616,""))</f>
        <v>2</v>
      </c>
      <c r="T1616" s="1" t="str">
        <f aca="false">IF(R1616="Pick","No Line",IF(S1616="","N/A",IF(S1616+I1616&gt;0,"Favorite Covered",IF(S1616+I1616&lt;0,"Underdog Covered","Push"))))</f>
        <v>Underdog Covered</v>
      </c>
      <c r="U1616" s="1" t="str">
        <f aca="false">IF(Q1616&gt;J1616,"Over",IF(Q1616&lt;J1616,"Under","Push"))</f>
        <v>Under</v>
      </c>
    </row>
    <row r="1617" customFormat="false" ht="15" hidden="false" customHeight="false" outlineLevel="0" collapsed="false">
      <c r="A1617" s="1" t="s">
        <v>518</v>
      </c>
      <c r="B1617" s="1" t="n">
        <v>2016</v>
      </c>
      <c r="C1617" s="1" t="s">
        <v>141</v>
      </c>
      <c r="D1617" s="1" t="s">
        <v>115</v>
      </c>
      <c r="E1617" s="1" t="s">
        <v>91</v>
      </c>
      <c r="F1617" s="1" t="n">
        <v>16</v>
      </c>
      <c r="G1617" s="1" t="n">
        <v>25</v>
      </c>
      <c r="H1617" s="1" t="s">
        <v>92</v>
      </c>
      <c r="I1617" s="1" t="n">
        <v>-2.5</v>
      </c>
      <c r="J1617" s="1" t="n">
        <v>40</v>
      </c>
      <c r="K1617" s="1" t="s">
        <v>155</v>
      </c>
      <c r="L1617" s="1" t="b">
        <f aca="false">FALSE()</f>
        <v>0</v>
      </c>
      <c r="M1617" s="1" t="str">
        <f aca="false">VLOOKUP(D1617,'Team Reference'!$A:$B,2,FALSE())</f>
        <v>TEN</v>
      </c>
      <c r="N1617" s="1" t="str">
        <f aca="false">VLOOKUP(E1617,'Team Reference'!$A:$B,2,FALSE())</f>
        <v>MIN</v>
      </c>
      <c r="O1617" s="1" t="str">
        <f aca="false">IF(F1617&gt;G1617,M1617,IF(G1617&gt;F1617,N1617,"Tie"))</f>
        <v>MIN</v>
      </c>
      <c r="P1617" s="1" t="n">
        <f aca="false">F1617-G1617</f>
        <v>-9</v>
      </c>
      <c r="Q1617" s="1" t="n">
        <f aca="false">F1617+G1617</f>
        <v>41</v>
      </c>
      <c r="R1617" s="1" t="str">
        <f aca="false">IF(H1617=M1617,"Home",IF(H1617=N1617,"Away",IF(H1617="PICK","Pick","N/A")))</f>
        <v>Away</v>
      </c>
      <c r="S1617" s="1" t="n">
        <f aca="false">IF(R1617="Home",P1617,IF(R1617="Away",-P1617,""))</f>
        <v>9</v>
      </c>
      <c r="T1617" s="1" t="str">
        <f aca="false">IF(R1617="Pick","No Line",IF(S1617="","N/A",IF(S1617+I1617&gt;0,"Favorite Covered",IF(S1617+I1617&lt;0,"Underdog Covered","Push"))))</f>
        <v>Favorite Covered</v>
      </c>
      <c r="U1617" s="1" t="str">
        <f aca="false">IF(Q1617&gt;J1617,"Over",IF(Q1617&lt;J1617,"Under","Push"))</f>
        <v>Over</v>
      </c>
    </row>
    <row r="1618" customFormat="false" ht="15" hidden="false" customHeight="false" outlineLevel="0" collapsed="false">
      <c r="A1618" s="1" t="s">
        <v>519</v>
      </c>
      <c r="B1618" s="1" t="n">
        <v>2016</v>
      </c>
      <c r="C1618" s="1" t="s">
        <v>141</v>
      </c>
      <c r="D1618" s="1" t="s">
        <v>87</v>
      </c>
      <c r="E1618" s="1" t="s">
        <v>108</v>
      </c>
      <c r="F1618" s="1" t="n">
        <v>0</v>
      </c>
      <c r="G1618" s="1" t="n">
        <v>28</v>
      </c>
      <c r="H1618" s="1" t="s">
        <v>88</v>
      </c>
      <c r="I1618" s="1" t="n">
        <v>-2.5</v>
      </c>
      <c r="J1618" s="1" t="n">
        <v>43.5</v>
      </c>
      <c r="K1618" s="1" t="s">
        <v>520</v>
      </c>
      <c r="L1618" s="1" t="b">
        <f aca="false">FALSE()</f>
        <v>0</v>
      </c>
      <c r="M1618" s="1" t="str">
        <f aca="false">VLOOKUP(D1618,'Team Reference'!$A:$B,2,FALSE())</f>
        <v>LAR</v>
      </c>
      <c r="N1618" s="1" t="str">
        <f aca="false">VLOOKUP(E1618,'Team Reference'!$A:$B,2,FALSE())</f>
        <v>SF</v>
      </c>
      <c r="O1618" s="1" t="str">
        <f aca="false">IF(F1618&gt;G1618,M1618,IF(G1618&gt;F1618,N1618,"Tie"))</f>
        <v>SF</v>
      </c>
      <c r="P1618" s="1" t="n">
        <f aca="false">F1618-G1618</f>
        <v>-28</v>
      </c>
      <c r="Q1618" s="1" t="n">
        <f aca="false">F1618+G1618</f>
        <v>28</v>
      </c>
      <c r="R1618" s="1" t="str">
        <f aca="false">IF(H1618=M1618,"Home",IF(H1618=N1618,"Away",IF(H1618="PICK","Pick","N/A")))</f>
        <v>Home</v>
      </c>
      <c r="S1618" s="1" t="n">
        <f aca="false">IF(R1618="Home",P1618,IF(R1618="Away",-P1618,""))</f>
        <v>-28</v>
      </c>
      <c r="T1618" s="1" t="str">
        <f aca="false">IF(R1618="Pick","No Line",IF(S1618="","N/A",IF(S1618+I1618&gt;0,"Favorite Covered",IF(S1618+I1618&lt;0,"Underdog Covered","Push"))))</f>
        <v>Underdog Covered</v>
      </c>
      <c r="U1618" s="1" t="str">
        <f aca="false">IF(Q1618&gt;J1618,"Over",IF(Q1618&lt;J1618,"Under","Push"))</f>
        <v>Under</v>
      </c>
    </row>
    <row r="1619" customFormat="false" ht="15" hidden="false" customHeight="false" outlineLevel="0" collapsed="false">
      <c r="A1619" s="1" t="s">
        <v>519</v>
      </c>
      <c r="B1619" s="1" t="n">
        <v>2016</v>
      </c>
      <c r="C1619" s="1" t="s">
        <v>141</v>
      </c>
      <c r="D1619" s="1" t="s">
        <v>117</v>
      </c>
      <c r="E1619" s="1" t="s">
        <v>105</v>
      </c>
      <c r="F1619" s="1" t="n">
        <v>16</v>
      </c>
      <c r="G1619" s="1" t="n">
        <v>38</v>
      </c>
      <c r="H1619" s="1" t="s">
        <v>106</v>
      </c>
      <c r="I1619" s="1" t="n">
        <v>-2.5</v>
      </c>
      <c r="J1619" s="1" t="n">
        <v>49</v>
      </c>
      <c r="K1619" s="1" t="s">
        <v>156</v>
      </c>
      <c r="L1619" s="1" t="b">
        <f aca="false">FALSE()</f>
        <v>0</v>
      </c>
      <c r="M1619" s="1" t="str">
        <f aca="false">VLOOKUP(D1619,'Team Reference'!$A:$B,2,FALSE())</f>
        <v>WAS</v>
      </c>
      <c r="N1619" s="1" t="str">
        <f aca="false">VLOOKUP(E1619,'Team Reference'!$A:$B,2,FALSE())</f>
        <v>PIT</v>
      </c>
      <c r="O1619" s="1" t="str">
        <f aca="false">IF(F1619&gt;G1619,M1619,IF(G1619&gt;F1619,N1619,"Tie"))</f>
        <v>PIT</v>
      </c>
      <c r="P1619" s="1" t="n">
        <f aca="false">F1619-G1619</f>
        <v>-22</v>
      </c>
      <c r="Q1619" s="1" t="n">
        <f aca="false">F1619+G1619</f>
        <v>54</v>
      </c>
      <c r="R1619" s="1" t="str">
        <f aca="false">IF(H1619=M1619,"Home",IF(H1619=N1619,"Away",IF(H1619="PICK","Pick","N/A")))</f>
        <v>Away</v>
      </c>
      <c r="S1619" s="1" t="n">
        <f aca="false">IF(R1619="Home",P1619,IF(R1619="Away",-P1619,""))</f>
        <v>22</v>
      </c>
      <c r="T1619" s="1" t="str">
        <f aca="false">IF(R1619="Pick","No Line",IF(S1619="","N/A",IF(S1619+I1619&gt;0,"Favorite Covered",IF(S1619+I1619&lt;0,"Underdog Covered","Push"))))</f>
        <v>Favorite Covered</v>
      </c>
      <c r="U1619" s="1" t="str">
        <f aca="false">IF(Q1619&gt;J1619,"Over",IF(Q1619&lt;J1619,"Under","Push"))</f>
        <v>Over</v>
      </c>
    </row>
    <row r="1620" customFormat="false" ht="15" hidden="false" customHeight="false" outlineLevel="0" collapsed="false">
      <c r="A1620" s="1" t="s">
        <v>521</v>
      </c>
      <c r="B1620" s="1" t="n">
        <v>2016</v>
      </c>
      <c r="C1620" s="1" t="s">
        <v>160</v>
      </c>
      <c r="D1620" s="1" t="s">
        <v>59</v>
      </c>
      <c r="E1620" s="1" t="s">
        <v>99</v>
      </c>
      <c r="F1620" s="1" t="n">
        <v>31</v>
      </c>
      <c r="G1620" s="1" t="n">
        <v>37</v>
      </c>
      <c r="H1620" s="1" t="s">
        <v>200</v>
      </c>
      <c r="I1620" s="1" t="n">
        <v>0</v>
      </c>
      <c r="J1620" s="1" t="n">
        <v>40.5</v>
      </c>
      <c r="K1620" s="1" t="s">
        <v>522</v>
      </c>
      <c r="L1620" s="1" t="b">
        <f aca="false">FALSE()</f>
        <v>0</v>
      </c>
      <c r="M1620" s="1" t="str">
        <f aca="false">VLOOKUP(D1620,'Team Reference'!$A:$B,2,FALSE())</f>
        <v>BUF</v>
      </c>
      <c r="N1620" s="1" t="str">
        <f aca="false">VLOOKUP(E1620,'Team Reference'!$A:$B,2,FALSE())</f>
        <v>NYJ</v>
      </c>
      <c r="O1620" s="1" t="str">
        <f aca="false">IF(F1620&gt;G1620,M1620,IF(G1620&gt;F1620,N1620,"Tie"))</f>
        <v>NYJ</v>
      </c>
      <c r="P1620" s="1" t="n">
        <f aca="false">F1620-G1620</f>
        <v>-6</v>
      </c>
      <c r="Q1620" s="1" t="n">
        <f aca="false">F1620+G1620</f>
        <v>68</v>
      </c>
      <c r="R1620" s="1" t="str">
        <f aca="false">IF(H1620=M1620,"Home",IF(H1620=N1620,"Away",IF(H1620="PICK","Pick","N/A")))</f>
        <v>Pick</v>
      </c>
      <c r="S1620" s="1" t="str">
        <f aca="false">IF(R1620="Home",P1620,IF(R1620="Away",-P1620,""))</f>
        <v/>
      </c>
      <c r="T1620" s="1" t="str">
        <f aca="false">IF(R1620="Pick","No Line",IF(S1620="","N/A",IF(S1620+I1620&gt;0,"Favorite Covered",IF(S1620+I1620&lt;0,"Underdog Covered","Push"))))</f>
        <v>No Line</v>
      </c>
      <c r="U1620" s="1" t="str">
        <f aca="false">IF(Q1620&gt;J1620,"Over",IF(Q1620&lt;J1620,"Under","Push"))</f>
        <v>Over</v>
      </c>
    </row>
    <row r="1621" customFormat="false" ht="15" hidden="false" customHeight="false" outlineLevel="0" collapsed="false">
      <c r="A1621" s="1" t="s">
        <v>523</v>
      </c>
      <c r="B1621" s="1" t="n">
        <v>2016</v>
      </c>
      <c r="C1621" s="1" t="s">
        <v>160</v>
      </c>
      <c r="D1621" s="1" t="s">
        <v>53</v>
      </c>
      <c r="E1621" s="1" t="s">
        <v>113</v>
      </c>
      <c r="F1621" s="1" t="n">
        <v>40</v>
      </c>
      <c r="G1621" s="1" t="n">
        <v>7</v>
      </c>
      <c r="H1621" s="1" t="s">
        <v>54</v>
      </c>
      <c r="I1621" s="1" t="n">
        <v>-7</v>
      </c>
      <c r="J1621" s="1" t="n">
        <v>49.5</v>
      </c>
      <c r="K1621" s="1" t="s">
        <v>177</v>
      </c>
      <c r="L1621" s="1" t="b">
        <f aca="false">FALSE()</f>
        <v>0</v>
      </c>
      <c r="M1621" s="1" t="str">
        <f aca="false">VLOOKUP(D1621,'Team Reference'!$A:$B,2,FALSE())</f>
        <v>ARI</v>
      </c>
      <c r="N1621" s="1" t="str">
        <f aca="false">VLOOKUP(E1621,'Team Reference'!$A:$B,2,FALSE())</f>
        <v>TB</v>
      </c>
      <c r="O1621" s="1" t="str">
        <f aca="false">IF(F1621&gt;G1621,M1621,IF(G1621&gt;F1621,N1621,"Tie"))</f>
        <v>ARI</v>
      </c>
      <c r="P1621" s="1" t="n">
        <f aca="false">F1621-G1621</f>
        <v>33</v>
      </c>
      <c r="Q1621" s="1" t="n">
        <f aca="false">F1621+G1621</f>
        <v>47</v>
      </c>
      <c r="R1621" s="1" t="str">
        <f aca="false">IF(H1621=M1621,"Home",IF(H1621=N1621,"Away",IF(H1621="PICK","Pick","N/A")))</f>
        <v>Home</v>
      </c>
      <c r="S1621" s="1" t="n">
        <f aca="false">IF(R1621="Home",P1621,IF(R1621="Away",-P1621,""))</f>
        <v>33</v>
      </c>
      <c r="T1621" s="1" t="str">
        <f aca="false">IF(R1621="Pick","No Line",IF(S1621="","N/A",IF(S1621+I1621&gt;0,"Favorite Covered",IF(S1621+I1621&lt;0,"Underdog Covered","Push"))))</f>
        <v>Favorite Covered</v>
      </c>
      <c r="U1621" s="1" t="str">
        <f aca="false">IF(Q1621&gt;J1621,"Over",IF(Q1621&lt;J1621,"Under","Push"))</f>
        <v>Under</v>
      </c>
    </row>
    <row r="1622" customFormat="false" ht="15" hidden="false" customHeight="false" outlineLevel="0" collapsed="false">
      <c r="A1622" s="1" t="s">
        <v>523</v>
      </c>
      <c r="B1622" s="1" t="n">
        <v>2016</v>
      </c>
      <c r="C1622" s="1" t="s">
        <v>160</v>
      </c>
      <c r="D1622" s="1" t="s">
        <v>61</v>
      </c>
      <c r="E1622" s="1" t="s">
        <v>108</v>
      </c>
      <c r="F1622" s="1" t="n">
        <v>46</v>
      </c>
      <c r="G1622" s="1" t="n">
        <v>27</v>
      </c>
      <c r="H1622" s="1" t="s">
        <v>62</v>
      </c>
      <c r="I1622" s="1" t="n">
        <v>-12.5</v>
      </c>
      <c r="J1622" s="1" t="n">
        <v>44</v>
      </c>
      <c r="K1622" s="1" t="s">
        <v>162</v>
      </c>
      <c r="L1622" s="1" t="b">
        <f aca="false">FALSE()</f>
        <v>0</v>
      </c>
      <c r="M1622" s="1" t="str">
        <f aca="false">VLOOKUP(D1622,'Team Reference'!$A:$B,2,FALSE())</f>
        <v>CAR</v>
      </c>
      <c r="N1622" s="1" t="str">
        <f aca="false">VLOOKUP(E1622,'Team Reference'!$A:$B,2,FALSE())</f>
        <v>SF</v>
      </c>
      <c r="O1622" s="1" t="str">
        <f aca="false">IF(F1622&gt;G1622,M1622,IF(G1622&gt;F1622,N1622,"Tie"))</f>
        <v>CAR</v>
      </c>
      <c r="P1622" s="1" t="n">
        <f aca="false">F1622-G1622</f>
        <v>19</v>
      </c>
      <c r="Q1622" s="1" t="n">
        <f aca="false">F1622+G1622</f>
        <v>73</v>
      </c>
      <c r="R1622" s="1" t="str">
        <f aca="false">IF(H1622=M1622,"Home",IF(H1622=N1622,"Away",IF(H1622="PICK","Pick","N/A")))</f>
        <v>Home</v>
      </c>
      <c r="S1622" s="1" t="n">
        <f aca="false">IF(R1622="Home",P1622,IF(R1622="Away",-P1622,""))</f>
        <v>19</v>
      </c>
      <c r="T1622" s="1" t="str">
        <f aca="false">IF(R1622="Pick","No Line",IF(S1622="","N/A",IF(S1622+I1622&gt;0,"Favorite Covered",IF(S1622+I1622&lt;0,"Underdog Covered","Push"))))</f>
        <v>Favorite Covered</v>
      </c>
      <c r="U1622" s="1" t="str">
        <f aca="false">IF(Q1622&gt;J1622,"Over",IF(Q1622&lt;J1622,"Under","Push"))</f>
        <v>Over</v>
      </c>
    </row>
    <row r="1623" customFormat="false" ht="15" hidden="false" customHeight="false" outlineLevel="0" collapsed="false">
      <c r="A1623" s="1" t="s">
        <v>523</v>
      </c>
      <c r="B1623" s="1" t="n">
        <v>2016</v>
      </c>
      <c r="C1623" s="1" t="s">
        <v>160</v>
      </c>
      <c r="D1623" s="1" t="s">
        <v>67</v>
      </c>
      <c r="E1623" s="1" t="s">
        <v>57</v>
      </c>
      <c r="F1623" s="1" t="n">
        <v>20</v>
      </c>
      <c r="G1623" s="1" t="n">
        <v>25</v>
      </c>
      <c r="H1623" s="1" t="s">
        <v>58</v>
      </c>
      <c r="I1623" s="1" t="n">
        <v>-4.5</v>
      </c>
      <c r="J1623" s="1" t="n">
        <v>42</v>
      </c>
      <c r="K1623" s="1" t="s">
        <v>164</v>
      </c>
      <c r="L1623" s="1" t="b">
        <f aca="false">FALSE()</f>
        <v>0</v>
      </c>
      <c r="M1623" s="1" t="str">
        <f aca="false">VLOOKUP(D1623,'Team Reference'!$A:$B,2,FALSE())</f>
        <v>CLE</v>
      </c>
      <c r="N1623" s="1" t="str">
        <f aca="false">VLOOKUP(E1623,'Team Reference'!$A:$B,2,FALSE())</f>
        <v>BAL</v>
      </c>
      <c r="O1623" s="1" t="str">
        <f aca="false">IF(F1623&gt;G1623,M1623,IF(G1623&gt;F1623,N1623,"Tie"))</f>
        <v>BAL</v>
      </c>
      <c r="P1623" s="1" t="n">
        <f aca="false">F1623-G1623</f>
        <v>-5</v>
      </c>
      <c r="Q1623" s="1" t="n">
        <f aca="false">F1623+G1623</f>
        <v>45</v>
      </c>
      <c r="R1623" s="1" t="str">
        <f aca="false">IF(H1623=M1623,"Home",IF(H1623=N1623,"Away",IF(H1623="PICK","Pick","N/A")))</f>
        <v>Away</v>
      </c>
      <c r="S1623" s="1" t="n">
        <f aca="false">IF(R1623="Home",P1623,IF(R1623="Away",-P1623,""))</f>
        <v>5</v>
      </c>
      <c r="T1623" s="1" t="str">
        <f aca="false">IF(R1623="Pick","No Line",IF(S1623="","N/A",IF(S1623+I1623&gt;0,"Favorite Covered",IF(S1623+I1623&lt;0,"Underdog Covered","Push"))))</f>
        <v>Favorite Covered</v>
      </c>
      <c r="U1623" s="1" t="str">
        <f aca="false">IF(Q1623&gt;J1623,"Over",IF(Q1623&lt;J1623,"Under","Push"))</f>
        <v>Over</v>
      </c>
    </row>
    <row r="1624" customFormat="false" ht="15" hidden="false" customHeight="false" outlineLevel="0" collapsed="false">
      <c r="A1624" s="1" t="s">
        <v>523</v>
      </c>
      <c r="B1624" s="1" t="n">
        <v>2016</v>
      </c>
      <c r="C1624" s="1" t="s">
        <v>160</v>
      </c>
      <c r="D1624" s="1" t="s">
        <v>71</v>
      </c>
      <c r="E1624" s="1" t="s">
        <v>79</v>
      </c>
      <c r="F1624" s="1" t="n">
        <v>34</v>
      </c>
      <c r="G1624" s="1" t="n">
        <v>20</v>
      </c>
      <c r="H1624" s="1" t="s">
        <v>72</v>
      </c>
      <c r="I1624" s="1" t="n">
        <v>-6</v>
      </c>
      <c r="J1624" s="1" t="n">
        <v>47</v>
      </c>
      <c r="K1624" s="1" t="s">
        <v>166</v>
      </c>
      <c r="L1624" s="1" t="b">
        <f aca="false">FALSE()</f>
        <v>0</v>
      </c>
      <c r="M1624" s="1" t="str">
        <f aca="false">VLOOKUP(D1624,'Team Reference'!$A:$B,2,FALSE())</f>
        <v>DEN</v>
      </c>
      <c r="N1624" s="1" t="str">
        <f aca="false">VLOOKUP(E1624,'Team Reference'!$A:$B,2,FALSE())</f>
        <v>IND</v>
      </c>
      <c r="O1624" s="1" t="str">
        <f aca="false">IF(F1624&gt;G1624,M1624,IF(G1624&gt;F1624,N1624,"Tie"))</f>
        <v>DEN</v>
      </c>
      <c r="P1624" s="1" t="n">
        <f aca="false">F1624-G1624</f>
        <v>14</v>
      </c>
      <c r="Q1624" s="1" t="n">
        <f aca="false">F1624+G1624</f>
        <v>54</v>
      </c>
      <c r="R1624" s="1" t="str">
        <f aca="false">IF(H1624=M1624,"Home",IF(H1624=N1624,"Away",IF(H1624="PICK","Pick","N/A")))</f>
        <v>Home</v>
      </c>
      <c r="S1624" s="1" t="n">
        <f aca="false">IF(R1624="Home",P1624,IF(R1624="Away",-P1624,""))</f>
        <v>14</v>
      </c>
      <c r="T1624" s="1" t="str">
        <f aca="false">IF(R1624="Pick","No Line",IF(S1624="","N/A",IF(S1624+I1624&gt;0,"Favorite Covered",IF(S1624+I1624&lt;0,"Underdog Covered","Push"))))</f>
        <v>Favorite Covered</v>
      </c>
      <c r="U1624" s="1" t="str">
        <f aca="false">IF(Q1624&gt;J1624,"Over",IF(Q1624&lt;J1624,"Under","Push"))</f>
        <v>Over</v>
      </c>
    </row>
    <row r="1625" customFormat="false" ht="15" hidden="false" customHeight="false" outlineLevel="0" collapsed="false">
      <c r="A1625" s="1" t="s">
        <v>523</v>
      </c>
      <c r="B1625" s="1" t="n">
        <v>2016</v>
      </c>
      <c r="C1625" s="1" t="s">
        <v>160</v>
      </c>
      <c r="D1625" s="1" t="s">
        <v>73</v>
      </c>
      <c r="E1625" s="1" t="s">
        <v>115</v>
      </c>
      <c r="F1625" s="1" t="n">
        <v>15</v>
      </c>
      <c r="G1625" s="1" t="n">
        <v>16</v>
      </c>
      <c r="H1625" s="1" t="s">
        <v>74</v>
      </c>
      <c r="I1625" s="1" t="n">
        <v>-6</v>
      </c>
      <c r="J1625" s="1" t="n">
        <v>48</v>
      </c>
      <c r="K1625" s="1" t="s">
        <v>167</v>
      </c>
      <c r="L1625" s="1" t="b">
        <f aca="false">FALSE()</f>
        <v>0</v>
      </c>
      <c r="M1625" s="1" t="str">
        <f aca="false">VLOOKUP(D1625,'Team Reference'!$A:$B,2,FALSE())</f>
        <v>DET</v>
      </c>
      <c r="N1625" s="1" t="str">
        <f aca="false">VLOOKUP(E1625,'Team Reference'!$A:$B,2,FALSE())</f>
        <v>TEN</v>
      </c>
      <c r="O1625" s="1" t="str">
        <f aca="false">IF(F1625&gt;G1625,M1625,IF(G1625&gt;F1625,N1625,"Tie"))</f>
        <v>TEN</v>
      </c>
      <c r="P1625" s="1" t="n">
        <f aca="false">F1625-G1625</f>
        <v>-1</v>
      </c>
      <c r="Q1625" s="1" t="n">
        <f aca="false">F1625+G1625</f>
        <v>31</v>
      </c>
      <c r="R1625" s="1" t="str">
        <f aca="false">IF(H1625=M1625,"Home",IF(H1625=N1625,"Away",IF(H1625="PICK","Pick","N/A")))</f>
        <v>Home</v>
      </c>
      <c r="S1625" s="1" t="n">
        <f aca="false">IF(R1625="Home",P1625,IF(R1625="Away",-P1625,""))</f>
        <v>-1</v>
      </c>
      <c r="T1625" s="1" t="str">
        <f aca="false">IF(R1625="Pick","No Line",IF(S1625="","N/A",IF(S1625+I1625&gt;0,"Favorite Covered",IF(S1625+I1625&lt;0,"Underdog Covered","Push"))))</f>
        <v>Underdog Covered</v>
      </c>
      <c r="U1625" s="1" t="str">
        <f aca="false">IF(Q1625&gt;J1625,"Over",IF(Q1625&lt;J1625,"Under","Push"))</f>
        <v>Under</v>
      </c>
    </row>
    <row r="1626" customFormat="false" ht="15" hidden="false" customHeight="false" outlineLevel="0" collapsed="false">
      <c r="A1626" s="1" t="s">
        <v>523</v>
      </c>
      <c r="B1626" s="1" t="n">
        <v>2016</v>
      </c>
      <c r="C1626" s="1" t="s">
        <v>160</v>
      </c>
      <c r="D1626" s="1" t="s">
        <v>77</v>
      </c>
      <c r="E1626" s="1" t="s">
        <v>83</v>
      </c>
      <c r="F1626" s="1" t="n">
        <v>19</v>
      </c>
      <c r="G1626" s="1" t="n">
        <v>12</v>
      </c>
      <c r="H1626" s="1" t="s">
        <v>78</v>
      </c>
      <c r="I1626" s="1" t="n">
        <v>-1</v>
      </c>
      <c r="J1626" s="1" t="n">
        <v>42</v>
      </c>
      <c r="K1626" s="1" t="s">
        <v>146</v>
      </c>
      <c r="L1626" s="1" t="b">
        <f aca="false">FALSE()</f>
        <v>0</v>
      </c>
      <c r="M1626" s="1" t="str">
        <f aca="false">VLOOKUP(D1626,'Team Reference'!$A:$B,2,FALSE())</f>
        <v>HOU</v>
      </c>
      <c r="N1626" s="1" t="str">
        <f aca="false">VLOOKUP(E1626,'Team Reference'!$A:$B,2,FALSE())</f>
        <v>KC</v>
      </c>
      <c r="O1626" s="1" t="str">
        <f aca="false">IF(F1626&gt;G1626,M1626,IF(G1626&gt;F1626,N1626,"Tie"))</f>
        <v>HOU</v>
      </c>
      <c r="P1626" s="1" t="n">
        <f aca="false">F1626-G1626</f>
        <v>7</v>
      </c>
      <c r="Q1626" s="1" t="n">
        <f aca="false">F1626+G1626</f>
        <v>31</v>
      </c>
      <c r="R1626" s="1" t="str">
        <f aca="false">IF(H1626=M1626,"Home",IF(H1626=N1626,"Away",IF(H1626="PICK","Pick","N/A")))</f>
        <v>Home</v>
      </c>
      <c r="S1626" s="1" t="n">
        <f aca="false">IF(R1626="Home",P1626,IF(R1626="Away",-P1626,""))</f>
        <v>7</v>
      </c>
      <c r="T1626" s="1" t="str">
        <f aca="false">IF(R1626="Pick","No Line",IF(S1626="","N/A",IF(S1626+I1626&gt;0,"Favorite Covered",IF(S1626+I1626&lt;0,"Underdog Covered","Push"))))</f>
        <v>Favorite Covered</v>
      </c>
      <c r="U1626" s="1" t="str">
        <f aca="false">IF(Q1626&gt;J1626,"Over",IF(Q1626&lt;J1626,"Under","Push"))</f>
        <v>Under</v>
      </c>
    </row>
    <row r="1627" customFormat="false" ht="15" hidden="false" customHeight="false" outlineLevel="0" collapsed="false">
      <c r="A1627" s="1" t="s">
        <v>523</v>
      </c>
      <c r="B1627" s="1" t="n">
        <v>2016</v>
      </c>
      <c r="C1627" s="1" t="s">
        <v>160</v>
      </c>
      <c r="D1627" s="1" t="s">
        <v>87</v>
      </c>
      <c r="E1627" s="1" t="s">
        <v>110</v>
      </c>
      <c r="F1627" s="1" t="n">
        <v>9</v>
      </c>
      <c r="G1627" s="1" t="n">
        <v>3</v>
      </c>
      <c r="H1627" s="1" t="s">
        <v>111</v>
      </c>
      <c r="I1627" s="1" t="n">
        <v>-5.5</v>
      </c>
      <c r="J1627" s="1" t="n">
        <v>38</v>
      </c>
      <c r="K1627" s="1" t="s">
        <v>520</v>
      </c>
      <c r="L1627" s="1" t="b">
        <f aca="false">FALSE()</f>
        <v>0</v>
      </c>
      <c r="M1627" s="1" t="str">
        <f aca="false">VLOOKUP(D1627,'Team Reference'!$A:$B,2,FALSE())</f>
        <v>LAR</v>
      </c>
      <c r="N1627" s="1" t="str">
        <f aca="false">VLOOKUP(E1627,'Team Reference'!$A:$B,2,FALSE())</f>
        <v>SEA</v>
      </c>
      <c r="O1627" s="1" t="str">
        <f aca="false">IF(F1627&gt;G1627,M1627,IF(G1627&gt;F1627,N1627,"Tie"))</f>
        <v>LAR</v>
      </c>
      <c r="P1627" s="1" t="n">
        <f aca="false">F1627-G1627</f>
        <v>6</v>
      </c>
      <c r="Q1627" s="1" t="n">
        <f aca="false">F1627+G1627</f>
        <v>12</v>
      </c>
      <c r="R1627" s="1" t="str">
        <f aca="false">IF(H1627=M1627,"Home",IF(H1627=N1627,"Away",IF(H1627="PICK","Pick","N/A")))</f>
        <v>Away</v>
      </c>
      <c r="S1627" s="1" t="n">
        <f aca="false">IF(R1627="Home",P1627,IF(R1627="Away",-P1627,""))</f>
        <v>-6</v>
      </c>
      <c r="T1627" s="1" t="str">
        <f aca="false">IF(R1627="Pick","No Line",IF(S1627="","N/A",IF(S1627+I1627&gt;0,"Favorite Covered",IF(S1627+I1627&lt;0,"Underdog Covered","Push"))))</f>
        <v>Underdog Covered</v>
      </c>
      <c r="U1627" s="1" t="str">
        <f aca="false">IF(Q1627&gt;J1627,"Over",IF(Q1627&lt;J1627,"Under","Push"))</f>
        <v>Under</v>
      </c>
    </row>
    <row r="1628" customFormat="false" ht="15" hidden="false" customHeight="false" outlineLevel="0" collapsed="false">
      <c r="A1628" s="1" t="s">
        <v>523</v>
      </c>
      <c r="B1628" s="1" t="n">
        <v>2016</v>
      </c>
      <c r="C1628" s="1" t="s">
        <v>160</v>
      </c>
      <c r="D1628" s="1" t="s">
        <v>93</v>
      </c>
      <c r="E1628" s="1" t="s">
        <v>89</v>
      </c>
      <c r="F1628" s="1" t="n">
        <v>31</v>
      </c>
      <c r="G1628" s="1" t="n">
        <v>24</v>
      </c>
      <c r="H1628" s="1" t="s">
        <v>94</v>
      </c>
      <c r="I1628" s="1" t="n">
        <v>-5.5</v>
      </c>
      <c r="J1628" s="1" t="n">
        <v>42</v>
      </c>
      <c r="K1628" s="1" t="s">
        <v>148</v>
      </c>
      <c r="L1628" s="1" t="b">
        <f aca="false">FALSE()</f>
        <v>0</v>
      </c>
      <c r="M1628" s="1" t="str">
        <f aca="false">VLOOKUP(D1628,'Team Reference'!$A:$B,2,FALSE())</f>
        <v>NE</v>
      </c>
      <c r="N1628" s="1" t="str">
        <f aca="false">VLOOKUP(E1628,'Team Reference'!$A:$B,2,FALSE())</f>
        <v>MIA</v>
      </c>
      <c r="O1628" s="1" t="str">
        <f aca="false">IF(F1628&gt;G1628,M1628,IF(G1628&gt;F1628,N1628,"Tie"))</f>
        <v>NE</v>
      </c>
      <c r="P1628" s="1" t="n">
        <f aca="false">F1628-G1628</f>
        <v>7</v>
      </c>
      <c r="Q1628" s="1" t="n">
        <f aca="false">F1628+G1628</f>
        <v>55</v>
      </c>
      <c r="R1628" s="1" t="str">
        <f aca="false">IF(H1628=M1628,"Home",IF(H1628=N1628,"Away",IF(H1628="PICK","Pick","N/A")))</f>
        <v>Home</v>
      </c>
      <c r="S1628" s="1" t="n">
        <f aca="false">IF(R1628="Home",P1628,IF(R1628="Away",-P1628,""))</f>
        <v>7</v>
      </c>
      <c r="T1628" s="1" t="str">
        <f aca="false">IF(R1628="Pick","No Line",IF(S1628="","N/A",IF(S1628+I1628&gt;0,"Favorite Covered",IF(S1628+I1628&lt;0,"Underdog Covered","Push"))))</f>
        <v>Favorite Covered</v>
      </c>
      <c r="U1628" s="1" t="str">
        <f aca="false">IF(Q1628&gt;J1628,"Over",IF(Q1628&lt;J1628,"Under","Push"))</f>
        <v>Over</v>
      </c>
    </row>
    <row r="1629" customFormat="false" ht="15" hidden="false" customHeight="false" outlineLevel="0" collapsed="false">
      <c r="A1629" s="1" t="s">
        <v>523</v>
      </c>
      <c r="B1629" s="1" t="n">
        <v>2016</v>
      </c>
      <c r="C1629" s="1" t="s">
        <v>160</v>
      </c>
      <c r="D1629" s="1" t="s">
        <v>97</v>
      </c>
      <c r="E1629" s="1" t="s">
        <v>95</v>
      </c>
      <c r="F1629" s="1" t="n">
        <v>16</v>
      </c>
      <c r="G1629" s="1" t="n">
        <v>13</v>
      </c>
      <c r="H1629" s="1" t="s">
        <v>98</v>
      </c>
      <c r="I1629" s="1" t="n">
        <v>-4</v>
      </c>
      <c r="J1629" s="1" t="n">
        <v>54.5</v>
      </c>
      <c r="K1629" s="1" t="s">
        <v>149</v>
      </c>
      <c r="L1629" s="1" t="b">
        <f aca="false">FALSE()</f>
        <v>0</v>
      </c>
      <c r="M1629" s="1" t="str">
        <f aca="false">VLOOKUP(D1629,'Team Reference'!$A:$B,2,FALSE())</f>
        <v>NYG</v>
      </c>
      <c r="N1629" s="1" t="str">
        <f aca="false">VLOOKUP(E1629,'Team Reference'!$A:$B,2,FALSE())</f>
        <v>NO</v>
      </c>
      <c r="O1629" s="1" t="str">
        <f aca="false">IF(F1629&gt;G1629,M1629,IF(G1629&gt;F1629,N1629,"Tie"))</f>
        <v>NYG</v>
      </c>
      <c r="P1629" s="1" t="n">
        <f aca="false">F1629-G1629</f>
        <v>3</v>
      </c>
      <c r="Q1629" s="1" t="n">
        <f aca="false">F1629+G1629</f>
        <v>29</v>
      </c>
      <c r="R1629" s="1" t="str">
        <f aca="false">IF(H1629=M1629,"Home",IF(H1629=N1629,"Away",IF(H1629="PICK","Pick","N/A")))</f>
        <v>Home</v>
      </c>
      <c r="S1629" s="1" t="n">
        <f aca="false">IF(R1629="Home",P1629,IF(R1629="Away",-P1629,""))</f>
        <v>3</v>
      </c>
      <c r="T1629" s="1" t="str">
        <f aca="false">IF(R1629="Pick","No Line",IF(S1629="","N/A",IF(S1629+I1629&gt;0,"Favorite Covered",IF(S1629+I1629&lt;0,"Underdog Covered","Push"))))</f>
        <v>Underdog Covered</v>
      </c>
      <c r="U1629" s="1" t="str">
        <f aca="false">IF(Q1629&gt;J1629,"Over",IF(Q1629&lt;J1629,"Under","Push"))</f>
        <v>Under</v>
      </c>
    </row>
    <row r="1630" customFormat="false" ht="15" hidden="false" customHeight="false" outlineLevel="0" collapsed="false">
      <c r="A1630" s="1" t="s">
        <v>523</v>
      </c>
      <c r="B1630" s="1" t="n">
        <v>2016</v>
      </c>
      <c r="C1630" s="1" t="s">
        <v>160</v>
      </c>
      <c r="D1630" s="1" t="s">
        <v>101</v>
      </c>
      <c r="E1630" s="1" t="s">
        <v>55</v>
      </c>
      <c r="F1630" s="1" t="n">
        <v>28</v>
      </c>
      <c r="G1630" s="1" t="n">
        <v>35</v>
      </c>
      <c r="H1630" s="1" t="s">
        <v>102</v>
      </c>
      <c r="I1630" s="1" t="n">
        <v>-4</v>
      </c>
      <c r="J1630" s="1" t="n">
        <v>48</v>
      </c>
      <c r="K1630" s="1" t="s">
        <v>171</v>
      </c>
      <c r="L1630" s="1" t="b">
        <f aca="false">FALSE()</f>
        <v>0</v>
      </c>
      <c r="M1630" s="1" t="str">
        <f aca="false">VLOOKUP(D1630,'Team Reference'!$A:$B,2,FALSE())</f>
        <v>OAK</v>
      </c>
      <c r="N1630" s="1" t="str">
        <f aca="false">VLOOKUP(E1630,'Team Reference'!$A:$B,2,FALSE())</f>
        <v>ATL</v>
      </c>
      <c r="O1630" s="1" t="str">
        <f aca="false">IF(F1630&gt;G1630,M1630,IF(G1630&gt;F1630,N1630,"Tie"))</f>
        <v>ATL</v>
      </c>
      <c r="P1630" s="1" t="n">
        <f aca="false">F1630-G1630</f>
        <v>-7</v>
      </c>
      <c r="Q1630" s="1" t="n">
        <f aca="false">F1630+G1630</f>
        <v>63</v>
      </c>
      <c r="R1630" s="1" t="str">
        <f aca="false">IF(H1630=M1630,"Home",IF(H1630=N1630,"Away",IF(H1630="PICK","Pick","N/A")))</f>
        <v>Home</v>
      </c>
      <c r="S1630" s="1" t="n">
        <f aca="false">IF(R1630="Home",P1630,IF(R1630="Away",-P1630,""))</f>
        <v>-7</v>
      </c>
      <c r="T1630" s="1" t="str">
        <f aca="false">IF(R1630="Pick","No Line",IF(S1630="","N/A",IF(S1630+I1630&gt;0,"Favorite Covered",IF(S1630+I1630&lt;0,"Underdog Covered","Push"))))</f>
        <v>Underdog Covered</v>
      </c>
      <c r="U1630" s="1" t="str">
        <f aca="false">IF(Q1630&gt;J1630,"Over",IF(Q1630&lt;J1630,"Under","Push"))</f>
        <v>Over</v>
      </c>
    </row>
    <row r="1631" customFormat="false" ht="15" hidden="false" customHeight="false" outlineLevel="0" collapsed="false">
      <c r="A1631" s="1" t="s">
        <v>523</v>
      </c>
      <c r="B1631" s="1" t="n">
        <v>2016</v>
      </c>
      <c r="C1631" s="1" t="s">
        <v>160</v>
      </c>
      <c r="D1631" s="1" t="s">
        <v>105</v>
      </c>
      <c r="E1631" s="1" t="s">
        <v>65</v>
      </c>
      <c r="F1631" s="1" t="n">
        <v>24</v>
      </c>
      <c r="G1631" s="1" t="n">
        <v>16</v>
      </c>
      <c r="H1631" s="1" t="s">
        <v>106</v>
      </c>
      <c r="I1631" s="1" t="n">
        <v>-3</v>
      </c>
      <c r="J1631" s="1" t="n">
        <v>48</v>
      </c>
      <c r="K1631" s="1" t="s">
        <v>151</v>
      </c>
      <c r="L1631" s="1" t="b">
        <f aca="false">FALSE()</f>
        <v>0</v>
      </c>
      <c r="M1631" s="1" t="str">
        <f aca="false">VLOOKUP(D1631,'Team Reference'!$A:$B,2,FALSE())</f>
        <v>PIT</v>
      </c>
      <c r="N1631" s="1" t="str">
        <f aca="false">VLOOKUP(E1631,'Team Reference'!$A:$B,2,FALSE())</f>
        <v>CIN</v>
      </c>
      <c r="O1631" s="1" t="str">
        <f aca="false">IF(F1631&gt;G1631,M1631,IF(G1631&gt;F1631,N1631,"Tie"))</f>
        <v>PIT</v>
      </c>
      <c r="P1631" s="1" t="n">
        <f aca="false">F1631-G1631</f>
        <v>8</v>
      </c>
      <c r="Q1631" s="1" t="n">
        <f aca="false">F1631+G1631</f>
        <v>40</v>
      </c>
      <c r="R1631" s="1" t="str">
        <f aca="false">IF(H1631=M1631,"Home",IF(H1631=N1631,"Away",IF(H1631="PICK","Pick","N/A")))</f>
        <v>Home</v>
      </c>
      <c r="S1631" s="1" t="n">
        <f aca="false">IF(R1631="Home",P1631,IF(R1631="Away",-P1631,""))</f>
        <v>8</v>
      </c>
      <c r="T1631" s="1" t="str">
        <f aca="false">IF(R1631="Pick","No Line",IF(S1631="","N/A",IF(S1631+I1631&gt;0,"Favorite Covered",IF(S1631+I1631&lt;0,"Underdog Covered","Push"))))</f>
        <v>Favorite Covered</v>
      </c>
      <c r="U1631" s="1" t="str">
        <f aca="false">IF(Q1631&gt;J1631,"Over",IF(Q1631&lt;J1631,"Under","Push"))</f>
        <v>Under</v>
      </c>
    </row>
    <row r="1632" customFormat="false" ht="15" hidden="false" customHeight="false" outlineLevel="0" collapsed="false">
      <c r="A1632" s="1" t="s">
        <v>523</v>
      </c>
      <c r="B1632" s="1" t="n">
        <v>2016</v>
      </c>
      <c r="C1632" s="1" t="s">
        <v>160</v>
      </c>
      <c r="D1632" s="1" t="s">
        <v>107</v>
      </c>
      <c r="E1632" s="1" t="s">
        <v>81</v>
      </c>
      <c r="F1632" s="1" t="n">
        <v>38</v>
      </c>
      <c r="G1632" s="1" t="n">
        <v>14</v>
      </c>
      <c r="H1632" s="1" t="s">
        <v>86</v>
      </c>
      <c r="I1632" s="1" t="n">
        <v>-3</v>
      </c>
      <c r="J1632" s="1" t="n">
        <v>47.5</v>
      </c>
      <c r="K1632" s="1" t="s">
        <v>172</v>
      </c>
      <c r="L1632" s="1" t="b">
        <f aca="false">FALSE()</f>
        <v>0</v>
      </c>
      <c r="M1632" s="1" t="str">
        <f aca="false">VLOOKUP(D1632,'Team Reference'!$A:$B,2,FALSE())</f>
        <v>LAC</v>
      </c>
      <c r="N1632" s="1" t="str">
        <f aca="false">VLOOKUP(E1632,'Team Reference'!$A:$B,2,FALSE())</f>
        <v>JAX</v>
      </c>
      <c r="O1632" s="1" t="str">
        <f aca="false">IF(F1632&gt;G1632,M1632,IF(G1632&gt;F1632,N1632,"Tie"))</f>
        <v>LAC</v>
      </c>
      <c r="P1632" s="1" t="n">
        <f aca="false">F1632-G1632</f>
        <v>24</v>
      </c>
      <c r="Q1632" s="1" t="n">
        <f aca="false">F1632+G1632</f>
        <v>52</v>
      </c>
      <c r="R1632" s="1" t="str">
        <f aca="false">IF(H1632=M1632,"Home",IF(H1632=N1632,"Away",IF(H1632="PICK","Pick","N/A")))</f>
        <v>Home</v>
      </c>
      <c r="S1632" s="1" t="n">
        <f aca="false">IF(R1632="Home",P1632,IF(R1632="Away",-P1632,""))</f>
        <v>24</v>
      </c>
      <c r="T1632" s="1" t="str">
        <f aca="false">IF(R1632="Pick","No Line",IF(S1632="","N/A",IF(S1632+I1632&gt;0,"Favorite Covered",IF(S1632+I1632&lt;0,"Underdog Covered","Push"))))</f>
        <v>Favorite Covered</v>
      </c>
      <c r="U1632" s="1" t="str">
        <f aca="false">IF(Q1632&gt;J1632,"Over",IF(Q1632&lt;J1632,"Under","Push"))</f>
        <v>Over</v>
      </c>
    </row>
    <row r="1633" customFormat="false" ht="15" hidden="false" customHeight="false" outlineLevel="0" collapsed="false">
      <c r="A1633" s="1" t="s">
        <v>523</v>
      </c>
      <c r="B1633" s="1" t="n">
        <v>2016</v>
      </c>
      <c r="C1633" s="1" t="s">
        <v>160</v>
      </c>
      <c r="D1633" s="1" t="s">
        <v>117</v>
      </c>
      <c r="E1633" s="1" t="s">
        <v>69</v>
      </c>
      <c r="F1633" s="1" t="n">
        <v>23</v>
      </c>
      <c r="G1633" s="1" t="n">
        <v>27</v>
      </c>
      <c r="H1633" s="1" t="s">
        <v>118</v>
      </c>
      <c r="I1633" s="1" t="n">
        <v>-3</v>
      </c>
      <c r="J1633" s="1" t="n">
        <v>47</v>
      </c>
      <c r="K1633" s="1" t="s">
        <v>156</v>
      </c>
      <c r="L1633" s="1" t="b">
        <f aca="false">FALSE()</f>
        <v>0</v>
      </c>
      <c r="M1633" s="1" t="str">
        <f aca="false">VLOOKUP(D1633,'Team Reference'!$A:$B,2,FALSE())</f>
        <v>WAS</v>
      </c>
      <c r="N1633" s="1" t="str">
        <f aca="false">VLOOKUP(E1633,'Team Reference'!$A:$B,2,FALSE())</f>
        <v>DAL</v>
      </c>
      <c r="O1633" s="1" t="str">
        <f aca="false">IF(F1633&gt;G1633,M1633,IF(G1633&gt;F1633,N1633,"Tie"))</f>
        <v>DAL</v>
      </c>
      <c r="P1633" s="1" t="n">
        <f aca="false">F1633-G1633</f>
        <v>-4</v>
      </c>
      <c r="Q1633" s="1" t="n">
        <f aca="false">F1633+G1633</f>
        <v>50</v>
      </c>
      <c r="R1633" s="1" t="str">
        <f aca="false">IF(H1633=M1633,"Home",IF(H1633=N1633,"Away",IF(H1633="PICK","Pick","N/A")))</f>
        <v>Home</v>
      </c>
      <c r="S1633" s="1" t="n">
        <f aca="false">IF(R1633="Home",P1633,IF(R1633="Away",-P1633,""))</f>
        <v>-4</v>
      </c>
      <c r="T1633" s="1" t="str">
        <f aca="false">IF(R1633="Pick","No Line",IF(S1633="","N/A",IF(S1633+I1633&gt;0,"Favorite Covered",IF(S1633+I1633&lt;0,"Underdog Covered","Push"))))</f>
        <v>Underdog Covered</v>
      </c>
      <c r="U1633" s="1" t="str">
        <f aca="false">IF(Q1633&gt;J1633,"Over",IF(Q1633&lt;J1633,"Under","Push"))</f>
        <v>Over</v>
      </c>
    </row>
    <row r="1634" customFormat="false" ht="15" hidden="false" customHeight="false" outlineLevel="0" collapsed="false">
      <c r="A1634" s="1" t="s">
        <v>524</v>
      </c>
      <c r="B1634" s="1" t="n">
        <v>2016</v>
      </c>
      <c r="C1634" s="1" t="s">
        <v>160</v>
      </c>
      <c r="D1634" s="1" t="s">
        <v>63</v>
      </c>
      <c r="E1634" s="1" t="s">
        <v>103</v>
      </c>
      <c r="F1634" s="1" t="n">
        <v>14</v>
      </c>
      <c r="G1634" s="1" t="n">
        <v>29</v>
      </c>
      <c r="H1634" s="1" t="s">
        <v>64</v>
      </c>
      <c r="I1634" s="1" t="n">
        <v>-3</v>
      </c>
      <c r="J1634" s="1" t="n">
        <v>43</v>
      </c>
      <c r="K1634" s="1" t="s">
        <v>145</v>
      </c>
      <c r="L1634" s="1" t="b">
        <f aca="false">FALSE()</f>
        <v>0</v>
      </c>
      <c r="M1634" s="1" t="str">
        <f aca="false">VLOOKUP(D1634,'Team Reference'!$A:$B,2,FALSE())</f>
        <v>CHI</v>
      </c>
      <c r="N1634" s="1" t="str">
        <f aca="false">VLOOKUP(E1634,'Team Reference'!$A:$B,2,FALSE())</f>
        <v>PHI</v>
      </c>
      <c r="O1634" s="1" t="str">
        <f aca="false">IF(F1634&gt;G1634,M1634,IF(G1634&gt;F1634,N1634,"Tie"))</f>
        <v>PHI</v>
      </c>
      <c r="P1634" s="1" t="n">
        <f aca="false">F1634-G1634</f>
        <v>-15</v>
      </c>
      <c r="Q1634" s="1" t="n">
        <f aca="false">F1634+G1634</f>
        <v>43</v>
      </c>
      <c r="R1634" s="1" t="str">
        <f aca="false">IF(H1634=M1634,"Home",IF(H1634=N1634,"Away",IF(H1634="PICK","Pick","N/A")))</f>
        <v>Home</v>
      </c>
      <c r="S1634" s="1" t="n">
        <f aca="false">IF(R1634="Home",P1634,IF(R1634="Away",-P1634,""))</f>
        <v>-15</v>
      </c>
      <c r="T1634" s="1" t="str">
        <f aca="false">IF(R1634="Pick","No Line",IF(S1634="","N/A",IF(S1634+I1634&gt;0,"Favorite Covered",IF(S1634+I1634&lt;0,"Underdog Covered","Push"))))</f>
        <v>Underdog Covered</v>
      </c>
      <c r="U1634" s="1" t="str">
        <f aca="false">IF(Q1634&gt;J1634,"Over",IF(Q1634&lt;J1634,"Under","Push"))</f>
        <v>Push</v>
      </c>
    </row>
    <row r="1635" customFormat="false" ht="15" hidden="false" customHeight="false" outlineLevel="0" collapsed="false">
      <c r="A1635" s="1" t="s">
        <v>524</v>
      </c>
      <c r="B1635" s="1" t="n">
        <v>2016</v>
      </c>
      <c r="C1635" s="1" t="s">
        <v>160</v>
      </c>
      <c r="D1635" s="1" t="s">
        <v>91</v>
      </c>
      <c r="E1635" s="1" t="s">
        <v>75</v>
      </c>
      <c r="F1635" s="1" t="n">
        <v>17</v>
      </c>
      <c r="G1635" s="1" t="n">
        <v>14</v>
      </c>
      <c r="H1635" s="1" t="s">
        <v>76</v>
      </c>
      <c r="I1635" s="1" t="n">
        <v>-2</v>
      </c>
      <c r="J1635" s="1" t="n">
        <v>43</v>
      </c>
      <c r="K1635" s="1" t="s">
        <v>525</v>
      </c>
      <c r="L1635" s="1" t="b">
        <f aca="false">FALSE()</f>
        <v>0</v>
      </c>
      <c r="M1635" s="1" t="str">
        <f aca="false">VLOOKUP(D1635,'Team Reference'!$A:$B,2,FALSE())</f>
        <v>MIN</v>
      </c>
      <c r="N1635" s="1" t="str">
        <f aca="false">VLOOKUP(E1635,'Team Reference'!$A:$B,2,FALSE())</f>
        <v>GB</v>
      </c>
      <c r="O1635" s="1" t="str">
        <f aca="false">IF(F1635&gt;G1635,M1635,IF(G1635&gt;F1635,N1635,"Tie"))</f>
        <v>MIN</v>
      </c>
      <c r="P1635" s="1" t="n">
        <f aca="false">F1635-G1635</f>
        <v>3</v>
      </c>
      <c r="Q1635" s="1" t="n">
        <f aca="false">F1635+G1635</f>
        <v>31</v>
      </c>
      <c r="R1635" s="1" t="str">
        <f aca="false">IF(H1635=M1635,"Home",IF(H1635=N1635,"Away",IF(H1635="PICK","Pick","N/A")))</f>
        <v>Away</v>
      </c>
      <c r="S1635" s="1" t="n">
        <f aca="false">IF(R1635="Home",P1635,IF(R1635="Away",-P1635,""))</f>
        <v>-3</v>
      </c>
      <c r="T1635" s="1" t="str">
        <f aca="false">IF(R1635="Pick","No Line",IF(S1635="","N/A",IF(S1635+I1635&gt;0,"Favorite Covered",IF(S1635+I1635&lt;0,"Underdog Covered","Push"))))</f>
        <v>Underdog Covered</v>
      </c>
      <c r="U1635" s="1" t="str">
        <f aca="false">IF(Q1635&gt;J1635,"Over",IF(Q1635&lt;J1635,"Under","Push"))</f>
        <v>Under</v>
      </c>
    </row>
    <row r="1636" customFormat="false" ht="15" hidden="false" customHeight="false" outlineLevel="0" collapsed="false">
      <c r="A1636" s="1" t="s">
        <v>526</v>
      </c>
      <c r="B1636" s="1" t="n">
        <v>2016</v>
      </c>
      <c r="C1636" s="1" t="s">
        <v>176</v>
      </c>
      <c r="D1636" s="1" t="s">
        <v>93</v>
      </c>
      <c r="E1636" s="1" t="s">
        <v>77</v>
      </c>
      <c r="F1636" s="1" t="n">
        <v>27</v>
      </c>
      <c r="G1636" s="1" t="n">
        <v>0</v>
      </c>
      <c r="H1636" s="1" t="s">
        <v>94</v>
      </c>
      <c r="I1636" s="1" t="n">
        <v>-1</v>
      </c>
      <c r="J1636" s="1" t="n">
        <v>38.5</v>
      </c>
      <c r="K1636" s="1" t="s">
        <v>148</v>
      </c>
      <c r="L1636" s="1" t="b">
        <f aca="false">FALSE()</f>
        <v>0</v>
      </c>
      <c r="M1636" s="1" t="str">
        <f aca="false">VLOOKUP(D1636,'Team Reference'!$A:$B,2,FALSE())</f>
        <v>NE</v>
      </c>
      <c r="N1636" s="1" t="str">
        <f aca="false">VLOOKUP(E1636,'Team Reference'!$A:$B,2,FALSE())</f>
        <v>HOU</v>
      </c>
      <c r="O1636" s="1" t="str">
        <f aca="false">IF(F1636&gt;G1636,M1636,IF(G1636&gt;F1636,N1636,"Tie"))</f>
        <v>NE</v>
      </c>
      <c r="P1636" s="1" t="n">
        <f aca="false">F1636-G1636</f>
        <v>27</v>
      </c>
      <c r="Q1636" s="1" t="n">
        <f aca="false">F1636+G1636</f>
        <v>27</v>
      </c>
      <c r="R1636" s="1" t="str">
        <f aca="false">IF(H1636=M1636,"Home",IF(H1636=N1636,"Away",IF(H1636="PICK","Pick","N/A")))</f>
        <v>Home</v>
      </c>
      <c r="S1636" s="1" t="n">
        <f aca="false">IF(R1636="Home",P1636,IF(R1636="Away",-P1636,""))</f>
        <v>27</v>
      </c>
      <c r="T1636" s="1" t="str">
        <f aca="false">IF(R1636="Pick","No Line",IF(S1636="","N/A",IF(S1636+I1636&gt;0,"Favorite Covered",IF(S1636+I1636&lt;0,"Underdog Covered","Push"))))</f>
        <v>Favorite Covered</v>
      </c>
      <c r="U1636" s="1" t="str">
        <f aca="false">IF(Q1636&gt;J1636,"Over",IF(Q1636&lt;J1636,"Under","Push"))</f>
        <v>Under</v>
      </c>
    </row>
    <row r="1637" customFormat="false" ht="15" hidden="false" customHeight="false" outlineLevel="0" collapsed="false">
      <c r="A1637" s="1" t="s">
        <v>527</v>
      </c>
      <c r="B1637" s="1" t="n">
        <v>2016</v>
      </c>
      <c r="C1637" s="1" t="s">
        <v>176</v>
      </c>
      <c r="D1637" s="1" t="s">
        <v>59</v>
      </c>
      <c r="E1637" s="1" t="s">
        <v>53</v>
      </c>
      <c r="F1637" s="1" t="n">
        <v>33</v>
      </c>
      <c r="G1637" s="1" t="n">
        <v>18</v>
      </c>
      <c r="H1637" s="1" t="s">
        <v>54</v>
      </c>
      <c r="I1637" s="1" t="n">
        <v>-5</v>
      </c>
      <c r="J1637" s="1" t="n">
        <v>48</v>
      </c>
      <c r="K1637" s="1" t="s">
        <v>522</v>
      </c>
      <c r="L1637" s="1" t="b">
        <f aca="false">FALSE()</f>
        <v>0</v>
      </c>
      <c r="M1637" s="1" t="str">
        <f aca="false">VLOOKUP(D1637,'Team Reference'!$A:$B,2,FALSE())</f>
        <v>BUF</v>
      </c>
      <c r="N1637" s="1" t="str">
        <f aca="false">VLOOKUP(E1637,'Team Reference'!$A:$B,2,FALSE())</f>
        <v>ARI</v>
      </c>
      <c r="O1637" s="1" t="str">
        <f aca="false">IF(F1637&gt;G1637,M1637,IF(G1637&gt;F1637,N1637,"Tie"))</f>
        <v>BUF</v>
      </c>
      <c r="P1637" s="1" t="n">
        <f aca="false">F1637-G1637</f>
        <v>15</v>
      </c>
      <c r="Q1637" s="1" t="n">
        <f aca="false">F1637+G1637</f>
        <v>51</v>
      </c>
      <c r="R1637" s="1" t="str">
        <f aca="false">IF(H1637=M1637,"Home",IF(H1637=N1637,"Away",IF(H1637="PICK","Pick","N/A")))</f>
        <v>Away</v>
      </c>
      <c r="S1637" s="1" t="n">
        <f aca="false">IF(R1637="Home",P1637,IF(R1637="Away",-P1637,""))</f>
        <v>-15</v>
      </c>
      <c r="T1637" s="1" t="str">
        <f aca="false">IF(R1637="Pick","No Line",IF(S1637="","N/A",IF(S1637+I1637&gt;0,"Favorite Covered",IF(S1637+I1637&lt;0,"Underdog Covered","Push"))))</f>
        <v>Underdog Covered</v>
      </c>
      <c r="U1637" s="1" t="str">
        <f aca="false">IF(Q1637&gt;J1637,"Over",IF(Q1637&lt;J1637,"Under","Push"))</f>
        <v>Over</v>
      </c>
    </row>
    <row r="1638" customFormat="false" ht="15" hidden="false" customHeight="false" outlineLevel="0" collapsed="false">
      <c r="A1638" s="1" t="s">
        <v>527</v>
      </c>
      <c r="B1638" s="1" t="n">
        <v>2016</v>
      </c>
      <c r="C1638" s="1" t="s">
        <v>176</v>
      </c>
      <c r="D1638" s="1" t="s">
        <v>61</v>
      </c>
      <c r="E1638" s="1" t="s">
        <v>91</v>
      </c>
      <c r="F1638" s="1" t="n">
        <v>10</v>
      </c>
      <c r="G1638" s="1" t="n">
        <v>22</v>
      </c>
      <c r="H1638" s="1" t="s">
        <v>62</v>
      </c>
      <c r="I1638" s="1" t="n">
        <v>-6.5</v>
      </c>
      <c r="J1638" s="1" t="n">
        <v>42.5</v>
      </c>
      <c r="K1638" s="1" t="s">
        <v>162</v>
      </c>
      <c r="L1638" s="1" t="b">
        <f aca="false">FALSE()</f>
        <v>0</v>
      </c>
      <c r="M1638" s="1" t="str">
        <f aca="false">VLOOKUP(D1638,'Team Reference'!$A:$B,2,FALSE())</f>
        <v>CAR</v>
      </c>
      <c r="N1638" s="1" t="str">
        <f aca="false">VLOOKUP(E1638,'Team Reference'!$A:$B,2,FALSE())</f>
        <v>MIN</v>
      </c>
      <c r="O1638" s="1" t="str">
        <f aca="false">IF(F1638&gt;G1638,M1638,IF(G1638&gt;F1638,N1638,"Tie"))</f>
        <v>MIN</v>
      </c>
      <c r="P1638" s="1" t="n">
        <f aca="false">F1638-G1638</f>
        <v>-12</v>
      </c>
      <c r="Q1638" s="1" t="n">
        <f aca="false">F1638+G1638</f>
        <v>32</v>
      </c>
      <c r="R1638" s="1" t="str">
        <f aca="false">IF(H1638=M1638,"Home",IF(H1638=N1638,"Away",IF(H1638="PICK","Pick","N/A")))</f>
        <v>Home</v>
      </c>
      <c r="S1638" s="1" t="n">
        <f aca="false">IF(R1638="Home",P1638,IF(R1638="Away",-P1638,""))</f>
        <v>-12</v>
      </c>
      <c r="T1638" s="1" t="str">
        <f aca="false">IF(R1638="Pick","No Line",IF(S1638="","N/A",IF(S1638+I1638&gt;0,"Favorite Covered",IF(S1638+I1638&lt;0,"Underdog Covered","Push"))))</f>
        <v>Underdog Covered</v>
      </c>
      <c r="U1638" s="1" t="str">
        <f aca="false">IF(Q1638&gt;J1638,"Over",IF(Q1638&lt;J1638,"Under","Push"))</f>
        <v>Under</v>
      </c>
    </row>
    <row r="1639" customFormat="false" ht="15" hidden="false" customHeight="false" outlineLevel="0" collapsed="false">
      <c r="A1639" s="1" t="s">
        <v>527</v>
      </c>
      <c r="B1639" s="1" t="n">
        <v>2016</v>
      </c>
      <c r="C1639" s="1" t="s">
        <v>176</v>
      </c>
      <c r="D1639" s="1" t="s">
        <v>65</v>
      </c>
      <c r="E1639" s="1" t="s">
        <v>71</v>
      </c>
      <c r="F1639" s="1" t="n">
        <v>17</v>
      </c>
      <c r="G1639" s="1" t="n">
        <v>29</v>
      </c>
      <c r="H1639" s="1" t="s">
        <v>66</v>
      </c>
      <c r="I1639" s="1" t="n">
        <v>-3.5</v>
      </c>
      <c r="J1639" s="1" t="n">
        <v>41.5</v>
      </c>
      <c r="K1639" s="1" t="s">
        <v>163</v>
      </c>
      <c r="L1639" s="1" t="b">
        <f aca="false">FALSE()</f>
        <v>0</v>
      </c>
      <c r="M1639" s="1" t="str">
        <f aca="false">VLOOKUP(D1639,'Team Reference'!$A:$B,2,FALSE())</f>
        <v>CIN</v>
      </c>
      <c r="N1639" s="1" t="str">
        <f aca="false">VLOOKUP(E1639,'Team Reference'!$A:$B,2,FALSE())</f>
        <v>DEN</v>
      </c>
      <c r="O1639" s="1" t="str">
        <f aca="false">IF(F1639&gt;G1639,M1639,IF(G1639&gt;F1639,N1639,"Tie"))</f>
        <v>DEN</v>
      </c>
      <c r="P1639" s="1" t="n">
        <f aca="false">F1639-G1639</f>
        <v>-12</v>
      </c>
      <c r="Q1639" s="1" t="n">
        <f aca="false">F1639+G1639</f>
        <v>46</v>
      </c>
      <c r="R1639" s="1" t="str">
        <f aca="false">IF(H1639=M1639,"Home",IF(H1639=N1639,"Away",IF(H1639="PICK","Pick","N/A")))</f>
        <v>Home</v>
      </c>
      <c r="S1639" s="1" t="n">
        <f aca="false">IF(R1639="Home",P1639,IF(R1639="Away",-P1639,""))</f>
        <v>-12</v>
      </c>
      <c r="T1639" s="1" t="str">
        <f aca="false">IF(R1639="Pick","No Line",IF(S1639="","N/A",IF(S1639+I1639&gt;0,"Favorite Covered",IF(S1639+I1639&lt;0,"Underdog Covered","Push"))))</f>
        <v>Underdog Covered</v>
      </c>
      <c r="U1639" s="1" t="str">
        <f aca="false">IF(Q1639&gt;J1639,"Over",IF(Q1639&lt;J1639,"Under","Push"))</f>
        <v>Over</v>
      </c>
    </row>
    <row r="1640" customFormat="false" ht="15" hidden="false" customHeight="false" outlineLevel="0" collapsed="false">
      <c r="A1640" s="1" t="s">
        <v>527</v>
      </c>
      <c r="B1640" s="1" t="n">
        <v>2016</v>
      </c>
      <c r="C1640" s="1" t="s">
        <v>176</v>
      </c>
      <c r="D1640" s="1" t="s">
        <v>69</v>
      </c>
      <c r="E1640" s="1" t="s">
        <v>63</v>
      </c>
      <c r="F1640" s="1" t="n">
        <v>31</v>
      </c>
      <c r="G1640" s="1" t="n">
        <v>17</v>
      </c>
      <c r="H1640" s="1" t="s">
        <v>70</v>
      </c>
      <c r="I1640" s="1" t="n">
        <v>-6.5</v>
      </c>
      <c r="J1640" s="1" t="n">
        <v>45</v>
      </c>
      <c r="K1640" s="1" t="s">
        <v>165</v>
      </c>
      <c r="L1640" s="1" t="b">
        <f aca="false">FALSE()</f>
        <v>0</v>
      </c>
      <c r="M1640" s="1" t="str">
        <f aca="false">VLOOKUP(D1640,'Team Reference'!$A:$B,2,FALSE())</f>
        <v>DAL</v>
      </c>
      <c r="N1640" s="1" t="str">
        <f aca="false">VLOOKUP(E1640,'Team Reference'!$A:$B,2,FALSE())</f>
        <v>CHI</v>
      </c>
      <c r="O1640" s="1" t="str">
        <f aca="false">IF(F1640&gt;G1640,M1640,IF(G1640&gt;F1640,N1640,"Tie"))</f>
        <v>DAL</v>
      </c>
      <c r="P1640" s="1" t="n">
        <f aca="false">F1640-G1640</f>
        <v>14</v>
      </c>
      <c r="Q1640" s="1" t="n">
        <f aca="false">F1640+G1640</f>
        <v>48</v>
      </c>
      <c r="R1640" s="1" t="str">
        <f aca="false">IF(H1640=M1640,"Home",IF(H1640=N1640,"Away",IF(H1640="PICK","Pick","N/A")))</f>
        <v>Home</v>
      </c>
      <c r="S1640" s="1" t="n">
        <f aca="false">IF(R1640="Home",P1640,IF(R1640="Away",-P1640,""))</f>
        <v>14</v>
      </c>
      <c r="T1640" s="1" t="str">
        <f aca="false">IF(R1640="Pick","No Line",IF(S1640="","N/A",IF(S1640+I1640&gt;0,"Favorite Covered",IF(S1640+I1640&lt;0,"Underdog Covered","Push"))))</f>
        <v>Favorite Covered</v>
      </c>
      <c r="U1640" s="1" t="str">
        <f aca="false">IF(Q1640&gt;J1640,"Over",IF(Q1640&lt;J1640,"Under","Push"))</f>
        <v>Over</v>
      </c>
    </row>
    <row r="1641" customFormat="false" ht="15" hidden="false" customHeight="false" outlineLevel="0" collapsed="false">
      <c r="A1641" s="1" t="s">
        <v>527</v>
      </c>
      <c r="B1641" s="1" t="n">
        <v>2016</v>
      </c>
      <c r="C1641" s="1" t="s">
        <v>176</v>
      </c>
      <c r="D1641" s="1" t="s">
        <v>75</v>
      </c>
      <c r="E1641" s="1" t="s">
        <v>73</v>
      </c>
      <c r="F1641" s="1" t="n">
        <v>34</v>
      </c>
      <c r="G1641" s="1" t="n">
        <v>27</v>
      </c>
      <c r="H1641" s="1" t="s">
        <v>76</v>
      </c>
      <c r="I1641" s="1" t="n">
        <v>-6.5</v>
      </c>
      <c r="J1641" s="1" t="n">
        <v>47.5</v>
      </c>
      <c r="K1641" s="1" t="s">
        <v>168</v>
      </c>
      <c r="L1641" s="1" t="b">
        <f aca="false">FALSE()</f>
        <v>0</v>
      </c>
      <c r="M1641" s="1" t="str">
        <f aca="false">VLOOKUP(D1641,'Team Reference'!$A:$B,2,FALSE())</f>
        <v>GB</v>
      </c>
      <c r="N1641" s="1" t="str">
        <f aca="false">VLOOKUP(E1641,'Team Reference'!$A:$B,2,FALSE())</f>
        <v>DET</v>
      </c>
      <c r="O1641" s="1" t="str">
        <f aca="false">IF(F1641&gt;G1641,M1641,IF(G1641&gt;F1641,N1641,"Tie"))</f>
        <v>GB</v>
      </c>
      <c r="P1641" s="1" t="n">
        <f aca="false">F1641-G1641</f>
        <v>7</v>
      </c>
      <c r="Q1641" s="1" t="n">
        <f aca="false">F1641+G1641</f>
        <v>61</v>
      </c>
      <c r="R1641" s="1" t="str">
        <f aca="false">IF(H1641=M1641,"Home",IF(H1641=N1641,"Away",IF(H1641="PICK","Pick","N/A")))</f>
        <v>Home</v>
      </c>
      <c r="S1641" s="1" t="n">
        <f aca="false">IF(R1641="Home",P1641,IF(R1641="Away",-P1641,""))</f>
        <v>7</v>
      </c>
      <c r="T1641" s="1" t="str">
        <f aca="false">IF(R1641="Pick","No Line",IF(S1641="","N/A",IF(S1641+I1641&gt;0,"Favorite Covered",IF(S1641+I1641&lt;0,"Underdog Covered","Push"))))</f>
        <v>Favorite Covered</v>
      </c>
      <c r="U1641" s="1" t="str">
        <f aca="false">IF(Q1641&gt;J1641,"Over",IF(Q1641&lt;J1641,"Under","Push"))</f>
        <v>Over</v>
      </c>
    </row>
    <row r="1642" customFormat="false" ht="15" hidden="false" customHeight="false" outlineLevel="0" collapsed="false">
      <c r="A1642" s="1" t="s">
        <v>527</v>
      </c>
      <c r="B1642" s="1" t="n">
        <v>2016</v>
      </c>
      <c r="C1642" s="1" t="s">
        <v>176</v>
      </c>
      <c r="D1642" s="1" t="s">
        <v>79</v>
      </c>
      <c r="E1642" s="1" t="s">
        <v>107</v>
      </c>
      <c r="F1642" s="1" t="n">
        <v>26</v>
      </c>
      <c r="G1642" s="1" t="n">
        <v>22</v>
      </c>
      <c r="H1642" s="1" t="s">
        <v>80</v>
      </c>
      <c r="I1642" s="1" t="n">
        <v>-1.5</v>
      </c>
      <c r="J1642" s="1" t="n">
        <v>51.5</v>
      </c>
      <c r="K1642" s="1" t="s">
        <v>169</v>
      </c>
      <c r="L1642" s="1" t="b">
        <f aca="false">FALSE()</f>
        <v>0</v>
      </c>
      <c r="M1642" s="1" t="str">
        <f aca="false">VLOOKUP(D1642,'Team Reference'!$A:$B,2,FALSE())</f>
        <v>IND</v>
      </c>
      <c r="N1642" s="1" t="str">
        <f aca="false">VLOOKUP(E1642,'Team Reference'!$A:$B,2,FALSE())</f>
        <v>LAC</v>
      </c>
      <c r="O1642" s="1" t="str">
        <f aca="false">IF(F1642&gt;G1642,M1642,IF(G1642&gt;F1642,N1642,"Tie"))</f>
        <v>IND</v>
      </c>
      <c r="P1642" s="1" t="n">
        <f aca="false">F1642-G1642</f>
        <v>4</v>
      </c>
      <c r="Q1642" s="1" t="n">
        <f aca="false">F1642+G1642</f>
        <v>48</v>
      </c>
      <c r="R1642" s="1" t="str">
        <f aca="false">IF(H1642=M1642,"Home",IF(H1642=N1642,"Away",IF(H1642="PICK","Pick","N/A")))</f>
        <v>Home</v>
      </c>
      <c r="S1642" s="1" t="n">
        <f aca="false">IF(R1642="Home",P1642,IF(R1642="Away",-P1642,""))</f>
        <v>4</v>
      </c>
      <c r="T1642" s="1" t="str">
        <f aca="false">IF(R1642="Pick","No Line",IF(S1642="","N/A",IF(S1642+I1642&gt;0,"Favorite Covered",IF(S1642+I1642&lt;0,"Underdog Covered","Push"))))</f>
        <v>Favorite Covered</v>
      </c>
      <c r="U1642" s="1" t="str">
        <f aca="false">IF(Q1642&gt;J1642,"Over",IF(Q1642&lt;J1642,"Under","Push"))</f>
        <v>Under</v>
      </c>
    </row>
    <row r="1643" customFormat="false" ht="15" hidden="false" customHeight="false" outlineLevel="0" collapsed="false">
      <c r="A1643" s="1" t="s">
        <v>527</v>
      </c>
      <c r="B1643" s="1" t="n">
        <v>2016</v>
      </c>
      <c r="C1643" s="1" t="s">
        <v>176</v>
      </c>
      <c r="D1643" s="1" t="s">
        <v>81</v>
      </c>
      <c r="E1643" s="1" t="s">
        <v>57</v>
      </c>
      <c r="F1643" s="1" t="n">
        <v>17</v>
      </c>
      <c r="G1643" s="1" t="n">
        <v>19</v>
      </c>
      <c r="H1643" s="1" t="s">
        <v>58</v>
      </c>
      <c r="I1643" s="1" t="n">
        <v>-2</v>
      </c>
      <c r="J1643" s="1" t="n">
        <v>45</v>
      </c>
      <c r="K1643" s="1" t="s">
        <v>147</v>
      </c>
      <c r="L1643" s="1" t="b">
        <f aca="false">FALSE()</f>
        <v>0</v>
      </c>
      <c r="M1643" s="1" t="str">
        <f aca="false">VLOOKUP(D1643,'Team Reference'!$A:$B,2,FALSE())</f>
        <v>JAX</v>
      </c>
      <c r="N1643" s="1" t="str">
        <f aca="false">VLOOKUP(E1643,'Team Reference'!$A:$B,2,FALSE())</f>
        <v>BAL</v>
      </c>
      <c r="O1643" s="1" t="str">
        <f aca="false">IF(F1643&gt;G1643,M1643,IF(G1643&gt;F1643,N1643,"Tie"))</f>
        <v>BAL</v>
      </c>
      <c r="P1643" s="1" t="n">
        <f aca="false">F1643-G1643</f>
        <v>-2</v>
      </c>
      <c r="Q1643" s="1" t="n">
        <f aca="false">F1643+G1643</f>
        <v>36</v>
      </c>
      <c r="R1643" s="1" t="str">
        <f aca="false">IF(H1643=M1643,"Home",IF(H1643=N1643,"Away",IF(H1643="PICK","Pick","N/A")))</f>
        <v>Away</v>
      </c>
      <c r="S1643" s="1" t="n">
        <f aca="false">IF(R1643="Home",P1643,IF(R1643="Away",-P1643,""))</f>
        <v>2</v>
      </c>
      <c r="T1643" s="1" t="str">
        <f aca="false">IF(R1643="Pick","No Line",IF(S1643="","N/A",IF(S1643+I1643&gt;0,"Favorite Covered",IF(S1643+I1643&lt;0,"Underdog Covered","Push"))))</f>
        <v>Push</v>
      </c>
      <c r="U1643" s="1" t="str">
        <f aca="false">IF(Q1643&gt;J1643,"Over",IF(Q1643&lt;J1643,"Under","Push"))</f>
        <v>Under</v>
      </c>
    </row>
    <row r="1644" customFormat="false" ht="15" hidden="false" customHeight="false" outlineLevel="0" collapsed="false">
      <c r="A1644" s="1" t="s">
        <v>527</v>
      </c>
      <c r="B1644" s="1" t="n">
        <v>2016</v>
      </c>
      <c r="C1644" s="1" t="s">
        <v>176</v>
      </c>
      <c r="D1644" s="1" t="s">
        <v>83</v>
      </c>
      <c r="E1644" s="1" t="s">
        <v>99</v>
      </c>
      <c r="F1644" s="1" t="n">
        <v>24</v>
      </c>
      <c r="G1644" s="1" t="n">
        <v>3</v>
      </c>
      <c r="H1644" s="1" t="s">
        <v>84</v>
      </c>
      <c r="I1644" s="1" t="n">
        <v>-3</v>
      </c>
      <c r="J1644" s="1" t="n">
        <v>44.5</v>
      </c>
      <c r="K1644" s="1" t="s">
        <v>158</v>
      </c>
      <c r="L1644" s="1" t="b">
        <f aca="false">FALSE()</f>
        <v>0</v>
      </c>
      <c r="M1644" s="1" t="str">
        <f aca="false">VLOOKUP(D1644,'Team Reference'!$A:$B,2,FALSE())</f>
        <v>KC</v>
      </c>
      <c r="N1644" s="1" t="str">
        <f aca="false">VLOOKUP(E1644,'Team Reference'!$A:$B,2,FALSE())</f>
        <v>NYJ</v>
      </c>
      <c r="O1644" s="1" t="str">
        <f aca="false">IF(F1644&gt;G1644,M1644,IF(G1644&gt;F1644,N1644,"Tie"))</f>
        <v>KC</v>
      </c>
      <c r="P1644" s="1" t="n">
        <f aca="false">F1644-G1644</f>
        <v>21</v>
      </c>
      <c r="Q1644" s="1" t="n">
        <f aca="false">F1644+G1644</f>
        <v>27</v>
      </c>
      <c r="R1644" s="1" t="str">
        <f aca="false">IF(H1644=M1644,"Home",IF(H1644=N1644,"Away",IF(H1644="PICK","Pick","N/A")))</f>
        <v>Home</v>
      </c>
      <c r="S1644" s="1" t="n">
        <f aca="false">IF(R1644="Home",P1644,IF(R1644="Away",-P1644,""))</f>
        <v>21</v>
      </c>
      <c r="T1644" s="1" t="str">
        <f aca="false">IF(R1644="Pick","No Line",IF(S1644="","N/A",IF(S1644+I1644&gt;0,"Favorite Covered",IF(S1644+I1644&lt;0,"Underdog Covered","Push"))))</f>
        <v>Favorite Covered</v>
      </c>
      <c r="U1644" s="1" t="str">
        <f aca="false">IF(Q1644&gt;J1644,"Over",IF(Q1644&lt;J1644,"Under","Push"))</f>
        <v>Under</v>
      </c>
    </row>
    <row r="1645" customFormat="false" ht="15" hidden="false" customHeight="false" outlineLevel="0" collapsed="false">
      <c r="A1645" s="1" t="s">
        <v>527</v>
      </c>
      <c r="B1645" s="1" t="n">
        <v>2016</v>
      </c>
      <c r="C1645" s="1" t="s">
        <v>176</v>
      </c>
      <c r="D1645" s="1" t="s">
        <v>89</v>
      </c>
      <c r="E1645" s="1" t="s">
        <v>67</v>
      </c>
      <c r="F1645" s="1" t="n">
        <v>30</v>
      </c>
      <c r="G1645" s="1" t="n">
        <v>24</v>
      </c>
      <c r="H1645" s="1" t="s">
        <v>90</v>
      </c>
      <c r="I1645" s="1" t="n">
        <v>-10</v>
      </c>
      <c r="J1645" s="1" t="n">
        <v>42.5</v>
      </c>
      <c r="K1645" s="1" t="s">
        <v>179</v>
      </c>
      <c r="L1645" s="1" t="b">
        <f aca="false">FALSE()</f>
        <v>0</v>
      </c>
      <c r="M1645" s="1" t="str">
        <f aca="false">VLOOKUP(D1645,'Team Reference'!$A:$B,2,FALSE())</f>
        <v>MIA</v>
      </c>
      <c r="N1645" s="1" t="str">
        <f aca="false">VLOOKUP(E1645,'Team Reference'!$A:$B,2,FALSE())</f>
        <v>CLE</v>
      </c>
      <c r="O1645" s="1" t="str">
        <f aca="false">IF(F1645&gt;G1645,M1645,IF(G1645&gt;F1645,N1645,"Tie"))</f>
        <v>MIA</v>
      </c>
      <c r="P1645" s="1" t="n">
        <f aca="false">F1645-G1645</f>
        <v>6</v>
      </c>
      <c r="Q1645" s="1" t="n">
        <f aca="false">F1645+G1645</f>
        <v>54</v>
      </c>
      <c r="R1645" s="1" t="str">
        <f aca="false">IF(H1645=M1645,"Home",IF(H1645=N1645,"Away",IF(H1645="PICK","Pick","N/A")))</f>
        <v>Home</v>
      </c>
      <c r="S1645" s="1" t="n">
        <f aca="false">IF(R1645="Home",P1645,IF(R1645="Away",-P1645,""))</f>
        <v>6</v>
      </c>
      <c r="T1645" s="1" t="str">
        <f aca="false">IF(R1645="Pick","No Line",IF(S1645="","N/A",IF(S1645+I1645&gt;0,"Favorite Covered",IF(S1645+I1645&lt;0,"Underdog Covered","Push"))))</f>
        <v>Underdog Covered</v>
      </c>
      <c r="U1645" s="1" t="str">
        <f aca="false">IF(Q1645&gt;J1645,"Over",IF(Q1645&lt;J1645,"Under","Push"))</f>
        <v>Over</v>
      </c>
    </row>
    <row r="1646" customFormat="false" ht="15" hidden="false" customHeight="false" outlineLevel="0" collapsed="false">
      <c r="A1646" s="1" t="s">
        <v>527</v>
      </c>
      <c r="B1646" s="1" t="n">
        <v>2016</v>
      </c>
      <c r="C1646" s="1" t="s">
        <v>176</v>
      </c>
      <c r="D1646" s="1" t="s">
        <v>97</v>
      </c>
      <c r="E1646" s="1" t="s">
        <v>117</v>
      </c>
      <c r="F1646" s="1" t="n">
        <v>27</v>
      </c>
      <c r="G1646" s="1" t="n">
        <v>29</v>
      </c>
      <c r="H1646" s="1" t="s">
        <v>98</v>
      </c>
      <c r="I1646" s="1" t="n">
        <v>-3.5</v>
      </c>
      <c r="J1646" s="1" t="n">
        <v>47</v>
      </c>
      <c r="K1646" s="1" t="s">
        <v>149</v>
      </c>
      <c r="L1646" s="1" t="b">
        <f aca="false">FALSE()</f>
        <v>0</v>
      </c>
      <c r="M1646" s="1" t="str">
        <f aca="false">VLOOKUP(D1646,'Team Reference'!$A:$B,2,FALSE())</f>
        <v>NYG</v>
      </c>
      <c r="N1646" s="1" t="str">
        <f aca="false">VLOOKUP(E1646,'Team Reference'!$A:$B,2,FALSE())</f>
        <v>WAS</v>
      </c>
      <c r="O1646" s="1" t="str">
        <f aca="false">IF(F1646&gt;G1646,M1646,IF(G1646&gt;F1646,N1646,"Tie"))</f>
        <v>WAS</v>
      </c>
      <c r="P1646" s="1" t="n">
        <f aca="false">F1646-G1646</f>
        <v>-2</v>
      </c>
      <c r="Q1646" s="1" t="n">
        <f aca="false">F1646+G1646</f>
        <v>56</v>
      </c>
      <c r="R1646" s="1" t="str">
        <f aca="false">IF(H1646=M1646,"Home",IF(H1646=N1646,"Away",IF(H1646="PICK","Pick","N/A")))</f>
        <v>Home</v>
      </c>
      <c r="S1646" s="1" t="n">
        <f aca="false">IF(R1646="Home",P1646,IF(R1646="Away",-P1646,""))</f>
        <v>-2</v>
      </c>
      <c r="T1646" s="1" t="str">
        <f aca="false">IF(R1646="Pick","No Line",IF(S1646="","N/A",IF(S1646+I1646&gt;0,"Favorite Covered",IF(S1646+I1646&lt;0,"Underdog Covered","Push"))))</f>
        <v>Underdog Covered</v>
      </c>
      <c r="U1646" s="1" t="str">
        <f aca="false">IF(Q1646&gt;J1646,"Over",IF(Q1646&lt;J1646,"Under","Push"))</f>
        <v>Over</v>
      </c>
    </row>
    <row r="1647" customFormat="false" ht="15" hidden="false" customHeight="false" outlineLevel="0" collapsed="false">
      <c r="A1647" s="1" t="s">
        <v>527</v>
      </c>
      <c r="B1647" s="1" t="n">
        <v>2016</v>
      </c>
      <c r="C1647" s="1" t="s">
        <v>176</v>
      </c>
      <c r="D1647" s="1" t="s">
        <v>103</v>
      </c>
      <c r="E1647" s="1" t="s">
        <v>105</v>
      </c>
      <c r="F1647" s="1" t="n">
        <v>34</v>
      </c>
      <c r="G1647" s="1" t="n">
        <v>3</v>
      </c>
      <c r="H1647" s="1" t="s">
        <v>106</v>
      </c>
      <c r="I1647" s="1" t="n">
        <v>-4</v>
      </c>
      <c r="J1647" s="1" t="n">
        <v>46.5</v>
      </c>
      <c r="K1647" s="1" t="s">
        <v>150</v>
      </c>
      <c r="L1647" s="1" t="b">
        <f aca="false">FALSE()</f>
        <v>0</v>
      </c>
      <c r="M1647" s="1" t="str">
        <f aca="false">VLOOKUP(D1647,'Team Reference'!$A:$B,2,FALSE())</f>
        <v>PHI</v>
      </c>
      <c r="N1647" s="1" t="str">
        <f aca="false">VLOOKUP(E1647,'Team Reference'!$A:$B,2,FALSE())</f>
        <v>PIT</v>
      </c>
      <c r="O1647" s="1" t="str">
        <f aca="false">IF(F1647&gt;G1647,M1647,IF(G1647&gt;F1647,N1647,"Tie"))</f>
        <v>PHI</v>
      </c>
      <c r="P1647" s="1" t="n">
        <f aca="false">F1647-G1647</f>
        <v>31</v>
      </c>
      <c r="Q1647" s="1" t="n">
        <f aca="false">F1647+G1647</f>
        <v>37</v>
      </c>
      <c r="R1647" s="1" t="str">
        <f aca="false">IF(H1647=M1647,"Home",IF(H1647=N1647,"Away",IF(H1647="PICK","Pick","N/A")))</f>
        <v>Away</v>
      </c>
      <c r="S1647" s="1" t="n">
        <f aca="false">IF(R1647="Home",P1647,IF(R1647="Away",-P1647,""))</f>
        <v>-31</v>
      </c>
      <c r="T1647" s="1" t="str">
        <f aca="false">IF(R1647="Pick","No Line",IF(S1647="","N/A",IF(S1647+I1647&gt;0,"Favorite Covered",IF(S1647+I1647&lt;0,"Underdog Covered","Push"))))</f>
        <v>Underdog Covered</v>
      </c>
      <c r="U1647" s="1" t="str">
        <f aca="false">IF(Q1647&gt;J1647,"Over",IF(Q1647&lt;J1647,"Under","Push"))</f>
        <v>Under</v>
      </c>
    </row>
    <row r="1648" customFormat="false" ht="15" hidden="false" customHeight="false" outlineLevel="0" collapsed="false">
      <c r="A1648" s="1" t="s">
        <v>527</v>
      </c>
      <c r="B1648" s="1" t="n">
        <v>2016</v>
      </c>
      <c r="C1648" s="1" t="s">
        <v>176</v>
      </c>
      <c r="D1648" s="1" t="s">
        <v>110</v>
      </c>
      <c r="E1648" s="1" t="s">
        <v>108</v>
      </c>
      <c r="F1648" s="1" t="n">
        <v>37</v>
      </c>
      <c r="G1648" s="1" t="n">
        <v>18</v>
      </c>
      <c r="H1648" s="1" t="s">
        <v>111</v>
      </c>
      <c r="I1648" s="1" t="n">
        <v>-10.5</v>
      </c>
      <c r="J1648" s="1" t="n">
        <v>41.5</v>
      </c>
      <c r="K1648" s="1" t="s">
        <v>152</v>
      </c>
      <c r="L1648" s="1" t="b">
        <f aca="false">FALSE()</f>
        <v>0</v>
      </c>
      <c r="M1648" s="1" t="str">
        <f aca="false">VLOOKUP(D1648,'Team Reference'!$A:$B,2,FALSE())</f>
        <v>SEA</v>
      </c>
      <c r="N1648" s="1" t="str">
        <f aca="false">VLOOKUP(E1648,'Team Reference'!$A:$B,2,FALSE())</f>
        <v>SF</v>
      </c>
      <c r="O1648" s="1" t="str">
        <f aca="false">IF(F1648&gt;G1648,M1648,IF(G1648&gt;F1648,N1648,"Tie"))</f>
        <v>SEA</v>
      </c>
      <c r="P1648" s="1" t="n">
        <f aca="false">F1648-G1648</f>
        <v>19</v>
      </c>
      <c r="Q1648" s="1" t="n">
        <f aca="false">F1648+G1648</f>
        <v>55</v>
      </c>
      <c r="R1648" s="1" t="str">
        <f aca="false">IF(H1648=M1648,"Home",IF(H1648=N1648,"Away",IF(H1648="PICK","Pick","N/A")))</f>
        <v>Home</v>
      </c>
      <c r="S1648" s="1" t="n">
        <f aca="false">IF(R1648="Home",P1648,IF(R1648="Away",-P1648,""))</f>
        <v>19</v>
      </c>
      <c r="T1648" s="1" t="str">
        <f aca="false">IF(R1648="Pick","No Line",IF(S1648="","N/A",IF(S1648+I1648&gt;0,"Favorite Covered",IF(S1648+I1648&lt;0,"Underdog Covered","Push"))))</f>
        <v>Favorite Covered</v>
      </c>
      <c r="U1648" s="1" t="str">
        <f aca="false">IF(Q1648&gt;J1648,"Over",IF(Q1648&lt;J1648,"Under","Push"))</f>
        <v>Over</v>
      </c>
    </row>
    <row r="1649" customFormat="false" ht="15" hidden="false" customHeight="false" outlineLevel="0" collapsed="false">
      <c r="A1649" s="1" t="s">
        <v>527</v>
      </c>
      <c r="B1649" s="1" t="n">
        <v>2016</v>
      </c>
      <c r="C1649" s="1" t="s">
        <v>176</v>
      </c>
      <c r="D1649" s="1" t="s">
        <v>113</v>
      </c>
      <c r="E1649" s="1" t="s">
        <v>87</v>
      </c>
      <c r="F1649" s="1" t="n">
        <v>32</v>
      </c>
      <c r="G1649" s="1" t="n">
        <v>37</v>
      </c>
      <c r="H1649" s="1" t="s">
        <v>114</v>
      </c>
      <c r="I1649" s="1" t="n">
        <v>-3.5</v>
      </c>
      <c r="J1649" s="1" t="n">
        <v>40.5</v>
      </c>
      <c r="K1649" s="1" t="s">
        <v>154</v>
      </c>
      <c r="L1649" s="1" t="b">
        <f aca="false">FALSE()</f>
        <v>0</v>
      </c>
      <c r="M1649" s="1" t="str">
        <f aca="false">VLOOKUP(D1649,'Team Reference'!$A:$B,2,FALSE())</f>
        <v>TB</v>
      </c>
      <c r="N1649" s="1" t="str">
        <f aca="false">VLOOKUP(E1649,'Team Reference'!$A:$B,2,FALSE())</f>
        <v>LAR</v>
      </c>
      <c r="O1649" s="1" t="str">
        <f aca="false">IF(F1649&gt;G1649,M1649,IF(G1649&gt;F1649,N1649,"Tie"))</f>
        <v>LAR</v>
      </c>
      <c r="P1649" s="1" t="n">
        <f aca="false">F1649-G1649</f>
        <v>-5</v>
      </c>
      <c r="Q1649" s="1" t="n">
        <f aca="false">F1649+G1649</f>
        <v>69</v>
      </c>
      <c r="R1649" s="1" t="str">
        <f aca="false">IF(H1649=M1649,"Home",IF(H1649=N1649,"Away",IF(H1649="PICK","Pick","N/A")))</f>
        <v>Home</v>
      </c>
      <c r="S1649" s="1" t="n">
        <f aca="false">IF(R1649="Home",P1649,IF(R1649="Away",-P1649,""))</f>
        <v>-5</v>
      </c>
      <c r="T1649" s="1" t="str">
        <f aca="false">IF(R1649="Pick","No Line",IF(S1649="","N/A",IF(S1649+I1649&gt;0,"Favorite Covered",IF(S1649+I1649&lt;0,"Underdog Covered","Push"))))</f>
        <v>Underdog Covered</v>
      </c>
      <c r="U1649" s="1" t="str">
        <f aca="false">IF(Q1649&gt;J1649,"Over",IF(Q1649&lt;J1649,"Under","Push"))</f>
        <v>Over</v>
      </c>
    </row>
    <row r="1650" customFormat="false" ht="15" hidden="false" customHeight="false" outlineLevel="0" collapsed="false">
      <c r="A1650" s="1" t="s">
        <v>527</v>
      </c>
      <c r="B1650" s="1" t="n">
        <v>2016</v>
      </c>
      <c r="C1650" s="1" t="s">
        <v>176</v>
      </c>
      <c r="D1650" s="1" t="s">
        <v>115</v>
      </c>
      <c r="E1650" s="1" t="s">
        <v>101</v>
      </c>
      <c r="F1650" s="1" t="n">
        <v>10</v>
      </c>
      <c r="G1650" s="1" t="n">
        <v>17</v>
      </c>
      <c r="H1650" s="1" t="s">
        <v>102</v>
      </c>
      <c r="I1650" s="1" t="n">
        <v>-1.5</v>
      </c>
      <c r="J1650" s="1" t="n">
        <v>47</v>
      </c>
      <c r="K1650" s="1" t="s">
        <v>155</v>
      </c>
      <c r="L1650" s="1" t="b">
        <f aca="false">FALSE()</f>
        <v>0</v>
      </c>
      <c r="M1650" s="1" t="str">
        <f aca="false">VLOOKUP(D1650,'Team Reference'!$A:$B,2,FALSE())</f>
        <v>TEN</v>
      </c>
      <c r="N1650" s="1" t="str">
        <f aca="false">VLOOKUP(E1650,'Team Reference'!$A:$B,2,FALSE())</f>
        <v>OAK</v>
      </c>
      <c r="O1650" s="1" t="str">
        <f aca="false">IF(F1650&gt;G1650,M1650,IF(G1650&gt;F1650,N1650,"Tie"))</f>
        <v>OAK</v>
      </c>
      <c r="P1650" s="1" t="n">
        <f aca="false">F1650-G1650</f>
        <v>-7</v>
      </c>
      <c r="Q1650" s="1" t="n">
        <f aca="false">F1650+G1650</f>
        <v>27</v>
      </c>
      <c r="R1650" s="1" t="str">
        <f aca="false">IF(H1650=M1650,"Home",IF(H1650=N1650,"Away",IF(H1650="PICK","Pick","N/A")))</f>
        <v>Away</v>
      </c>
      <c r="S1650" s="1" t="n">
        <f aca="false">IF(R1650="Home",P1650,IF(R1650="Away",-P1650,""))</f>
        <v>7</v>
      </c>
      <c r="T1650" s="1" t="str">
        <f aca="false">IF(R1650="Pick","No Line",IF(S1650="","N/A",IF(S1650+I1650&gt;0,"Favorite Covered",IF(S1650+I1650&lt;0,"Underdog Covered","Push"))))</f>
        <v>Favorite Covered</v>
      </c>
      <c r="U1650" s="1" t="str">
        <f aca="false">IF(Q1650&gt;J1650,"Over",IF(Q1650&lt;J1650,"Under","Push"))</f>
        <v>Under</v>
      </c>
    </row>
    <row r="1651" customFormat="false" ht="15" hidden="false" customHeight="false" outlineLevel="0" collapsed="false">
      <c r="A1651" s="1" t="s">
        <v>528</v>
      </c>
      <c r="B1651" s="1" t="n">
        <v>2016</v>
      </c>
      <c r="C1651" s="1" t="s">
        <v>176</v>
      </c>
      <c r="D1651" s="1" t="s">
        <v>95</v>
      </c>
      <c r="E1651" s="1" t="s">
        <v>55</v>
      </c>
      <c r="F1651" s="1" t="n">
        <v>32</v>
      </c>
      <c r="G1651" s="1" t="n">
        <v>45</v>
      </c>
      <c r="H1651" s="1" t="s">
        <v>96</v>
      </c>
      <c r="I1651" s="1" t="n">
        <v>-3</v>
      </c>
      <c r="J1651" s="1" t="n">
        <v>54.5</v>
      </c>
      <c r="K1651" s="1" t="s">
        <v>142</v>
      </c>
      <c r="L1651" s="1" t="b">
        <f aca="false">FALSE()</f>
        <v>0</v>
      </c>
      <c r="M1651" s="1" t="str">
        <f aca="false">VLOOKUP(D1651,'Team Reference'!$A:$B,2,FALSE())</f>
        <v>NO</v>
      </c>
      <c r="N1651" s="1" t="str">
        <f aca="false">VLOOKUP(E1651,'Team Reference'!$A:$B,2,FALSE())</f>
        <v>ATL</v>
      </c>
      <c r="O1651" s="1" t="str">
        <f aca="false">IF(F1651&gt;G1651,M1651,IF(G1651&gt;F1651,N1651,"Tie"))</f>
        <v>ATL</v>
      </c>
      <c r="P1651" s="1" t="n">
        <f aca="false">F1651-G1651</f>
        <v>-13</v>
      </c>
      <c r="Q1651" s="1" t="n">
        <f aca="false">F1651+G1651</f>
        <v>77</v>
      </c>
      <c r="R1651" s="1" t="str">
        <f aca="false">IF(H1651=M1651,"Home",IF(H1651=N1651,"Away",IF(H1651="PICK","Pick","N/A")))</f>
        <v>Home</v>
      </c>
      <c r="S1651" s="1" t="n">
        <f aca="false">IF(R1651="Home",P1651,IF(R1651="Away",-P1651,""))</f>
        <v>-13</v>
      </c>
      <c r="T1651" s="1" t="str">
        <f aca="false">IF(R1651="Pick","No Line",IF(S1651="","N/A",IF(S1651+I1651&gt;0,"Favorite Covered",IF(S1651+I1651&lt;0,"Underdog Covered","Push"))))</f>
        <v>Underdog Covered</v>
      </c>
      <c r="U1651" s="1" t="str">
        <f aca="false">IF(Q1651&gt;J1651,"Over",IF(Q1651&lt;J1651,"Under","Push"))</f>
        <v>Over</v>
      </c>
    </row>
    <row r="1652" customFormat="false" ht="15" hidden="false" customHeight="false" outlineLevel="0" collapsed="false">
      <c r="A1652" s="1" t="s">
        <v>529</v>
      </c>
      <c r="B1652" s="1" t="n">
        <v>2016</v>
      </c>
      <c r="C1652" s="1" t="s">
        <v>182</v>
      </c>
      <c r="D1652" s="1" t="s">
        <v>65</v>
      </c>
      <c r="E1652" s="1" t="s">
        <v>89</v>
      </c>
      <c r="F1652" s="1" t="n">
        <v>22</v>
      </c>
      <c r="G1652" s="1" t="n">
        <v>7</v>
      </c>
      <c r="H1652" s="1" t="s">
        <v>66</v>
      </c>
      <c r="I1652" s="1" t="n">
        <v>-7.5</v>
      </c>
      <c r="J1652" s="1" t="n">
        <v>46.5</v>
      </c>
      <c r="K1652" s="1" t="s">
        <v>163</v>
      </c>
      <c r="L1652" s="1" t="b">
        <f aca="false">FALSE()</f>
        <v>0</v>
      </c>
      <c r="M1652" s="1" t="str">
        <f aca="false">VLOOKUP(D1652,'Team Reference'!$A:$B,2,FALSE())</f>
        <v>CIN</v>
      </c>
      <c r="N1652" s="1" t="str">
        <f aca="false">VLOOKUP(E1652,'Team Reference'!$A:$B,2,FALSE())</f>
        <v>MIA</v>
      </c>
      <c r="O1652" s="1" t="str">
        <f aca="false">IF(F1652&gt;G1652,M1652,IF(G1652&gt;F1652,N1652,"Tie"))</f>
        <v>CIN</v>
      </c>
      <c r="P1652" s="1" t="n">
        <f aca="false">F1652-G1652</f>
        <v>15</v>
      </c>
      <c r="Q1652" s="1" t="n">
        <f aca="false">F1652+G1652</f>
        <v>29</v>
      </c>
      <c r="R1652" s="1" t="str">
        <f aca="false">IF(H1652=M1652,"Home",IF(H1652=N1652,"Away",IF(H1652="PICK","Pick","N/A")))</f>
        <v>Home</v>
      </c>
      <c r="S1652" s="1" t="n">
        <f aca="false">IF(R1652="Home",P1652,IF(R1652="Away",-P1652,""))</f>
        <v>15</v>
      </c>
      <c r="T1652" s="1" t="str">
        <f aca="false">IF(R1652="Pick","No Line",IF(S1652="","N/A",IF(S1652+I1652&gt;0,"Favorite Covered",IF(S1652+I1652&lt;0,"Underdog Covered","Push"))))</f>
        <v>Favorite Covered</v>
      </c>
      <c r="U1652" s="1" t="str">
        <f aca="false">IF(Q1652&gt;J1652,"Over",IF(Q1652&lt;J1652,"Under","Push"))</f>
        <v>Under</v>
      </c>
    </row>
    <row r="1653" customFormat="false" ht="15" hidden="false" customHeight="false" outlineLevel="0" collapsed="false">
      <c r="A1653" s="1" t="s">
        <v>530</v>
      </c>
      <c r="B1653" s="1" t="n">
        <v>2016</v>
      </c>
      <c r="C1653" s="1" t="s">
        <v>182</v>
      </c>
      <c r="D1653" s="1" t="s">
        <v>53</v>
      </c>
      <c r="E1653" s="1" t="s">
        <v>87</v>
      </c>
      <c r="F1653" s="1" t="n">
        <v>13</v>
      </c>
      <c r="G1653" s="1" t="n">
        <v>17</v>
      </c>
      <c r="H1653" s="1" t="s">
        <v>54</v>
      </c>
      <c r="I1653" s="1" t="n">
        <v>-10</v>
      </c>
      <c r="J1653" s="1" t="n">
        <v>43.5</v>
      </c>
      <c r="K1653" s="1" t="s">
        <v>177</v>
      </c>
      <c r="L1653" s="1" t="b">
        <f aca="false">FALSE()</f>
        <v>0</v>
      </c>
      <c r="M1653" s="1" t="str">
        <f aca="false">VLOOKUP(D1653,'Team Reference'!$A:$B,2,FALSE())</f>
        <v>ARI</v>
      </c>
      <c r="N1653" s="1" t="str">
        <f aca="false">VLOOKUP(E1653,'Team Reference'!$A:$B,2,FALSE())</f>
        <v>LAR</v>
      </c>
      <c r="O1653" s="1" t="str">
        <f aca="false">IF(F1653&gt;G1653,M1653,IF(G1653&gt;F1653,N1653,"Tie"))</f>
        <v>LAR</v>
      </c>
      <c r="P1653" s="1" t="n">
        <f aca="false">F1653-G1653</f>
        <v>-4</v>
      </c>
      <c r="Q1653" s="1" t="n">
        <f aca="false">F1653+G1653</f>
        <v>30</v>
      </c>
      <c r="R1653" s="1" t="str">
        <f aca="false">IF(H1653=M1653,"Home",IF(H1653=N1653,"Away",IF(H1653="PICK","Pick","N/A")))</f>
        <v>Home</v>
      </c>
      <c r="S1653" s="1" t="n">
        <f aca="false">IF(R1653="Home",P1653,IF(R1653="Away",-P1653,""))</f>
        <v>-4</v>
      </c>
      <c r="T1653" s="1" t="str">
        <f aca="false">IF(R1653="Pick","No Line",IF(S1653="","N/A",IF(S1653+I1653&gt;0,"Favorite Covered",IF(S1653+I1653&lt;0,"Underdog Covered","Push"))))</f>
        <v>Underdog Covered</v>
      </c>
      <c r="U1653" s="1" t="str">
        <f aca="false">IF(Q1653&gt;J1653,"Over",IF(Q1653&lt;J1653,"Under","Push"))</f>
        <v>Under</v>
      </c>
    </row>
    <row r="1654" customFormat="false" ht="15" hidden="false" customHeight="false" outlineLevel="0" collapsed="false">
      <c r="A1654" s="1" t="s">
        <v>530</v>
      </c>
      <c r="B1654" s="1" t="n">
        <v>2016</v>
      </c>
      <c r="C1654" s="1" t="s">
        <v>182</v>
      </c>
      <c r="D1654" s="1" t="s">
        <v>55</v>
      </c>
      <c r="E1654" s="1" t="s">
        <v>61</v>
      </c>
      <c r="F1654" s="1" t="n">
        <v>48</v>
      </c>
      <c r="G1654" s="1" t="n">
        <v>33</v>
      </c>
      <c r="H1654" s="1" t="s">
        <v>62</v>
      </c>
      <c r="I1654" s="1" t="n">
        <v>-3</v>
      </c>
      <c r="J1654" s="1" t="n">
        <v>48.5</v>
      </c>
      <c r="K1654" s="1" t="s">
        <v>161</v>
      </c>
      <c r="L1654" s="1" t="b">
        <f aca="false">FALSE()</f>
        <v>0</v>
      </c>
      <c r="M1654" s="1" t="str">
        <f aca="false">VLOOKUP(D1654,'Team Reference'!$A:$B,2,FALSE())</f>
        <v>ATL</v>
      </c>
      <c r="N1654" s="1" t="str">
        <f aca="false">VLOOKUP(E1654,'Team Reference'!$A:$B,2,FALSE())</f>
        <v>CAR</v>
      </c>
      <c r="O1654" s="1" t="str">
        <f aca="false">IF(F1654&gt;G1654,M1654,IF(G1654&gt;F1654,N1654,"Tie"))</f>
        <v>ATL</v>
      </c>
      <c r="P1654" s="1" t="n">
        <f aca="false">F1654-G1654</f>
        <v>15</v>
      </c>
      <c r="Q1654" s="1" t="n">
        <f aca="false">F1654+G1654</f>
        <v>81</v>
      </c>
      <c r="R1654" s="1" t="str">
        <f aca="false">IF(H1654=M1654,"Home",IF(H1654=N1654,"Away",IF(H1654="PICK","Pick","N/A")))</f>
        <v>Away</v>
      </c>
      <c r="S1654" s="1" t="n">
        <f aca="false">IF(R1654="Home",P1654,IF(R1654="Away",-P1654,""))</f>
        <v>-15</v>
      </c>
      <c r="T1654" s="1" t="str">
        <f aca="false">IF(R1654="Pick","No Line",IF(S1654="","N/A",IF(S1654+I1654&gt;0,"Favorite Covered",IF(S1654+I1654&lt;0,"Underdog Covered","Push"))))</f>
        <v>Underdog Covered</v>
      </c>
      <c r="U1654" s="1" t="str">
        <f aca="false">IF(Q1654&gt;J1654,"Over",IF(Q1654&lt;J1654,"Under","Push"))</f>
        <v>Over</v>
      </c>
    </row>
    <row r="1655" customFormat="false" ht="15" hidden="false" customHeight="false" outlineLevel="0" collapsed="false">
      <c r="A1655" s="1" t="s">
        <v>530</v>
      </c>
      <c r="B1655" s="1" t="n">
        <v>2016</v>
      </c>
      <c r="C1655" s="1" t="s">
        <v>182</v>
      </c>
      <c r="D1655" s="1" t="s">
        <v>57</v>
      </c>
      <c r="E1655" s="1" t="s">
        <v>101</v>
      </c>
      <c r="F1655" s="1" t="n">
        <v>27</v>
      </c>
      <c r="G1655" s="1" t="n">
        <v>28</v>
      </c>
      <c r="H1655" s="1" t="s">
        <v>58</v>
      </c>
      <c r="I1655" s="1" t="n">
        <v>-3.5</v>
      </c>
      <c r="J1655" s="1" t="n">
        <v>45</v>
      </c>
      <c r="K1655" s="1" t="s">
        <v>178</v>
      </c>
      <c r="L1655" s="1" t="b">
        <f aca="false">FALSE()</f>
        <v>0</v>
      </c>
      <c r="M1655" s="1" t="str">
        <f aca="false">VLOOKUP(D1655,'Team Reference'!$A:$B,2,FALSE())</f>
        <v>BAL</v>
      </c>
      <c r="N1655" s="1" t="str">
        <f aca="false">VLOOKUP(E1655,'Team Reference'!$A:$B,2,FALSE())</f>
        <v>OAK</v>
      </c>
      <c r="O1655" s="1" t="str">
        <f aca="false">IF(F1655&gt;G1655,M1655,IF(G1655&gt;F1655,N1655,"Tie"))</f>
        <v>OAK</v>
      </c>
      <c r="P1655" s="1" t="n">
        <f aca="false">F1655-G1655</f>
        <v>-1</v>
      </c>
      <c r="Q1655" s="1" t="n">
        <f aca="false">F1655+G1655</f>
        <v>55</v>
      </c>
      <c r="R1655" s="1" t="str">
        <f aca="false">IF(H1655=M1655,"Home",IF(H1655=N1655,"Away",IF(H1655="PICK","Pick","N/A")))</f>
        <v>Home</v>
      </c>
      <c r="S1655" s="1" t="n">
        <f aca="false">IF(R1655="Home",P1655,IF(R1655="Away",-P1655,""))</f>
        <v>-1</v>
      </c>
      <c r="T1655" s="1" t="str">
        <f aca="false">IF(R1655="Pick","No Line",IF(S1655="","N/A",IF(S1655+I1655&gt;0,"Favorite Covered",IF(S1655+I1655&lt;0,"Underdog Covered","Push"))))</f>
        <v>Underdog Covered</v>
      </c>
      <c r="U1655" s="1" t="str">
        <f aca="false">IF(Q1655&gt;J1655,"Over",IF(Q1655&lt;J1655,"Under","Push"))</f>
        <v>Over</v>
      </c>
    </row>
    <row r="1656" customFormat="false" ht="15" hidden="false" customHeight="false" outlineLevel="0" collapsed="false">
      <c r="A1656" s="1" t="s">
        <v>530</v>
      </c>
      <c r="B1656" s="1" t="n">
        <v>2016</v>
      </c>
      <c r="C1656" s="1" t="s">
        <v>182</v>
      </c>
      <c r="D1656" s="1" t="s">
        <v>63</v>
      </c>
      <c r="E1656" s="1" t="s">
        <v>73</v>
      </c>
      <c r="F1656" s="1" t="n">
        <v>17</v>
      </c>
      <c r="G1656" s="1" t="n">
        <v>14</v>
      </c>
      <c r="H1656" s="1" t="s">
        <v>74</v>
      </c>
      <c r="I1656" s="1" t="n">
        <v>-3</v>
      </c>
      <c r="J1656" s="1" t="n">
        <v>48</v>
      </c>
      <c r="K1656" s="1" t="s">
        <v>145</v>
      </c>
      <c r="L1656" s="1" t="b">
        <f aca="false">FALSE()</f>
        <v>0</v>
      </c>
      <c r="M1656" s="1" t="str">
        <f aca="false">VLOOKUP(D1656,'Team Reference'!$A:$B,2,FALSE())</f>
        <v>CHI</v>
      </c>
      <c r="N1656" s="1" t="str">
        <f aca="false">VLOOKUP(E1656,'Team Reference'!$A:$B,2,FALSE())</f>
        <v>DET</v>
      </c>
      <c r="O1656" s="1" t="str">
        <f aca="false">IF(F1656&gt;G1656,M1656,IF(G1656&gt;F1656,N1656,"Tie"))</f>
        <v>CHI</v>
      </c>
      <c r="P1656" s="1" t="n">
        <f aca="false">F1656-G1656</f>
        <v>3</v>
      </c>
      <c r="Q1656" s="1" t="n">
        <f aca="false">F1656+G1656</f>
        <v>31</v>
      </c>
      <c r="R1656" s="1" t="str">
        <f aca="false">IF(H1656=M1656,"Home",IF(H1656=N1656,"Away",IF(H1656="PICK","Pick","N/A")))</f>
        <v>Away</v>
      </c>
      <c r="S1656" s="1" t="n">
        <f aca="false">IF(R1656="Home",P1656,IF(R1656="Away",-P1656,""))</f>
        <v>-3</v>
      </c>
      <c r="T1656" s="1" t="str">
        <f aca="false">IF(R1656="Pick","No Line",IF(S1656="","N/A",IF(S1656+I1656&gt;0,"Favorite Covered",IF(S1656+I1656&lt;0,"Underdog Covered","Push"))))</f>
        <v>Underdog Covered</v>
      </c>
      <c r="U1656" s="1" t="str">
        <f aca="false">IF(Q1656&gt;J1656,"Over",IF(Q1656&lt;J1656,"Under","Push"))</f>
        <v>Under</v>
      </c>
    </row>
    <row r="1657" customFormat="false" ht="15" hidden="false" customHeight="false" outlineLevel="0" collapsed="false">
      <c r="A1657" s="1" t="s">
        <v>530</v>
      </c>
      <c r="B1657" s="1" t="n">
        <v>2016</v>
      </c>
      <c r="C1657" s="1" t="s">
        <v>182</v>
      </c>
      <c r="D1657" s="1" t="s">
        <v>77</v>
      </c>
      <c r="E1657" s="1" t="s">
        <v>115</v>
      </c>
      <c r="F1657" s="1" t="n">
        <v>27</v>
      </c>
      <c r="G1657" s="1" t="n">
        <v>20</v>
      </c>
      <c r="H1657" s="1" t="s">
        <v>78</v>
      </c>
      <c r="I1657" s="1" t="n">
        <v>-3.5</v>
      </c>
      <c r="J1657" s="1" t="n">
        <v>40</v>
      </c>
      <c r="K1657" s="1" t="s">
        <v>146</v>
      </c>
      <c r="L1657" s="1" t="b">
        <f aca="false">FALSE()</f>
        <v>0</v>
      </c>
      <c r="M1657" s="1" t="str">
        <f aca="false">VLOOKUP(D1657,'Team Reference'!$A:$B,2,FALSE())</f>
        <v>HOU</v>
      </c>
      <c r="N1657" s="1" t="str">
        <f aca="false">VLOOKUP(E1657,'Team Reference'!$A:$B,2,FALSE())</f>
        <v>TEN</v>
      </c>
      <c r="O1657" s="1" t="str">
        <f aca="false">IF(F1657&gt;G1657,M1657,IF(G1657&gt;F1657,N1657,"Tie"))</f>
        <v>HOU</v>
      </c>
      <c r="P1657" s="1" t="n">
        <f aca="false">F1657-G1657</f>
        <v>7</v>
      </c>
      <c r="Q1657" s="1" t="n">
        <f aca="false">F1657+G1657</f>
        <v>47</v>
      </c>
      <c r="R1657" s="1" t="str">
        <f aca="false">IF(H1657=M1657,"Home",IF(H1657=N1657,"Away",IF(H1657="PICK","Pick","N/A")))</f>
        <v>Home</v>
      </c>
      <c r="S1657" s="1" t="n">
        <f aca="false">IF(R1657="Home",P1657,IF(R1657="Away",-P1657,""))</f>
        <v>7</v>
      </c>
      <c r="T1657" s="1" t="str">
        <f aca="false">IF(R1657="Pick","No Line",IF(S1657="","N/A",IF(S1657+I1657&gt;0,"Favorite Covered",IF(S1657+I1657&lt;0,"Underdog Covered","Push"))))</f>
        <v>Favorite Covered</v>
      </c>
      <c r="U1657" s="1" t="str">
        <f aca="false">IF(Q1657&gt;J1657,"Over",IF(Q1657&lt;J1657,"Under","Push"))</f>
        <v>Over</v>
      </c>
    </row>
    <row r="1658" customFormat="false" ht="15" hidden="false" customHeight="false" outlineLevel="0" collapsed="false">
      <c r="A1658" s="1" t="s">
        <v>530</v>
      </c>
      <c r="B1658" s="1" t="n">
        <v>2016</v>
      </c>
      <c r="C1658" s="1" t="s">
        <v>182</v>
      </c>
      <c r="D1658" s="1" t="s">
        <v>81</v>
      </c>
      <c r="E1658" s="1" t="s">
        <v>79</v>
      </c>
      <c r="F1658" s="1" t="n">
        <v>30</v>
      </c>
      <c r="G1658" s="1" t="n">
        <v>27</v>
      </c>
      <c r="H1658" s="1" t="s">
        <v>80</v>
      </c>
      <c r="I1658" s="1" t="n">
        <v>-1</v>
      </c>
      <c r="J1658" s="1" t="n">
        <v>48.5</v>
      </c>
      <c r="K1658" s="1" t="s">
        <v>195</v>
      </c>
      <c r="L1658" s="1" t="b">
        <f aca="false">FALSE()</f>
        <v>0</v>
      </c>
      <c r="M1658" s="1" t="str">
        <f aca="false">VLOOKUP(D1658,'Team Reference'!$A:$B,2,FALSE())</f>
        <v>JAX</v>
      </c>
      <c r="N1658" s="1" t="str">
        <f aca="false">VLOOKUP(E1658,'Team Reference'!$A:$B,2,FALSE())</f>
        <v>IND</v>
      </c>
      <c r="O1658" s="1" t="str">
        <f aca="false">IF(F1658&gt;G1658,M1658,IF(G1658&gt;F1658,N1658,"Tie"))</f>
        <v>JAX</v>
      </c>
      <c r="P1658" s="1" t="n">
        <f aca="false">F1658-G1658</f>
        <v>3</v>
      </c>
      <c r="Q1658" s="1" t="n">
        <f aca="false">F1658+G1658</f>
        <v>57</v>
      </c>
      <c r="R1658" s="1" t="str">
        <f aca="false">IF(H1658=M1658,"Home",IF(H1658=N1658,"Away",IF(H1658="PICK","Pick","N/A")))</f>
        <v>Away</v>
      </c>
      <c r="S1658" s="1" t="n">
        <f aca="false">IF(R1658="Home",P1658,IF(R1658="Away",-P1658,""))</f>
        <v>-3</v>
      </c>
      <c r="T1658" s="1" t="str">
        <f aca="false">IF(R1658="Pick","No Line",IF(S1658="","N/A",IF(S1658+I1658&gt;0,"Favorite Covered",IF(S1658+I1658&lt;0,"Underdog Covered","Push"))))</f>
        <v>Underdog Covered</v>
      </c>
      <c r="U1658" s="1" t="str">
        <f aca="false">IF(Q1658&gt;J1658,"Over",IF(Q1658&lt;J1658,"Under","Push"))</f>
        <v>Over</v>
      </c>
    </row>
    <row r="1659" customFormat="false" ht="15" hidden="false" customHeight="false" outlineLevel="0" collapsed="false">
      <c r="A1659" s="1" t="s">
        <v>530</v>
      </c>
      <c r="B1659" s="1" t="n">
        <v>2016</v>
      </c>
      <c r="C1659" s="1" t="s">
        <v>182</v>
      </c>
      <c r="D1659" s="1" t="s">
        <v>93</v>
      </c>
      <c r="E1659" s="1" t="s">
        <v>59</v>
      </c>
      <c r="F1659" s="1" t="n">
        <v>0</v>
      </c>
      <c r="G1659" s="1" t="n">
        <v>16</v>
      </c>
      <c r="H1659" s="1" t="s">
        <v>94</v>
      </c>
      <c r="I1659" s="1" t="n">
        <v>-3.5</v>
      </c>
      <c r="J1659" s="1" t="n">
        <v>41</v>
      </c>
      <c r="K1659" s="1" t="s">
        <v>148</v>
      </c>
      <c r="L1659" s="1" t="b">
        <f aca="false">FALSE()</f>
        <v>0</v>
      </c>
      <c r="M1659" s="1" t="str">
        <f aca="false">VLOOKUP(D1659,'Team Reference'!$A:$B,2,FALSE())</f>
        <v>NE</v>
      </c>
      <c r="N1659" s="1" t="str">
        <f aca="false">VLOOKUP(E1659,'Team Reference'!$A:$B,2,FALSE())</f>
        <v>BUF</v>
      </c>
      <c r="O1659" s="1" t="str">
        <f aca="false">IF(F1659&gt;G1659,M1659,IF(G1659&gt;F1659,N1659,"Tie"))</f>
        <v>BUF</v>
      </c>
      <c r="P1659" s="1" t="n">
        <f aca="false">F1659-G1659</f>
        <v>-16</v>
      </c>
      <c r="Q1659" s="1" t="n">
        <f aca="false">F1659+G1659</f>
        <v>16</v>
      </c>
      <c r="R1659" s="1" t="str">
        <f aca="false">IF(H1659=M1659,"Home",IF(H1659=N1659,"Away",IF(H1659="PICK","Pick","N/A")))</f>
        <v>Home</v>
      </c>
      <c r="S1659" s="1" t="n">
        <f aca="false">IF(R1659="Home",P1659,IF(R1659="Away",-P1659,""))</f>
        <v>-16</v>
      </c>
      <c r="T1659" s="1" t="str">
        <f aca="false">IF(R1659="Pick","No Line",IF(S1659="","N/A",IF(S1659+I1659&gt;0,"Favorite Covered",IF(S1659+I1659&lt;0,"Underdog Covered","Push"))))</f>
        <v>Underdog Covered</v>
      </c>
      <c r="U1659" s="1" t="str">
        <f aca="false">IF(Q1659&gt;J1659,"Over",IF(Q1659&lt;J1659,"Under","Push"))</f>
        <v>Under</v>
      </c>
    </row>
    <row r="1660" customFormat="false" ht="15" hidden="false" customHeight="false" outlineLevel="0" collapsed="false">
      <c r="A1660" s="1" t="s">
        <v>530</v>
      </c>
      <c r="B1660" s="1" t="n">
        <v>2016</v>
      </c>
      <c r="C1660" s="1" t="s">
        <v>182</v>
      </c>
      <c r="D1660" s="1" t="s">
        <v>99</v>
      </c>
      <c r="E1660" s="1" t="s">
        <v>110</v>
      </c>
      <c r="F1660" s="1" t="n">
        <v>17</v>
      </c>
      <c r="G1660" s="1" t="n">
        <v>27</v>
      </c>
      <c r="H1660" s="1" t="s">
        <v>111</v>
      </c>
      <c r="I1660" s="1" t="n">
        <v>-1</v>
      </c>
      <c r="J1660" s="1" t="n">
        <v>40</v>
      </c>
      <c r="K1660" s="1" t="s">
        <v>149</v>
      </c>
      <c r="L1660" s="1" t="b">
        <f aca="false">FALSE()</f>
        <v>0</v>
      </c>
      <c r="M1660" s="1" t="str">
        <f aca="false">VLOOKUP(D1660,'Team Reference'!$A:$B,2,FALSE())</f>
        <v>NYJ</v>
      </c>
      <c r="N1660" s="1" t="str">
        <f aca="false">VLOOKUP(E1660,'Team Reference'!$A:$B,2,FALSE())</f>
        <v>SEA</v>
      </c>
      <c r="O1660" s="1" t="str">
        <f aca="false">IF(F1660&gt;G1660,M1660,IF(G1660&gt;F1660,N1660,"Tie"))</f>
        <v>SEA</v>
      </c>
      <c r="P1660" s="1" t="n">
        <f aca="false">F1660-G1660</f>
        <v>-10</v>
      </c>
      <c r="Q1660" s="1" t="n">
        <f aca="false">F1660+G1660</f>
        <v>44</v>
      </c>
      <c r="R1660" s="1" t="str">
        <f aca="false">IF(H1660=M1660,"Home",IF(H1660=N1660,"Away",IF(H1660="PICK","Pick","N/A")))</f>
        <v>Away</v>
      </c>
      <c r="S1660" s="1" t="n">
        <f aca="false">IF(R1660="Home",P1660,IF(R1660="Away",-P1660,""))</f>
        <v>10</v>
      </c>
      <c r="T1660" s="1" t="str">
        <f aca="false">IF(R1660="Pick","No Line",IF(S1660="","N/A",IF(S1660+I1660&gt;0,"Favorite Covered",IF(S1660+I1660&lt;0,"Underdog Covered","Push"))))</f>
        <v>Favorite Covered</v>
      </c>
      <c r="U1660" s="1" t="str">
        <f aca="false">IF(Q1660&gt;J1660,"Over",IF(Q1660&lt;J1660,"Under","Push"))</f>
        <v>Over</v>
      </c>
    </row>
    <row r="1661" customFormat="false" ht="15" hidden="false" customHeight="false" outlineLevel="0" collapsed="false">
      <c r="A1661" s="1" t="s">
        <v>530</v>
      </c>
      <c r="B1661" s="1" t="n">
        <v>2016</v>
      </c>
      <c r="C1661" s="1" t="s">
        <v>182</v>
      </c>
      <c r="D1661" s="1" t="s">
        <v>105</v>
      </c>
      <c r="E1661" s="1" t="s">
        <v>83</v>
      </c>
      <c r="F1661" s="1" t="n">
        <v>43</v>
      </c>
      <c r="G1661" s="1" t="n">
        <v>14</v>
      </c>
      <c r="H1661" s="1" t="s">
        <v>106</v>
      </c>
      <c r="I1661" s="1" t="n">
        <v>-3.5</v>
      </c>
      <c r="J1661" s="1" t="n">
        <v>48.5</v>
      </c>
      <c r="K1661" s="1" t="s">
        <v>151</v>
      </c>
      <c r="L1661" s="1" t="b">
        <f aca="false">FALSE()</f>
        <v>0</v>
      </c>
      <c r="M1661" s="1" t="str">
        <f aca="false">VLOOKUP(D1661,'Team Reference'!$A:$B,2,FALSE())</f>
        <v>PIT</v>
      </c>
      <c r="N1661" s="1" t="str">
        <f aca="false">VLOOKUP(E1661,'Team Reference'!$A:$B,2,FALSE())</f>
        <v>KC</v>
      </c>
      <c r="O1661" s="1" t="str">
        <f aca="false">IF(F1661&gt;G1661,M1661,IF(G1661&gt;F1661,N1661,"Tie"))</f>
        <v>PIT</v>
      </c>
      <c r="P1661" s="1" t="n">
        <f aca="false">F1661-G1661</f>
        <v>29</v>
      </c>
      <c r="Q1661" s="1" t="n">
        <f aca="false">F1661+G1661</f>
        <v>57</v>
      </c>
      <c r="R1661" s="1" t="str">
        <f aca="false">IF(H1661=M1661,"Home",IF(H1661=N1661,"Away",IF(H1661="PICK","Pick","N/A")))</f>
        <v>Home</v>
      </c>
      <c r="S1661" s="1" t="n">
        <f aca="false">IF(R1661="Home",P1661,IF(R1661="Away",-P1661,""))</f>
        <v>29</v>
      </c>
      <c r="T1661" s="1" t="str">
        <f aca="false">IF(R1661="Pick","No Line",IF(S1661="","N/A",IF(S1661+I1661&gt;0,"Favorite Covered",IF(S1661+I1661&lt;0,"Underdog Covered","Push"))))</f>
        <v>Favorite Covered</v>
      </c>
      <c r="U1661" s="1" t="str">
        <f aca="false">IF(Q1661&gt;J1661,"Over",IF(Q1661&lt;J1661,"Under","Push"))</f>
        <v>Over</v>
      </c>
    </row>
    <row r="1662" customFormat="false" ht="15" hidden="false" customHeight="false" outlineLevel="0" collapsed="false">
      <c r="A1662" s="1" t="s">
        <v>530</v>
      </c>
      <c r="B1662" s="1" t="n">
        <v>2016</v>
      </c>
      <c r="C1662" s="1" t="s">
        <v>182</v>
      </c>
      <c r="D1662" s="1" t="s">
        <v>107</v>
      </c>
      <c r="E1662" s="1" t="s">
        <v>95</v>
      </c>
      <c r="F1662" s="1" t="n">
        <v>34</v>
      </c>
      <c r="G1662" s="1" t="n">
        <v>35</v>
      </c>
      <c r="H1662" s="1" t="s">
        <v>86</v>
      </c>
      <c r="I1662" s="1" t="n">
        <v>-3.5</v>
      </c>
      <c r="J1662" s="1" t="n">
        <v>54</v>
      </c>
      <c r="K1662" s="1" t="s">
        <v>172</v>
      </c>
      <c r="L1662" s="1" t="b">
        <f aca="false">FALSE()</f>
        <v>0</v>
      </c>
      <c r="M1662" s="1" t="str">
        <f aca="false">VLOOKUP(D1662,'Team Reference'!$A:$B,2,FALSE())</f>
        <v>LAC</v>
      </c>
      <c r="N1662" s="1" t="str">
        <f aca="false">VLOOKUP(E1662,'Team Reference'!$A:$B,2,FALSE())</f>
        <v>NO</v>
      </c>
      <c r="O1662" s="1" t="str">
        <f aca="false">IF(F1662&gt;G1662,M1662,IF(G1662&gt;F1662,N1662,"Tie"))</f>
        <v>NO</v>
      </c>
      <c r="P1662" s="1" t="n">
        <f aca="false">F1662-G1662</f>
        <v>-1</v>
      </c>
      <c r="Q1662" s="1" t="n">
        <f aca="false">F1662+G1662</f>
        <v>69</v>
      </c>
      <c r="R1662" s="1" t="str">
        <f aca="false">IF(H1662=M1662,"Home",IF(H1662=N1662,"Away",IF(H1662="PICK","Pick","N/A")))</f>
        <v>Home</v>
      </c>
      <c r="S1662" s="1" t="n">
        <f aca="false">IF(R1662="Home",P1662,IF(R1662="Away",-P1662,""))</f>
        <v>-1</v>
      </c>
      <c r="T1662" s="1" t="str">
        <f aca="false">IF(R1662="Pick","No Line",IF(S1662="","N/A",IF(S1662+I1662&gt;0,"Favorite Covered",IF(S1662+I1662&lt;0,"Underdog Covered","Push"))))</f>
        <v>Underdog Covered</v>
      </c>
      <c r="U1662" s="1" t="str">
        <f aca="false">IF(Q1662&gt;J1662,"Over",IF(Q1662&lt;J1662,"Under","Push"))</f>
        <v>Over</v>
      </c>
    </row>
    <row r="1663" customFormat="false" ht="15" hidden="false" customHeight="false" outlineLevel="0" collapsed="false">
      <c r="A1663" s="1" t="s">
        <v>530</v>
      </c>
      <c r="B1663" s="1" t="n">
        <v>2016</v>
      </c>
      <c r="C1663" s="1" t="s">
        <v>182</v>
      </c>
      <c r="D1663" s="1" t="s">
        <v>108</v>
      </c>
      <c r="E1663" s="1" t="s">
        <v>69</v>
      </c>
      <c r="F1663" s="1" t="n">
        <v>17</v>
      </c>
      <c r="G1663" s="1" t="n">
        <v>24</v>
      </c>
      <c r="H1663" s="1" t="s">
        <v>70</v>
      </c>
      <c r="I1663" s="1" t="n">
        <v>-1</v>
      </c>
      <c r="J1663" s="1" t="n">
        <v>44</v>
      </c>
      <c r="K1663" s="1" t="s">
        <v>408</v>
      </c>
      <c r="L1663" s="1" t="b">
        <f aca="false">FALSE()</f>
        <v>0</v>
      </c>
      <c r="M1663" s="1" t="str">
        <f aca="false">VLOOKUP(D1663,'Team Reference'!$A:$B,2,FALSE())</f>
        <v>SF</v>
      </c>
      <c r="N1663" s="1" t="str">
        <f aca="false">VLOOKUP(E1663,'Team Reference'!$A:$B,2,FALSE())</f>
        <v>DAL</v>
      </c>
      <c r="O1663" s="1" t="str">
        <f aca="false">IF(F1663&gt;G1663,M1663,IF(G1663&gt;F1663,N1663,"Tie"))</f>
        <v>DAL</v>
      </c>
      <c r="P1663" s="1" t="n">
        <f aca="false">F1663-G1663</f>
        <v>-7</v>
      </c>
      <c r="Q1663" s="1" t="n">
        <f aca="false">F1663+G1663</f>
        <v>41</v>
      </c>
      <c r="R1663" s="1" t="str">
        <f aca="false">IF(H1663=M1663,"Home",IF(H1663=N1663,"Away",IF(H1663="PICK","Pick","N/A")))</f>
        <v>Away</v>
      </c>
      <c r="S1663" s="1" t="n">
        <f aca="false">IF(R1663="Home",P1663,IF(R1663="Away",-P1663,""))</f>
        <v>7</v>
      </c>
      <c r="T1663" s="1" t="str">
        <f aca="false">IF(R1663="Pick","No Line",IF(S1663="","N/A",IF(S1663+I1663&gt;0,"Favorite Covered",IF(S1663+I1663&lt;0,"Underdog Covered","Push"))))</f>
        <v>Favorite Covered</v>
      </c>
      <c r="U1663" s="1" t="str">
        <f aca="false">IF(Q1663&gt;J1663,"Over",IF(Q1663&lt;J1663,"Under","Push"))</f>
        <v>Under</v>
      </c>
    </row>
    <row r="1664" customFormat="false" ht="15" hidden="false" customHeight="false" outlineLevel="0" collapsed="false">
      <c r="A1664" s="1" t="s">
        <v>530</v>
      </c>
      <c r="B1664" s="1" t="n">
        <v>2016</v>
      </c>
      <c r="C1664" s="1" t="s">
        <v>182</v>
      </c>
      <c r="D1664" s="1" t="s">
        <v>113</v>
      </c>
      <c r="E1664" s="1" t="s">
        <v>71</v>
      </c>
      <c r="F1664" s="1" t="n">
        <v>7</v>
      </c>
      <c r="G1664" s="1" t="n">
        <v>27</v>
      </c>
      <c r="H1664" s="1" t="s">
        <v>72</v>
      </c>
      <c r="I1664" s="1" t="n">
        <v>-3</v>
      </c>
      <c r="J1664" s="1" t="n">
        <v>42.5</v>
      </c>
      <c r="K1664" s="1" t="s">
        <v>154</v>
      </c>
      <c r="L1664" s="1" t="b">
        <f aca="false">FALSE()</f>
        <v>0</v>
      </c>
      <c r="M1664" s="1" t="str">
        <f aca="false">VLOOKUP(D1664,'Team Reference'!$A:$B,2,FALSE())</f>
        <v>TB</v>
      </c>
      <c r="N1664" s="1" t="str">
        <f aca="false">VLOOKUP(E1664,'Team Reference'!$A:$B,2,FALSE())</f>
        <v>DEN</v>
      </c>
      <c r="O1664" s="1" t="str">
        <f aca="false">IF(F1664&gt;G1664,M1664,IF(G1664&gt;F1664,N1664,"Tie"))</f>
        <v>DEN</v>
      </c>
      <c r="P1664" s="1" t="n">
        <f aca="false">F1664-G1664</f>
        <v>-20</v>
      </c>
      <c r="Q1664" s="1" t="n">
        <f aca="false">F1664+G1664</f>
        <v>34</v>
      </c>
      <c r="R1664" s="1" t="str">
        <f aca="false">IF(H1664=M1664,"Home",IF(H1664=N1664,"Away",IF(H1664="PICK","Pick","N/A")))</f>
        <v>Away</v>
      </c>
      <c r="S1664" s="1" t="n">
        <f aca="false">IF(R1664="Home",P1664,IF(R1664="Away",-P1664,""))</f>
        <v>20</v>
      </c>
      <c r="T1664" s="1" t="str">
        <f aca="false">IF(R1664="Pick","No Line",IF(S1664="","N/A",IF(S1664+I1664&gt;0,"Favorite Covered",IF(S1664+I1664&lt;0,"Underdog Covered","Push"))))</f>
        <v>Favorite Covered</v>
      </c>
      <c r="U1664" s="1" t="str">
        <f aca="false">IF(Q1664&gt;J1664,"Over",IF(Q1664&lt;J1664,"Under","Push"))</f>
        <v>Under</v>
      </c>
    </row>
    <row r="1665" customFormat="false" ht="15" hidden="false" customHeight="false" outlineLevel="0" collapsed="false">
      <c r="A1665" s="1" t="s">
        <v>530</v>
      </c>
      <c r="B1665" s="1" t="n">
        <v>2016</v>
      </c>
      <c r="C1665" s="1" t="s">
        <v>182</v>
      </c>
      <c r="D1665" s="1" t="s">
        <v>117</v>
      </c>
      <c r="E1665" s="1" t="s">
        <v>67</v>
      </c>
      <c r="F1665" s="1" t="n">
        <v>31</v>
      </c>
      <c r="G1665" s="1" t="n">
        <v>20</v>
      </c>
      <c r="H1665" s="1" t="s">
        <v>118</v>
      </c>
      <c r="I1665" s="1" t="n">
        <v>-7.5</v>
      </c>
      <c r="J1665" s="1" t="n">
        <v>47.5</v>
      </c>
      <c r="K1665" s="1" t="s">
        <v>156</v>
      </c>
      <c r="L1665" s="1" t="b">
        <f aca="false">FALSE()</f>
        <v>0</v>
      </c>
      <c r="M1665" s="1" t="str">
        <f aca="false">VLOOKUP(D1665,'Team Reference'!$A:$B,2,FALSE())</f>
        <v>WAS</v>
      </c>
      <c r="N1665" s="1" t="str">
        <f aca="false">VLOOKUP(E1665,'Team Reference'!$A:$B,2,FALSE())</f>
        <v>CLE</v>
      </c>
      <c r="O1665" s="1" t="str">
        <f aca="false">IF(F1665&gt;G1665,M1665,IF(G1665&gt;F1665,N1665,"Tie"))</f>
        <v>WAS</v>
      </c>
      <c r="P1665" s="1" t="n">
        <f aca="false">F1665-G1665</f>
        <v>11</v>
      </c>
      <c r="Q1665" s="1" t="n">
        <f aca="false">F1665+G1665</f>
        <v>51</v>
      </c>
      <c r="R1665" s="1" t="str">
        <f aca="false">IF(H1665=M1665,"Home",IF(H1665=N1665,"Away",IF(H1665="PICK","Pick","N/A")))</f>
        <v>Home</v>
      </c>
      <c r="S1665" s="1" t="n">
        <f aca="false">IF(R1665="Home",P1665,IF(R1665="Away",-P1665,""))</f>
        <v>11</v>
      </c>
      <c r="T1665" s="1" t="str">
        <f aca="false">IF(R1665="Pick","No Line",IF(S1665="","N/A",IF(S1665+I1665&gt;0,"Favorite Covered",IF(S1665+I1665&lt;0,"Underdog Covered","Push"))))</f>
        <v>Favorite Covered</v>
      </c>
      <c r="U1665" s="1" t="str">
        <f aca="false">IF(Q1665&gt;J1665,"Over",IF(Q1665&lt;J1665,"Under","Push"))</f>
        <v>Over</v>
      </c>
    </row>
    <row r="1666" customFormat="false" ht="15" hidden="false" customHeight="false" outlineLevel="0" collapsed="false">
      <c r="A1666" s="1" t="s">
        <v>531</v>
      </c>
      <c r="B1666" s="1" t="n">
        <v>2016</v>
      </c>
      <c r="C1666" s="1" t="s">
        <v>182</v>
      </c>
      <c r="D1666" s="1" t="s">
        <v>91</v>
      </c>
      <c r="E1666" s="1" t="s">
        <v>97</v>
      </c>
      <c r="F1666" s="1" t="n">
        <v>24</v>
      </c>
      <c r="G1666" s="1" t="n">
        <v>10</v>
      </c>
      <c r="H1666" s="1" t="s">
        <v>92</v>
      </c>
      <c r="I1666" s="1" t="n">
        <v>-3.5</v>
      </c>
      <c r="J1666" s="1" t="n">
        <v>42.5</v>
      </c>
      <c r="K1666" s="1" t="s">
        <v>525</v>
      </c>
      <c r="L1666" s="1" t="b">
        <f aca="false">FALSE()</f>
        <v>0</v>
      </c>
      <c r="M1666" s="1" t="str">
        <f aca="false">VLOOKUP(D1666,'Team Reference'!$A:$B,2,FALSE())</f>
        <v>MIN</v>
      </c>
      <c r="N1666" s="1" t="str">
        <f aca="false">VLOOKUP(E1666,'Team Reference'!$A:$B,2,FALSE())</f>
        <v>NYG</v>
      </c>
      <c r="O1666" s="1" t="str">
        <f aca="false">IF(F1666&gt;G1666,M1666,IF(G1666&gt;F1666,N1666,"Tie"))</f>
        <v>MIN</v>
      </c>
      <c r="P1666" s="1" t="n">
        <f aca="false">F1666-G1666</f>
        <v>14</v>
      </c>
      <c r="Q1666" s="1" t="n">
        <f aca="false">F1666+G1666</f>
        <v>34</v>
      </c>
      <c r="R1666" s="1" t="str">
        <f aca="false">IF(H1666=M1666,"Home",IF(H1666=N1666,"Away",IF(H1666="PICK","Pick","N/A")))</f>
        <v>Home</v>
      </c>
      <c r="S1666" s="1" t="n">
        <f aca="false">IF(R1666="Home",P1666,IF(R1666="Away",-P1666,""))</f>
        <v>14</v>
      </c>
      <c r="T1666" s="1" t="str">
        <f aca="false">IF(R1666="Pick","No Line",IF(S1666="","N/A",IF(S1666+I1666&gt;0,"Favorite Covered",IF(S1666+I1666&lt;0,"Underdog Covered","Push"))))</f>
        <v>Favorite Covered</v>
      </c>
      <c r="U1666" s="1" t="str">
        <f aca="false">IF(Q1666&gt;J1666,"Over",IF(Q1666&lt;J1666,"Under","Push"))</f>
        <v>Under</v>
      </c>
    </row>
    <row r="1667" customFormat="false" ht="15" hidden="false" customHeight="false" outlineLevel="0" collapsed="false">
      <c r="A1667" s="1" t="s">
        <v>532</v>
      </c>
      <c r="B1667" s="1" t="n">
        <v>2016</v>
      </c>
      <c r="C1667" s="1" t="s">
        <v>185</v>
      </c>
      <c r="D1667" s="1" t="s">
        <v>108</v>
      </c>
      <c r="E1667" s="1" t="s">
        <v>53</v>
      </c>
      <c r="F1667" s="1" t="n">
        <v>21</v>
      </c>
      <c r="G1667" s="1" t="n">
        <v>33</v>
      </c>
      <c r="H1667" s="1" t="s">
        <v>54</v>
      </c>
      <c r="I1667" s="1" t="n">
        <v>-3.5</v>
      </c>
      <c r="J1667" s="1" t="n">
        <v>42.5</v>
      </c>
      <c r="K1667" s="1" t="s">
        <v>408</v>
      </c>
      <c r="L1667" s="1" t="b">
        <f aca="false">FALSE()</f>
        <v>0</v>
      </c>
      <c r="M1667" s="1" t="str">
        <f aca="false">VLOOKUP(D1667,'Team Reference'!$A:$B,2,FALSE())</f>
        <v>SF</v>
      </c>
      <c r="N1667" s="1" t="str">
        <f aca="false">VLOOKUP(E1667,'Team Reference'!$A:$B,2,FALSE())</f>
        <v>ARI</v>
      </c>
      <c r="O1667" s="1" t="str">
        <f aca="false">IF(F1667&gt;G1667,M1667,IF(G1667&gt;F1667,N1667,"Tie"))</f>
        <v>ARI</v>
      </c>
      <c r="P1667" s="1" t="n">
        <f aca="false">F1667-G1667</f>
        <v>-12</v>
      </c>
      <c r="Q1667" s="1" t="n">
        <f aca="false">F1667+G1667</f>
        <v>54</v>
      </c>
      <c r="R1667" s="1" t="str">
        <f aca="false">IF(H1667=M1667,"Home",IF(H1667=N1667,"Away",IF(H1667="PICK","Pick","N/A")))</f>
        <v>Away</v>
      </c>
      <c r="S1667" s="1" t="n">
        <f aca="false">IF(R1667="Home",P1667,IF(R1667="Away",-P1667,""))</f>
        <v>12</v>
      </c>
      <c r="T1667" s="1" t="str">
        <f aca="false">IF(R1667="Pick","No Line",IF(S1667="","N/A",IF(S1667+I1667&gt;0,"Favorite Covered",IF(S1667+I1667&lt;0,"Underdog Covered","Push"))))</f>
        <v>Favorite Covered</v>
      </c>
      <c r="U1667" s="1" t="str">
        <f aca="false">IF(Q1667&gt;J1667,"Over",IF(Q1667&lt;J1667,"Under","Push"))</f>
        <v>Over</v>
      </c>
    </row>
    <row r="1668" customFormat="false" ht="15" hidden="false" customHeight="false" outlineLevel="0" collapsed="false">
      <c r="A1668" s="1" t="s">
        <v>533</v>
      </c>
      <c r="B1668" s="1" t="n">
        <v>2016</v>
      </c>
      <c r="C1668" s="1" t="s">
        <v>185</v>
      </c>
      <c r="D1668" s="1" t="s">
        <v>57</v>
      </c>
      <c r="E1668" s="1" t="s">
        <v>117</v>
      </c>
      <c r="F1668" s="1" t="n">
        <v>10</v>
      </c>
      <c r="G1668" s="1" t="n">
        <v>16</v>
      </c>
      <c r="H1668" s="1" t="s">
        <v>58</v>
      </c>
      <c r="I1668" s="1" t="n">
        <v>-4</v>
      </c>
      <c r="J1668" s="1" t="n">
        <v>44.5</v>
      </c>
      <c r="K1668" s="1" t="s">
        <v>178</v>
      </c>
      <c r="L1668" s="1" t="b">
        <f aca="false">FALSE()</f>
        <v>0</v>
      </c>
      <c r="M1668" s="1" t="str">
        <f aca="false">VLOOKUP(D1668,'Team Reference'!$A:$B,2,FALSE())</f>
        <v>BAL</v>
      </c>
      <c r="N1668" s="1" t="str">
        <f aca="false">VLOOKUP(E1668,'Team Reference'!$A:$B,2,FALSE())</f>
        <v>WAS</v>
      </c>
      <c r="O1668" s="1" t="str">
        <f aca="false">IF(F1668&gt;G1668,M1668,IF(G1668&gt;F1668,N1668,"Tie"))</f>
        <v>WAS</v>
      </c>
      <c r="P1668" s="1" t="n">
        <f aca="false">F1668-G1668</f>
        <v>-6</v>
      </c>
      <c r="Q1668" s="1" t="n">
        <f aca="false">F1668+G1668</f>
        <v>26</v>
      </c>
      <c r="R1668" s="1" t="str">
        <f aca="false">IF(H1668=M1668,"Home",IF(H1668=N1668,"Away",IF(H1668="PICK","Pick","N/A")))</f>
        <v>Home</v>
      </c>
      <c r="S1668" s="1" t="n">
        <f aca="false">IF(R1668="Home",P1668,IF(R1668="Away",-P1668,""))</f>
        <v>-6</v>
      </c>
      <c r="T1668" s="1" t="str">
        <f aca="false">IF(R1668="Pick","No Line",IF(S1668="","N/A",IF(S1668+I1668&gt;0,"Favorite Covered",IF(S1668+I1668&lt;0,"Underdog Covered","Push"))))</f>
        <v>Underdog Covered</v>
      </c>
      <c r="U1668" s="1" t="str">
        <f aca="false">IF(Q1668&gt;J1668,"Over",IF(Q1668&lt;J1668,"Under","Push"))</f>
        <v>Under</v>
      </c>
    </row>
    <row r="1669" customFormat="false" ht="15" hidden="false" customHeight="false" outlineLevel="0" collapsed="false">
      <c r="A1669" s="1" t="s">
        <v>533</v>
      </c>
      <c r="B1669" s="1" t="n">
        <v>2016</v>
      </c>
      <c r="C1669" s="1" t="s">
        <v>185</v>
      </c>
      <c r="D1669" s="1" t="s">
        <v>67</v>
      </c>
      <c r="E1669" s="1" t="s">
        <v>93</v>
      </c>
      <c r="F1669" s="1" t="n">
        <v>13</v>
      </c>
      <c r="G1669" s="1" t="n">
        <v>33</v>
      </c>
      <c r="H1669" s="1" t="s">
        <v>94</v>
      </c>
      <c r="I1669" s="1" t="n">
        <v>-10</v>
      </c>
      <c r="J1669" s="1" t="n">
        <v>47.5</v>
      </c>
      <c r="K1669" s="1" t="s">
        <v>164</v>
      </c>
      <c r="L1669" s="1" t="b">
        <f aca="false">FALSE()</f>
        <v>0</v>
      </c>
      <c r="M1669" s="1" t="str">
        <f aca="false">VLOOKUP(D1669,'Team Reference'!$A:$B,2,FALSE())</f>
        <v>CLE</v>
      </c>
      <c r="N1669" s="1" t="str">
        <f aca="false">VLOOKUP(E1669,'Team Reference'!$A:$B,2,FALSE())</f>
        <v>NE</v>
      </c>
      <c r="O1669" s="1" t="str">
        <f aca="false">IF(F1669&gt;G1669,M1669,IF(G1669&gt;F1669,N1669,"Tie"))</f>
        <v>NE</v>
      </c>
      <c r="P1669" s="1" t="n">
        <f aca="false">F1669-G1669</f>
        <v>-20</v>
      </c>
      <c r="Q1669" s="1" t="n">
        <f aca="false">F1669+G1669</f>
        <v>46</v>
      </c>
      <c r="R1669" s="1" t="str">
        <f aca="false">IF(H1669=M1669,"Home",IF(H1669=N1669,"Away",IF(H1669="PICK","Pick","N/A")))</f>
        <v>Away</v>
      </c>
      <c r="S1669" s="1" t="n">
        <f aca="false">IF(R1669="Home",P1669,IF(R1669="Away",-P1669,""))</f>
        <v>20</v>
      </c>
      <c r="T1669" s="1" t="str">
        <f aca="false">IF(R1669="Pick","No Line",IF(S1669="","N/A",IF(S1669+I1669&gt;0,"Favorite Covered",IF(S1669+I1669&lt;0,"Underdog Covered","Push"))))</f>
        <v>Favorite Covered</v>
      </c>
      <c r="U1669" s="1" t="str">
        <f aca="false">IF(Q1669&gt;J1669,"Over",IF(Q1669&lt;J1669,"Under","Push"))</f>
        <v>Under</v>
      </c>
    </row>
    <row r="1670" customFormat="false" ht="15" hidden="false" customHeight="false" outlineLevel="0" collapsed="false">
      <c r="A1670" s="1" t="s">
        <v>533</v>
      </c>
      <c r="B1670" s="1" t="n">
        <v>2016</v>
      </c>
      <c r="C1670" s="1" t="s">
        <v>185</v>
      </c>
      <c r="D1670" s="1" t="s">
        <v>69</v>
      </c>
      <c r="E1670" s="1" t="s">
        <v>65</v>
      </c>
      <c r="F1670" s="1" t="n">
        <v>28</v>
      </c>
      <c r="G1670" s="1" t="n">
        <v>14</v>
      </c>
      <c r="H1670" s="1" t="s">
        <v>66</v>
      </c>
      <c r="I1670" s="1" t="n">
        <v>-2.5</v>
      </c>
      <c r="J1670" s="1" t="n">
        <v>46</v>
      </c>
      <c r="K1670" s="1" t="s">
        <v>165</v>
      </c>
      <c r="L1670" s="1" t="b">
        <f aca="false">FALSE()</f>
        <v>0</v>
      </c>
      <c r="M1670" s="1" t="str">
        <f aca="false">VLOOKUP(D1670,'Team Reference'!$A:$B,2,FALSE())</f>
        <v>DAL</v>
      </c>
      <c r="N1670" s="1" t="str">
        <f aca="false">VLOOKUP(E1670,'Team Reference'!$A:$B,2,FALSE())</f>
        <v>CIN</v>
      </c>
      <c r="O1670" s="1" t="str">
        <f aca="false">IF(F1670&gt;G1670,M1670,IF(G1670&gt;F1670,N1670,"Tie"))</f>
        <v>DAL</v>
      </c>
      <c r="P1670" s="1" t="n">
        <f aca="false">F1670-G1670</f>
        <v>14</v>
      </c>
      <c r="Q1670" s="1" t="n">
        <f aca="false">F1670+G1670</f>
        <v>42</v>
      </c>
      <c r="R1670" s="1" t="str">
        <f aca="false">IF(H1670=M1670,"Home",IF(H1670=N1670,"Away",IF(H1670="PICK","Pick","N/A")))</f>
        <v>Away</v>
      </c>
      <c r="S1670" s="1" t="n">
        <f aca="false">IF(R1670="Home",P1670,IF(R1670="Away",-P1670,""))</f>
        <v>-14</v>
      </c>
      <c r="T1670" s="1" t="str">
        <f aca="false">IF(R1670="Pick","No Line",IF(S1670="","N/A",IF(S1670+I1670&gt;0,"Favorite Covered",IF(S1670+I1670&lt;0,"Underdog Covered","Push"))))</f>
        <v>Underdog Covered</v>
      </c>
      <c r="U1670" s="1" t="str">
        <f aca="false">IF(Q1670&gt;J1670,"Over",IF(Q1670&lt;J1670,"Under","Push"))</f>
        <v>Under</v>
      </c>
    </row>
    <row r="1671" customFormat="false" ht="15" hidden="false" customHeight="false" outlineLevel="0" collapsed="false">
      <c r="A1671" s="1" t="s">
        <v>533</v>
      </c>
      <c r="B1671" s="1" t="n">
        <v>2016</v>
      </c>
      <c r="C1671" s="1" t="s">
        <v>185</v>
      </c>
      <c r="D1671" s="1" t="s">
        <v>71</v>
      </c>
      <c r="E1671" s="1" t="s">
        <v>55</v>
      </c>
      <c r="F1671" s="1" t="n">
        <v>16</v>
      </c>
      <c r="G1671" s="1" t="n">
        <v>23</v>
      </c>
      <c r="H1671" s="1" t="s">
        <v>72</v>
      </c>
      <c r="I1671" s="1" t="n">
        <v>-3.5</v>
      </c>
      <c r="J1671" s="1" t="n">
        <v>44.5</v>
      </c>
      <c r="K1671" s="1" t="s">
        <v>166</v>
      </c>
      <c r="L1671" s="1" t="b">
        <f aca="false">FALSE()</f>
        <v>0</v>
      </c>
      <c r="M1671" s="1" t="str">
        <f aca="false">VLOOKUP(D1671,'Team Reference'!$A:$B,2,FALSE())</f>
        <v>DEN</v>
      </c>
      <c r="N1671" s="1" t="str">
        <f aca="false">VLOOKUP(E1671,'Team Reference'!$A:$B,2,FALSE())</f>
        <v>ATL</v>
      </c>
      <c r="O1671" s="1" t="str">
        <f aca="false">IF(F1671&gt;G1671,M1671,IF(G1671&gt;F1671,N1671,"Tie"))</f>
        <v>ATL</v>
      </c>
      <c r="P1671" s="1" t="n">
        <f aca="false">F1671-G1671</f>
        <v>-7</v>
      </c>
      <c r="Q1671" s="1" t="n">
        <f aca="false">F1671+G1671</f>
        <v>39</v>
      </c>
      <c r="R1671" s="1" t="str">
        <f aca="false">IF(H1671=M1671,"Home",IF(H1671=N1671,"Away",IF(H1671="PICK","Pick","N/A")))</f>
        <v>Home</v>
      </c>
      <c r="S1671" s="1" t="n">
        <f aca="false">IF(R1671="Home",P1671,IF(R1671="Away",-P1671,""))</f>
        <v>-7</v>
      </c>
      <c r="T1671" s="1" t="str">
        <f aca="false">IF(R1671="Pick","No Line",IF(S1671="","N/A",IF(S1671+I1671&gt;0,"Favorite Covered",IF(S1671+I1671&lt;0,"Underdog Covered","Push"))))</f>
        <v>Underdog Covered</v>
      </c>
      <c r="U1671" s="1" t="str">
        <f aca="false">IF(Q1671&gt;J1671,"Over",IF(Q1671&lt;J1671,"Under","Push"))</f>
        <v>Under</v>
      </c>
    </row>
    <row r="1672" customFormat="false" ht="15" hidden="false" customHeight="false" outlineLevel="0" collapsed="false">
      <c r="A1672" s="1" t="s">
        <v>533</v>
      </c>
      <c r="B1672" s="1" t="n">
        <v>2016</v>
      </c>
      <c r="C1672" s="1" t="s">
        <v>185</v>
      </c>
      <c r="D1672" s="1" t="s">
        <v>73</v>
      </c>
      <c r="E1672" s="1" t="s">
        <v>103</v>
      </c>
      <c r="F1672" s="1" t="n">
        <v>24</v>
      </c>
      <c r="G1672" s="1" t="n">
        <v>23</v>
      </c>
      <c r="H1672" s="1" t="s">
        <v>104</v>
      </c>
      <c r="I1672" s="1" t="n">
        <v>-3.5</v>
      </c>
      <c r="J1672" s="1" t="n">
        <v>46</v>
      </c>
      <c r="K1672" s="1" t="s">
        <v>167</v>
      </c>
      <c r="L1672" s="1" t="b">
        <f aca="false">FALSE()</f>
        <v>0</v>
      </c>
      <c r="M1672" s="1" t="str">
        <f aca="false">VLOOKUP(D1672,'Team Reference'!$A:$B,2,FALSE())</f>
        <v>DET</v>
      </c>
      <c r="N1672" s="1" t="str">
        <f aca="false">VLOOKUP(E1672,'Team Reference'!$A:$B,2,FALSE())</f>
        <v>PHI</v>
      </c>
      <c r="O1672" s="1" t="str">
        <f aca="false">IF(F1672&gt;G1672,M1672,IF(G1672&gt;F1672,N1672,"Tie"))</f>
        <v>DET</v>
      </c>
      <c r="P1672" s="1" t="n">
        <f aca="false">F1672-G1672</f>
        <v>1</v>
      </c>
      <c r="Q1672" s="1" t="n">
        <f aca="false">F1672+G1672</f>
        <v>47</v>
      </c>
      <c r="R1672" s="1" t="str">
        <f aca="false">IF(H1672=M1672,"Home",IF(H1672=N1672,"Away",IF(H1672="PICK","Pick","N/A")))</f>
        <v>Away</v>
      </c>
      <c r="S1672" s="1" t="n">
        <f aca="false">IF(R1672="Home",P1672,IF(R1672="Away",-P1672,""))</f>
        <v>-1</v>
      </c>
      <c r="T1672" s="1" t="str">
        <f aca="false">IF(R1672="Pick","No Line",IF(S1672="","N/A",IF(S1672+I1672&gt;0,"Favorite Covered",IF(S1672+I1672&lt;0,"Underdog Covered","Push"))))</f>
        <v>Underdog Covered</v>
      </c>
      <c r="U1672" s="1" t="str">
        <f aca="false">IF(Q1672&gt;J1672,"Over",IF(Q1672&lt;J1672,"Under","Push"))</f>
        <v>Over</v>
      </c>
    </row>
    <row r="1673" customFormat="false" ht="15" hidden="false" customHeight="false" outlineLevel="0" collapsed="false">
      <c r="A1673" s="1" t="s">
        <v>533</v>
      </c>
      <c r="B1673" s="1" t="n">
        <v>2016</v>
      </c>
      <c r="C1673" s="1" t="s">
        <v>185</v>
      </c>
      <c r="D1673" s="1" t="s">
        <v>75</v>
      </c>
      <c r="E1673" s="1" t="s">
        <v>97</v>
      </c>
      <c r="F1673" s="1" t="n">
        <v>23</v>
      </c>
      <c r="G1673" s="1" t="n">
        <v>16</v>
      </c>
      <c r="H1673" s="1" t="s">
        <v>76</v>
      </c>
      <c r="I1673" s="1" t="n">
        <v>-7</v>
      </c>
      <c r="J1673" s="1" t="n">
        <v>49</v>
      </c>
      <c r="K1673" s="1" t="s">
        <v>168</v>
      </c>
      <c r="L1673" s="1" t="b">
        <f aca="false">FALSE()</f>
        <v>0</v>
      </c>
      <c r="M1673" s="1" t="str">
        <f aca="false">VLOOKUP(D1673,'Team Reference'!$A:$B,2,FALSE())</f>
        <v>GB</v>
      </c>
      <c r="N1673" s="1" t="str">
        <f aca="false">VLOOKUP(E1673,'Team Reference'!$A:$B,2,FALSE())</f>
        <v>NYG</v>
      </c>
      <c r="O1673" s="1" t="str">
        <f aca="false">IF(F1673&gt;G1673,M1673,IF(G1673&gt;F1673,N1673,"Tie"))</f>
        <v>GB</v>
      </c>
      <c r="P1673" s="1" t="n">
        <f aca="false">F1673-G1673</f>
        <v>7</v>
      </c>
      <c r="Q1673" s="1" t="n">
        <f aca="false">F1673+G1673</f>
        <v>39</v>
      </c>
      <c r="R1673" s="1" t="str">
        <f aca="false">IF(H1673=M1673,"Home",IF(H1673=N1673,"Away",IF(H1673="PICK","Pick","N/A")))</f>
        <v>Home</v>
      </c>
      <c r="S1673" s="1" t="n">
        <f aca="false">IF(R1673="Home",P1673,IF(R1673="Away",-P1673,""))</f>
        <v>7</v>
      </c>
      <c r="T1673" s="1" t="str">
        <f aca="false">IF(R1673="Pick","No Line",IF(S1673="","N/A",IF(S1673+I1673&gt;0,"Favorite Covered",IF(S1673+I1673&lt;0,"Underdog Covered","Push"))))</f>
        <v>Push</v>
      </c>
      <c r="U1673" s="1" t="str">
        <f aca="false">IF(Q1673&gt;J1673,"Over",IF(Q1673&lt;J1673,"Under","Push"))</f>
        <v>Under</v>
      </c>
    </row>
    <row r="1674" customFormat="false" ht="15" hidden="false" customHeight="false" outlineLevel="0" collapsed="false">
      <c r="A1674" s="1" t="s">
        <v>533</v>
      </c>
      <c r="B1674" s="1" t="n">
        <v>2016</v>
      </c>
      <c r="C1674" s="1" t="s">
        <v>185</v>
      </c>
      <c r="D1674" s="1" t="s">
        <v>79</v>
      </c>
      <c r="E1674" s="1" t="s">
        <v>63</v>
      </c>
      <c r="F1674" s="1" t="n">
        <v>29</v>
      </c>
      <c r="G1674" s="1" t="n">
        <v>23</v>
      </c>
      <c r="H1674" s="1" t="s">
        <v>80</v>
      </c>
      <c r="I1674" s="1" t="n">
        <v>-4</v>
      </c>
      <c r="J1674" s="1" t="n">
        <v>47.5</v>
      </c>
      <c r="K1674" s="1" t="s">
        <v>169</v>
      </c>
      <c r="L1674" s="1" t="b">
        <f aca="false">FALSE()</f>
        <v>0</v>
      </c>
      <c r="M1674" s="1" t="str">
        <f aca="false">VLOOKUP(D1674,'Team Reference'!$A:$B,2,FALSE())</f>
        <v>IND</v>
      </c>
      <c r="N1674" s="1" t="str">
        <f aca="false">VLOOKUP(E1674,'Team Reference'!$A:$B,2,FALSE())</f>
        <v>CHI</v>
      </c>
      <c r="O1674" s="1" t="str">
        <f aca="false">IF(F1674&gt;G1674,M1674,IF(G1674&gt;F1674,N1674,"Tie"))</f>
        <v>IND</v>
      </c>
      <c r="P1674" s="1" t="n">
        <f aca="false">F1674-G1674</f>
        <v>6</v>
      </c>
      <c r="Q1674" s="1" t="n">
        <f aca="false">F1674+G1674</f>
        <v>52</v>
      </c>
      <c r="R1674" s="1" t="str">
        <f aca="false">IF(H1674=M1674,"Home",IF(H1674=N1674,"Away",IF(H1674="PICK","Pick","N/A")))</f>
        <v>Home</v>
      </c>
      <c r="S1674" s="1" t="n">
        <f aca="false">IF(R1674="Home",P1674,IF(R1674="Away",-P1674,""))</f>
        <v>6</v>
      </c>
      <c r="T1674" s="1" t="str">
        <f aca="false">IF(R1674="Pick","No Line",IF(S1674="","N/A",IF(S1674+I1674&gt;0,"Favorite Covered",IF(S1674+I1674&lt;0,"Underdog Covered","Push"))))</f>
        <v>Favorite Covered</v>
      </c>
      <c r="U1674" s="1" t="str">
        <f aca="false">IF(Q1674&gt;J1674,"Over",IF(Q1674&lt;J1674,"Under","Push"))</f>
        <v>Over</v>
      </c>
    </row>
    <row r="1675" customFormat="false" ht="15" hidden="false" customHeight="false" outlineLevel="0" collapsed="false">
      <c r="A1675" s="1" t="s">
        <v>533</v>
      </c>
      <c r="B1675" s="1" t="n">
        <v>2016</v>
      </c>
      <c r="C1675" s="1" t="s">
        <v>185</v>
      </c>
      <c r="D1675" s="1" t="s">
        <v>87</v>
      </c>
      <c r="E1675" s="1" t="s">
        <v>59</v>
      </c>
      <c r="F1675" s="1" t="n">
        <v>19</v>
      </c>
      <c r="G1675" s="1" t="n">
        <v>30</v>
      </c>
      <c r="H1675" s="1" t="s">
        <v>60</v>
      </c>
      <c r="I1675" s="1" t="n">
        <v>-2.5</v>
      </c>
      <c r="J1675" s="1" t="n">
        <v>41.5</v>
      </c>
      <c r="K1675" s="1" t="s">
        <v>520</v>
      </c>
      <c r="L1675" s="1" t="b">
        <f aca="false">FALSE()</f>
        <v>0</v>
      </c>
      <c r="M1675" s="1" t="str">
        <f aca="false">VLOOKUP(D1675,'Team Reference'!$A:$B,2,FALSE())</f>
        <v>LAR</v>
      </c>
      <c r="N1675" s="1" t="str">
        <f aca="false">VLOOKUP(E1675,'Team Reference'!$A:$B,2,FALSE())</f>
        <v>BUF</v>
      </c>
      <c r="O1675" s="1" t="str">
        <f aca="false">IF(F1675&gt;G1675,M1675,IF(G1675&gt;F1675,N1675,"Tie"))</f>
        <v>BUF</v>
      </c>
      <c r="P1675" s="1" t="n">
        <f aca="false">F1675-G1675</f>
        <v>-11</v>
      </c>
      <c r="Q1675" s="1" t="n">
        <f aca="false">F1675+G1675</f>
        <v>49</v>
      </c>
      <c r="R1675" s="1" t="str">
        <f aca="false">IF(H1675=M1675,"Home",IF(H1675=N1675,"Away",IF(H1675="PICK","Pick","N/A")))</f>
        <v>Away</v>
      </c>
      <c r="S1675" s="1" t="n">
        <f aca="false">IF(R1675="Home",P1675,IF(R1675="Away",-P1675,""))</f>
        <v>11</v>
      </c>
      <c r="T1675" s="1" t="str">
        <f aca="false">IF(R1675="Pick","No Line",IF(S1675="","N/A",IF(S1675+I1675&gt;0,"Favorite Covered",IF(S1675+I1675&lt;0,"Underdog Covered","Push"))))</f>
        <v>Favorite Covered</v>
      </c>
      <c r="U1675" s="1" t="str">
        <f aca="false">IF(Q1675&gt;J1675,"Over",IF(Q1675&lt;J1675,"Under","Push"))</f>
        <v>Over</v>
      </c>
    </row>
    <row r="1676" customFormat="false" ht="15" hidden="false" customHeight="false" outlineLevel="0" collapsed="false">
      <c r="A1676" s="1" t="s">
        <v>533</v>
      </c>
      <c r="B1676" s="1" t="n">
        <v>2016</v>
      </c>
      <c r="C1676" s="1" t="s">
        <v>185</v>
      </c>
      <c r="D1676" s="1" t="s">
        <v>89</v>
      </c>
      <c r="E1676" s="1" t="s">
        <v>115</v>
      </c>
      <c r="F1676" s="1" t="n">
        <v>17</v>
      </c>
      <c r="G1676" s="1" t="n">
        <v>30</v>
      </c>
      <c r="H1676" s="1" t="s">
        <v>90</v>
      </c>
      <c r="I1676" s="1" t="n">
        <v>-2.5</v>
      </c>
      <c r="J1676" s="1" t="n">
        <v>44.5</v>
      </c>
      <c r="K1676" s="1" t="s">
        <v>179</v>
      </c>
      <c r="L1676" s="1" t="b">
        <f aca="false">FALSE()</f>
        <v>0</v>
      </c>
      <c r="M1676" s="1" t="str">
        <f aca="false">VLOOKUP(D1676,'Team Reference'!$A:$B,2,FALSE())</f>
        <v>MIA</v>
      </c>
      <c r="N1676" s="1" t="str">
        <f aca="false">VLOOKUP(E1676,'Team Reference'!$A:$B,2,FALSE())</f>
        <v>TEN</v>
      </c>
      <c r="O1676" s="1" t="str">
        <f aca="false">IF(F1676&gt;G1676,M1676,IF(G1676&gt;F1676,N1676,"Tie"))</f>
        <v>TEN</v>
      </c>
      <c r="P1676" s="1" t="n">
        <f aca="false">F1676-G1676</f>
        <v>-13</v>
      </c>
      <c r="Q1676" s="1" t="n">
        <f aca="false">F1676+G1676</f>
        <v>47</v>
      </c>
      <c r="R1676" s="1" t="str">
        <f aca="false">IF(H1676=M1676,"Home",IF(H1676=N1676,"Away",IF(H1676="PICK","Pick","N/A")))</f>
        <v>Home</v>
      </c>
      <c r="S1676" s="1" t="n">
        <f aca="false">IF(R1676="Home",P1676,IF(R1676="Away",-P1676,""))</f>
        <v>-13</v>
      </c>
      <c r="T1676" s="1" t="str">
        <f aca="false">IF(R1676="Pick","No Line",IF(S1676="","N/A",IF(S1676+I1676&gt;0,"Favorite Covered",IF(S1676+I1676&lt;0,"Underdog Covered","Push"))))</f>
        <v>Underdog Covered</v>
      </c>
      <c r="U1676" s="1" t="str">
        <f aca="false">IF(Q1676&gt;J1676,"Over",IF(Q1676&lt;J1676,"Under","Push"))</f>
        <v>Over</v>
      </c>
    </row>
    <row r="1677" customFormat="false" ht="15" hidden="false" customHeight="false" outlineLevel="0" collapsed="false">
      <c r="A1677" s="1" t="s">
        <v>533</v>
      </c>
      <c r="B1677" s="1" t="n">
        <v>2016</v>
      </c>
      <c r="C1677" s="1" t="s">
        <v>185</v>
      </c>
      <c r="D1677" s="1" t="s">
        <v>91</v>
      </c>
      <c r="E1677" s="1" t="s">
        <v>77</v>
      </c>
      <c r="F1677" s="1" t="n">
        <v>31</v>
      </c>
      <c r="G1677" s="1" t="n">
        <v>13</v>
      </c>
      <c r="H1677" s="1" t="s">
        <v>92</v>
      </c>
      <c r="I1677" s="1" t="n">
        <v>-6</v>
      </c>
      <c r="J1677" s="1" t="n">
        <v>39</v>
      </c>
      <c r="K1677" s="1" t="s">
        <v>525</v>
      </c>
      <c r="L1677" s="1" t="b">
        <f aca="false">FALSE()</f>
        <v>0</v>
      </c>
      <c r="M1677" s="1" t="str">
        <f aca="false">VLOOKUP(D1677,'Team Reference'!$A:$B,2,FALSE())</f>
        <v>MIN</v>
      </c>
      <c r="N1677" s="1" t="str">
        <f aca="false">VLOOKUP(E1677,'Team Reference'!$A:$B,2,FALSE())</f>
        <v>HOU</v>
      </c>
      <c r="O1677" s="1" t="str">
        <f aca="false">IF(F1677&gt;G1677,M1677,IF(G1677&gt;F1677,N1677,"Tie"))</f>
        <v>MIN</v>
      </c>
      <c r="P1677" s="1" t="n">
        <f aca="false">F1677-G1677</f>
        <v>18</v>
      </c>
      <c r="Q1677" s="1" t="n">
        <f aca="false">F1677+G1677</f>
        <v>44</v>
      </c>
      <c r="R1677" s="1" t="str">
        <f aca="false">IF(H1677=M1677,"Home",IF(H1677=N1677,"Away",IF(H1677="PICK","Pick","N/A")))</f>
        <v>Home</v>
      </c>
      <c r="S1677" s="1" t="n">
        <f aca="false">IF(R1677="Home",P1677,IF(R1677="Away",-P1677,""))</f>
        <v>18</v>
      </c>
      <c r="T1677" s="1" t="str">
        <f aca="false">IF(R1677="Pick","No Line",IF(S1677="","N/A",IF(S1677+I1677&gt;0,"Favorite Covered",IF(S1677+I1677&lt;0,"Underdog Covered","Push"))))</f>
        <v>Favorite Covered</v>
      </c>
      <c r="U1677" s="1" t="str">
        <f aca="false">IF(Q1677&gt;J1677,"Over",IF(Q1677&lt;J1677,"Under","Push"))</f>
        <v>Over</v>
      </c>
    </row>
    <row r="1678" customFormat="false" ht="15" hidden="false" customHeight="false" outlineLevel="0" collapsed="false">
      <c r="A1678" s="1" t="s">
        <v>533</v>
      </c>
      <c r="B1678" s="1" t="n">
        <v>2016</v>
      </c>
      <c r="C1678" s="1" t="s">
        <v>185</v>
      </c>
      <c r="D1678" s="1" t="s">
        <v>101</v>
      </c>
      <c r="E1678" s="1" t="s">
        <v>107</v>
      </c>
      <c r="F1678" s="1" t="n">
        <v>34</v>
      </c>
      <c r="G1678" s="1" t="n">
        <v>31</v>
      </c>
      <c r="H1678" s="1" t="s">
        <v>102</v>
      </c>
      <c r="I1678" s="1" t="n">
        <v>-3.5</v>
      </c>
      <c r="J1678" s="1" t="n">
        <v>50.5</v>
      </c>
      <c r="K1678" s="1" t="s">
        <v>171</v>
      </c>
      <c r="L1678" s="1" t="b">
        <f aca="false">FALSE()</f>
        <v>0</v>
      </c>
      <c r="M1678" s="1" t="str">
        <f aca="false">VLOOKUP(D1678,'Team Reference'!$A:$B,2,FALSE())</f>
        <v>OAK</v>
      </c>
      <c r="N1678" s="1" t="str">
        <f aca="false">VLOOKUP(E1678,'Team Reference'!$A:$B,2,FALSE())</f>
        <v>LAC</v>
      </c>
      <c r="O1678" s="1" t="str">
        <f aca="false">IF(F1678&gt;G1678,M1678,IF(G1678&gt;F1678,N1678,"Tie"))</f>
        <v>OAK</v>
      </c>
      <c r="P1678" s="1" t="n">
        <f aca="false">F1678-G1678</f>
        <v>3</v>
      </c>
      <c r="Q1678" s="1" t="n">
        <f aca="false">F1678+G1678</f>
        <v>65</v>
      </c>
      <c r="R1678" s="1" t="str">
        <f aca="false">IF(H1678=M1678,"Home",IF(H1678=N1678,"Away",IF(H1678="PICK","Pick","N/A")))</f>
        <v>Home</v>
      </c>
      <c r="S1678" s="1" t="n">
        <f aca="false">IF(R1678="Home",P1678,IF(R1678="Away",-P1678,""))</f>
        <v>3</v>
      </c>
      <c r="T1678" s="1" t="str">
        <f aca="false">IF(R1678="Pick","No Line",IF(S1678="","N/A",IF(S1678+I1678&gt;0,"Favorite Covered",IF(S1678+I1678&lt;0,"Underdog Covered","Push"))))</f>
        <v>Underdog Covered</v>
      </c>
      <c r="U1678" s="1" t="str">
        <f aca="false">IF(Q1678&gt;J1678,"Over",IF(Q1678&lt;J1678,"Under","Push"))</f>
        <v>Over</v>
      </c>
    </row>
    <row r="1679" customFormat="false" ht="15" hidden="false" customHeight="false" outlineLevel="0" collapsed="false">
      <c r="A1679" s="1" t="s">
        <v>533</v>
      </c>
      <c r="B1679" s="1" t="n">
        <v>2016</v>
      </c>
      <c r="C1679" s="1" t="s">
        <v>185</v>
      </c>
      <c r="D1679" s="1" t="s">
        <v>105</v>
      </c>
      <c r="E1679" s="1" t="s">
        <v>99</v>
      </c>
      <c r="F1679" s="1" t="n">
        <v>31</v>
      </c>
      <c r="G1679" s="1" t="n">
        <v>13</v>
      </c>
      <c r="H1679" s="1" t="s">
        <v>106</v>
      </c>
      <c r="I1679" s="1" t="n">
        <v>-10</v>
      </c>
      <c r="J1679" s="1" t="n">
        <v>50</v>
      </c>
      <c r="K1679" s="1" t="s">
        <v>151</v>
      </c>
      <c r="L1679" s="1" t="b">
        <f aca="false">FALSE()</f>
        <v>0</v>
      </c>
      <c r="M1679" s="1" t="str">
        <f aca="false">VLOOKUP(D1679,'Team Reference'!$A:$B,2,FALSE())</f>
        <v>PIT</v>
      </c>
      <c r="N1679" s="1" t="str">
        <f aca="false">VLOOKUP(E1679,'Team Reference'!$A:$B,2,FALSE())</f>
        <v>NYJ</v>
      </c>
      <c r="O1679" s="1" t="str">
        <f aca="false">IF(F1679&gt;G1679,M1679,IF(G1679&gt;F1679,N1679,"Tie"))</f>
        <v>PIT</v>
      </c>
      <c r="P1679" s="1" t="n">
        <f aca="false">F1679-G1679</f>
        <v>18</v>
      </c>
      <c r="Q1679" s="1" t="n">
        <f aca="false">F1679+G1679</f>
        <v>44</v>
      </c>
      <c r="R1679" s="1" t="str">
        <f aca="false">IF(H1679=M1679,"Home",IF(H1679=N1679,"Away",IF(H1679="PICK","Pick","N/A")))</f>
        <v>Home</v>
      </c>
      <c r="S1679" s="1" t="n">
        <f aca="false">IF(R1679="Home",P1679,IF(R1679="Away",-P1679,""))</f>
        <v>18</v>
      </c>
      <c r="T1679" s="1" t="str">
        <f aca="false">IF(R1679="Pick","No Line",IF(S1679="","N/A",IF(S1679+I1679&gt;0,"Favorite Covered",IF(S1679+I1679&lt;0,"Underdog Covered","Push"))))</f>
        <v>Favorite Covered</v>
      </c>
      <c r="U1679" s="1" t="str">
        <f aca="false">IF(Q1679&gt;J1679,"Over",IF(Q1679&lt;J1679,"Under","Push"))</f>
        <v>Under</v>
      </c>
    </row>
    <row r="1680" customFormat="false" ht="15" hidden="false" customHeight="false" outlineLevel="0" collapsed="false">
      <c r="A1680" s="1" t="s">
        <v>534</v>
      </c>
      <c r="B1680" s="1" t="n">
        <v>2016</v>
      </c>
      <c r="C1680" s="1" t="s">
        <v>185</v>
      </c>
      <c r="D1680" s="1" t="s">
        <v>61</v>
      </c>
      <c r="E1680" s="1" t="s">
        <v>113</v>
      </c>
      <c r="F1680" s="1" t="n">
        <v>14</v>
      </c>
      <c r="G1680" s="1" t="n">
        <v>17</v>
      </c>
      <c r="H1680" s="1" t="s">
        <v>62</v>
      </c>
      <c r="I1680" s="1" t="n">
        <v>-6</v>
      </c>
      <c r="J1680" s="1" t="n">
        <v>46.5</v>
      </c>
      <c r="K1680" s="1" t="s">
        <v>162</v>
      </c>
      <c r="L1680" s="1" t="b">
        <f aca="false">FALSE()</f>
        <v>0</v>
      </c>
      <c r="M1680" s="1" t="str">
        <f aca="false">VLOOKUP(D1680,'Team Reference'!$A:$B,2,FALSE())</f>
        <v>CAR</v>
      </c>
      <c r="N1680" s="1" t="str">
        <f aca="false">VLOOKUP(E1680,'Team Reference'!$A:$B,2,FALSE())</f>
        <v>TB</v>
      </c>
      <c r="O1680" s="1" t="str">
        <f aca="false">IF(F1680&gt;G1680,M1680,IF(G1680&gt;F1680,N1680,"Tie"))</f>
        <v>TB</v>
      </c>
      <c r="P1680" s="1" t="n">
        <f aca="false">F1680-G1680</f>
        <v>-3</v>
      </c>
      <c r="Q1680" s="1" t="n">
        <f aca="false">F1680+G1680</f>
        <v>31</v>
      </c>
      <c r="R1680" s="1" t="str">
        <f aca="false">IF(H1680=M1680,"Home",IF(H1680=N1680,"Away",IF(H1680="PICK","Pick","N/A")))</f>
        <v>Home</v>
      </c>
      <c r="S1680" s="1" t="n">
        <f aca="false">IF(R1680="Home",P1680,IF(R1680="Away",-P1680,""))</f>
        <v>-3</v>
      </c>
      <c r="T1680" s="1" t="str">
        <f aca="false">IF(R1680="Pick","No Line",IF(S1680="","N/A",IF(S1680+I1680&gt;0,"Favorite Covered",IF(S1680+I1680&lt;0,"Underdog Covered","Push"))))</f>
        <v>Underdog Covered</v>
      </c>
      <c r="U1680" s="1" t="str">
        <f aca="false">IF(Q1680&gt;J1680,"Over",IF(Q1680&lt;J1680,"Under","Push"))</f>
        <v>Under</v>
      </c>
    </row>
    <row r="1681" customFormat="false" ht="15" hidden="false" customHeight="false" outlineLevel="0" collapsed="false">
      <c r="A1681" s="1" t="s">
        <v>535</v>
      </c>
      <c r="B1681" s="1" t="n">
        <v>2016</v>
      </c>
      <c r="C1681" s="1" t="s">
        <v>188</v>
      </c>
      <c r="D1681" s="1" t="s">
        <v>107</v>
      </c>
      <c r="E1681" s="1" t="s">
        <v>71</v>
      </c>
      <c r="F1681" s="1" t="n">
        <v>21</v>
      </c>
      <c r="G1681" s="1" t="n">
        <v>13</v>
      </c>
      <c r="H1681" s="1" t="s">
        <v>72</v>
      </c>
      <c r="I1681" s="1" t="n">
        <v>-3</v>
      </c>
      <c r="J1681" s="1" t="n">
        <v>44</v>
      </c>
      <c r="K1681" s="1" t="s">
        <v>172</v>
      </c>
      <c r="L1681" s="1" t="b">
        <f aca="false">FALSE()</f>
        <v>0</v>
      </c>
      <c r="M1681" s="1" t="str">
        <f aca="false">VLOOKUP(D1681,'Team Reference'!$A:$B,2,FALSE())</f>
        <v>LAC</v>
      </c>
      <c r="N1681" s="1" t="str">
        <f aca="false">VLOOKUP(E1681,'Team Reference'!$A:$B,2,FALSE())</f>
        <v>DEN</v>
      </c>
      <c r="O1681" s="1" t="str">
        <f aca="false">IF(F1681&gt;G1681,M1681,IF(G1681&gt;F1681,N1681,"Tie"))</f>
        <v>LAC</v>
      </c>
      <c r="P1681" s="1" t="n">
        <f aca="false">F1681-G1681</f>
        <v>8</v>
      </c>
      <c r="Q1681" s="1" t="n">
        <f aca="false">F1681+G1681</f>
        <v>34</v>
      </c>
      <c r="R1681" s="1" t="str">
        <f aca="false">IF(H1681=M1681,"Home",IF(H1681=N1681,"Away",IF(H1681="PICK","Pick","N/A")))</f>
        <v>Away</v>
      </c>
      <c r="S1681" s="1" t="n">
        <f aca="false">IF(R1681="Home",P1681,IF(R1681="Away",-P1681,""))</f>
        <v>-8</v>
      </c>
      <c r="T1681" s="1" t="str">
        <f aca="false">IF(R1681="Pick","No Line",IF(S1681="","N/A",IF(S1681+I1681&gt;0,"Favorite Covered",IF(S1681+I1681&lt;0,"Underdog Covered","Push"))))</f>
        <v>Underdog Covered</v>
      </c>
      <c r="U1681" s="1" t="str">
        <f aca="false">IF(Q1681&gt;J1681,"Over",IF(Q1681&lt;J1681,"Under","Push"))</f>
        <v>Under</v>
      </c>
    </row>
    <row r="1682" customFormat="false" ht="15" hidden="false" customHeight="false" outlineLevel="0" collapsed="false">
      <c r="A1682" s="1" t="s">
        <v>536</v>
      </c>
      <c r="B1682" s="1" t="n">
        <v>2016</v>
      </c>
      <c r="C1682" s="1" t="s">
        <v>188</v>
      </c>
      <c r="D1682" s="1" t="s">
        <v>59</v>
      </c>
      <c r="E1682" s="1" t="s">
        <v>108</v>
      </c>
      <c r="F1682" s="1" t="n">
        <v>45</v>
      </c>
      <c r="G1682" s="1" t="n">
        <v>16</v>
      </c>
      <c r="H1682" s="1" t="s">
        <v>60</v>
      </c>
      <c r="I1682" s="1" t="n">
        <v>-7.5</v>
      </c>
      <c r="J1682" s="1" t="n">
        <v>44</v>
      </c>
      <c r="K1682" s="1" t="s">
        <v>522</v>
      </c>
      <c r="L1682" s="1" t="b">
        <f aca="false">FALSE()</f>
        <v>0</v>
      </c>
      <c r="M1682" s="1" t="str">
        <f aca="false">VLOOKUP(D1682,'Team Reference'!$A:$B,2,FALSE())</f>
        <v>BUF</v>
      </c>
      <c r="N1682" s="1" t="str">
        <f aca="false">VLOOKUP(E1682,'Team Reference'!$A:$B,2,FALSE())</f>
        <v>SF</v>
      </c>
      <c r="O1682" s="1" t="str">
        <f aca="false">IF(F1682&gt;G1682,M1682,IF(G1682&gt;F1682,N1682,"Tie"))</f>
        <v>BUF</v>
      </c>
      <c r="P1682" s="1" t="n">
        <f aca="false">F1682-G1682</f>
        <v>29</v>
      </c>
      <c r="Q1682" s="1" t="n">
        <f aca="false">F1682+G1682</f>
        <v>61</v>
      </c>
      <c r="R1682" s="1" t="str">
        <f aca="false">IF(H1682=M1682,"Home",IF(H1682=N1682,"Away",IF(H1682="PICK","Pick","N/A")))</f>
        <v>Home</v>
      </c>
      <c r="S1682" s="1" t="n">
        <f aca="false">IF(R1682="Home",P1682,IF(R1682="Away",-P1682,""))</f>
        <v>29</v>
      </c>
      <c r="T1682" s="1" t="str">
        <f aca="false">IF(R1682="Pick","No Line",IF(S1682="","N/A",IF(S1682+I1682&gt;0,"Favorite Covered",IF(S1682+I1682&lt;0,"Underdog Covered","Push"))))</f>
        <v>Favorite Covered</v>
      </c>
      <c r="U1682" s="1" t="str">
        <f aca="false">IF(Q1682&gt;J1682,"Over",IF(Q1682&lt;J1682,"Under","Push"))</f>
        <v>Over</v>
      </c>
    </row>
    <row r="1683" customFormat="false" ht="15" hidden="false" customHeight="false" outlineLevel="0" collapsed="false">
      <c r="A1683" s="1" t="s">
        <v>536</v>
      </c>
      <c r="B1683" s="1" t="n">
        <v>2016</v>
      </c>
      <c r="C1683" s="1" t="s">
        <v>188</v>
      </c>
      <c r="D1683" s="1" t="s">
        <v>63</v>
      </c>
      <c r="E1683" s="1" t="s">
        <v>81</v>
      </c>
      <c r="F1683" s="1" t="n">
        <v>16</v>
      </c>
      <c r="G1683" s="1" t="n">
        <v>17</v>
      </c>
      <c r="H1683" s="1" t="s">
        <v>64</v>
      </c>
      <c r="I1683" s="1" t="n">
        <v>-2.5</v>
      </c>
      <c r="J1683" s="1" t="n">
        <v>46</v>
      </c>
      <c r="K1683" s="1" t="s">
        <v>145</v>
      </c>
      <c r="L1683" s="1" t="b">
        <f aca="false">FALSE()</f>
        <v>0</v>
      </c>
      <c r="M1683" s="1" t="str">
        <f aca="false">VLOOKUP(D1683,'Team Reference'!$A:$B,2,FALSE())</f>
        <v>CHI</v>
      </c>
      <c r="N1683" s="1" t="str">
        <f aca="false">VLOOKUP(E1683,'Team Reference'!$A:$B,2,FALSE())</f>
        <v>JAX</v>
      </c>
      <c r="O1683" s="1" t="str">
        <f aca="false">IF(F1683&gt;G1683,M1683,IF(G1683&gt;F1683,N1683,"Tie"))</f>
        <v>JAX</v>
      </c>
      <c r="P1683" s="1" t="n">
        <f aca="false">F1683-G1683</f>
        <v>-1</v>
      </c>
      <c r="Q1683" s="1" t="n">
        <f aca="false">F1683+G1683</f>
        <v>33</v>
      </c>
      <c r="R1683" s="1" t="str">
        <f aca="false">IF(H1683=M1683,"Home",IF(H1683=N1683,"Away",IF(H1683="PICK","Pick","N/A")))</f>
        <v>Home</v>
      </c>
      <c r="S1683" s="1" t="n">
        <f aca="false">IF(R1683="Home",P1683,IF(R1683="Away",-P1683,""))</f>
        <v>-1</v>
      </c>
      <c r="T1683" s="1" t="str">
        <f aca="false">IF(R1683="Pick","No Line",IF(S1683="","N/A",IF(S1683+I1683&gt;0,"Favorite Covered",IF(S1683+I1683&lt;0,"Underdog Covered","Push"))))</f>
        <v>Underdog Covered</v>
      </c>
      <c r="U1683" s="1" t="str">
        <f aca="false">IF(Q1683&gt;J1683,"Over",IF(Q1683&lt;J1683,"Under","Push"))</f>
        <v>Under</v>
      </c>
    </row>
    <row r="1684" customFormat="false" ht="15" hidden="false" customHeight="false" outlineLevel="0" collapsed="false">
      <c r="A1684" s="1" t="s">
        <v>536</v>
      </c>
      <c r="B1684" s="1" t="n">
        <v>2016</v>
      </c>
      <c r="C1684" s="1" t="s">
        <v>188</v>
      </c>
      <c r="D1684" s="1" t="s">
        <v>73</v>
      </c>
      <c r="E1684" s="1" t="s">
        <v>87</v>
      </c>
      <c r="F1684" s="1" t="n">
        <v>31</v>
      </c>
      <c r="G1684" s="1" t="n">
        <v>28</v>
      </c>
      <c r="H1684" s="1" t="s">
        <v>74</v>
      </c>
      <c r="I1684" s="1" t="n">
        <v>-2.5</v>
      </c>
      <c r="J1684" s="1" t="n">
        <v>44</v>
      </c>
      <c r="K1684" s="1" t="s">
        <v>167</v>
      </c>
      <c r="L1684" s="1" t="b">
        <f aca="false">FALSE()</f>
        <v>0</v>
      </c>
      <c r="M1684" s="1" t="str">
        <f aca="false">VLOOKUP(D1684,'Team Reference'!$A:$B,2,FALSE())</f>
        <v>DET</v>
      </c>
      <c r="N1684" s="1" t="str">
        <f aca="false">VLOOKUP(E1684,'Team Reference'!$A:$B,2,FALSE())</f>
        <v>LAR</v>
      </c>
      <c r="O1684" s="1" t="str">
        <f aca="false">IF(F1684&gt;G1684,M1684,IF(G1684&gt;F1684,N1684,"Tie"))</f>
        <v>DET</v>
      </c>
      <c r="P1684" s="1" t="n">
        <f aca="false">F1684-G1684</f>
        <v>3</v>
      </c>
      <c r="Q1684" s="1" t="n">
        <f aca="false">F1684+G1684</f>
        <v>59</v>
      </c>
      <c r="R1684" s="1" t="str">
        <f aca="false">IF(H1684=M1684,"Home",IF(H1684=N1684,"Away",IF(H1684="PICK","Pick","N/A")))</f>
        <v>Home</v>
      </c>
      <c r="S1684" s="1" t="n">
        <f aca="false">IF(R1684="Home",P1684,IF(R1684="Away",-P1684,""))</f>
        <v>3</v>
      </c>
      <c r="T1684" s="1" t="str">
        <f aca="false">IF(R1684="Pick","No Line",IF(S1684="","N/A",IF(S1684+I1684&gt;0,"Favorite Covered",IF(S1684+I1684&lt;0,"Underdog Covered","Push"))))</f>
        <v>Favorite Covered</v>
      </c>
      <c r="U1684" s="1" t="str">
        <f aca="false">IF(Q1684&gt;J1684,"Over",IF(Q1684&lt;J1684,"Under","Push"))</f>
        <v>Over</v>
      </c>
    </row>
    <row r="1685" customFormat="false" ht="15" hidden="false" customHeight="false" outlineLevel="0" collapsed="false">
      <c r="A1685" s="1" t="s">
        <v>536</v>
      </c>
      <c r="B1685" s="1" t="n">
        <v>2016</v>
      </c>
      <c r="C1685" s="1" t="s">
        <v>188</v>
      </c>
      <c r="D1685" s="1" t="s">
        <v>75</v>
      </c>
      <c r="E1685" s="1" t="s">
        <v>69</v>
      </c>
      <c r="F1685" s="1" t="n">
        <v>16</v>
      </c>
      <c r="G1685" s="1" t="n">
        <v>30</v>
      </c>
      <c r="H1685" s="1" t="s">
        <v>76</v>
      </c>
      <c r="I1685" s="1" t="n">
        <v>-5</v>
      </c>
      <c r="J1685" s="1" t="n">
        <v>47</v>
      </c>
      <c r="K1685" s="1" t="s">
        <v>168</v>
      </c>
      <c r="L1685" s="1" t="b">
        <f aca="false">FALSE()</f>
        <v>0</v>
      </c>
      <c r="M1685" s="1" t="str">
        <f aca="false">VLOOKUP(D1685,'Team Reference'!$A:$B,2,FALSE())</f>
        <v>GB</v>
      </c>
      <c r="N1685" s="1" t="str">
        <f aca="false">VLOOKUP(E1685,'Team Reference'!$A:$B,2,FALSE())</f>
        <v>DAL</v>
      </c>
      <c r="O1685" s="1" t="str">
        <f aca="false">IF(F1685&gt;G1685,M1685,IF(G1685&gt;F1685,N1685,"Tie"))</f>
        <v>DAL</v>
      </c>
      <c r="P1685" s="1" t="n">
        <f aca="false">F1685-G1685</f>
        <v>-14</v>
      </c>
      <c r="Q1685" s="1" t="n">
        <f aca="false">F1685+G1685</f>
        <v>46</v>
      </c>
      <c r="R1685" s="1" t="str">
        <f aca="false">IF(H1685=M1685,"Home",IF(H1685=N1685,"Away",IF(H1685="PICK","Pick","N/A")))</f>
        <v>Home</v>
      </c>
      <c r="S1685" s="1" t="n">
        <f aca="false">IF(R1685="Home",P1685,IF(R1685="Away",-P1685,""))</f>
        <v>-14</v>
      </c>
      <c r="T1685" s="1" t="str">
        <f aca="false">IF(R1685="Pick","No Line",IF(S1685="","N/A",IF(S1685+I1685&gt;0,"Favorite Covered",IF(S1685+I1685&lt;0,"Underdog Covered","Push"))))</f>
        <v>Underdog Covered</v>
      </c>
      <c r="U1685" s="1" t="str">
        <f aca="false">IF(Q1685&gt;J1685,"Over",IF(Q1685&lt;J1685,"Under","Push"))</f>
        <v>Under</v>
      </c>
    </row>
    <row r="1686" customFormat="false" ht="15" hidden="false" customHeight="false" outlineLevel="0" collapsed="false">
      <c r="A1686" s="1" t="s">
        <v>536</v>
      </c>
      <c r="B1686" s="1" t="n">
        <v>2016</v>
      </c>
      <c r="C1686" s="1" t="s">
        <v>188</v>
      </c>
      <c r="D1686" s="1" t="s">
        <v>77</v>
      </c>
      <c r="E1686" s="1" t="s">
        <v>79</v>
      </c>
      <c r="F1686" s="1" t="n">
        <v>26</v>
      </c>
      <c r="G1686" s="1" t="n">
        <v>23</v>
      </c>
      <c r="H1686" s="1" t="s">
        <v>78</v>
      </c>
      <c r="I1686" s="1" t="n">
        <v>-3</v>
      </c>
      <c r="J1686" s="1" t="n">
        <v>47.5</v>
      </c>
      <c r="K1686" s="1" t="s">
        <v>146</v>
      </c>
      <c r="L1686" s="1" t="b">
        <f aca="false">FALSE()</f>
        <v>0</v>
      </c>
      <c r="M1686" s="1" t="str">
        <f aca="false">VLOOKUP(D1686,'Team Reference'!$A:$B,2,FALSE())</f>
        <v>HOU</v>
      </c>
      <c r="N1686" s="1" t="str">
        <f aca="false">VLOOKUP(E1686,'Team Reference'!$A:$B,2,FALSE())</f>
        <v>IND</v>
      </c>
      <c r="O1686" s="1" t="str">
        <f aca="false">IF(F1686&gt;G1686,M1686,IF(G1686&gt;F1686,N1686,"Tie"))</f>
        <v>HOU</v>
      </c>
      <c r="P1686" s="1" t="n">
        <f aca="false">F1686-G1686</f>
        <v>3</v>
      </c>
      <c r="Q1686" s="1" t="n">
        <f aca="false">F1686+G1686</f>
        <v>49</v>
      </c>
      <c r="R1686" s="1" t="str">
        <f aca="false">IF(H1686=M1686,"Home",IF(H1686=N1686,"Away",IF(H1686="PICK","Pick","N/A")))</f>
        <v>Home</v>
      </c>
      <c r="S1686" s="1" t="n">
        <f aca="false">IF(R1686="Home",P1686,IF(R1686="Away",-P1686,""))</f>
        <v>3</v>
      </c>
      <c r="T1686" s="1" t="str">
        <f aca="false">IF(R1686="Pick","No Line",IF(S1686="","N/A",IF(S1686+I1686&gt;0,"Favorite Covered",IF(S1686+I1686&lt;0,"Underdog Covered","Push"))))</f>
        <v>Push</v>
      </c>
      <c r="U1686" s="1" t="str">
        <f aca="false">IF(Q1686&gt;J1686,"Over",IF(Q1686&lt;J1686,"Under","Push"))</f>
        <v>Over</v>
      </c>
    </row>
    <row r="1687" customFormat="false" ht="15" hidden="false" customHeight="false" outlineLevel="0" collapsed="false">
      <c r="A1687" s="1" t="s">
        <v>536</v>
      </c>
      <c r="B1687" s="1" t="n">
        <v>2016</v>
      </c>
      <c r="C1687" s="1" t="s">
        <v>188</v>
      </c>
      <c r="D1687" s="1" t="s">
        <v>89</v>
      </c>
      <c r="E1687" s="1" t="s">
        <v>105</v>
      </c>
      <c r="F1687" s="1" t="n">
        <v>30</v>
      </c>
      <c r="G1687" s="1" t="n">
        <v>15</v>
      </c>
      <c r="H1687" s="1" t="s">
        <v>106</v>
      </c>
      <c r="I1687" s="1" t="n">
        <v>-7.5</v>
      </c>
      <c r="J1687" s="1" t="n">
        <v>49.5</v>
      </c>
      <c r="K1687" s="1" t="s">
        <v>179</v>
      </c>
      <c r="L1687" s="1" t="b">
        <f aca="false">FALSE()</f>
        <v>0</v>
      </c>
      <c r="M1687" s="1" t="str">
        <f aca="false">VLOOKUP(D1687,'Team Reference'!$A:$B,2,FALSE())</f>
        <v>MIA</v>
      </c>
      <c r="N1687" s="1" t="str">
        <f aca="false">VLOOKUP(E1687,'Team Reference'!$A:$B,2,FALSE())</f>
        <v>PIT</v>
      </c>
      <c r="O1687" s="1" t="str">
        <f aca="false">IF(F1687&gt;G1687,M1687,IF(G1687&gt;F1687,N1687,"Tie"))</f>
        <v>MIA</v>
      </c>
      <c r="P1687" s="1" t="n">
        <f aca="false">F1687-G1687</f>
        <v>15</v>
      </c>
      <c r="Q1687" s="1" t="n">
        <f aca="false">F1687+G1687</f>
        <v>45</v>
      </c>
      <c r="R1687" s="1" t="str">
        <f aca="false">IF(H1687=M1687,"Home",IF(H1687=N1687,"Away",IF(H1687="PICK","Pick","N/A")))</f>
        <v>Away</v>
      </c>
      <c r="S1687" s="1" t="n">
        <f aca="false">IF(R1687="Home",P1687,IF(R1687="Away",-P1687,""))</f>
        <v>-15</v>
      </c>
      <c r="T1687" s="1" t="str">
        <f aca="false">IF(R1687="Pick","No Line",IF(S1687="","N/A",IF(S1687+I1687&gt;0,"Favorite Covered",IF(S1687+I1687&lt;0,"Underdog Covered","Push"))))</f>
        <v>Underdog Covered</v>
      </c>
      <c r="U1687" s="1" t="str">
        <f aca="false">IF(Q1687&gt;J1687,"Over",IF(Q1687&lt;J1687,"Under","Push"))</f>
        <v>Under</v>
      </c>
    </row>
    <row r="1688" customFormat="false" ht="15" hidden="false" customHeight="false" outlineLevel="0" collapsed="false">
      <c r="A1688" s="1" t="s">
        <v>536</v>
      </c>
      <c r="B1688" s="1" t="n">
        <v>2016</v>
      </c>
      <c r="C1688" s="1" t="s">
        <v>188</v>
      </c>
      <c r="D1688" s="1" t="s">
        <v>93</v>
      </c>
      <c r="E1688" s="1" t="s">
        <v>65</v>
      </c>
      <c r="F1688" s="1" t="n">
        <v>35</v>
      </c>
      <c r="G1688" s="1" t="n">
        <v>17</v>
      </c>
      <c r="H1688" s="1" t="s">
        <v>94</v>
      </c>
      <c r="I1688" s="1" t="n">
        <v>-7.5</v>
      </c>
      <c r="J1688" s="1" t="n">
        <v>48</v>
      </c>
      <c r="K1688" s="1" t="s">
        <v>148</v>
      </c>
      <c r="L1688" s="1" t="b">
        <f aca="false">FALSE()</f>
        <v>0</v>
      </c>
      <c r="M1688" s="1" t="str">
        <f aca="false">VLOOKUP(D1688,'Team Reference'!$A:$B,2,FALSE())</f>
        <v>NE</v>
      </c>
      <c r="N1688" s="1" t="str">
        <f aca="false">VLOOKUP(E1688,'Team Reference'!$A:$B,2,FALSE())</f>
        <v>CIN</v>
      </c>
      <c r="O1688" s="1" t="str">
        <f aca="false">IF(F1688&gt;G1688,M1688,IF(G1688&gt;F1688,N1688,"Tie"))</f>
        <v>NE</v>
      </c>
      <c r="P1688" s="1" t="n">
        <f aca="false">F1688-G1688</f>
        <v>18</v>
      </c>
      <c r="Q1688" s="1" t="n">
        <f aca="false">F1688+G1688</f>
        <v>52</v>
      </c>
      <c r="R1688" s="1" t="str">
        <f aca="false">IF(H1688=M1688,"Home",IF(H1688=N1688,"Away",IF(H1688="PICK","Pick","N/A")))</f>
        <v>Home</v>
      </c>
      <c r="S1688" s="1" t="n">
        <f aca="false">IF(R1688="Home",P1688,IF(R1688="Away",-P1688,""))</f>
        <v>18</v>
      </c>
      <c r="T1688" s="1" t="str">
        <f aca="false">IF(R1688="Pick","No Line",IF(S1688="","N/A",IF(S1688+I1688&gt;0,"Favorite Covered",IF(S1688+I1688&lt;0,"Underdog Covered","Push"))))</f>
        <v>Favorite Covered</v>
      </c>
      <c r="U1688" s="1" t="str">
        <f aca="false">IF(Q1688&gt;J1688,"Over",IF(Q1688&lt;J1688,"Under","Push"))</f>
        <v>Over</v>
      </c>
    </row>
    <row r="1689" customFormat="false" ht="15" hidden="false" customHeight="false" outlineLevel="0" collapsed="false">
      <c r="A1689" s="1" t="s">
        <v>536</v>
      </c>
      <c r="B1689" s="1" t="n">
        <v>2016</v>
      </c>
      <c r="C1689" s="1" t="s">
        <v>188</v>
      </c>
      <c r="D1689" s="1" t="s">
        <v>95</v>
      </c>
      <c r="E1689" s="1" t="s">
        <v>61</v>
      </c>
      <c r="F1689" s="1" t="n">
        <v>41</v>
      </c>
      <c r="G1689" s="1" t="n">
        <v>38</v>
      </c>
      <c r="H1689" s="1" t="s">
        <v>62</v>
      </c>
      <c r="I1689" s="1" t="n">
        <v>-2.5</v>
      </c>
      <c r="J1689" s="1" t="n">
        <v>53.5</v>
      </c>
      <c r="K1689" s="1" t="s">
        <v>142</v>
      </c>
      <c r="L1689" s="1" t="b">
        <f aca="false">FALSE()</f>
        <v>0</v>
      </c>
      <c r="M1689" s="1" t="str">
        <f aca="false">VLOOKUP(D1689,'Team Reference'!$A:$B,2,FALSE())</f>
        <v>NO</v>
      </c>
      <c r="N1689" s="1" t="str">
        <f aca="false">VLOOKUP(E1689,'Team Reference'!$A:$B,2,FALSE())</f>
        <v>CAR</v>
      </c>
      <c r="O1689" s="1" t="str">
        <f aca="false">IF(F1689&gt;G1689,M1689,IF(G1689&gt;F1689,N1689,"Tie"))</f>
        <v>NO</v>
      </c>
      <c r="P1689" s="1" t="n">
        <f aca="false">F1689-G1689</f>
        <v>3</v>
      </c>
      <c r="Q1689" s="1" t="n">
        <f aca="false">F1689+G1689</f>
        <v>79</v>
      </c>
      <c r="R1689" s="1" t="str">
        <f aca="false">IF(H1689=M1689,"Home",IF(H1689=N1689,"Away",IF(H1689="PICK","Pick","N/A")))</f>
        <v>Away</v>
      </c>
      <c r="S1689" s="1" t="n">
        <f aca="false">IF(R1689="Home",P1689,IF(R1689="Away",-P1689,""))</f>
        <v>-3</v>
      </c>
      <c r="T1689" s="1" t="str">
        <f aca="false">IF(R1689="Pick","No Line",IF(S1689="","N/A",IF(S1689+I1689&gt;0,"Favorite Covered",IF(S1689+I1689&lt;0,"Underdog Covered","Push"))))</f>
        <v>Underdog Covered</v>
      </c>
      <c r="U1689" s="1" t="str">
        <f aca="false">IF(Q1689&gt;J1689,"Over",IF(Q1689&lt;J1689,"Under","Push"))</f>
        <v>Over</v>
      </c>
    </row>
    <row r="1690" customFormat="false" ht="15" hidden="false" customHeight="false" outlineLevel="0" collapsed="false">
      <c r="A1690" s="1" t="s">
        <v>536</v>
      </c>
      <c r="B1690" s="1" t="n">
        <v>2016</v>
      </c>
      <c r="C1690" s="1" t="s">
        <v>188</v>
      </c>
      <c r="D1690" s="1" t="s">
        <v>97</v>
      </c>
      <c r="E1690" s="1" t="s">
        <v>57</v>
      </c>
      <c r="F1690" s="1" t="n">
        <v>27</v>
      </c>
      <c r="G1690" s="1" t="n">
        <v>23</v>
      </c>
      <c r="H1690" s="1" t="s">
        <v>98</v>
      </c>
      <c r="I1690" s="1" t="n">
        <v>-3.5</v>
      </c>
      <c r="J1690" s="1" t="n">
        <v>42.5</v>
      </c>
      <c r="K1690" s="1" t="s">
        <v>149</v>
      </c>
      <c r="L1690" s="1" t="b">
        <f aca="false">FALSE()</f>
        <v>0</v>
      </c>
      <c r="M1690" s="1" t="str">
        <f aca="false">VLOOKUP(D1690,'Team Reference'!$A:$B,2,FALSE())</f>
        <v>NYG</v>
      </c>
      <c r="N1690" s="1" t="str">
        <f aca="false">VLOOKUP(E1690,'Team Reference'!$A:$B,2,FALSE())</f>
        <v>BAL</v>
      </c>
      <c r="O1690" s="1" t="str">
        <f aca="false">IF(F1690&gt;G1690,M1690,IF(G1690&gt;F1690,N1690,"Tie"))</f>
        <v>NYG</v>
      </c>
      <c r="P1690" s="1" t="n">
        <f aca="false">F1690-G1690</f>
        <v>4</v>
      </c>
      <c r="Q1690" s="1" t="n">
        <f aca="false">F1690+G1690</f>
        <v>50</v>
      </c>
      <c r="R1690" s="1" t="str">
        <f aca="false">IF(H1690=M1690,"Home",IF(H1690=N1690,"Away",IF(H1690="PICK","Pick","N/A")))</f>
        <v>Home</v>
      </c>
      <c r="S1690" s="1" t="n">
        <f aca="false">IF(R1690="Home",P1690,IF(R1690="Away",-P1690,""))</f>
        <v>4</v>
      </c>
      <c r="T1690" s="1" t="str">
        <f aca="false">IF(R1690="Pick","No Line",IF(S1690="","N/A",IF(S1690+I1690&gt;0,"Favorite Covered",IF(S1690+I1690&lt;0,"Underdog Covered","Push"))))</f>
        <v>Favorite Covered</v>
      </c>
      <c r="U1690" s="1" t="str">
        <f aca="false">IF(Q1690&gt;J1690,"Over",IF(Q1690&lt;J1690,"Under","Push"))</f>
        <v>Over</v>
      </c>
    </row>
    <row r="1691" customFormat="false" ht="15" hidden="false" customHeight="false" outlineLevel="0" collapsed="false">
      <c r="A1691" s="1" t="s">
        <v>536</v>
      </c>
      <c r="B1691" s="1" t="n">
        <v>2016</v>
      </c>
      <c r="C1691" s="1" t="s">
        <v>188</v>
      </c>
      <c r="D1691" s="1" t="s">
        <v>101</v>
      </c>
      <c r="E1691" s="1" t="s">
        <v>83</v>
      </c>
      <c r="F1691" s="1" t="n">
        <v>10</v>
      </c>
      <c r="G1691" s="1" t="n">
        <v>26</v>
      </c>
      <c r="H1691" s="1" t="s">
        <v>84</v>
      </c>
      <c r="I1691" s="1" t="n">
        <v>-1</v>
      </c>
      <c r="J1691" s="1" t="n">
        <v>46.5</v>
      </c>
      <c r="K1691" s="1" t="s">
        <v>171</v>
      </c>
      <c r="L1691" s="1" t="b">
        <f aca="false">FALSE()</f>
        <v>0</v>
      </c>
      <c r="M1691" s="1" t="str">
        <f aca="false">VLOOKUP(D1691,'Team Reference'!$A:$B,2,FALSE())</f>
        <v>OAK</v>
      </c>
      <c r="N1691" s="1" t="str">
        <f aca="false">VLOOKUP(E1691,'Team Reference'!$A:$B,2,FALSE())</f>
        <v>KC</v>
      </c>
      <c r="O1691" s="1" t="str">
        <f aca="false">IF(F1691&gt;G1691,M1691,IF(G1691&gt;F1691,N1691,"Tie"))</f>
        <v>KC</v>
      </c>
      <c r="P1691" s="1" t="n">
        <f aca="false">F1691-G1691</f>
        <v>-16</v>
      </c>
      <c r="Q1691" s="1" t="n">
        <f aca="false">F1691+G1691</f>
        <v>36</v>
      </c>
      <c r="R1691" s="1" t="str">
        <f aca="false">IF(H1691=M1691,"Home",IF(H1691=N1691,"Away",IF(H1691="PICK","Pick","N/A")))</f>
        <v>Away</v>
      </c>
      <c r="S1691" s="1" t="n">
        <f aca="false">IF(R1691="Home",P1691,IF(R1691="Away",-P1691,""))</f>
        <v>16</v>
      </c>
      <c r="T1691" s="1" t="str">
        <f aca="false">IF(R1691="Pick","No Line",IF(S1691="","N/A",IF(S1691+I1691&gt;0,"Favorite Covered",IF(S1691+I1691&lt;0,"Underdog Covered","Push"))))</f>
        <v>Favorite Covered</v>
      </c>
      <c r="U1691" s="1" t="str">
        <f aca="false">IF(Q1691&gt;J1691,"Over",IF(Q1691&lt;J1691,"Under","Push"))</f>
        <v>Under</v>
      </c>
    </row>
    <row r="1692" customFormat="false" ht="15" hidden="false" customHeight="false" outlineLevel="0" collapsed="false">
      <c r="A1692" s="1" t="s">
        <v>536</v>
      </c>
      <c r="B1692" s="1" t="n">
        <v>2016</v>
      </c>
      <c r="C1692" s="1" t="s">
        <v>188</v>
      </c>
      <c r="D1692" s="1" t="s">
        <v>110</v>
      </c>
      <c r="E1692" s="1" t="s">
        <v>55</v>
      </c>
      <c r="F1692" s="1" t="n">
        <v>26</v>
      </c>
      <c r="G1692" s="1" t="n">
        <v>24</v>
      </c>
      <c r="H1692" s="1" t="s">
        <v>111</v>
      </c>
      <c r="I1692" s="1" t="n">
        <v>-7</v>
      </c>
      <c r="J1692" s="1" t="n">
        <v>45.5</v>
      </c>
      <c r="K1692" s="1" t="s">
        <v>152</v>
      </c>
      <c r="L1692" s="1" t="b">
        <f aca="false">FALSE()</f>
        <v>0</v>
      </c>
      <c r="M1692" s="1" t="str">
        <f aca="false">VLOOKUP(D1692,'Team Reference'!$A:$B,2,FALSE())</f>
        <v>SEA</v>
      </c>
      <c r="N1692" s="1" t="str">
        <f aca="false">VLOOKUP(E1692,'Team Reference'!$A:$B,2,FALSE())</f>
        <v>ATL</v>
      </c>
      <c r="O1692" s="1" t="str">
        <f aca="false">IF(F1692&gt;G1692,M1692,IF(G1692&gt;F1692,N1692,"Tie"))</f>
        <v>SEA</v>
      </c>
      <c r="P1692" s="1" t="n">
        <f aca="false">F1692-G1692</f>
        <v>2</v>
      </c>
      <c r="Q1692" s="1" t="n">
        <f aca="false">F1692+G1692</f>
        <v>50</v>
      </c>
      <c r="R1692" s="1" t="str">
        <f aca="false">IF(H1692=M1692,"Home",IF(H1692=N1692,"Away",IF(H1692="PICK","Pick","N/A")))</f>
        <v>Home</v>
      </c>
      <c r="S1692" s="1" t="n">
        <f aca="false">IF(R1692="Home",P1692,IF(R1692="Away",-P1692,""))</f>
        <v>2</v>
      </c>
      <c r="T1692" s="1" t="str">
        <f aca="false">IF(R1692="Pick","No Line",IF(S1692="","N/A",IF(S1692+I1692&gt;0,"Favorite Covered",IF(S1692+I1692&lt;0,"Underdog Covered","Push"))))</f>
        <v>Underdog Covered</v>
      </c>
      <c r="U1692" s="1" t="str">
        <f aca="false">IF(Q1692&gt;J1692,"Over",IF(Q1692&lt;J1692,"Under","Push"))</f>
        <v>Over</v>
      </c>
    </row>
    <row r="1693" customFormat="false" ht="15" hidden="false" customHeight="false" outlineLevel="0" collapsed="false">
      <c r="A1693" s="1" t="s">
        <v>536</v>
      </c>
      <c r="B1693" s="1" t="n">
        <v>2016</v>
      </c>
      <c r="C1693" s="1" t="s">
        <v>188</v>
      </c>
      <c r="D1693" s="1" t="s">
        <v>115</v>
      </c>
      <c r="E1693" s="1" t="s">
        <v>67</v>
      </c>
      <c r="F1693" s="1" t="n">
        <v>28</v>
      </c>
      <c r="G1693" s="1" t="n">
        <v>26</v>
      </c>
      <c r="H1693" s="1" t="s">
        <v>116</v>
      </c>
      <c r="I1693" s="1" t="n">
        <v>-7.5</v>
      </c>
      <c r="J1693" s="1" t="n">
        <v>44.5</v>
      </c>
      <c r="K1693" s="1" t="s">
        <v>155</v>
      </c>
      <c r="L1693" s="1" t="b">
        <f aca="false">FALSE()</f>
        <v>0</v>
      </c>
      <c r="M1693" s="1" t="str">
        <f aca="false">VLOOKUP(D1693,'Team Reference'!$A:$B,2,FALSE())</f>
        <v>TEN</v>
      </c>
      <c r="N1693" s="1" t="str">
        <f aca="false">VLOOKUP(E1693,'Team Reference'!$A:$B,2,FALSE())</f>
        <v>CLE</v>
      </c>
      <c r="O1693" s="1" t="str">
        <f aca="false">IF(F1693&gt;G1693,M1693,IF(G1693&gt;F1693,N1693,"Tie"))</f>
        <v>TEN</v>
      </c>
      <c r="P1693" s="1" t="n">
        <f aca="false">F1693-G1693</f>
        <v>2</v>
      </c>
      <c r="Q1693" s="1" t="n">
        <f aca="false">F1693+G1693</f>
        <v>54</v>
      </c>
      <c r="R1693" s="1" t="str">
        <f aca="false">IF(H1693=M1693,"Home",IF(H1693=N1693,"Away",IF(H1693="PICK","Pick","N/A")))</f>
        <v>Home</v>
      </c>
      <c r="S1693" s="1" t="n">
        <f aca="false">IF(R1693="Home",P1693,IF(R1693="Away",-P1693,""))</f>
        <v>2</v>
      </c>
      <c r="T1693" s="1" t="str">
        <f aca="false">IF(R1693="Pick","No Line",IF(S1693="","N/A",IF(S1693+I1693&gt;0,"Favorite Covered",IF(S1693+I1693&lt;0,"Underdog Covered","Push"))))</f>
        <v>Underdog Covered</v>
      </c>
      <c r="U1693" s="1" t="str">
        <f aca="false">IF(Q1693&gt;J1693,"Over",IF(Q1693&lt;J1693,"Under","Push"))</f>
        <v>Over</v>
      </c>
    </row>
    <row r="1694" customFormat="false" ht="15" hidden="false" customHeight="false" outlineLevel="0" collapsed="false">
      <c r="A1694" s="1" t="s">
        <v>536</v>
      </c>
      <c r="B1694" s="1" t="n">
        <v>2016</v>
      </c>
      <c r="C1694" s="1" t="s">
        <v>188</v>
      </c>
      <c r="D1694" s="1" t="s">
        <v>117</v>
      </c>
      <c r="E1694" s="1" t="s">
        <v>103</v>
      </c>
      <c r="F1694" s="1" t="n">
        <v>27</v>
      </c>
      <c r="G1694" s="1" t="n">
        <v>20</v>
      </c>
      <c r="H1694" s="1" t="s">
        <v>104</v>
      </c>
      <c r="I1694" s="1" t="n">
        <v>-3</v>
      </c>
      <c r="J1694" s="1" t="n">
        <v>45</v>
      </c>
      <c r="K1694" s="1" t="s">
        <v>156</v>
      </c>
      <c r="L1694" s="1" t="b">
        <f aca="false">FALSE()</f>
        <v>0</v>
      </c>
      <c r="M1694" s="1" t="str">
        <f aca="false">VLOOKUP(D1694,'Team Reference'!$A:$B,2,FALSE())</f>
        <v>WAS</v>
      </c>
      <c r="N1694" s="1" t="str">
        <f aca="false">VLOOKUP(E1694,'Team Reference'!$A:$B,2,FALSE())</f>
        <v>PHI</v>
      </c>
      <c r="O1694" s="1" t="str">
        <f aca="false">IF(F1694&gt;G1694,M1694,IF(G1694&gt;F1694,N1694,"Tie"))</f>
        <v>WAS</v>
      </c>
      <c r="P1694" s="1" t="n">
        <f aca="false">F1694-G1694</f>
        <v>7</v>
      </c>
      <c r="Q1694" s="1" t="n">
        <f aca="false">F1694+G1694</f>
        <v>47</v>
      </c>
      <c r="R1694" s="1" t="str">
        <f aca="false">IF(H1694=M1694,"Home",IF(H1694=N1694,"Away",IF(H1694="PICK","Pick","N/A")))</f>
        <v>Away</v>
      </c>
      <c r="S1694" s="1" t="n">
        <f aca="false">IF(R1694="Home",P1694,IF(R1694="Away",-P1694,""))</f>
        <v>-7</v>
      </c>
      <c r="T1694" s="1" t="str">
        <f aca="false">IF(R1694="Pick","No Line",IF(S1694="","N/A",IF(S1694+I1694&gt;0,"Favorite Covered",IF(S1694+I1694&lt;0,"Underdog Covered","Push"))))</f>
        <v>Underdog Covered</v>
      </c>
      <c r="U1694" s="1" t="str">
        <f aca="false">IF(Q1694&gt;J1694,"Over",IF(Q1694&lt;J1694,"Under","Push"))</f>
        <v>Over</v>
      </c>
    </row>
    <row r="1695" customFormat="false" ht="15" hidden="false" customHeight="false" outlineLevel="0" collapsed="false">
      <c r="A1695" s="1" t="s">
        <v>537</v>
      </c>
      <c r="B1695" s="1" t="n">
        <v>2016</v>
      </c>
      <c r="C1695" s="1" t="s">
        <v>188</v>
      </c>
      <c r="D1695" s="1" t="s">
        <v>53</v>
      </c>
      <c r="E1695" s="1" t="s">
        <v>99</v>
      </c>
      <c r="F1695" s="1" t="n">
        <v>28</v>
      </c>
      <c r="G1695" s="1" t="n">
        <v>3</v>
      </c>
      <c r="H1695" s="1" t="s">
        <v>54</v>
      </c>
      <c r="I1695" s="1" t="n">
        <v>-7</v>
      </c>
      <c r="J1695" s="1" t="n">
        <v>45.5</v>
      </c>
      <c r="K1695" s="1" t="s">
        <v>177</v>
      </c>
      <c r="L1695" s="1" t="b">
        <f aca="false">FALSE()</f>
        <v>0</v>
      </c>
      <c r="M1695" s="1" t="str">
        <f aca="false">VLOOKUP(D1695,'Team Reference'!$A:$B,2,FALSE())</f>
        <v>ARI</v>
      </c>
      <c r="N1695" s="1" t="str">
        <f aca="false">VLOOKUP(E1695,'Team Reference'!$A:$B,2,FALSE())</f>
        <v>NYJ</v>
      </c>
      <c r="O1695" s="1" t="str">
        <f aca="false">IF(F1695&gt;G1695,M1695,IF(G1695&gt;F1695,N1695,"Tie"))</f>
        <v>ARI</v>
      </c>
      <c r="P1695" s="1" t="n">
        <f aca="false">F1695-G1695</f>
        <v>25</v>
      </c>
      <c r="Q1695" s="1" t="n">
        <f aca="false">F1695+G1695</f>
        <v>31</v>
      </c>
      <c r="R1695" s="1" t="str">
        <f aca="false">IF(H1695=M1695,"Home",IF(H1695=N1695,"Away",IF(H1695="PICK","Pick","N/A")))</f>
        <v>Home</v>
      </c>
      <c r="S1695" s="1" t="n">
        <f aca="false">IF(R1695="Home",P1695,IF(R1695="Away",-P1695,""))</f>
        <v>25</v>
      </c>
      <c r="T1695" s="1" t="str">
        <f aca="false">IF(R1695="Pick","No Line",IF(S1695="","N/A",IF(S1695+I1695&gt;0,"Favorite Covered",IF(S1695+I1695&lt;0,"Underdog Covered","Push"))))</f>
        <v>Favorite Covered</v>
      </c>
      <c r="U1695" s="1" t="str">
        <f aca="false">IF(Q1695&gt;J1695,"Over",IF(Q1695&lt;J1695,"Under","Push"))</f>
        <v>Under</v>
      </c>
    </row>
    <row r="1696" customFormat="false" ht="15" hidden="false" customHeight="false" outlineLevel="0" collapsed="false">
      <c r="A1696" s="1" t="s">
        <v>538</v>
      </c>
      <c r="B1696" s="1" t="n">
        <v>2016</v>
      </c>
      <c r="C1696" s="1" t="s">
        <v>191</v>
      </c>
      <c r="D1696" s="1" t="s">
        <v>75</v>
      </c>
      <c r="E1696" s="1" t="s">
        <v>63</v>
      </c>
      <c r="F1696" s="1" t="n">
        <v>26</v>
      </c>
      <c r="G1696" s="1" t="n">
        <v>10</v>
      </c>
      <c r="H1696" s="1" t="s">
        <v>76</v>
      </c>
      <c r="I1696" s="1" t="n">
        <v>-7.5</v>
      </c>
      <c r="J1696" s="1" t="n">
        <v>46.5</v>
      </c>
      <c r="K1696" s="1" t="s">
        <v>168</v>
      </c>
      <c r="L1696" s="1" t="b">
        <f aca="false">FALSE()</f>
        <v>0</v>
      </c>
      <c r="M1696" s="1" t="str">
        <f aca="false">VLOOKUP(D1696,'Team Reference'!$A:$B,2,FALSE())</f>
        <v>GB</v>
      </c>
      <c r="N1696" s="1" t="str">
        <f aca="false">VLOOKUP(E1696,'Team Reference'!$A:$B,2,FALSE())</f>
        <v>CHI</v>
      </c>
      <c r="O1696" s="1" t="str">
        <f aca="false">IF(F1696&gt;G1696,M1696,IF(G1696&gt;F1696,N1696,"Tie"))</f>
        <v>GB</v>
      </c>
      <c r="P1696" s="1" t="n">
        <f aca="false">F1696-G1696</f>
        <v>16</v>
      </c>
      <c r="Q1696" s="1" t="n">
        <f aca="false">F1696+G1696</f>
        <v>36</v>
      </c>
      <c r="R1696" s="1" t="str">
        <f aca="false">IF(H1696=M1696,"Home",IF(H1696=N1696,"Away",IF(H1696="PICK","Pick","N/A")))</f>
        <v>Home</v>
      </c>
      <c r="S1696" s="1" t="n">
        <f aca="false">IF(R1696="Home",P1696,IF(R1696="Away",-P1696,""))</f>
        <v>16</v>
      </c>
      <c r="T1696" s="1" t="str">
        <f aca="false">IF(R1696="Pick","No Line",IF(S1696="","N/A",IF(S1696+I1696&gt;0,"Favorite Covered",IF(S1696+I1696&lt;0,"Underdog Covered","Push"))))</f>
        <v>Favorite Covered</v>
      </c>
      <c r="U1696" s="1" t="str">
        <f aca="false">IF(Q1696&gt;J1696,"Over",IF(Q1696&lt;J1696,"Under","Push"))</f>
        <v>Under</v>
      </c>
    </row>
    <row r="1697" customFormat="false" ht="15" hidden="false" customHeight="false" outlineLevel="0" collapsed="false">
      <c r="A1697" s="1" t="s">
        <v>539</v>
      </c>
      <c r="B1697" s="1" t="n">
        <v>2016</v>
      </c>
      <c r="C1697" s="1" t="s">
        <v>191</v>
      </c>
      <c r="D1697" s="1" t="s">
        <v>53</v>
      </c>
      <c r="E1697" s="1" t="s">
        <v>110</v>
      </c>
      <c r="F1697" s="1" t="n">
        <v>6</v>
      </c>
      <c r="G1697" s="1" t="n">
        <v>6</v>
      </c>
      <c r="H1697" s="1" t="s">
        <v>54</v>
      </c>
      <c r="I1697" s="1" t="n">
        <v>-2.5</v>
      </c>
      <c r="J1697" s="1" t="n">
        <v>43</v>
      </c>
      <c r="K1697" s="1" t="s">
        <v>177</v>
      </c>
      <c r="L1697" s="1" t="b">
        <f aca="false">FALSE()</f>
        <v>0</v>
      </c>
      <c r="M1697" s="1" t="str">
        <f aca="false">VLOOKUP(D1697,'Team Reference'!$A:$B,2,FALSE())</f>
        <v>ARI</v>
      </c>
      <c r="N1697" s="1" t="str">
        <f aca="false">VLOOKUP(E1697,'Team Reference'!$A:$B,2,FALSE())</f>
        <v>SEA</v>
      </c>
      <c r="O1697" s="1" t="str">
        <f aca="false">IF(F1697&gt;G1697,M1697,IF(G1697&gt;F1697,N1697,"Tie"))</f>
        <v>Tie</v>
      </c>
      <c r="P1697" s="1" t="n">
        <f aca="false">F1697-G1697</f>
        <v>0</v>
      </c>
      <c r="Q1697" s="1" t="n">
        <f aca="false">F1697+G1697</f>
        <v>12</v>
      </c>
      <c r="R1697" s="1" t="str">
        <f aca="false">IF(H1697=M1697,"Home",IF(H1697=N1697,"Away",IF(H1697="PICK","Pick","N/A")))</f>
        <v>Home</v>
      </c>
      <c r="S1697" s="1" t="n">
        <f aca="false">IF(R1697="Home",P1697,IF(R1697="Away",-P1697,""))</f>
        <v>0</v>
      </c>
      <c r="T1697" s="1" t="str">
        <f aca="false">IF(R1697="Pick","No Line",IF(S1697="","N/A",IF(S1697+I1697&gt;0,"Favorite Covered",IF(S1697+I1697&lt;0,"Underdog Covered","Push"))))</f>
        <v>Underdog Covered</v>
      </c>
      <c r="U1697" s="1" t="str">
        <f aca="false">IF(Q1697&gt;J1697,"Over",IF(Q1697&lt;J1697,"Under","Push"))</f>
        <v>Under</v>
      </c>
    </row>
    <row r="1698" customFormat="false" ht="15" hidden="false" customHeight="false" outlineLevel="0" collapsed="false">
      <c r="A1698" s="1" t="s">
        <v>539</v>
      </c>
      <c r="B1698" s="1" t="n">
        <v>2016</v>
      </c>
      <c r="C1698" s="1" t="s">
        <v>191</v>
      </c>
      <c r="D1698" s="1" t="s">
        <v>55</v>
      </c>
      <c r="E1698" s="1" t="s">
        <v>107</v>
      </c>
      <c r="F1698" s="1" t="n">
        <v>30</v>
      </c>
      <c r="G1698" s="1" t="n">
        <v>33</v>
      </c>
      <c r="H1698" s="1" t="s">
        <v>56</v>
      </c>
      <c r="I1698" s="1" t="n">
        <v>-4.5</v>
      </c>
      <c r="J1698" s="1" t="n">
        <v>52.5</v>
      </c>
      <c r="K1698" s="1" t="s">
        <v>161</v>
      </c>
      <c r="L1698" s="1" t="b">
        <f aca="false">FALSE()</f>
        <v>0</v>
      </c>
      <c r="M1698" s="1" t="str">
        <f aca="false">VLOOKUP(D1698,'Team Reference'!$A:$B,2,FALSE())</f>
        <v>ATL</v>
      </c>
      <c r="N1698" s="1" t="str">
        <f aca="false">VLOOKUP(E1698,'Team Reference'!$A:$B,2,FALSE())</f>
        <v>LAC</v>
      </c>
      <c r="O1698" s="1" t="str">
        <f aca="false">IF(F1698&gt;G1698,M1698,IF(G1698&gt;F1698,N1698,"Tie"))</f>
        <v>LAC</v>
      </c>
      <c r="P1698" s="1" t="n">
        <f aca="false">F1698-G1698</f>
        <v>-3</v>
      </c>
      <c r="Q1698" s="1" t="n">
        <f aca="false">F1698+G1698</f>
        <v>63</v>
      </c>
      <c r="R1698" s="1" t="str">
        <f aca="false">IF(H1698=M1698,"Home",IF(H1698=N1698,"Away",IF(H1698="PICK","Pick","N/A")))</f>
        <v>Home</v>
      </c>
      <c r="S1698" s="1" t="n">
        <f aca="false">IF(R1698="Home",P1698,IF(R1698="Away",-P1698,""))</f>
        <v>-3</v>
      </c>
      <c r="T1698" s="1" t="str">
        <f aca="false">IF(R1698="Pick","No Line",IF(S1698="","N/A",IF(S1698+I1698&gt;0,"Favorite Covered",IF(S1698+I1698&lt;0,"Underdog Covered","Push"))))</f>
        <v>Underdog Covered</v>
      </c>
      <c r="U1698" s="1" t="str">
        <f aca="false">IF(Q1698&gt;J1698,"Over",IF(Q1698&lt;J1698,"Under","Push"))</f>
        <v>Over</v>
      </c>
    </row>
    <row r="1699" customFormat="false" ht="15" hidden="false" customHeight="false" outlineLevel="0" collapsed="false">
      <c r="A1699" s="1" t="s">
        <v>539</v>
      </c>
      <c r="B1699" s="1" t="n">
        <v>2016</v>
      </c>
      <c r="C1699" s="1" t="s">
        <v>191</v>
      </c>
      <c r="D1699" s="1" t="s">
        <v>65</v>
      </c>
      <c r="E1699" s="1" t="s">
        <v>67</v>
      </c>
      <c r="F1699" s="1" t="n">
        <v>31</v>
      </c>
      <c r="G1699" s="1" t="n">
        <v>17</v>
      </c>
      <c r="H1699" s="1" t="s">
        <v>66</v>
      </c>
      <c r="I1699" s="1" t="n">
        <v>-11</v>
      </c>
      <c r="J1699" s="1" t="n">
        <v>46.5</v>
      </c>
      <c r="K1699" s="1" t="s">
        <v>163</v>
      </c>
      <c r="L1699" s="1" t="b">
        <f aca="false">FALSE()</f>
        <v>0</v>
      </c>
      <c r="M1699" s="1" t="str">
        <f aca="false">VLOOKUP(D1699,'Team Reference'!$A:$B,2,FALSE())</f>
        <v>CIN</v>
      </c>
      <c r="N1699" s="1" t="str">
        <f aca="false">VLOOKUP(E1699,'Team Reference'!$A:$B,2,FALSE())</f>
        <v>CLE</v>
      </c>
      <c r="O1699" s="1" t="str">
        <f aca="false">IF(F1699&gt;G1699,M1699,IF(G1699&gt;F1699,N1699,"Tie"))</f>
        <v>CIN</v>
      </c>
      <c r="P1699" s="1" t="n">
        <f aca="false">F1699-G1699</f>
        <v>14</v>
      </c>
      <c r="Q1699" s="1" t="n">
        <f aca="false">F1699+G1699</f>
        <v>48</v>
      </c>
      <c r="R1699" s="1" t="str">
        <f aca="false">IF(H1699=M1699,"Home",IF(H1699=N1699,"Away",IF(H1699="PICK","Pick","N/A")))</f>
        <v>Home</v>
      </c>
      <c r="S1699" s="1" t="n">
        <f aca="false">IF(R1699="Home",P1699,IF(R1699="Away",-P1699,""))</f>
        <v>14</v>
      </c>
      <c r="T1699" s="1" t="str">
        <f aca="false">IF(R1699="Pick","No Line",IF(S1699="","N/A",IF(S1699+I1699&gt;0,"Favorite Covered",IF(S1699+I1699&lt;0,"Underdog Covered","Push"))))</f>
        <v>Favorite Covered</v>
      </c>
      <c r="U1699" s="1" t="str">
        <f aca="false">IF(Q1699&gt;J1699,"Over",IF(Q1699&lt;J1699,"Under","Push"))</f>
        <v>Over</v>
      </c>
    </row>
    <row r="1700" customFormat="false" ht="15" hidden="false" customHeight="false" outlineLevel="0" collapsed="false">
      <c r="A1700" s="1" t="s">
        <v>539</v>
      </c>
      <c r="B1700" s="1" t="n">
        <v>2016</v>
      </c>
      <c r="C1700" s="1" t="s">
        <v>191</v>
      </c>
      <c r="D1700" s="1" t="s">
        <v>73</v>
      </c>
      <c r="E1700" s="1" t="s">
        <v>117</v>
      </c>
      <c r="F1700" s="1" t="n">
        <v>20</v>
      </c>
      <c r="G1700" s="1" t="n">
        <v>17</v>
      </c>
      <c r="H1700" s="1" t="s">
        <v>118</v>
      </c>
      <c r="I1700" s="1" t="n">
        <v>-1</v>
      </c>
      <c r="J1700" s="1" t="n">
        <v>50</v>
      </c>
      <c r="K1700" s="1" t="s">
        <v>167</v>
      </c>
      <c r="L1700" s="1" t="b">
        <f aca="false">FALSE()</f>
        <v>0</v>
      </c>
      <c r="M1700" s="1" t="str">
        <f aca="false">VLOOKUP(D1700,'Team Reference'!$A:$B,2,FALSE())</f>
        <v>DET</v>
      </c>
      <c r="N1700" s="1" t="str">
        <f aca="false">VLOOKUP(E1700,'Team Reference'!$A:$B,2,FALSE())</f>
        <v>WAS</v>
      </c>
      <c r="O1700" s="1" t="str">
        <f aca="false">IF(F1700&gt;G1700,M1700,IF(G1700&gt;F1700,N1700,"Tie"))</f>
        <v>DET</v>
      </c>
      <c r="P1700" s="1" t="n">
        <f aca="false">F1700-G1700</f>
        <v>3</v>
      </c>
      <c r="Q1700" s="1" t="n">
        <f aca="false">F1700+G1700</f>
        <v>37</v>
      </c>
      <c r="R1700" s="1" t="str">
        <f aca="false">IF(H1700=M1700,"Home",IF(H1700=N1700,"Away",IF(H1700="PICK","Pick","N/A")))</f>
        <v>Away</v>
      </c>
      <c r="S1700" s="1" t="n">
        <f aca="false">IF(R1700="Home",P1700,IF(R1700="Away",-P1700,""))</f>
        <v>-3</v>
      </c>
      <c r="T1700" s="1" t="str">
        <f aca="false">IF(R1700="Pick","No Line",IF(S1700="","N/A",IF(S1700+I1700&gt;0,"Favorite Covered",IF(S1700+I1700&lt;0,"Underdog Covered","Push"))))</f>
        <v>Underdog Covered</v>
      </c>
      <c r="U1700" s="1" t="str">
        <f aca="false">IF(Q1700&gt;J1700,"Over",IF(Q1700&lt;J1700,"Under","Push"))</f>
        <v>Under</v>
      </c>
    </row>
    <row r="1701" customFormat="false" ht="15" hidden="false" customHeight="false" outlineLevel="0" collapsed="false">
      <c r="A1701" s="1" t="s">
        <v>539</v>
      </c>
      <c r="B1701" s="1" t="n">
        <v>2016</v>
      </c>
      <c r="C1701" s="1" t="s">
        <v>191</v>
      </c>
      <c r="D1701" s="1" t="s">
        <v>81</v>
      </c>
      <c r="E1701" s="1" t="s">
        <v>101</v>
      </c>
      <c r="F1701" s="1" t="n">
        <v>16</v>
      </c>
      <c r="G1701" s="1" t="n">
        <v>33</v>
      </c>
      <c r="H1701" s="1" t="s">
        <v>82</v>
      </c>
      <c r="I1701" s="1" t="n">
        <v>-2</v>
      </c>
      <c r="J1701" s="1" t="n">
        <v>47.5</v>
      </c>
      <c r="K1701" s="1" t="s">
        <v>147</v>
      </c>
      <c r="L1701" s="1" t="b">
        <f aca="false">FALSE()</f>
        <v>0</v>
      </c>
      <c r="M1701" s="1" t="str">
        <f aca="false">VLOOKUP(D1701,'Team Reference'!$A:$B,2,FALSE())</f>
        <v>JAX</v>
      </c>
      <c r="N1701" s="1" t="str">
        <f aca="false">VLOOKUP(E1701,'Team Reference'!$A:$B,2,FALSE())</f>
        <v>OAK</v>
      </c>
      <c r="O1701" s="1" t="str">
        <f aca="false">IF(F1701&gt;G1701,M1701,IF(G1701&gt;F1701,N1701,"Tie"))</f>
        <v>OAK</v>
      </c>
      <c r="P1701" s="1" t="n">
        <f aca="false">F1701-G1701</f>
        <v>-17</v>
      </c>
      <c r="Q1701" s="1" t="n">
        <f aca="false">F1701+G1701</f>
        <v>49</v>
      </c>
      <c r="R1701" s="1" t="str">
        <f aca="false">IF(H1701=M1701,"Home",IF(H1701=N1701,"Away",IF(H1701="PICK","Pick","N/A")))</f>
        <v>Home</v>
      </c>
      <c r="S1701" s="1" t="n">
        <f aca="false">IF(R1701="Home",P1701,IF(R1701="Away",-P1701,""))</f>
        <v>-17</v>
      </c>
      <c r="T1701" s="1" t="str">
        <f aca="false">IF(R1701="Pick","No Line",IF(S1701="","N/A",IF(S1701+I1701&gt;0,"Favorite Covered",IF(S1701+I1701&lt;0,"Underdog Covered","Push"))))</f>
        <v>Underdog Covered</v>
      </c>
      <c r="U1701" s="1" t="str">
        <f aca="false">IF(Q1701&gt;J1701,"Over",IF(Q1701&lt;J1701,"Under","Push"))</f>
        <v>Over</v>
      </c>
    </row>
    <row r="1702" customFormat="false" ht="15" hidden="false" customHeight="false" outlineLevel="0" collapsed="false">
      <c r="A1702" s="1" t="s">
        <v>539</v>
      </c>
      <c r="B1702" s="1" t="n">
        <v>2016</v>
      </c>
      <c r="C1702" s="1" t="s">
        <v>191</v>
      </c>
      <c r="D1702" s="1" t="s">
        <v>83</v>
      </c>
      <c r="E1702" s="1" t="s">
        <v>95</v>
      </c>
      <c r="F1702" s="1" t="n">
        <v>27</v>
      </c>
      <c r="G1702" s="1" t="n">
        <v>21</v>
      </c>
      <c r="H1702" s="1" t="s">
        <v>84</v>
      </c>
      <c r="I1702" s="1" t="n">
        <v>-7</v>
      </c>
      <c r="J1702" s="1" t="n">
        <v>51.5</v>
      </c>
      <c r="K1702" s="1" t="s">
        <v>158</v>
      </c>
      <c r="L1702" s="1" t="b">
        <f aca="false">FALSE()</f>
        <v>0</v>
      </c>
      <c r="M1702" s="1" t="str">
        <f aca="false">VLOOKUP(D1702,'Team Reference'!$A:$B,2,FALSE())</f>
        <v>KC</v>
      </c>
      <c r="N1702" s="1" t="str">
        <f aca="false">VLOOKUP(E1702,'Team Reference'!$A:$B,2,FALSE())</f>
        <v>NO</v>
      </c>
      <c r="O1702" s="1" t="str">
        <f aca="false">IF(F1702&gt;G1702,M1702,IF(G1702&gt;F1702,N1702,"Tie"))</f>
        <v>KC</v>
      </c>
      <c r="P1702" s="1" t="n">
        <f aca="false">F1702-G1702</f>
        <v>6</v>
      </c>
      <c r="Q1702" s="1" t="n">
        <f aca="false">F1702+G1702</f>
        <v>48</v>
      </c>
      <c r="R1702" s="1" t="str">
        <f aca="false">IF(H1702=M1702,"Home",IF(H1702=N1702,"Away",IF(H1702="PICK","Pick","N/A")))</f>
        <v>Home</v>
      </c>
      <c r="S1702" s="1" t="n">
        <f aca="false">IF(R1702="Home",P1702,IF(R1702="Away",-P1702,""))</f>
        <v>6</v>
      </c>
      <c r="T1702" s="1" t="str">
        <f aca="false">IF(R1702="Pick","No Line",IF(S1702="","N/A",IF(S1702+I1702&gt;0,"Favorite Covered",IF(S1702+I1702&lt;0,"Underdog Covered","Push"))))</f>
        <v>Underdog Covered</v>
      </c>
      <c r="U1702" s="1" t="str">
        <f aca="false">IF(Q1702&gt;J1702,"Over",IF(Q1702&lt;J1702,"Under","Push"))</f>
        <v>Under</v>
      </c>
    </row>
    <row r="1703" customFormat="false" ht="15" hidden="false" customHeight="false" outlineLevel="0" collapsed="false">
      <c r="A1703" s="1" t="s">
        <v>539</v>
      </c>
      <c r="B1703" s="1" t="n">
        <v>2016</v>
      </c>
      <c r="C1703" s="1" t="s">
        <v>191</v>
      </c>
      <c r="D1703" s="1" t="s">
        <v>87</v>
      </c>
      <c r="E1703" s="1" t="s">
        <v>97</v>
      </c>
      <c r="F1703" s="1" t="n">
        <v>10</v>
      </c>
      <c r="G1703" s="1" t="n">
        <v>17</v>
      </c>
      <c r="H1703" s="1" t="s">
        <v>98</v>
      </c>
      <c r="I1703" s="1" t="n">
        <v>-2.5</v>
      </c>
      <c r="J1703" s="1" t="n">
        <v>44.5</v>
      </c>
      <c r="K1703" s="1" t="s">
        <v>540</v>
      </c>
      <c r="L1703" s="1" t="b">
        <f aca="false">FALSE()</f>
        <v>0</v>
      </c>
      <c r="M1703" s="1" t="str">
        <f aca="false">VLOOKUP(D1703,'Team Reference'!$A:$B,2,FALSE())</f>
        <v>LAR</v>
      </c>
      <c r="N1703" s="1" t="str">
        <f aca="false">VLOOKUP(E1703,'Team Reference'!$A:$B,2,FALSE())</f>
        <v>NYG</v>
      </c>
      <c r="O1703" s="1" t="str">
        <f aca="false">IF(F1703&gt;G1703,M1703,IF(G1703&gt;F1703,N1703,"Tie"))</f>
        <v>NYG</v>
      </c>
      <c r="P1703" s="1" t="n">
        <f aca="false">F1703-G1703</f>
        <v>-7</v>
      </c>
      <c r="Q1703" s="1" t="n">
        <f aca="false">F1703+G1703</f>
        <v>27</v>
      </c>
      <c r="R1703" s="1" t="str">
        <f aca="false">IF(H1703=M1703,"Home",IF(H1703=N1703,"Away",IF(H1703="PICK","Pick","N/A")))</f>
        <v>Away</v>
      </c>
      <c r="S1703" s="1" t="n">
        <f aca="false">IF(R1703="Home",P1703,IF(R1703="Away",-P1703,""))</f>
        <v>7</v>
      </c>
      <c r="T1703" s="1" t="str">
        <f aca="false">IF(R1703="Pick","No Line",IF(S1703="","N/A",IF(S1703+I1703&gt;0,"Favorite Covered",IF(S1703+I1703&lt;0,"Underdog Covered","Push"))))</f>
        <v>Favorite Covered</v>
      </c>
      <c r="U1703" s="1" t="str">
        <f aca="false">IF(Q1703&gt;J1703,"Over",IF(Q1703&lt;J1703,"Under","Push"))</f>
        <v>Under</v>
      </c>
    </row>
    <row r="1704" customFormat="false" ht="15" hidden="false" customHeight="false" outlineLevel="0" collapsed="false">
      <c r="A1704" s="1" t="s">
        <v>539</v>
      </c>
      <c r="B1704" s="1" t="n">
        <v>2016</v>
      </c>
      <c r="C1704" s="1" t="s">
        <v>191</v>
      </c>
      <c r="D1704" s="1" t="s">
        <v>89</v>
      </c>
      <c r="E1704" s="1" t="s">
        <v>59</v>
      </c>
      <c r="F1704" s="1" t="n">
        <v>28</v>
      </c>
      <c r="G1704" s="1" t="n">
        <v>25</v>
      </c>
      <c r="H1704" s="1" t="s">
        <v>60</v>
      </c>
      <c r="I1704" s="1" t="n">
        <v>-2.5</v>
      </c>
      <c r="J1704" s="1" t="n">
        <v>46</v>
      </c>
      <c r="K1704" s="1" t="s">
        <v>179</v>
      </c>
      <c r="L1704" s="1" t="b">
        <f aca="false">FALSE()</f>
        <v>0</v>
      </c>
      <c r="M1704" s="1" t="str">
        <f aca="false">VLOOKUP(D1704,'Team Reference'!$A:$B,2,FALSE())</f>
        <v>MIA</v>
      </c>
      <c r="N1704" s="1" t="str">
        <f aca="false">VLOOKUP(E1704,'Team Reference'!$A:$B,2,FALSE())</f>
        <v>BUF</v>
      </c>
      <c r="O1704" s="1" t="str">
        <f aca="false">IF(F1704&gt;G1704,M1704,IF(G1704&gt;F1704,N1704,"Tie"))</f>
        <v>MIA</v>
      </c>
      <c r="P1704" s="1" t="n">
        <f aca="false">F1704-G1704</f>
        <v>3</v>
      </c>
      <c r="Q1704" s="1" t="n">
        <f aca="false">F1704+G1704</f>
        <v>53</v>
      </c>
      <c r="R1704" s="1" t="str">
        <f aca="false">IF(H1704=M1704,"Home",IF(H1704=N1704,"Away",IF(H1704="PICK","Pick","N/A")))</f>
        <v>Away</v>
      </c>
      <c r="S1704" s="1" t="n">
        <f aca="false">IF(R1704="Home",P1704,IF(R1704="Away",-P1704,""))</f>
        <v>-3</v>
      </c>
      <c r="T1704" s="1" t="str">
        <f aca="false">IF(R1704="Pick","No Line",IF(S1704="","N/A",IF(S1704+I1704&gt;0,"Favorite Covered",IF(S1704+I1704&lt;0,"Underdog Covered","Push"))))</f>
        <v>Underdog Covered</v>
      </c>
      <c r="U1704" s="1" t="str">
        <f aca="false">IF(Q1704&gt;J1704,"Over",IF(Q1704&lt;J1704,"Under","Push"))</f>
        <v>Over</v>
      </c>
    </row>
    <row r="1705" customFormat="false" ht="15" hidden="false" customHeight="false" outlineLevel="0" collapsed="false">
      <c r="A1705" s="1" t="s">
        <v>539</v>
      </c>
      <c r="B1705" s="1" t="n">
        <v>2016</v>
      </c>
      <c r="C1705" s="1" t="s">
        <v>191</v>
      </c>
      <c r="D1705" s="1" t="s">
        <v>99</v>
      </c>
      <c r="E1705" s="1" t="s">
        <v>57</v>
      </c>
      <c r="F1705" s="1" t="n">
        <v>24</v>
      </c>
      <c r="G1705" s="1" t="n">
        <v>16</v>
      </c>
      <c r="H1705" s="1" t="s">
        <v>100</v>
      </c>
      <c r="I1705" s="1" t="n">
        <v>-2.5</v>
      </c>
      <c r="J1705" s="1" t="n">
        <v>40</v>
      </c>
      <c r="K1705" s="1" t="s">
        <v>149</v>
      </c>
      <c r="L1705" s="1" t="b">
        <f aca="false">FALSE()</f>
        <v>0</v>
      </c>
      <c r="M1705" s="1" t="str">
        <f aca="false">VLOOKUP(D1705,'Team Reference'!$A:$B,2,FALSE())</f>
        <v>NYJ</v>
      </c>
      <c r="N1705" s="1" t="str">
        <f aca="false">VLOOKUP(E1705,'Team Reference'!$A:$B,2,FALSE())</f>
        <v>BAL</v>
      </c>
      <c r="O1705" s="1" t="str">
        <f aca="false">IF(F1705&gt;G1705,M1705,IF(G1705&gt;F1705,N1705,"Tie"))</f>
        <v>NYJ</v>
      </c>
      <c r="P1705" s="1" t="n">
        <f aca="false">F1705-G1705</f>
        <v>8</v>
      </c>
      <c r="Q1705" s="1" t="n">
        <f aca="false">F1705+G1705</f>
        <v>40</v>
      </c>
      <c r="R1705" s="1" t="str">
        <f aca="false">IF(H1705=M1705,"Home",IF(H1705=N1705,"Away",IF(H1705="PICK","Pick","N/A")))</f>
        <v>Home</v>
      </c>
      <c r="S1705" s="1" t="n">
        <f aca="false">IF(R1705="Home",P1705,IF(R1705="Away",-P1705,""))</f>
        <v>8</v>
      </c>
      <c r="T1705" s="1" t="str">
        <f aca="false">IF(R1705="Pick","No Line",IF(S1705="","N/A",IF(S1705+I1705&gt;0,"Favorite Covered",IF(S1705+I1705&lt;0,"Underdog Covered","Push"))))</f>
        <v>Favorite Covered</v>
      </c>
      <c r="U1705" s="1" t="str">
        <f aca="false">IF(Q1705&gt;J1705,"Over",IF(Q1705&lt;J1705,"Under","Push"))</f>
        <v>Push</v>
      </c>
    </row>
    <row r="1706" customFormat="false" ht="15" hidden="false" customHeight="false" outlineLevel="0" collapsed="false">
      <c r="A1706" s="1" t="s">
        <v>539</v>
      </c>
      <c r="B1706" s="1" t="n">
        <v>2016</v>
      </c>
      <c r="C1706" s="1" t="s">
        <v>191</v>
      </c>
      <c r="D1706" s="1" t="s">
        <v>103</v>
      </c>
      <c r="E1706" s="1" t="s">
        <v>91</v>
      </c>
      <c r="F1706" s="1" t="n">
        <v>21</v>
      </c>
      <c r="G1706" s="1" t="n">
        <v>10</v>
      </c>
      <c r="H1706" s="1" t="s">
        <v>92</v>
      </c>
      <c r="I1706" s="1" t="n">
        <v>-3</v>
      </c>
      <c r="J1706" s="1" t="n">
        <v>39</v>
      </c>
      <c r="K1706" s="1" t="s">
        <v>150</v>
      </c>
      <c r="L1706" s="1" t="b">
        <f aca="false">FALSE()</f>
        <v>0</v>
      </c>
      <c r="M1706" s="1" t="str">
        <f aca="false">VLOOKUP(D1706,'Team Reference'!$A:$B,2,FALSE())</f>
        <v>PHI</v>
      </c>
      <c r="N1706" s="1" t="str">
        <f aca="false">VLOOKUP(E1706,'Team Reference'!$A:$B,2,FALSE())</f>
        <v>MIN</v>
      </c>
      <c r="O1706" s="1" t="str">
        <f aca="false">IF(F1706&gt;G1706,M1706,IF(G1706&gt;F1706,N1706,"Tie"))</f>
        <v>PHI</v>
      </c>
      <c r="P1706" s="1" t="n">
        <f aca="false">F1706-G1706</f>
        <v>11</v>
      </c>
      <c r="Q1706" s="1" t="n">
        <f aca="false">F1706+G1706</f>
        <v>31</v>
      </c>
      <c r="R1706" s="1" t="str">
        <f aca="false">IF(H1706=M1706,"Home",IF(H1706=N1706,"Away",IF(H1706="PICK","Pick","N/A")))</f>
        <v>Away</v>
      </c>
      <c r="S1706" s="1" t="n">
        <f aca="false">IF(R1706="Home",P1706,IF(R1706="Away",-P1706,""))</f>
        <v>-11</v>
      </c>
      <c r="T1706" s="1" t="str">
        <f aca="false">IF(R1706="Pick","No Line",IF(S1706="","N/A",IF(S1706+I1706&gt;0,"Favorite Covered",IF(S1706+I1706&lt;0,"Underdog Covered","Push"))))</f>
        <v>Underdog Covered</v>
      </c>
      <c r="U1706" s="1" t="str">
        <f aca="false">IF(Q1706&gt;J1706,"Over",IF(Q1706&lt;J1706,"Under","Push"))</f>
        <v>Under</v>
      </c>
    </row>
    <row r="1707" customFormat="false" ht="15" hidden="false" customHeight="false" outlineLevel="0" collapsed="false">
      <c r="A1707" s="1" t="s">
        <v>539</v>
      </c>
      <c r="B1707" s="1" t="n">
        <v>2016</v>
      </c>
      <c r="C1707" s="1" t="s">
        <v>191</v>
      </c>
      <c r="D1707" s="1" t="s">
        <v>105</v>
      </c>
      <c r="E1707" s="1" t="s">
        <v>93</v>
      </c>
      <c r="F1707" s="1" t="n">
        <v>16</v>
      </c>
      <c r="G1707" s="1" t="n">
        <v>27</v>
      </c>
      <c r="H1707" s="1" t="s">
        <v>94</v>
      </c>
      <c r="I1707" s="1" t="n">
        <v>-7.5</v>
      </c>
      <c r="J1707" s="1" t="n">
        <v>49</v>
      </c>
      <c r="K1707" s="1" t="s">
        <v>151</v>
      </c>
      <c r="L1707" s="1" t="b">
        <f aca="false">FALSE()</f>
        <v>0</v>
      </c>
      <c r="M1707" s="1" t="str">
        <f aca="false">VLOOKUP(D1707,'Team Reference'!$A:$B,2,FALSE())</f>
        <v>PIT</v>
      </c>
      <c r="N1707" s="1" t="str">
        <f aca="false">VLOOKUP(E1707,'Team Reference'!$A:$B,2,FALSE())</f>
        <v>NE</v>
      </c>
      <c r="O1707" s="1" t="str">
        <f aca="false">IF(F1707&gt;G1707,M1707,IF(G1707&gt;F1707,N1707,"Tie"))</f>
        <v>NE</v>
      </c>
      <c r="P1707" s="1" t="n">
        <f aca="false">F1707-G1707</f>
        <v>-11</v>
      </c>
      <c r="Q1707" s="1" t="n">
        <f aca="false">F1707+G1707</f>
        <v>43</v>
      </c>
      <c r="R1707" s="1" t="str">
        <f aca="false">IF(H1707=M1707,"Home",IF(H1707=N1707,"Away",IF(H1707="PICK","Pick","N/A")))</f>
        <v>Away</v>
      </c>
      <c r="S1707" s="1" t="n">
        <f aca="false">IF(R1707="Home",P1707,IF(R1707="Away",-P1707,""))</f>
        <v>11</v>
      </c>
      <c r="T1707" s="1" t="str">
        <f aca="false">IF(R1707="Pick","No Line",IF(S1707="","N/A",IF(S1707+I1707&gt;0,"Favorite Covered",IF(S1707+I1707&lt;0,"Underdog Covered","Push"))))</f>
        <v>Favorite Covered</v>
      </c>
      <c r="U1707" s="1" t="str">
        <f aca="false">IF(Q1707&gt;J1707,"Over",IF(Q1707&lt;J1707,"Under","Push"))</f>
        <v>Under</v>
      </c>
    </row>
    <row r="1708" customFormat="false" ht="15" hidden="false" customHeight="false" outlineLevel="0" collapsed="false">
      <c r="A1708" s="1" t="s">
        <v>539</v>
      </c>
      <c r="B1708" s="1" t="n">
        <v>2016</v>
      </c>
      <c r="C1708" s="1" t="s">
        <v>191</v>
      </c>
      <c r="D1708" s="1" t="s">
        <v>108</v>
      </c>
      <c r="E1708" s="1" t="s">
        <v>113</v>
      </c>
      <c r="F1708" s="1" t="n">
        <v>17</v>
      </c>
      <c r="G1708" s="1" t="n">
        <v>34</v>
      </c>
      <c r="H1708" s="1" t="s">
        <v>109</v>
      </c>
      <c r="I1708" s="1" t="n">
        <v>-1</v>
      </c>
      <c r="J1708" s="1" t="n">
        <v>45</v>
      </c>
      <c r="K1708" s="1" t="s">
        <v>408</v>
      </c>
      <c r="L1708" s="1" t="b">
        <f aca="false">FALSE()</f>
        <v>0</v>
      </c>
      <c r="M1708" s="1" t="str">
        <f aca="false">VLOOKUP(D1708,'Team Reference'!$A:$B,2,FALSE())</f>
        <v>SF</v>
      </c>
      <c r="N1708" s="1" t="str">
        <f aca="false">VLOOKUP(E1708,'Team Reference'!$A:$B,2,FALSE())</f>
        <v>TB</v>
      </c>
      <c r="O1708" s="1" t="str">
        <f aca="false">IF(F1708&gt;G1708,M1708,IF(G1708&gt;F1708,N1708,"Tie"))</f>
        <v>TB</v>
      </c>
      <c r="P1708" s="1" t="n">
        <f aca="false">F1708-G1708</f>
        <v>-17</v>
      </c>
      <c r="Q1708" s="1" t="n">
        <f aca="false">F1708+G1708</f>
        <v>51</v>
      </c>
      <c r="R1708" s="1" t="str">
        <f aca="false">IF(H1708=M1708,"Home",IF(H1708=N1708,"Away",IF(H1708="PICK","Pick","N/A")))</f>
        <v>Home</v>
      </c>
      <c r="S1708" s="1" t="n">
        <f aca="false">IF(R1708="Home",P1708,IF(R1708="Away",-P1708,""))</f>
        <v>-17</v>
      </c>
      <c r="T1708" s="1" t="str">
        <f aca="false">IF(R1708="Pick","No Line",IF(S1708="","N/A",IF(S1708+I1708&gt;0,"Favorite Covered",IF(S1708+I1708&lt;0,"Underdog Covered","Push"))))</f>
        <v>Underdog Covered</v>
      </c>
      <c r="U1708" s="1" t="str">
        <f aca="false">IF(Q1708&gt;J1708,"Over",IF(Q1708&lt;J1708,"Under","Push"))</f>
        <v>Over</v>
      </c>
    </row>
    <row r="1709" customFormat="false" ht="15" hidden="false" customHeight="false" outlineLevel="0" collapsed="false">
      <c r="A1709" s="1" t="s">
        <v>539</v>
      </c>
      <c r="B1709" s="1" t="n">
        <v>2016</v>
      </c>
      <c r="C1709" s="1" t="s">
        <v>191</v>
      </c>
      <c r="D1709" s="1" t="s">
        <v>115</v>
      </c>
      <c r="E1709" s="1" t="s">
        <v>79</v>
      </c>
      <c r="F1709" s="1" t="n">
        <v>26</v>
      </c>
      <c r="G1709" s="1" t="n">
        <v>34</v>
      </c>
      <c r="H1709" s="1" t="s">
        <v>116</v>
      </c>
      <c r="I1709" s="1" t="n">
        <v>-4</v>
      </c>
      <c r="J1709" s="1" t="n">
        <v>48</v>
      </c>
      <c r="K1709" s="1" t="s">
        <v>155</v>
      </c>
      <c r="L1709" s="1" t="b">
        <f aca="false">FALSE()</f>
        <v>0</v>
      </c>
      <c r="M1709" s="1" t="str">
        <f aca="false">VLOOKUP(D1709,'Team Reference'!$A:$B,2,FALSE())</f>
        <v>TEN</v>
      </c>
      <c r="N1709" s="1" t="str">
        <f aca="false">VLOOKUP(E1709,'Team Reference'!$A:$B,2,FALSE())</f>
        <v>IND</v>
      </c>
      <c r="O1709" s="1" t="str">
        <f aca="false">IF(F1709&gt;G1709,M1709,IF(G1709&gt;F1709,N1709,"Tie"))</f>
        <v>IND</v>
      </c>
      <c r="P1709" s="1" t="n">
        <f aca="false">F1709-G1709</f>
        <v>-8</v>
      </c>
      <c r="Q1709" s="1" t="n">
        <f aca="false">F1709+G1709</f>
        <v>60</v>
      </c>
      <c r="R1709" s="1" t="str">
        <f aca="false">IF(H1709=M1709,"Home",IF(H1709=N1709,"Away",IF(H1709="PICK","Pick","N/A")))</f>
        <v>Home</v>
      </c>
      <c r="S1709" s="1" t="n">
        <f aca="false">IF(R1709="Home",P1709,IF(R1709="Away",-P1709,""))</f>
        <v>-8</v>
      </c>
      <c r="T1709" s="1" t="str">
        <f aca="false">IF(R1709="Pick","No Line",IF(S1709="","N/A",IF(S1709+I1709&gt;0,"Favorite Covered",IF(S1709+I1709&lt;0,"Underdog Covered","Push"))))</f>
        <v>Underdog Covered</v>
      </c>
      <c r="U1709" s="1" t="str">
        <f aca="false">IF(Q1709&gt;J1709,"Over",IF(Q1709&lt;J1709,"Under","Push"))</f>
        <v>Over</v>
      </c>
    </row>
    <row r="1710" customFormat="false" ht="15" hidden="false" customHeight="false" outlineLevel="0" collapsed="false">
      <c r="A1710" s="1" t="s">
        <v>541</v>
      </c>
      <c r="B1710" s="1" t="n">
        <v>2016</v>
      </c>
      <c r="C1710" s="1" t="s">
        <v>191</v>
      </c>
      <c r="D1710" s="1" t="s">
        <v>71</v>
      </c>
      <c r="E1710" s="1" t="s">
        <v>77</v>
      </c>
      <c r="F1710" s="1" t="n">
        <v>27</v>
      </c>
      <c r="G1710" s="1" t="n">
        <v>9</v>
      </c>
      <c r="H1710" s="1" t="s">
        <v>72</v>
      </c>
      <c r="I1710" s="1" t="n">
        <v>-8.5</v>
      </c>
      <c r="J1710" s="1" t="n">
        <v>40</v>
      </c>
      <c r="K1710" s="1" t="s">
        <v>166</v>
      </c>
      <c r="L1710" s="1" t="b">
        <f aca="false">FALSE()</f>
        <v>0</v>
      </c>
      <c r="M1710" s="1" t="str">
        <f aca="false">VLOOKUP(D1710,'Team Reference'!$A:$B,2,FALSE())</f>
        <v>DEN</v>
      </c>
      <c r="N1710" s="1" t="str">
        <f aca="false">VLOOKUP(E1710,'Team Reference'!$A:$B,2,FALSE())</f>
        <v>HOU</v>
      </c>
      <c r="O1710" s="1" t="str">
        <f aca="false">IF(F1710&gt;G1710,M1710,IF(G1710&gt;F1710,N1710,"Tie"))</f>
        <v>DEN</v>
      </c>
      <c r="P1710" s="1" t="n">
        <f aca="false">F1710-G1710</f>
        <v>18</v>
      </c>
      <c r="Q1710" s="1" t="n">
        <f aca="false">F1710+G1710</f>
        <v>36</v>
      </c>
      <c r="R1710" s="1" t="str">
        <f aca="false">IF(H1710=M1710,"Home",IF(H1710=N1710,"Away",IF(H1710="PICK","Pick","N/A")))</f>
        <v>Home</v>
      </c>
      <c r="S1710" s="1" t="n">
        <f aca="false">IF(R1710="Home",P1710,IF(R1710="Away",-P1710,""))</f>
        <v>18</v>
      </c>
      <c r="T1710" s="1" t="str">
        <f aca="false">IF(R1710="Pick","No Line",IF(S1710="","N/A",IF(S1710+I1710&gt;0,"Favorite Covered",IF(S1710+I1710&lt;0,"Underdog Covered","Push"))))</f>
        <v>Favorite Covered</v>
      </c>
      <c r="U1710" s="1" t="str">
        <f aca="false">IF(Q1710&gt;J1710,"Over",IF(Q1710&lt;J1710,"Under","Push"))</f>
        <v>Under</v>
      </c>
    </row>
    <row r="1711" customFormat="false" ht="15" hidden="false" customHeight="false" outlineLevel="0" collapsed="false">
      <c r="A1711" s="1" t="s">
        <v>542</v>
      </c>
      <c r="B1711" s="1" t="n">
        <v>2016</v>
      </c>
      <c r="C1711" s="1" t="s">
        <v>194</v>
      </c>
      <c r="D1711" s="1" t="s">
        <v>115</v>
      </c>
      <c r="E1711" s="1" t="s">
        <v>81</v>
      </c>
      <c r="F1711" s="1" t="n">
        <v>36</v>
      </c>
      <c r="G1711" s="1" t="n">
        <v>22</v>
      </c>
      <c r="H1711" s="1" t="s">
        <v>116</v>
      </c>
      <c r="I1711" s="1" t="n">
        <v>-3</v>
      </c>
      <c r="J1711" s="1" t="n">
        <v>43.5</v>
      </c>
      <c r="K1711" s="1" t="s">
        <v>155</v>
      </c>
      <c r="L1711" s="1" t="b">
        <f aca="false">FALSE()</f>
        <v>0</v>
      </c>
      <c r="M1711" s="1" t="str">
        <f aca="false">VLOOKUP(D1711,'Team Reference'!$A:$B,2,FALSE())</f>
        <v>TEN</v>
      </c>
      <c r="N1711" s="1" t="str">
        <f aca="false">VLOOKUP(E1711,'Team Reference'!$A:$B,2,FALSE())</f>
        <v>JAX</v>
      </c>
      <c r="O1711" s="1" t="str">
        <f aca="false">IF(F1711&gt;G1711,M1711,IF(G1711&gt;F1711,N1711,"Tie"))</f>
        <v>TEN</v>
      </c>
      <c r="P1711" s="1" t="n">
        <f aca="false">F1711-G1711</f>
        <v>14</v>
      </c>
      <c r="Q1711" s="1" t="n">
        <f aca="false">F1711+G1711</f>
        <v>58</v>
      </c>
      <c r="R1711" s="1" t="str">
        <f aca="false">IF(H1711=M1711,"Home",IF(H1711=N1711,"Away",IF(H1711="PICK","Pick","N/A")))</f>
        <v>Home</v>
      </c>
      <c r="S1711" s="1" t="n">
        <f aca="false">IF(R1711="Home",P1711,IF(R1711="Away",-P1711,""))</f>
        <v>14</v>
      </c>
      <c r="T1711" s="1" t="str">
        <f aca="false">IF(R1711="Pick","No Line",IF(S1711="","N/A",IF(S1711+I1711&gt;0,"Favorite Covered",IF(S1711+I1711&lt;0,"Underdog Covered","Push"))))</f>
        <v>Favorite Covered</v>
      </c>
      <c r="U1711" s="1" t="str">
        <f aca="false">IF(Q1711&gt;J1711,"Over",IF(Q1711&lt;J1711,"Under","Push"))</f>
        <v>Over</v>
      </c>
    </row>
    <row r="1712" customFormat="false" ht="15" hidden="false" customHeight="false" outlineLevel="0" collapsed="false">
      <c r="A1712" s="1" t="s">
        <v>543</v>
      </c>
      <c r="B1712" s="1" t="n">
        <v>2016</v>
      </c>
      <c r="C1712" s="1" t="s">
        <v>194</v>
      </c>
      <c r="D1712" s="1" t="s">
        <v>55</v>
      </c>
      <c r="E1712" s="1" t="s">
        <v>75</v>
      </c>
      <c r="F1712" s="1" t="n">
        <v>33</v>
      </c>
      <c r="G1712" s="1" t="n">
        <v>32</v>
      </c>
      <c r="H1712" s="1" t="s">
        <v>56</v>
      </c>
      <c r="I1712" s="1" t="n">
        <v>-3</v>
      </c>
      <c r="J1712" s="1" t="n">
        <v>51</v>
      </c>
      <c r="K1712" s="1" t="s">
        <v>161</v>
      </c>
      <c r="L1712" s="1" t="b">
        <f aca="false">FALSE()</f>
        <v>0</v>
      </c>
      <c r="M1712" s="1" t="str">
        <f aca="false">VLOOKUP(D1712,'Team Reference'!$A:$B,2,FALSE())</f>
        <v>ATL</v>
      </c>
      <c r="N1712" s="1" t="str">
        <f aca="false">VLOOKUP(E1712,'Team Reference'!$A:$B,2,FALSE())</f>
        <v>GB</v>
      </c>
      <c r="O1712" s="1" t="str">
        <f aca="false">IF(F1712&gt;G1712,M1712,IF(G1712&gt;F1712,N1712,"Tie"))</f>
        <v>ATL</v>
      </c>
      <c r="P1712" s="1" t="n">
        <f aca="false">F1712-G1712</f>
        <v>1</v>
      </c>
      <c r="Q1712" s="1" t="n">
        <f aca="false">F1712+G1712</f>
        <v>65</v>
      </c>
      <c r="R1712" s="1" t="str">
        <f aca="false">IF(H1712=M1712,"Home",IF(H1712=N1712,"Away",IF(H1712="PICK","Pick","N/A")))</f>
        <v>Home</v>
      </c>
      <c r="S1712" s="1" t="n">
        <f aca="false">IF(R1712="Home",P1712,IF(R1712="Away",-P1712,""))</f>
        <v>1</v>
      </c>
      <c r="T1712" s="1" t="str">
        <f aca="false">IF(R1712="Pick","No Line",IF(S1712="","N/A",IF(S1712+I1712&gt;0,"Favorite Covered",IF(S1712+I1712&lt;0,"Underdog Covered","Push"))))</f>
        <v>Underdog Covered</v>
      </c>
      <c r="U1712" s="1" t="str">
        <f aca="false">IF(Q1712&gt;J1712,"Over",IF(Q1712&lt;J1712,"Under","Push"))</f>
        <v>Over</v>
      </c>
    </row>
    <row r="1713" customFormat="false" ht="15" hidden="false" customHeight="false" outlineLevel="0" collapsed="false">
      <c r="A1713" s="1" t="s">
        <v>543</v>
      </c>
      <c r="B1713" s="1" t="n">
        <v>2016</v>
      </c>
      <c r="C1713" s="1" t="s">
        <v>194</v>
      </c>
      <c r="D1713" s="1" t="s">
        <v>59</v>
      </c>
      <c r="E1713" s="1" t="s">
        <v>93</v>
      </c>
      <c r="F1713" s="1" t="n">
        <v>25</v>
      </c>
      <c r="G1713" s="1" t="n">
        <v>41</v>
      </c>
      <c r="H1713" s="1" t="s">
        <v>94</v>
      </c>
      <c r="I1713" s="1" t="n">
        <v>-5.5</v>
      </c>
      <c r="J1713" s="1" t="n">
        <v>48</v>
      </c>
      <c r="K1713" s="1" t="s">
        <v>522</v>
      </c>
      <c r="L1713" s="1" t="b">
        <f aca="false">FALSE()</f>
        <v>0</v>
      </c>
      <c r="M1713" s="1" t="str">
        <f aca="false">VLOOKUP(D1713,'Team Reference'!$A:$B,2,FALSE())</f>
        <v>BUF</v>
      </c>
      <c r="N1713" s="1" t="str">
        <f aca="false">VLOOKUP(E1713,'Team Reference'!$A:$B,2,FALSE())</f>
        <v>NE</v>
      </c>
      <c r="O1713" s="1" t="str">
        <f aca="false">IF(F1713&gt;G1713,M1713,IF(G1713&gt;F1713,N1713,"Tie"))</f>
        <v>NE</v>
      </c>
      <c r="P1713" s="1" t="n">
        <f aca="false">F1713-G1713</f>
        <v>-16</v>
      </c>
      <c r="Q1713" s="1" t="n">
        <f aca="false">F1713+G1713</f>
        <v>66</v>
      </c>
      <c r="R1713" s="1" t="str">
        <f aca="false">IF(H1713=M1713,"Home",IF(H1713=N1713,"Away",IF(H1713="PICK","Pick","N/A")))</f>
        <v>Away</v>
      </c>
      <c r="S1713" s="1" t="n">
        <f aca="false">IF(R1713="Home",P1713,IF(R1713="Away",-P1713,""))</f>
        <v>16</v>
      </c>
      <c r="T1713" s="1" t="str">
        <f aca="false">IF(R1713="Pick","No Line",IF(S1713="","N/A",IF(S1713+I1713&gt;0,"Favorite Covered",IF(S1713+I1713&lt;0,"Underdog Covered","Push"))))</f>
        <v>Favorite Covered</v>
      </c>
      <c r="U1713" s="1" t="str">
        <f aca="false">IF(Q1713&gt;J1713,"Over",IF(Q1713&lt;J1713,"Under","Push"))</f>
        <v>Over</v>
      </c>
    </row>
    <row r="1714" customFormat="false" ht="15" hidden="false" customHeight="false" outlineLevel="0" collapsed="false">
      <c r="A1714" s="1" t="s">
        <v>543</v>
      </c>
      <c r="B1714" s="1" t="n">
        <v>2016</v>
      </c>
      <c r="C1714" s="1" t="s">
        <v>194</v>
      </c>
      <c r="D1714" s="1" t="s">
        <v>61</v>
      </c>
      <c r="E1714" s="1" t="s">
        <v>53</v>
      </c>
      <c r="F1714" s="1" t="n">
        <v>30</v>
      </c>
      <c r="G1714" s="1" t="n">
        <v>20</v>
      </c>
      <c r="H1714" s="1" t="s">
        <v>62</v>
      </c>
      <c r="I1714" s="1" t="n">
        <v>-2.5</v>
      </c>
      <c r="J1714" s="1" t="n">
        <v>45.5</v>
      </c>
      <c r="K1714" s="1" t="s">
        <v>162</v>
      </c>
      <c r="L1714" s="1" t="b">
        <f aca="false">FALSE()</f>
        <v>0</v>
      </c>
      <c r="M1714" s="1" t="str">
        <f aca="false">VLOOKUP(D1714,'Team Reference'!$A:$B,2,FALSE())</f>
        <v>CAR</v>
      </c>
      <c r="N1714" s="1" t="str">
        <f aca="false">VLOOKUP(E1714,'Team Reference'!$A:$B,2,FALSE())</f>
        <v>ARI</v>
      </c>
      <c r="O1714" s="1" t="str">
        <f aca="false">IF(F1714&gt;G1714,M1714,IF(G1714&gt;F1714,N1714,"Tie"))</f>
        <v>CAR</v>
      </c>
      <c r="P1714" s="1" t="n">
        <f aca="false">F1714-G1714</f>
        <v>10</v>
      </c>
      <c r="Q1714" s="1" t="n">
        <f aca="false">F1714+G1714</f>
        <v>50</v>
      </c>
      <c r="R1714" s="1" t="str">
        <f aca="false">IF(H1714=M1714,"Home",IF(H1714=N1714,"Away",IF(H1714="PICK","Pick","N/A")))</f>
        <v>Home</v>
      </c>
      <c r="S1714" s="1" t="n">
        <f aca="false">IF(R1714="Home",P1714,IF(R1714="Away",-P1714,""))</f>
        <v>10</v>
      </c>
      <c r="T1714" s="1" t="str">
        <f aca="false">IF(R1714="Pick","No Line",IF(S1714="","N/A",IF(S1714+I1714&gt;0,"Favorite Covered",IF(S1714+I1714&lt;0,"Underdog Covered","Push"))))</f>
        <v>Favorite Covered</v>
      </c>
      <c r="U1714" s="1" t="str">
        <f aca="false">IF(Q1714&gt;J1714,"Over",IF(Q1714&lt;J1714,"Under","Push"))</f>
        <v>Over</v>
      </c>
    </row>
    <row r="1715" customFormat="false" ht="15" hidden="false" customHeight="false" outlineLevel="0" collapsed="false">
      <c r="A1715" s="1" t="s">
        <v>543</v>
      </c>
      <c r="B1715" s="1" t="n">
        <v>2016</v>
      </c>
      <c r="C1715" s="1" t="s">
        <v>194</v>
      </c>
      <c r="D1715" s="1" t="s">
        <v>65</v>
      </c>
      <c r="E1715" s="1" t="s">
        <v>117</v>
      </c>
      <c r="F1715" s="1" t="n">
        <v>27</v>
      </c>
      <c r="G1715" s="1" t="n">
        <v>27</v>
      </c>
      <c r="H1715" s="1" t="s">
        <v>66</v>
      </c>
      <c r="I1715" s="1" t="n">
        <v>-3</v>
      </c>
      <c r="J1715" s="1" t="n">
        <v>49</v>
      </c>
      <c r="K1715" s="1" t="s">
        <v>195</v>
      </c>
      <c r="L1715" s="1" t="b">
        <f aca="false">FALSE()</f>
        <v>0</v>
      </c>
      <c r="M1715" s="1" t="str">
        <f aca="false">VLOOKUP(D1715,'Team Reference'!$A:$B,2,FALSE())</f>
        <v>CIN</v>
      </c>
      <c r="N1715" s="1" t="str">
        <f aca="false">VLOOKUP(E1715,'Team Reference'!$A:$B,2,FALSE())</f>
        <v>WAS</v>
      </c>
      <c r="O1715" s="1" t="str">
        <f aca="false">IF(F1715&gt;G1715,M1715,IF(G1715&gt;F1715,N1715,"Tie"))</f>
        <v>Tie</v>
      </c>
      <c r="P1715" s="1" t="n">
        <f aca="false">F1715-G1715</f>
        <v>0</v>
      </c>
      <c r="Q1715" s="1" t="n">
        <f aca="false">F1715+G1715</f>
        <v>54</v>
      </c>
      <c r="R1715" s="1" t="str">
        <f aca="false">IF(H1715=M1715,"Home",IF(H1715=N1715,"Away",IF(H1715="PICK","Pick","N/A")))</f>
        <v>Home</v>
      </c>
      <c r="S1715" s="1" t="n">
        <f aca="false">IF(R1715="Home",P1715,IF(R1715="Away",-P1715,""))</f>
        <v>0</v>
      </c>
      <c r="T1715" s="1" t="str">
        <f aca="false">IF(R1715="Pick","No Line",IF(S1715="","N/A",IF(S1715+I1715&gt;0,"Favorite Covered",IF(S1715+I1715&lt;0,"Underdog Covered","Push"))))</f>
        <v>Underdog Covered</v>
      </c>
      <c r="U1715" s="1" t="str">
        <f aca="false">IF(Q1715&gt;J1715,"Over",IF(Q1715&lt;J1715,"Under","Push"))</f>
        <v>Over</v>
      </c>
    </row>
    <row r="1716" customFormat="false" ht="15" hidden="false" customHeight="false" outlineLevel="0" collapsed="false">
      <c r="A1716" s="1" t="s">
        <v>543</v>
      </c>
      <c r="B1716" s="1" t="n">
        <v>2016</v>
      </c>
      <c r="C1716" s="1" t="s">
        <v>194</v>
      </c>
      <c r="D1716" s="1" t="s">
        <v>67</v>
      </c>
      <c r="E1716" s="1" t="s">
        <v>99</v>
      </c>
      <c r="F1716" s="1" t="n">
        <v>28</v>
      </c>
      <c r="G1716" s="1" t="n">
        <v>31</v>
      </c>
      <c r="H1716" s="1" t="s">
        <v>100</v>
      </c>
      <c r="I1716" s="1" t="n">
        <v>-2.5</v>
      </c>
      <c r="J1716" s="1" t="n">
        <v>45.5</v>
      </c>
      <c r="K1716" s="1" t="s">
        <v>164</v>
      </c>
      <c r="L1716" s="1" t="b">
        <f aca="false">FALSE()</f>
        <v>0</v>
      </c>
      <c r="M1716" s="1" t="str">
        <f aca="false">VLOOKUP(D1716,'Team Reference'!$A:$B,2,FALSE())</f>
        <v>CLE</v>
      </c>
      <c r="N1716" s="1" t="str">
        <f aca="false">VLOOKUP(E1716,'Team Reference'!$A:$B,2,FALSE())</f>
        <v>NYJ</v>
      </c>
      <c r="O1716" s="1" t="str">
        <f aca="false">IF(F1716&gt;G1716,M1716,IF(G1716&gt;F1716,N1716,"Tie"))</f>
        <v>NYJ</v>
      </c>
      <c r="P1716" s="1" t="n">
        <f aca="false">F1716-G1716</f>
        <v>-3</v>
      </c>
      <c r="Q1716" s="1" t="n">
        <f aca="false">F1716+G1716</f>
        <v>59</v>
      </c>
      <c r="R1716" s="1" t="str">
        <f aca="false">IF(H1716=M1716,"Home",IF(H1716=N1716,"Away",IF(H1716="PICK","Pick","N/A")))</f>
        <v>Away</v>
      </c>
      <c r="S1716" s="1" t="n">
        <f aca="false">IF(R1716="Home",P1716,IF(R1716="Away",-P1716,""))</f>
        <v>3</v>
      </c>
      <c r="T1716" s="1" t="str">
        <f aca="false">IF(R1716="Pick","No Line",IF(S1716="","N/A",IF(S1716+I1716&gt;0,"Favorite Covered",IF(S1716+I1716&lt;0,"Underdog Covered","Push"))))</f>
        <v>Favorite Covered</v>
      </c>
      <c r="U1716" s="1" t="str">
        <f aca="false">IF(Q1716&gt;J1716,"Over",IF(Q1716&lt;J1716,"Under","Push"))</f>
        <v>Over</v>
      </c>
    </row>
    <row r="1717" customFormat="false" ht="15" hidden="false" customHeight="false" outlineLevel="0" collapsed="false">
      <c r="A1717" s="1" t="s">
        <v>543</v>
      </c>
      <c r="B1717" s="1" t="n">
        <v>2016</v>
      </c>
      <c r="C1717" s="1" t="s">
        <v>194</v>
      </c>
      <c r="D1717" s="1" t="s">
        <v>69</v>
      </c>
      <c r="E1717" s="1" t="s">
        <v>103</v>
      </c>
      <c r="F1717" s="1" t="n">
        <v>29</v>
      </c>
      <c r="G1717" s="1" t="n">
        <v>23</v>
      </c>
      <c r="H1717" s="1" t="s">
        <v>70</v>
      </c>
      <c r="I1717" s="1" t="n">
        <v>-5</v>
      </c>
      <c r="J1717" s="1" t="n">
        <v>44</v>
      </c>
      <c r="K1717" s="1" t="s">
        <v>165</v>
      </c>
      <c r="L1717" s="1" t="b">
        <f aca="false">FALSE()</f>
        <v>0</v>
      </c>
      <c r="M1717" s="1" t="str">
        <f aca="false">VLOOKUP(D1717,'Team Reference'!$A:$B,2,FALSE())</f>
        <v>DAL</v>
      </c>
      <c r="N1717" s="1" t="str">
        <f aca="false">VLOOKUP(E1717,'Team Reference'!$A:$B,2,FALSE())</f>
        <v>PHI</v>
      </c>
      <c r="O1717" s="1" t="str">
        <f aca="false">IF(F1717&gt;G1717,M1717,IF(G1717&gt;F1717,N1717,"Tie"))</f>
        <v>DAL</v>
      </c>
      <c r="P1717" s="1" t="n">
        <f aca="false">F1717-G1717</f>
        <v>6</v>
      </c>
      <c r="Q1717" s="1" t="n">
        <f aca="false">F1717+G1717</f>
        <v>52</v>
      </c>
      <c r="R1717" s="1" t="str">
        <f aca="false">IF(H1717=M1717,"Home",IF(H1717=N1717,"Away",IF(H1717="PICK","Pick","N/A")))</f>
        <v>Home</v>
      </c>
      <c r="S1717" s="1" t="n">
        <f aca="false">IF(R1717="Home",P1717,IF(R1717="Away",-P1717,""))</f>
        <v>6</v>
      </c>
      <c r="T1717" s="1" t="str">
        <f aca="false">IF(R1717="Pick","No Line",IF(S1717="","N/A",IF(S1717+I1717&gt;0,"Favorite Covered",IF(S1717+I1717&lt;0,"Underdog Covered","Push"))))</f>
        <v>Favorite Covered</v>
      </c>
      <c r="U1717" s="1" t="str">
        <f aca="false">IF(Q1717&gt;J1717,"Over",IF(Q1717&lt;J1717,"Under","Push"))</f>
        <v>Over</v>
      </c>
    </row>
    <row r="1718" customFormat="false" ht="15" hidden="false" customHeight="false" outlineLevel="0" collapsed="false">
      <c r="A1718" s="1" t="s">
        <v>543</v>
      </c>
      <c r="B1718" s="1" t="n">
        <v>2016</v>
      </c>
      <c r="C1718" s="1" t="s">
        <v>194</v>
      </c>
      <c r="D1718" s="1" t="s">
        <v>71</v>
      </c>
      <c r="E1718" s="1" t="s">
        <v>107</v>
      </c>
      <c r="F1718" s="1" t="n">
        <v>27</v>
      </c>
      <c r="G1718" s="1" t="n">
        <v>19</v>
      </c>
      <c r="H1718" s="1" t="s">
        <v>72</v>
      </c>
      <c r="I1718" s="1" t="n">
        <v>-3.5</v>
      </c>
      <c r="J1718" s="1" t="n">
        <v>43</v>
      </c>
      <c r="K1718" s="1" t="s">
        <v>166</v>
      </c>
      <c r="L1718" s="1" t="b">
        <f aca="false">FALSE()</f>
        <v>0</v>
      </c>
      <c r="M1718" s="1" t="str">
        <f aca="false">VLOOKUP(D1718,'Team Reference'!$A:$B,2,FALSE())</f>
        <v>DEN</v>
      </c>
      <c r="N1718" s="1" t="str">
        <f aca="false">VLOOKUP(E1718,'Team Reference'!$A:$B,2,FALSE())</f>
        <v>LAC</v>
      </c>
      <c r="O1718" s="1" t="str">
        <f aca="false">IF(F1718&gt;G1718,M1718,IF(G1718&gt;F1718,N1718,"Tie"))</f>
        <v>DEN</v>
      </c>
      <c r="P1718" s="1" t="n">
        <f aca="false">F1718-G1718</f>
        <v>8</v>
      </c>
      <c r="Q1718" s="1" t="n">
        <f aca="false">F1718+G1718</f>
        <v>46</v>
      </c>
      <c r="R1718" s="1" t="str">
        <f aca="false">IF(H1718=M1718,"Home",IF(H1718=N1718,"Away",IF(H1718="PICK","Pick","N/A")))</f>
        <v>Home</v>
      </c>
      <c r="S1718" s="1" t="n">
        <f aca="false">IF(R1718="Home",P1718,IF(R1718="Away",-P1718,""))</f>
        <v>8</v>
      </c>
      <c r="T1718" s="1" t="str">
        <f aca="false">IF(R1718="Pick","No Line",IF(S1718="","N/A",IF(S1718+I1718&gt;0,"Favorite Covered",IF(S1718+I1718&lt;0,"Underdog Covered","Push"))))</f>
        <v>Favorite Covered</v>
      </c>
      <c r="U1718" s="1" t="str">
        <f aca="false">IF(Q1718&gt;J1718,"Over",IF(Q1718&lt;J1718,"Under","Push"))</f>
        <v>Over</v>
      </c>
    </row>
    <row r="1719" customFormat="false" ht="15" hidden="false" customHeight="false" outlineLevel="0" collapsed="false">
      <c r="A1719" s="1" t="s">
        <v>543</v>
      </c>
      <c r="B1719" s="1" t="n">
        <v>2016</v>
      </c>
      <c r="C1719" s="1" t="s">
        <v>194</v>
      </c>
      <c r="D1719" s="1" t="s">
        <v>77</v>
      </c>
      <c r="E1719" s="1" t="s">
        <v>73</v>
      </c>
      <c r="F1719" s="1" t="n">
        <v>20</v>
      </c>
      <c r="G1719" s="1" t="n">
        <v>13</v>
      </c>
      <c r="H1719" s="1" t="s">
        <v>78</v>
      </c>
      <c r="I1719" s="1" t="n">
        <v>-1</v>
      </c>
      <c r="J1719" s="1" t="n">
        <v>46.5</v>
      </c>
      <c r="K1719" s="1" t="s">
        <v>146</v>
      </c>
      <c r="L1719" s="1" t="b">
        <f aca="false">FALSE()</f>
        <v>0</v>
      </c>
      <c r="M1719" s="1" t="str">
        <f aca="false">VLOOKUP(D1719,'Team Reference'!$A:$B,2,FALSE())</f>
        <v>HOU</v>
      </c>
      <c r="N1719" s="1" t="str">
        <f aca="false">VLOOKUP(E1719,'Team Reference'!$A:$B,2,FALSE())</f>
        <v>DET</v>
      </c>
      <c r="O1719" s="1" t="str">
        <f aca="false">IF(F1719&gt;G1719,M1719,IF(G1719&gt;F1719,N1719,"Tie"))</f>
        <v>HOU</v>
      </c>
      <c r="P1719" s="1" t="n">
        <f aca="false">F1719-G1719</f>
        <v>7</v>
      </c>
      <c r="Q1719" s="1" t="n">
        <f aca="false">F1719+G1719</f>
        <v>33</v>
      </c>
      <c r="R1719" s="1" t="str">
        <f aca="false">IF(H1719=M1719,"Home",IF(H1719=N1719,"Away",IF(H1719="PICK","Pick","N/A")))</f>
        <v>Home</v>
      </c>
      <c r="S1719" s="1" t="n">
        <f aca="false">IF(R1719="Home",P1719,IF(R1719="Away",-P1719,""))</f>
        <v>7</v>
      </c>
      <c r="T1719" s="1" t="str">
        <f aca="false">IF(R1719="Pick","No Line",IF(S1719="","N/A",IF(S1719+I1719&gt;0,"Favorite Covered",IF(S1719+I1719&lt;0,"Underdog Covered","Push"))))</f>
        <v>Favorite Covered</v>
      </c>
      <c r="U1719" s="1" t="str">
        <f aca="false">IF(Q1719&gt;J1719,"Over",IF(Q1719&lt;J1719,"Under","Push"))</f>
        <v>Under</v>
      </c>
    </row>
    <row r="1720" customFormat="false" ht="15" hidden="false" customHeight="false" outlineLevel="0" collapsed="false">
      <c r="A1720" s="1" t="s">
        <v>543</v>
      </c>
      <c r="B1720" s="1" t="n">
        <v>2016</v>
      </c>
      <c r="C1720" s="1" t="s">
        <v>194</v>
      </c>
      <c r="D1720" s="1" t="s">
        <v>79</v>
      </c>
      <c r="E1720" s="1" t="s">
        <v>83</v>
      </c>
      <c r="F1720" s="1" t="n">
        <v>14</v>
      </c>
      <c r="G1720" s="1" t="n">
        <v>30</v>
      </c>
      <c r="H1720" s="1" t="s">
        <v>84</v>
      </c>
      <c r="I1720" s="1" t="n">
        <v>-3</v>
      </c>
      <c r="J1720" s="1" t="n">
        <v>50.5</v>
      </c>
      <c r="K1720" s="1" t="s">
        <v>169</v>
      </c>
      <c r="L1720" s="1" t="b">
        <f aca="false">FALSE()</f>
        <v>0</v>
      </c>
      <c r="M1720" s="1" t="str">
        <f aca="false">VLOOKUP(D1720,'Team Reference'!$A:$B,2,FALSE())</f>
        <v>IND</v>
      </c>
      <c r="N1720" s="1" t="str">
        <f aca="false">VLOOKUP(E1720,'Team Reference'!$A:$B,2,FALSE())</f>
        <v>KC</v>
      </c>
      <c r="O1720" s="1" t="str">
        <f aca="false">IF(F1720&gt;G1720,M1720,IF(G1720&gt;F1720,N1720,"Tie"))</f>
        <v>KC</v>
      </c>
      <c r="P1720" s="1" t="n">
        <f aca="false">F1720-G1720</f>
        <v>-16</v>
      </c>
      <c r="Q1720" s="1" t="n">
        <f aca="false">F1720+G1720</f>
        <v>44</v>
      </c>
      <c r="R1720" s="1" t="str">
        <f aca="false">IF(H1720=M1720,"Home",IF(H1720=N1720,"Away",IF(H1720="PICK","Pick","N/A")))</f>
        <v>Away</v>
      </c>
      <c r="S1720" s="1" t="n">
        <f aca="false">IF(R1720="Home",P1720,IF(R1720="Away",-P1720,""))</f>
        <v>16</v>
      </c>
      <c r="T1720" s="1" t="str">
        <f aca="false">IF(R1720="Pick","No Line",IF(S1720="","N/A",IF(S1720+I1720&gt;0,"Favorite Covered",IF(S1720+I1720&lt;0,"Underdog Covered","Push"))))</f>
        <v>Favorite Covered</v>
      </c>
      <c r="U1720" s="1" t="str">
        <f aca="false">IF(Q1720&gt;J1720,"Over",IF(Q1720&lt;J1720,"Under","Push"))</f>
        <v>Under</v>
      </c>
    </row>
    <row r="1721" customFormat="false" ht="15" hidden="false" customHeight="false" outlineLevel="0" collapsed="false">
      <c r="A1721" s="1" t="s">
        <v>543</v>
      </c>
      <c r="B1721" s="1" t="n">
        <v>2016</v>
      </c>
      <c r="C1721" s="1" t="s">
        <v>194</v>
      </c>
      <c r="D1721" s="1" t="s">
        <v>95</v>
      </c>
      <c r="E1721" s="1" t="s">
        <v>110</v>
      </c>
      <c r="F1721" s="1" t="n">
        <v>25</v>
      </c>
      <c r="G1721" s="1" t="n">
        <v>20</v>
      </c>
      <c r="H1721" s="1" t="s">
        <v>111</v>
      </c>
      <c r="I1721" s="1" t="n">
        <v>-1</v>
      </c>
      <c r="J1721" s="1" t="n">
        <v>50</v>
      </c>
      <c r="K1721" s="1" t="s">
        <v>142</v>
      </c>
      <c r="L1721" s="1" t="b">
        <f aca="false">FALSE()</f>
        <v>0</v>
      </c>
      <c r="M1721" s="1" t="str">
        <f aca="false">VLOOKUP(D1721,'Team Reference'!$A:$B,2,FALSE())</f>
        <v>NO</v>
      </c>
      <c r="N1721" s="1" t="str">
        <f aca="false">VLOOKUP(E1721,'Team Reference'!$A:$B,2,FALSE())</f>
        <v>SEA</v>
      </c>
      <c r="O1721" s="1" t="str">
        <f aca="false">IF(F1721&gt;G1721,M1721,IF(G1721&gt;F1721,N1721,"Tie"))</f>
        <v>NO</v>
      </c>
      <c r="P1721" s="1" t="n">
        <f aca="false">F1721-G1721</f>
        <v>5</v>
      </c>
      <c r="Q1721" s="1" t="n">
        <f aca="false">F1721+G1721</f>
        <v>45</v>
      </c>
      <c r="R1721" s="1" t="str">
        <f aca="false">IF(H1721=M1721,"Home",IF(H1721=N1721,"Away",IF(H1721="PICK","Pick","N/A")))</f>
        <v>Away</v>
      </c>
      <c r="S1721" s="1" t="n">
        <f aca="false">IF(R1721="Home",P1721,IF(R1721="Away",-P1721,""))</f>
        <v>-5</v>
      </c>
      <c r="T1721" s="1" t="str">
        <f aca="false">IF(R1721="Pick","No Line",IF(S1721="","N/A",IF(S1721+I1721&gt;0,"Favorite Covered",IF(S1721+I1721&lt;0,"Underdog Covered","Push"))))</f>
        <v>Underdog Covered</v>
      </c>
      <c r="U1721" s="1" t="str">
        <f aca="false">IF(Q1721&gt;J1721,"Over",IF(Q1721&lt;J1721,"Under","Push"))</f>
        <v>Under</v>
      </c>
    </row>
    <row r="1722" customFormat="false" ht="15" hidden="false" customHeight="false" outlineLevel="0" collapsed="false">
      <c r="A1722" s="1" t="s">
        <v>543</v>
      </c>
      <c r="B1722" s="1" t="n">
        <v>2016</v>
      </c>
      <c r="C1722" s="1" t="s">
        <v>194</v>
      </c>
      <c r="D1722" s="1" t="s">
        <v>113</v>
      </c>
      <c r="E1722" s="1" t="s">
        <v>101</v>
      </c>
      <c r="F1722" s="1" t="n">
        <v>24</v>
      </c>
      <c r="G1722" s="1" t="n">
        <v>30</v>
      </c>
      <c r="H1722" s="1" t="s">
        <v>114</v>
      </c>
      <c r="I1722" s="1" t="n">
        <v>-1</v>
      </c>
      <c r="J1722" s="1" t="n">
        <v>48</v>
      </c>
      <c r="K1722" s="1" t="s">
        <v>154</v>
      </c>
      <c r="L1722" s="1" t="b">
        <f aca="false">FALSE()</f>
        <v>0</v>
      </c>
      <c r="M1722" s="1" t="str">
        <f aca="false">VLOOKUP(D1722,'Team Reference'!$A:$B,2,FALSE())</f>
        <v>TB</v>
      </c>
      <c r="N1722" s="1" t="str">
        <f aca="false">VLOOKUP(E1722,'Team Reference'!$A:$B,2,FALSE())</f>
        <v>OAK</v>
      </c>
      <c r="O1722" s="1" t="str">
        <f aca="false">IF(F1722&gt;G1722,M1722,IF(G1722&gt;F1722,N1722,"Tie"))</f>
        <v>OAK</v>
      </c>
      <c r="P1722" s="1" t="n">
        <f aca="false">F1722-G1722</f>
        <v>-6</v>
      </c>
      <c r="Q1722" s="1" t="n">
        <f aca="false">F1722+G1722</f>
        <v>54</v>
      </c>
      <c r="R1722" s="1" t="str">
        <f aca="false">IF(H1722=M1722,"Home",IF(H1722=N1722,"Away",IF(H1722="PICK","Pick","N/A")))</f>
        <v>Home</v>
      </c>
      <c r="S1722" s="1" t="n">
        <f aca="false">IF(R1722="Home",P1722,IF(R1722="Away",-P1722,""))</f>
        <v>-6</v>
      </c>
      <c r="T1722" s="1" t="str">
        <f aca="false">IF(R1722="Pick","No Line",IF(S1722="","N/A",IF(S1722+I1722&gt;0,"Favorite Covered",IF(S1722+I1722&lt;0,"Underdog Covered","Push"))))</f>
        <v>Underdog Covered</v>
      </c>
      <c r="U1722" s="1" t="str">
        <f aca="false">IF(Q1722&gt;J1722,"Over",IF(Q1722&lt;J1722,"Under","Push"))</f>
        <v>Over</v>
      </c>
    </row>
    <row r="1723" customFormat="false" ht="15" hidden="false" customHeight="false" outlineLevel="0" collapsed="false">
      <c r="A1723" s="1" t="s">
        <v>544</v>
      </c>
      <c r="B1723" s="1" t="n">
        <v>2016</v>
      </c>
      <c r="C1723" s="1" t="s">
        <v>194</v>
      </c>
      <c r="D1723" s="1" t="s">
        <v>63</v>
      </c>
      <c r="E1723" s="1" t="s">
        <v>91</v>
      </c>
      <c r="F1723" s="1" t="n">
        <v>20</v>
      </c>
      <c r="G1723" s="1" t="n">
        <v>10</v>
      </c>
      <c r="H1723" s="1" t="s">
        <v>92</v>
      </c>
      <c r="I1723" s="1" t="n">
        <v>-4.5</v>
      </c>
      <c r="J1723" s="1" t="n">
        <v>39.5</v>
      </c>
      <c r="K1723" s="1" t="s">
        <v>145</v>
      </c>
      <c r="L1723" s="1" t="b">
        <f aca="false">FALSE()</f>
        <v>0</v>
      </c>
      <c r="M1723" s="1" t="str">
        <f aca="false">VLOOKUP(D1723,'Team Reference'!$A:$B,2,FALSE())</f>
        <v>CHI</v>
      </c>
      <c r="N1723" s="1" t="str">
        <f aca="false">VLOOKUP(E1723,'Team Reference'!$A:$B,2,FALSE())</f>
        <v>MIN</v>
      </c>
      <c r="O1723" s="1" t="str">
        <f aca="false">IF(F1723&gt;G1723,M1723,IF(G1723&gt;F1723,N1723,"Tie"))</f>
        <v>CHI</v>
      </c>
      <c r="P1723" s="1" t="n">
        <f aca="false">F1723-G1723</f>
        <v>10</v>
      </c>
      <c r="Q1723" s="1" t="n">
        <f aca="false">F1723+G1723</f>
        <v>30</v>
      </c>
      <c r="R1723" s="1" t="str">
        <f aca="false">IF(H1723=M1723,"Home",IF(H1723=N1723,"Away",IF(H1723="PICK","Pick","N/A")))</f>
        <v>Away</v>
      </c>
      <c r="S1723" s="1" t="n">
        <f aca="false">IF(R1723="Home",P1723,IF(R1723="Away",-P1723,""))</f>
        <v>-10</v>
      </c>
      <c r="T1723" s="1" t="str">
        <f aca="false">IF(R1723="Pick","No Line",IF(S1723="","N/A",IF(S1723+I1723&gt;0,"Favorite Covered",IF(S1723+I1723&lt;0,"Underdog Covered","Push"))))</f>
        <v>Underdog Covered</v>
      </c>
      <c r="U1723" s="1" t="str">
        <f aca="false">IF(Q1723&gt;J1723,"Over",IF(Q1723&lt;J1723,"Under","Push"))</f>
        <v>Under</v>
      </c>
    </row>
    <row r="1724" customFormat="false" ht="15" hidden="false" customHeight="false" outlineLevel="0" collapsed="false">
      <c r="A1724" s="1" t="s">
        <v>545</v>
      </c>
      <c r="B1724" s="1" t="n">
        <v>2016</v>
      </c>
      <c r="C1724" s="1" t="s">
        <v>198</v>
      </c>
      <c r="D1724" s="1" t="s">
        <v>113</v>
      </c>
      <c r="E1724" s="1" t="s">
        <v>55</v>
      </c>
      <c r="F1724" s="1" t="n">
        <v>28</v>
      </c>
      <c r="G1724" s="1" t="n">
        <v>43</v>
      </c>
      <c r="H1724" s="1" t="s">
        <v>56</v>
      </c>
      <c r="I1724" s="1" t="n">
        <v>-4.5</v>
      </c>
      <c r="J1724" s="1" t="n">
        <v>49</v>
      </c>
      <c r="K1724" s="1" t="s">
        <v>154</v>
      </c>
      <c r="L1724" s="1" t="b">
        <f aca="false">FALSE()</f>
        <v>0</v>
      </c>
      <c r="M1724" s="1" t="str">
        <f aca="false">VLOOKUP(D1724,'Team Reference'!$A:$B,2,FALSE())</f>
        <v>TB</v>
      </c>
      <c r="N1724" s="1" t="str">
        <f aca="false">VLOOKUP(E1724,'Team Reference'!$A:$B,2,FALSE())</f>
        <v>ATL</v>
      </c>
      <c r="O1724" s="1" t="str">
        <f aca="false">IF(F1724&gt;G1724,M1724,IF(G1724&gt;F1724,N1724,"Tie"))</f>
        <v>ATL</v>
      </c>
      <c r="P1724" s="1" t="n">
        <f aca="false">F1724-G1724</f>
        <v>-15</v>
      </c>
      <c r="Q1724" s="1" t="n">
        <f aca="false">F1724+G1724</f>
        <v>71</v>
      </c>
      <c r="R1724" s="1" t="str">
        <f aca="false">IF(H1724=M1724,"Home",IF(H1724=N1724,"Away",IF(H1724="PICK","Pick","N/A")))</f>
        <v>Away</v>
      </c>
      <c r="S1724" s="1" t="n">
        <f aca="false">IF(R1724="Home",P1724,IF(R1724="Away",-P1724,""))</f>
        <v>15</v>
      </c>
      <c r="T1724" s="1" t="str">
        <f aca="false">IF(R1724="Pick","No Line",IF(S1724="","N/A",IF(S1724+I1724&gt;0,"Favorite Covered",IF(S1724+I1724&lt;0,"Underdog Covered","Push"))))</f>
        <v>Favorite Covered</v>
      </c>
      <c r="U1724" s="1" t="str">
        <f aca="false">IF(Q1724&gt;J1724,"Over",IF(Q1724&lt;J1724,"Under","Push"))</f>
        <v>Over</v>
      </c>
    </row>
    <row r="1725" customFormat="false" ht="15" hidden="false" customHeight="false" outlineLevel="0" collapsed="false">
      <c r="A1725" s="1" t="s">
        <v>546</v>
      </c>
      <c r="B1725" s="1" t="n">
        <v>2016</v>
      </c>
      <c r="C1725" s="1" t="s">
        <v>198</v>
      </c>
      <c r="D1725" s="1" t="s">
        <v>57</v>
      </c>
      <c r="E1725" s="1" t="s">
        <v>105</v>
      </c>
      <c r="F1725" s="1" t="n">
        <v>21</v>
      </c>
      <c r="G1725" s="1" t="n">
        <v>14</v>
      </c>
      <c r="H1725" s="1" t="s">
        <v>106</v>
      </c>
      <c r="I1725" s="1" t="n">
        <v>-3.5</v>
      </c>
      <c r="J1725" s="1" t="n">
        <v>46</v>
      </c>
      <c r="K1725" s="1" t="s">
        <v>178</v>
      </c>
      <c r="L1725" s="1" t="b">
        <f aca="false">FALSE()</f>
        <v>0</v>
      </c>
      <c r="M1725" s="1" t="str">
        <f aca="false">VLOOKUP(D1725,'Team Reference'!$A:$B,2,FALSE())</f>
        <v>BAL</v>
      </c>
      <c r="N1725" s="1" t="str">
        <f aca="false">VLOOKUP(E1725,'Team Reference'!$A:$B,2,FALSE())</f>
        <v>PIT</v>
      </c>
      <c r="O1725" s="1" t="str">
        <f aca="false">IF(F1725&gt;G1725,M1725,IF(G1725&gt;F1725,N1725,"Tie"))</f>
        <v>BAL</v>
      </c>
      <c r="P1725" s="1" t="n">
        <f aca="false">F1725-G1725</f>
        <v>7</v>
      </c>
      <c r="Q1725" s="1" t="n">
        <f aca="false">F1725+G1725</f>
        <v>35</v>
      </c>
      <c r="R1725" s="1" t="str">
        <f aca="false">IF(H1725=M1725,"Home",IF(H1725=N1725,"Away",IF(H1725="PICK","Pick","N/A")))</f>
        <v>Away</v>
      </c>
      <c r="S1725" s="1" t="n">
        <f aca="false">IF(R1725="Home",P1725,IF(R1725="Away",-P1725,""))</f>
        <v>-7</v>
      </c>
      <c r="T1725" s="1" t="str">
        <f aca="false">IF(R1725="Pick","No Line",IF(S1725="","N/A",IF(S1725+I1725&gt;0,"Favorite Covered",IF(S1725+I1725&lt;0,"Underdog Covered","Push"))))</f>
        <v>Underdog Covered</v>
      </c>
      <c r="U1725" s="1" t="str">
        <f aca="false">IF(Q1725&gt;J1725,"Over",IF(Q1725&lt;J1725,"Under","Push"))</f>
        <v>Under</v>
      </c>
    </row>
    <row r="1726" customFormat="false" ht="15" hidden="false" customHeight="false" outlineLevel="0" collapsed="false">
      <c r="A1726" s="1" t="s">
        <v>546</v>
      </c>
      <c r="B1726" s="1" t="n">
        <v>2016</v>
      </c>
      <c r="C1726" s="1" t="s">
        <v>198</v>
      </c>
      <c r="D1726" s="1" t="s">
        <v>67</v>
      </c>
      <c r="E1726" s="1" t="s">
        <v>69</v>
      </c>
      <c r="F1726" s="1" t="n">
        <v>10</v>
      </c>
      <c r="G1726" s="1" t="n">
        <v>35</v>
      </c>
      <c r="H1726" s="1" t="s">
        <v>70</v>
      </c>
      <c r="I1726" s="1" t="n">
        <v>-7</v>
      </c>
      <c r="J1726" s="1" t="n">
        <v>49</v>
      </c>
      <c r="K1726" s="1" t="s">
        <v>164</v>
      </c>
      <c r="L1726" s="1" t="b">
        <f aca="false">FALSE()</f>
        <v>0</v>
      </c>
      <c r="M1726" s="1" t="str">
        <f aca="false">VLOOKUP(D1726,'Team Reference'!$A:$B,2,FALSE())</f>
        <v>CLE</v>
      </c>
      <c r="N1726" s="1" t="str">
        <f aca="false">VLOOKUP(E1726,'Team Reference'!$A:$B,2,FALSE())</f>
        <v>DAL</v>
      </c>
      <c r="O1726" s="1" t="str">
        <f aca="false">IF(F1726&gt;G1726,M1726,IF(G1726&gt;F1726,N1726,"Tie"))</f>
        <v>DAL</v>
      </c>
      <c r="P1726" s="1" t="n">
        <f aca="false">F1726-G1726</f>
        <v>-25</v>
      </c>
      <c r="Q1726" s="1" t="n">
        <f aca="false">F1726+G1726</f>
        <v>45</v>
      </c>
      <c r="R1726" s="1" t="str">
        <f aca="false">IF(H1726=M1726,"Home",IF(H1726=N1726,"Away",IF(H1726="PICK","Pick","N/A")))</f>
        <v>Away</v>
      </c>
      <c r="S1726" s="1" t="n">
        <f aca="false">IF(R1726="Home",P1726,IF(R1726="Away",-P1726,""))</f>
        <v>25</v>
      </c>
      <c r="T1726" s="1" t="str">
        <f aca="false">IF(R1726="Pick","No Line",IF(S1726="","N/A",IF(S1726+I1726&gt;0,"Favorite Covered",IF(S1726+I1726&lt;0,"Underdog Covered","Push"))))</f>
        <v>Favorite Covered</v>
      </c>
      <c r="U1726" s="1" t="str">
        <f aca="false">IF(Q1726&gt;J1726,"Over",IF(Q1726&lt;J1726,"Under","Push"))</f>
        <v>Under</v>
      </c>
    </row>
    <row r="1727" customFormat="false" ht="15" hidden="false" customHeight="false" outlineLevel="0" collapsed="false">
      <c r="A1727" s="1" t="s">
        <v>546</v>
      </c>
      <c r="B1727" s="1" t="n">
        <v>2016</v>
      </c>
      <c r="C1727" s="1" t="s">
        <v>198</v>
      </c>
      <c r="D1727" s="1" t="s">
        <v>75</v>
      </c>
      <c r="E1727" s="1" t="s">
        <v>79</v>
      </c>
      <c r="F1727" s="1" t="n">
        <v>26</v>
      </c>
      <c r="G1727" s="1" t="n">
        <v>31</v>
      </c>
      <c r="H1727" s="1" t="s">
        <v>76</v>
      </c>
      <c r="I1727" s="1" t="n">
        <v>-7.5</v>
      </c>
      <c r="J1727" s="1" t="n">
        <v>52</v>
      </c>
      <c r="K1727" s="1" t="s">
        <v>168</v>
      </c>
      <c r="L1727" s="1" t="b">
        <f aca="false">FALSE()</f>
        <v>0</v>
      </c>
      <c r="M1727" s="1" t="str">
        <f aca="false">VLOOKUP(D1727,'Team Reference'!$A:$B,2,FALSE())</f>
        <v>GB</v>
      </c>
      <c r="N1727" s="1" t="str">
        <f aca="false">VLOOKUP(E1727,'Team Reference'!$A:$B,2,FALSE())</f>
        <v>IND</v>
      </c>
      <c r="O1727" s="1" t="str">
        <f aca="false">IF(F1727&gt;G1727,M1727,IF(G1727&gt;F1727,N1727,"Tie"))</f>
        <v>IND</v>
      </c>
      <c r="P1727" s="1" t="n">
        <f aca="false">F1727-G1727</f>
        <v>-5</v>
      </c>
      <c r="Q1727" s="1" t="n">
        <f aca="false">F1727+G1727</f>
        <v>57</v>
      </c>
      <c r="R1727" s="1" t="str">
        <f aca="false">IF(H1727=M1727,"Home",IF(H1727=N1727,"Away",IF(H1727="PICK","Pick","N/A")))</f>
        <v>Home</v>
      </c>
      <c r="S1727" s="1" t="n">
        <f aca="false">IF(R1727="Home",P1727,IF(R1727="Away",-P1727,""))</f>
        <v>-5</v>
      </c>
      <c r="T1727" s="1" t="str">
        <f aca="false">IF(R1727="Pick","No Line",IF(S1727="","N/A",IF(S1727+I1727&gt;0,"Favorite Covered",IF(S1727+I1727&lt;0,"Underdog Covered","Push"))))</f>
        <v>Underdog Covered</v>
      </c>
      <c r="U1727" s="1" t="str">
        <f aca="false">IF(Q1727&gt;J1727,"Over",IF(Q1727&lt;J1727,"Under","Push"))</f>
        <v>Over</v>
      </c>
    </row>
    <row r="1728" customFormat="false" ht="15" hidden="false" customHeight="false" outlineLevel="0" collapsed="false">
      <c r="A1728" s="1" t="s">
        <v>546</v>
      </c>
      <c r="B1728" s="1" t="n">
        <v>2016</v>
      </c>
      <c r="C1728" s="1" t="s">
        <v>198</v>
      </c>
      <c r="D1728" s="1" t="s">
        <v>83</v>
      </c>
      <c r="E1728" s="1" t="s">
        <v>81</v>
      </c>
      <c r="F1728" s="1" t="n">
        <v>19</v>
      </c>
      <c r="G1728" s="1" t="n">
        <v>14</v>
      </c>
      <c r="H1728" s="1" t="s">
        <v>84</v>
      </c>
      <c r="I1728" s="1" t="n">
        <v>-7</v>
      </c>
      <c r="J1728" s="1" t="n">
        <v>42.5</v>
      </c>
      <c r="K1728" s="1" t="s">
        <v>158</v>
      </c>
      <c r="L1728" s="1" t="b">
        <f aca="false">FALSE()</f>
        <v>0</v>
      </c>
      <c r="M1728" s="1" t="str">
        <f aca="false">VLOOKUP(D1728,'Team Reference'!$A:$B,2,FALSE())</f>
        <v>KC</v>
      </c>
      <c r="N1728" s="1" t="str">
        <f aca="false">VLOOKUP(E1728,'Team Reference'!$A:$B,2,FALSE())</f>
        <v>JAX</v>
      </c>
      <c r="O1728" s="1" t="str">
        <f aca="false">IF(F1728&gt;G1728,M1728,IF(G1728&gt;F1728,N1728,"Tie"))</f>
        <v>KC</v>
      </c>
      <c r="P1728" s="1" t="n">
        <f aca="false">F1728-G1728</f>
        <v>5</v>
      </c>
      <c r="Q1728" s="1" t="n">
        <f aca="false">F1728+G1728</f>
        <v>33</v>
      </c>
      <c r="R1728" s="1" t="str">
        <f aca="false">IF(H1728=M1728,"Home",IF(H1728=N1728,"Away",IF(H1728="PICK","Pick","N/A")))</f>
        <v>Home</v>
      </c>
      <c r="S1728" s="1" t="n">
        <f aca="false">IF(R1728="Home",P1728,IF(R1728="Away",-P1728,""))</f>
        <v>5</v>
      </c>
      <c r="T1728" s="1" t="str">
        <f aca="false">IF(R1728="Pick","No Line",IF(S1728="","N/A",IF(S1728+I1728&gt;0,"Favorite Covered",IF(S1728+I1728&lt;0,"Underdog Covered","Push"))))</f>
        <v>Underdog Covered</v>
      </c>
      <c r="U1728" s="1" t="str">
        <f aca="false">IF(Q1728&gt;J1728,"Over",IF(Q1728&lt;J1728,"Under","Push"))</f>
        <v>Under</v>
      </c>
    </row>
    <row r="1729" customFormat="false" ht="15" hidden="false" customHeight="false" outlineLevel="0" collapsed="false">
      <c r="A1729" s="1" t="s">
        <v>546</v>
      </c>
      <c r="B1729" s="1" t="n">
        <v>2016</v>
      </c>
      <c r="C1729" s="1" t="s">
        <v>198</v>
      </c>
      <c r="D1729" s="1" t="s">
        <v>87</v>
      </c>
      <c r="E1729" s="1" t="s">
        <v>61</v>
      </c>
      <c r="F1729" s="1" t="n">
        <v>10</v>
      </c>
      <c r="G1729" s="1" t="n">
        <v>13</v>
      </c>
      <c r="H1729" s="1" t="s">
        <v>62</v>
      </c>
      <c r="I1729" s="1" t="n">
        <v>-3</v>
      </c>
      <c r="J1729" s="1" t="n">
        <v>44.5</v>
      </c>
      <c r="K1729" s="1" t="s">
        <v>520</v>
      </c>
      <c r="L1729" s="1" t="b">
        <f aca="false">FALSE()</f>
        <v>0</v>
      </c>
      <c r="M1729" s="1" t="str">
        <f aca="false">VLOOKUP(D1729,'Team Reference'!$A:$B,2,FALSE())</f>
        <v>LAR</v>
      </c>
      <c r="N1729" s="1" t="str">
        <f aca="false">VLOOKUP(E1729,'Team Reference'!$A:$B,2,FALSE())</f>
        <v>CAR</v>
      </c>
      <c r="O1729" s="1" t="str">
        <f aca="false">IF(F1729&gt;G1729,M1729,IF(G1729&gt;F1729,N1729,"Tie"))</f>
        <v>CAR</v>
      </c>
      <c r="P1729" s="1" t="n">
        <f aca="false">F1729-G1729</f>
        <v>-3</v>
      </c>
      <c r="Q1729" s="1" t="n">
        <f aca="false">F1729+G1729</f>
        <v>23</v>
      </c>
      <c r="R1729" s="1" t="str">
        <f aca="false">IF(H1729=M1729,"Home",IF(H1729=N1729,"Away",IF(H1729="PICK","Pick","N/A")))</f>
        <v>Away</v>
      </c>
      <c r="S1729" s="1" t="n">
        <f aca="false">IF(R1729="Home",P1729,IF(R1729="Away",-P1729,""))</f>
        <v>3</v>
      </c>
      <c r="T1729" s="1" t="str">
        <f aca="false">IF(R1729="Pick","No Line",IF(S1729="","N/A",IF(S1729+I1729&gt;0,"Favorite Covered",IF(S1729+I1729&lt;0,"Underdog Covered","Push"))))</f>
        <v>Push</v>
      </c>
      <c r="U1729" s="1" t="str">
        <f aca="false">IF(Q1729&gt;J1729,"Over",IF(Q1729&lt;J1729,"Under","Push"))</f>
        <v>Under</v>
      </c>
    </row>
    <row r="1730" customFormat="false" ht="15" hidden="false" customHeight="false" outlineLevel="0" collapsed="false">
      <c r="A1730" s="1" t="s">
        <v>546</v>
      </c>
      <c r="B1730" s="1" t="n">
        <v>2016</v>
      </c>
      <c r="C1730" s="1" t="s">
        <v>198</v>
      </c>
      <c r="D1730" s="1" t="s">
        <v>89</v>
      </c>
      <c r="E1730" s="1" t="s">
        <v>99</v>
      </c>
      <c r="F1730" s="1" t="n">
        <v>27</v>
      </c>
      <c r="G1730" s="1" t="n">
        <v>23</v>
      </c>
      <c r="H1730" s="1" t="s">
        <v>90</v>
      </c>
      <c r="I1730" s="1" t="n">
        <v>-3.5</v>
      </c>
      <c r="J1730" s="1" t="n">
        <v>45</v>
      </c>
      <c r="K1730" s="1" t="s">
        <v>179</v>
      </c>
      <c r="L1730" s="1" t="b">
        <f aca="false">FALSE()</f>
        <v>0</v>
      </c>
      <c r="M1730" s="1" t="str">
        <f aca="false">VLOOKUP(D1730,'Team Reference'!$A:$B,2,FALSE())</f>
        <v>MIA</v>
      </c>
      <c r="N1730" s="1" t="str">
        <f aca="false">VLOOKUP(E1730,'Team Reference'!$A:$B,2,FALSE())</f>
        <v>NYJ</v>
      </c>
      <c r="O1730" s="1" t="str">
        <f aca="false">IF(F1730&gt;G1730,M1730,IF(G1730&gt;F1730,N1730,"Tie"))</f>
        <v>MIA</v>
      </c>
      <c r="P1730" s="1" t="n">
        <f aca="false">F1730-G1730</f>
        <v>4</v>
      </c>
      <c r="Q1730" s="1" t="n">
        <f aca="false">F1730+G1730</f>
        <v>50</v>
      </c>
      <c r="R1730" s="1" t="str">
        <f aca="false">IF(H1730=M1730,"Home",IF(H1730=N1730,"Away",IF(H1730="PICK","Pick","N/A")))</f>
        <v>Home</v>
      </c>
      <c r="S1730" s="1" t="n">
        <f aca="false">IF(R1730="Home",P1730,IF(R1730="Away",-P1730,""))</f>
        <v>4</v>
      </c>
      <c r="T1730" s="1" t="str">
        <f aca="false">IF(R1730="Pick","No Line",IF(S1730="","N/A",IF(S1730+I1730&gt;0,"Favorite Covered",IF(S1730+I1730&lt;0,"Underdog Covered","Push"))))</f>
        <v>Favorite Covered</v>
      </c>
      <c r="U1730" s="1" t="str">
        <f aca="false">IF(Q1730&gt;J1730,"Over",IF(Q1730&lt;J1730,"Under","Push"))</f>
        <v>Over</v>
      </c>
    </row>
    <row r="1731" customFormat="false" ht="15" hidden="false" customHeight="false" outlineLevel="0" collapsed="false">
      <c r="A1731" s="1" t="s">
        <v>546</v>
      </c>
      <c r="B1731" s="1" t="n">
        <v>2016</v>
      </c>
      <c r="C1731" s="1" t="s">
        <v>198</v>
      </c>
      <c r="D1731" s="1" t="s">
        <v>91</v>
      </c>
      <c r="E1731" s="1" t="s">
        <v>73</v>
      </c>
      <c r="F1731" s="1" t="n">
        <v>16</v>
      </c>
      <c r="G1731" s="1" t="n">
        <v>22</v>
      </c>
      <c r="H1731" s="1" t="s">
        <v>92</v>
      </c>
      <c r="I1731" s="1" t="n">
        <v>-4.5</v>
      </c>
      <c r="J1731" s="1" t="n">
        <v>42.5</v>
      </c>
      <c r="K1731" s="1" t="s">
        <v>525</v>
      </c>
      <c r="L1731" s="1" t="b">
        <f aca="false">FALSE()</f>
        <v>0</v>
      </c>
      <c r="M1731" s="1" t="str">
        <f aca="false">VLOOKUP(D1731,'Team Reference'!$A:$B,2,FALSE())</f>
        <v>MIN</v>
      </c>
      <c r="N1731" s="1" t="str">
        <f aca="false">VLOOKUP(E1731,'Team Reference'!$A:$B,2,FALSE())</f>
        <v>DET</v>
      </c>
      <c r="O1731" s="1" t="str">
        <f aca="false">IF(F1731&gt;G1731,M1731,IF(G1731&gt;F1731,N1731,"Tie"))</f>
        <v>DET</v>
      </c>
      <c r="P1731" s="1" t="n">
        <f aca="false">F1731-G1731</f>
        <v>-6</v>
      </c>
      <c r="Q1731" s="1" t="n">
        <f aca="false">F1731+G1731</f>
        <v>38</v>
      </c>
      <c r="R1731" s="1" t="str">
        <f aca="false">IF(H1731=M1731,"Home",IF(H1731=N1731,"Away",IF(H1731="PICK","Pick","N/A")))</f>
        <v>Home</v>
      </c>
      <c r="S1731" s="1" t="n">
        <f aca="false">IF(R1731="Home",P1731,IF(R1731="Away",-P1731,""))</f>
        <v>-6</v>
      </c>
      <c r="T1731" s="1" t="str">
        <f aca="false">IF(R1731="Pick","No Line",IF(S1731="","N/A",IF(S1731+I1731&gt;0,"Favorite Covered",IF(S1731+I1731&lt;0,"Underdog Covered","Push"))))</f>
        <v>Underdog Covered</v>
      </c>
      <c r="U1731" s="1" t="str">
        <f aca="false">IF(Q1731&gt;J1731,"Over",IF(Q1731&lt;J1731,"Under","Push"))</f>
        <v>Under</v>
      </c>
    </row>
    <row r="1732" customFormat="false" ht="15" hidden="false" customHeight="false" outlineLevel="0" collapsed="false">
      <c r="A1732" s="1" t="s">
        <v>546</v>
      </c>
      <c r="B1732" s="1" t="n">
        <v>2016</v>
      </c>
      <c r="C1732" s="1" t="s">
        <v>198</v>
      </c>
      <c r="D1732" s="1" t="s">
        <v>97</v>
      </c>
      <c r="E1732" s="1" t="s">
        <v>103</v>
      </c>
      <c r="F1732" s="1" t="n">
        <v>28</v>
      </c>
      <c r="G1732" s="1" t="n">
        <v>23</v>
      </c>
      <c r="H1732" s="1" t="s">
        <v>98</v>
      </c>
      <c r="I1732" s="1" t="n">
        <v>-3</v>
      </c>
      <c r="J1732" s="1" t="n">
        <v>42.5</v>
      </c>
      <c r="K1732" s="1" t="s">
        <v>149</v>
      </c>
      <c r="L1732" s="1" t="b">
        <f aca="false">FALSE()</f>
        <v>0</v>
      </c>
      <c r="M1732" s="1" t="str">
        <f aca="false">VLOOKUP(D1732,'Team Reference'!$A:$B,2,FALSE())</f>
        <v>NYG</v>
      </c>
      <c r="N1732" s="1" t="str">
        <f aca="false">VLOOKUP(E1732,'Team Reference'!$A:$B,2,FALSE())</f>
        <v>PHI</v>
      </c>
      <c r="O1732" s="1" t="str">
        <f aca="false">IF(F1732&gt;G1732,M1732,IF(G1732&gt;F1732,N1732,"Tie"))</f>
        <v>NYG</v>
      </c>
      <c r="P1732" s="1" t="n">
        <f aca="false">F1732-G1732</f>
        <v>5</v>
      </c>
      <c r="Q1732" s="1" t="n">
        <f aca="false">F1732+G1732</f>
        <v>51</v>
      </c>
      <c r="R1732" s="1" t="str">
        <f aca="false">IF(H1732=M1732,"Home",IF(H1732=N1732,"Away",IF(H1732="PICK","Pick","N/A")))</f>
        <v>Home</v>
      </c>
      <c r="S1732" s="1" t="n">
        <f aca="false">IF(R1732="Home",P1732,IF(R1732="Away",-P1732,""))</f>
        <v>5</v>
      </c>
      <c r="T1732" s="1" t="str">
        <f aca="false">IF(R1732="Pick","No Line",IF(S1732="","N/A",IF(S1732+I1732&gt;0,"Favorite Covered",IF(S1732+I1732&lt;0,"Underdog Covered","Push"))))</f>
        <v>Favorite Covered</v>
      </c>
      <c r="U1732" s="1" t="str">
        <f aca="false">IF(Q1732&gt;J1732,"Over",IF(Q1732&lt;J1732,"Under","Push"))</f>
        <v>Over</v>
      </c>
    </row>
    <row r="1733" customFormat="false" ht="15" hidden="false" customHeight="false" outlineLevel="0" collapsed="false">
      <c r="A1733" s="1" t="s">
        <v>546</v>
      </c>
      <c r="B1733" s="1" t="n">
        <v>2016</v>
      </c>
      <c r="C1733" s="1" t="s">
        <v>198</v>
      </c>
      <c r="D1733" s="1" t="s">
        <v>101</v>
      </c>
      <c r="E1733" s="1" t="s">
        <v>71</v>
      </c>
      <c r="F1733" s="1" t="n">
        <v>30</v>
      </c>
      <c r="G1733" s="1" t="n">
        <v>20</v>
      </c>
      <c r="H1733" s="1" t="s">
        <v>102</v>
      </c>
      <c r="I1733" s="1" t="n">
        <v>-1</v>
      </c>
      <c r="J1733" s="1" t="n">
        <v>44.5</v>
      </c>
      <c r="K1733" s="1" t="s">
        <v>171</v>
      </c>
      <c r="L1733" s="1" t="b">
        <f aca="false">FALSE()</f>
        <v>0</v>
      </c>
      <c r="M1733" s="1" t="str">
        <f aca="false">VLOOKUP(D1733,'Team Reference'!$A:$B,2,FALSE())</f>
        <v>OAK</v>
      </c>
      <c r="N1733" s="1" t="str">
        <f aca="false">VLOOKUP(E1733,'Team Reference'!$A:$B,2,FALSE())</f>
        <v>DEN</v>
      </c>
      <c r="O1733" s="1" t="str">
        <f aca="false">IF(F1733&gt;G1733,M1733,IF(G1733&gt;F1733,N1733,"Tie"))</f>
        <v>OAK</v>
      </c>
      <c r="P1733" s="1" t="n">
        <f aca="false">F1733-G1733</f>
        <v>10</v>
      </c>
      <c r="Q1733" s="1" t="n">
        <f aca="false">F1733+G1733</f>
        <v>50</v>
      </c>
      <c r="R1733" s="1" t="str">
        <f aca="false">IF(H1733=M1733,"Home",IF(H1733=N1733,"Away",IF(H1733="PICK","Pick","N/A")))</f>
        <v>Home</v>
      </c>
      <c r="S1733" s="1" t="n">
        <f aca="false">IF(R1733="Home",P1733,IF(R1733="Away",-P1733,""))</f>
        <v>10</v>
      </c>
      <c r="T1733" s="1" t="str">
        <f aca="false">IF(R1733="Pick","No Line",IF(S1733="","N/A",IF(S1733+I1733&gt;0,"Favorite Covered",IF(S1733+I1733&lt;0,"Underdog Covered","Push"))))</f>
        <v>Favorite Covered</v>
      </c>
      <c r="U1733" s="1" t="str">
        <f aca="false">IF(Q1733&gt;J1733,"Over",IF(Q1733&lt;J1733,"Under","Push"))</f>
        <v>Over</v>
      </c>
    </row>
    <row r="1734" customFormat="false" ht="15" hidden="false" customHeight="false" outlineLevel="0" collapsed="false">
      <c r="A1734" s="1" t="s">
        <v>546</v>
      </c>
      <c r="B1734" s="1" t="n">
        <v>2016</v>
      </c>
      <c r="C1734" s="1" t="s">
        <v>198</v>
      </c>
      <c r="D1734" s="1" t="s">
        <v>107</v>
      </c>
      <c r="E1734" s="1" t="s">
        <v>115</v>
      </c>
      <c r="F1734" s="1" t="n">
        <v>43</v>
      </c>
      <c r="G1734" s="1" t="n">
        <v>35</v>
      </c>
      <c r="H1734" s="1" t="s">
        <v>86</v>
      </c>
      <c r="I1734" s="1" t="n">
        <v>-3.5</v>
      </c>
      <c r="J1734" s="1" t="n">
        <v>47.5</v>
      </c>
      <c r="K1734" s="1" t="s">
        <v>172</v>
      </c>
      <c r="L1734" s="1" t="b">
        <f aca="false">FALSE()</f>
        <v>0</v>
      </c>
      <c r="M1734" s="1" t="str">
        <f aca="false">VLOOKUP(D1734,'Team Reference'!$A:$B,2,FALSE())</f>
        <v>LAC</v>
      </c>
      <c r="N1734" s="1" t="str">
        <f aca="false">VLOOKUP(E1734,'Team Reference'!$A:$B,2,FALSE())</f>
        <v>TEN</v>
      </c>
      <c r="O1734" s="1" t="str">
        <f aca="false">IF(F1734&gt;G1734,M1734,IF(G1734&gt;F1734,N1734,"Tie"))</f>
        <v>LAC</v>
      </c>
      <c r="P1734" s="1" t="n">
        <f aca="false">F1734-G1734</f>
        <v>8</v>
      </c>
      <c r="Q1734" s="1" t="n">
        <f aca="false">F1734+G1734</f>
        <v>78</v>
      </c>
      <c r="R1734" s="1" t="str">
        <f aca="false">IF(H1734=M1734,"Home",IF(H1734=N1734,"Away",IF(H1734="PICK","Pick","N/A")))</f>
        <v>Home</v>
      </c>
      <c r="S1734" s="1" t="n">
        <f aca="false">IF(R1734="Home",P1734,IF(R1734="Away",-P1734,""))</f>
        <v>8</v>
      </c>
      <c r="T1734" s="1" t="str">
        <f aca="false">IF(R1734="Pick","No Line",IF(S1734="","N/A",IF(S1734+I1734&gt;0,"Favorite Covered",IF(S1734+I1734&lt;0,"Underdog Covered","Push"))))</f>
        <v>Favorite Covered</v>
      </c>
      <c r="U1734" s="1" t="str">
        <f aca="false">IF(Q1734&gt;J1734,"Over",IF(Q1734&lt;J1734,"Under","Push"))</f>
        <v>Over</v>
      </c>
    </row>
    <row r="1735" customFormat="false" ht="15" hidden="false" customHeight="false" outlineLevel="0" collapsed="false">
      <c r="A1735" s="1" t="s">
        <v>546</v>
      </c>
      <c r="B1735" s="1" t="n">
        <v>2016</v>
      </c>
      <c r="C1735" s="1" t="s">
        <v>198</v>
      </c>
      <c r="D1735" s="1" t="s">
        <v>108</v>
      </c>
      <c r="E1735" s="1" t="s">
        <v>95</v>
      </c>
      <c r="F1735" s="1" t="n">
        <v>23</v>
      </c>
      <c r="G1735" s="1" t="n">
        <v>41</v>
      </c>
      <c r="H1735" s="1" t="s">
        <v>96</v>
      </c>
      <c r="I1735" s="1" t="n">
        <v>-5</v>
      </c>
      <c r="J1735" s="1" t="n">
        <v>53</v>
      </c>
      <c r="K1735" s="1" t="s">
        <v>408</v>
      </c>
      <c r="L1735" s="1" t="b">
        <f aca="false">FALSE()</f>
        <v>0</v>
      </c>
      <c r="M1735" s="1" t="str">
        <f aca="false">VLOOKUP(D1735,'Team Reference'!$A:$B,2,FALSE())</f>
        <v>SF</v>
      </c>
      <c r="N1735" s="1" t="str">
        <f aca="false">VLOOKUP(E1735,'Team Reference'!$A:$B,2,FALSE())</f>
        <v>NO</v>
      </c>
      <c r="O1735" s="1" t="str">
        <f aca="false">IF(F1735&gt;G1735,M1735,IF(G1735&gt;F1735,N1735,"Tie"))</f>
        <v>NO</v>
      </c>
      <c r="P1735" s="1" t="n">
        <f aca="false">F1735-G1735</f>
        <v>-18</v>
      </c>
      <c r="Q1735" s="1" t="n">
        <f aca="false">F1735+G1735</f>
        <v>64</v>
      </c>
      <c r="R1735" s="1" t="str">
        <f aca="false">IF(H1735=M1735,"Home",IF(H1735=N1735,"Away",IF(H1735="PICK","Pick","N/A")))</f>
        <v>Away</v>
      </c>
      <c r="S1735" s="1" t="n">
        <f aca="false">IF(R1735="Home",P1735,IF(R1735="Away",-P1735,""))</f>
        <v>18</v>
      </c>
      <c r="T1735" s="1" t="str">
        <f aca="false">IF(R1735="Pick","No Line",IF(S1735="","N/A",IF(S1735+I1735&gt;0,"Favorite Covered",IF(S1735+I1735&lt;0,"Underdog Covered","Push"))))</f>
        <v>Favorite Covered</v>
      </c>
      <c r="U1735" s="1" t="str">
        <f aca="false">IF(Q1735&gt;J1735,"Over",IF(Q1735&lt;J1735,"Under","Push"))</f>
        <v>Over</v>
      </c>
    </row>
    <row r="1736" customFormat="false" ht="15" hidden="false" customHeight="false" outlineLevel="0" collapsed="false">
      <c r="A1736" s="1" t="s">
        <v>547</v>
      </c>
      <c r="B1736" s="1" t="n">
        <v>2016</v>
      </c>
      <c r="C1736" s="1" t="s">
        <v>198</v>
      </c>
      <c r="D1736" s="1" t="s">
        <v>110</v>
      </c>
      <c r="E1736" s="1" t="s">
        <v>59</v>
      </c>
      <c r="F1736" s="1" t="n">
        <v>31</v>
      </c>
      <c r="G1736" s="1" t="n">
        <v>25</v>
      </c>
      <c r="H1736" s="1" t="s">
        <v>111</v>
      </c>
      <c r="I1736" s="1" t="n">
        <v>-5.5</v>
      </c>
      <c r="J1736" s="1" t="n">
        <v>43.5</v>
      </c>
      <c r="K1736" s="1" t="s">
        <v>152</v>
      </c>
      <c r="L1736" s="1" t="b">
        <f aca="false">FALSE()</f>
        <v>0</v>
      </c>
      <c r="M1736" s="1" t="str">
        <f aca="false">VLOOKUP(D1736,'Team Reference'!$A:$B,2,FALSE())</f>
        <v>SEA</v>
      </c>
      <c r="N1736" s="1" t="str">
        <f aca="false">VLOOKUP(E1736,'Team Reference'!$A:$B,2,FALSE())</f>
        <v>BUF</v>
      </c>
      <c r="O1736" s="1" t="str">
        <f aca="false">IF(F1736&gt;G1736,M1736,IF(G1736&gt;F1736,N1736,"Tie"))</f>
        <v>SEA</v>
      </c>
      <c r="P1736" s="1" t="n">
        <f aca="false">F1736-G1736</f>
        <v>6</v>
      </c>
      <c r="Q1736" s="1" t="n">
        <f aca="false">F1736+G1736</f>
        <v>56</v>
      </c>
      <c r="R1736" s="1" t="str">
        <f aca="false">IF(H1736=M1736,"Home",IF(H1736=N1736,"Away",IF(H1736="PICK","Pick","N/A")))</f>
        <v>Home</v>
      </c>
      <c r="S1736" s="1" t="n">
        <f aca="false">IF(R1736="Home",P1736,IF(R1736="Away",-P1736,""))</f>
        <v>6</v>
      </c>
      <c r="T1736" s="1" t="str">
        <f aca="false">IF(R1736="Pick","No Line",IF(S1736="","N/A",IF(S1736+I1736&gt;0,"Favorite Covered",IF(S1736+I1736&lt;0,"Underdog Covered","Push"))))</f>
        <v>Favorite Covered</v>
      </c>
      <c r="U1736" s="1" t="str">
        <f aca="false">IF(Q1736&gt;J1736,"Over",IF(Q1736&lt;J1736,"Under","Push"))</f>
        <v>Over</v>
      </c>
    </row>
    <row r="1737" customFormat="false" ht="15" hidden="false" customHeight="false" outlineLevel="0" collapsed="false">
      <c r="A1737" s="1" t="s">
        <v>548</v>
      </c>
      <c r="B1737" s="1" t="n">
        <v>2016</v>
      </c>
      <c r="C1737" s="1" t="s">
        <v>203</v>
      </c>
      <c r="D1737" s="1" t="s">
        <v>57</v>
      </c>
      <c r="E1737" s="1" t="s">
        <v>67</v>
      </c>
      <c r="F1737" s="1" t="n">
        <v>28</v>
      </c>
      <c r="G1737" s="1" t="n">
        <v>7</v>
      </c>
      <c r="H1737" s="1" t="s">
        <v>58</v>
      </c>
      <c r="I1737" s="1" t="n">
        <v>-7.5</v>
      </c>
      <c r="J1737" s="1" t="n">
        <v>44</v>
      </c>
      <c r="K1737" s="1" t="s">
        <v>178</v>
      </c>
      <c r="L1737" s="1" t="b">
        <f aca="false">FALSE()</f>
        <v>0</v>
      </c>
      <c r="M1737" s="1" t="str">
        <f aca="false">VLOOKUP(D1737,'Team Reference'!$A:$B,2,FALSE())</f>
        <v>BAL</v>
      </c>
      <c r="N1737" s="1" t="str">
        <f aca="false">VLOOKUP(E1737,'Team Reference'!$A:$B,2,FALSE())</f>
        <v>CLE</v>
      </c>
      <c r="O1737" s="1" t="str">
        <f aca="false">IF(F1737&gt;G1737,M1737,IF(G1737&gt;F1737,N1737,"Tie"))</f>
        <v>BAL</v>
      </c>
      <c r="P1737" s="1" t="n">
        <f aca="false">F1737-G1737</f>
        <v>21</v>
      </c>
      <c r="Q1737" s="1" t="n">
        <f aca="false">F1737+G1737</f>
        <v>35</v>
      </c>
      <c r="R1737" s="1" t="str">
        <f aca="false">IF(H1737=M1737,"Home",IF(H1737=N1737,"Away",IF(H1737="PICK","Pick","N/A")))</f>
        <v>Home</v>
      </c>
      <c r="S1737" s="1" t="n">
        <f aca="false">IF(R1737="Home",P1737,IF(R1737="Away",-P1737,""))</f>
        <v>21</v>
      </c>
      <c r="T1737" s="1" t="str">
        <f aca="false">IF(R1737="Pick","No Line",IF(S1737="","N/A",IF(S1737+I1737&gt;0,"Favorite Covered",IF(S1737+I1737&lt;0,"Underdog Covered","Push"))))</f>
        <v>Favorite Covered</v>
      </c>
      <c r="U1737" s="1" t="str">
        <f aca="false">IF(Q1737&gt;J1737,"Over",IF(Q1737&lt;J1737,"Under","Push"))</f>
        <v>Under</v>
      </c>
    </row>
    <row r="1738" customFormat="false" ht="15" hidden="false" customHeight="false" outlineLevel="0" collapsed="false">
      <c r="A1738" s="1" t="s">
        <v>549</v>
      </c>
      <c r="B1738" s="1" t="n">
        <v>2016</v>
      </c>
      <c r="C1738" s="1" t="s">
        <v>203</v>
      </c>
      <c r="D1738" s="1" t="s">
        <v>53</v>
      </c>
      <c r="E1738" s="1" t="s">
        <v>108</v>
      </c>
      <c r="F1738" s="1" t="n">
        <v>23</v>
      </c>
      <c r="G1738" s="1" t="n">
        <v>20</v>
      </c>
      <c r="H1738" s="1" t="s">
        <v>54</v>
      </c>
      <c r="I1738" s="1" t="n">
        <v>-14</v>
      </c>
      <c r="J1738" s="1" t="n">
        <v>47</v>
      </c>
      <c r="K1738" s="1" t="s">
        <v>177</v>
      </c>
      <c r="L1738" s="1" t="b">
        <f aca="false">FALSE()</f>
        <v>0</v>
      </c>
      <c r="M1738" s="1" t="str">
        <f aca="false">VLOOKUP(D1738,'Team Reference'!$A:$B,2,FALSE())</f>
        <v>ARI</v>
      </c>
      <c r="N1738" s="1" t="str">
        <f aca="false">VLOOKUP(E1738,'Team Reference'!$A:$B,2,FALSE())</f>
        <v>SF</v>
      </c>
      <c r="O1738" s="1" t="str">
        <f aca="false">IF(F1738&gt;G1738,M1738,IF(G1738&gt;F1738,N1738,"Tie"))</f>
        <v>ARI</v>
      </c>
      <c r="P1738" s="1" t="n">
        <f aca="false">F1738-G1738</f>
        <v>3</v>
      </c>
      <c r="Q1738" s="1" t="n">
        <f aca="false">F1738+G1738</f>
        <v>43</v>
      </c>
      <c r="R1738" s="1" t="str">
        <f aca="false">IF(H1738=M1738,"Home",IF(H1738=N1738,"Away",IF(H1738="PICK","Pick","N/A")))</f>
        <v>Home</v>
      </c>
      <c r="S1738" s="1" t="n">
        <f aca="false">IF(R1738="Home",P1738,IF(R1738="Away",-P1738,""))</f>
        <v>3</v>
      </c>
      <c r="T1738" s="1" t="str">
        <f aca="false">IF(R1738="Pick","No Line",IF(S1738="","N/A",IF(S1738+I1738&gt;0,"Favorite Covered",IF(S1738+I1738&lt;0,"Underdog Covered","Push"))))</f>
        <v>Underdog Covered</v>
      </c>
      <c r="U1738" s="1" t="str">
        <f aca="false">IF(Q1738&gt;J1738,"Over",IF(Q1738&lt;J1738,"Under","Push"))</f>
        <v>Under</v>
      </c>
    </row>
    <row r="1739" customFormat="false" ht="15" hidden="false" customHeight="false" outlineLevel="0" collapsed="false">
      <c r="A1739" s="1" t="s">
        <v>549</v>
      </c>
      <c r="B1739" s="1" t="n">
        <v>2016</v>
      </c>
      <c r="C1739" s="1" t="s">
        <v>203</v>
      </c>
      <c r="D1739" s="1" t="s">
        <v>61</v>
      </c>
      <c r="E1739" s="1" t="s">
        <v>83</v>
      </c>
      <c r="F1739" s="1" t="n">
        <v>17</v>
      </c>
      <c r="G1739" s="1" t="n">
        <v>20</v>
      </c>
      <c r="H1739" s="1" t="s">
        <v>62</v>
      </c>
      <c r="I1739" s="1" t="n">
        <v>-3</v>
      </c>
      <c r="J1739" s="1" t="n">
        <v>44</v>
      </c>
      <c r="K1739" s="1" t="s">
        <v>162</v>
      </c>
      <c r="L1739" s="1" t="b">
        <f aca="false">FALSE()</f>
        <v>0</v>
      </c>
      <c r="M1739" s="1" t="str">
        <f aca="false">VLOOKUP(D1739,'Team Reference'!$A:$B,2,FALSE())</f>
        <v>CAR</v>
      </c>
      <c r="N1739" s="1" t="str">
        <f aca="false">VLOOKUP(E1739,'Team Reference'!$A:$B,2,FALSE())</f>
        <v>KC</v>
      </c>
      <c r="O1739" s="1" t="str">
        <f aca="false">IF(F1739&gt;G1739,M1739,IF(G1739&gt;F1739,N1739,"Tie"))</f>
        <v>KC</v>
      </c>
      <c r="P1739" s="1" t="n">
        <f aca="false">F1739-G1739</f>
        <v>-3</v>
      </c>
      <c r="Q1739" s="1" t="n">
        <f aca="false">F1739+G1739</f>
        <v>37</v>
      </c>
      <c r="R1739" s="1" t="str">
        <f aca="false">IF(H1739=M1739,"Home",IF(H1739=N1739,"Away",IF(H1739="PICK","Pick","N/A")))</f>
        <v>Home</v>
      </c>
      <c r="S1739" s="1" t="n">
        <f aca="false">IF(R1739="Home",P1739,IF(R1739="Away",-P1739,""))</f>
        <v>-3</v>
      </c>
      <c r="T1739" s="1" t="str">
        <f aca="false">IF(R1739="Pick","No Line",IF(S1739="","N/A",IF(S1739+I1739&gt;0,"Favorite Covered",IF(S1739+I1739&lt;0,"Underdog Covered","Push"))))</f>
        <v>Underdog Covered</v>
      </c>
      <c r="U1739" s="1" t="str">
        <f aca="false">IF(Q1739&gt;J1739,"Over",IF(Q1739&lt;J1739,"Under","Push"))</f>
        <v>Under</v>
      </c>
    </row>
    <row r="1740" customFormat="false" ht="15" hidden="false" customHeight="false" outlineLevel="0" collapsed="false">
      <c r="A1740" s="1" t="s">
        <v>549</v>
      </c>
      <c r="B1740" s="1" t="n">
        <v>2016</v>
      </c>
      <c r="C1740" s="1" t="s">
        <v>203</v>
      </c>
      <c r="D1740" s="1" t="s">
        <v>81</v>
      </c>
      <c r="E1740" s="1" t="s">
        <v>77</v>
      </c>
      <c r="F1740" s="1" t="n">
        <v>21</v>
      </c>
      <c r="G1740" s="1" t="n">
        <v>24</v>
      </c>
      <c r="H1740" s="1" t="s">
        <v>82</v>
      </c>
      <c r="I1740" s="1" t="n">
        <v>-3</v>
      </c>
      <c r="J1740" s="1" t="n">
        <v>42</v>
      </c>
      <c r="K1740" s="1" t="s">
        <v>147</v>
      </c>
      <c r="L1740" s="1" t="b">
        <f aca="false">FALSE()</f>
        <v>0</v>
      </c>
      <c r="M1740" s="1" t="str">
        <f aca="false">VLOOKUP(D1740,'Team Reference'!$A:$B,2,FALSE())</f>
        <v>JAX</v>
      </c>
      <c r="N1740" s="1" t="str">
        <f aca="false">VLOOKUP(E1740,'Team Reference'!$A:$B,2,FALSE())</f>
        <v>HOU</v>
      </c>
      <c r="O1740" s="1" t="str">
        <f aca="false">IF(F1740&gt;G1740,M1740,IF(G1740&gt;F1740,N1740,"Tie"))</f>
        <v>HOU</v>
      </c>
      <c r="P1740" s="1" t="n">
        <f aca="false">F1740-G1740</f>
        <v>-3</v>
      </c>
      <c r="Q1740" s="1" t="n">
        <f aca="false">F1740+G1740</f>
        <v>45</v>
      </c>
      <c r="R1740" s="1" t="str">
        <f aca="false">IF(H1740=M1740,"Home",IF(H1740=N1740,"Away",IF(H1740="PICK","Pick","N/A")))</f>
        <v>Home</v>
      </c>
      <c r="S1740" s="1" t="n">
        <f aca="false">IF(R1740="Home",P1740,IF(R1740="Away",-P1740,""))</f>
        <v>-3</v>
      </c>
      <c r="T1740" s="1" t="str">
        <f aca="false">IF(R1740="Pick","No Line",IF(S1740="","N/A",IF(S1740+I1740&gt;0,"Favorite Covered",IF(S1740+I1740&lt;0,"Underdog Covered","Push"))))</f>
        <v>Underdog Covered</v>
      </c>
      <c r="U1740" s="1" t="str">
        <f aca="false">IF(Q1740&gt;J1740,"Over",IF(Q1740&lt;J1740,"Under","Push"))</f>
        <v>Over</v>
      </c>
    </row>
    <row r="1741" customFormat="false" ht="15" hidden="false" customHeight="false" outlineLevel="0" collapsed="false">
      <c r="A1741" s="1" t="s">
        <v>549</v>
      </c>
      <c r="B1741" s="1" t="n">
        <v>2016</v>
      </c>
      <c r="C1741" s="1" t="s">
        <v>203</v>
      </c>
      <c r="D1741" s="1" t="s">
        <v>93</v>
      </c>
      <c r="E1741" s="1" t="s">
        <v>110</v>
      </c>
      <c r="F1741" s="1" t="n">
        <v>24</v>
      </c>
      <c r="G1741" s="1" t="n">
        <v>31</v>
      </c>
      <c r="H1741" s="1" t="s">
        <v>94</v>
      </c>
      <c r="I1741" s="1" t="n">
        <v>-7.5</v>
      </c>
      <c r="J1741" s="1" t="n">
        <v>49.5</v>
      </c>
      <c r="K1741" s="1" t="s">
        <v>148</v>
      </c>
      <c r="L1741" s="1" t="b">
        <f aca="false">FALSE()</f>
        <v>0</v>
      </c>
      <c r="M1741" s="1" t="str">
        <f aca="false">VLOOKUP(D1741,'Team Reference'!$A:$B,2,FALSE())</f>
        <v>NE</v>
      </c>
      <c r="N1741" s="1" t="str">
        <f aca="false">VLOOKUP(E1741,'Team Reference'!$A:$B,2,FALSE())</f>
        <v>SEA</v>
      </c>
      <c r="O1741" s="1" t="str">
        <f aca="false">IF(F1741&gt;G1741,M1741,IF(G1741&gt;F1741,N1741,"Tie"))</f>
        <v>SEA</v>
      </c>
      <c r="P1741" s="1" t="n">
        <f aca="false">F1741-G1741</f>
        <v>-7</v>
      </c>
      <c r="Q1741" s="1" t="n">
        <f aca="false">F1741+G1741</f>
        <v>55</v>
      </c>
      <c r="R1741" s="1" t="str">
        <f aca="false">IF(H1741=M1741,"Home",IF(H1741=N1741,"Away",IF(H1741="PICK","Pick","N/A")))</f>
        <v>Home</v>
      </c>
      <c r="S1741" s="1" t="n">
        <f aca="false">IF(R1741="Home",P1741,IF(R1741="Away",-P1741,""))</f>
        <v>-7</v>
      </c>
      <c r="T1741" s="1" t="str">
        <f aca="false">IF(R1741="Pick","No Line",IF(S1741="","N/A",IF(S1741+I1741&gt;0,"Favorite Covered",IF(S1741+I1741&lt;0,"Underdog Covered","Push"))))</f>
        <v>Underdog Covered</v>
      </c>
      <c r="U1741" s="1" t="str">
        <f aca="false">IF(Q1741&gt;J1741,"Over",IF(Q1741&lt;J1741,"Under","Push"))</f>
        <v>Over</v>
      </c>
    </row>
    <row r="1742" customFormat="false" ht="15" hidden="false" customHeight="false" outlineLevel="0" collapsed="false">
      <c r="A1742" s="1" t="s">
        <v>549</v>
      </c>
      <c r="B1742" s="1" t="n">
        <v>2016</v>
      </c>
      <c r="C1742" s="1" t="s">
        <v>203</v>
      </c>
      <c r="D1742" s="1" t="s">
        <v>95</v>
      </c>
      <c r="E1742" s="1" t="s">
        <v>71</v>
      </c>
      <c r="F1742" s="1" t="n">
        <v>23</v>
      </c>
      <c r="G1742" s="1" t="n">
        <v>25</v>
      </c>
      <c r="H1742" s="1" t="s">
        <v>96</v>
      </c>
      <c r="I1742" s="1" t="n">
        <v>-3</v>
      </c>
      <c r="J1742" s="1" t="n">
        <v>50</v>
      </c>
      <c r="K1742" s="1" t="s">
        <v>142</v>
      </c>
      <c r="L1742" s="1" t="b">
        <f aca="false">FALSE()</f>
        <v>0</v>
      </c>
      <c r="M1742" s="1" t="str">
        <f aca="false">VLOOKUP(D1742,'Team Reference'!$A:$B,2,FALSE())</f>
        <v>NO</v>
      </c>
      <c r="N1742" s="1" t="str">
        <f aca="false">VLOOKUP(E1742,'Team Reference'!$A:$B,2,FALSE())</f>
        <v>DEN</v>
      </c>
      <c r="O1742" s="1" t="str">
        <f aca="false">IF(F1742&gt;G1742,M1742,IF(G1742&gt;F1742,N1742,"Tie"))</f>
        <v>DEN</v>
      </c>
      <c r="P1742" s="1" t="n">
        <f aca="false">F1742-G1742</f>
        <v>-2</v>
      </c>
      <c r="Q1742" s="1" t="n">
        <f aca="false">F1742+G1742</f>
        <v>48</v>
      </c>
      <c r="R1742" s="1" t="str">
        <f aca="false">IF(H1742=M1742,"Home",IF(H1742=N1742,"Away",IF(H1742="PICK","Pick","N/A")))</f>
        <v>Home</v>
      </c>
      <c r="S1742" s="1" t="n">
        <f aca="false">IF(R1742="Home",P1742,IF(R1742="Away",-P1742,""))</f>
        <v>-2</v>
      </c>
      <c r="T1742" s="1" t="str">
        <f aca="false">IF(R1742="Pick","No Line",IF(S1742="","N/A",IF(S1742+I1742&gt;0,"Favorite Covered",IF(S1742+I1742&lt;0,"Underdog Covered","Push"))))</f>
        <v>Underdog Covered</v>
      </c>
      <c r="U1742" s="1" t="str">
        <f aca="false">IF(Q1742&gt;J1742,"Over",IF(Q1742&lt;J1742,"Under","Push"))</f>
        <v>Under</v>
      </c>
    </row>
    <row r="1743" customFormat="false" ht="15" hidden="false" customHeight="false" outlineLevel="0" collapsed="false">
      <c r="A1743" s="1" t="s">
        <v>549</v>
      </c>
      <c r="B1743" s="1" t="n">
        <v>2016</v>
      </c>
      <c r="C1743" s="1" t="s">
        <v>203</v>
      </c>
      <c r="D1743" s="1" t="s">
        <v>99</v>
      </c>
      <c r="E1743" s="1" t="s">
        <v>87</v>
      </c>
      <c r="F1743" s="1" t="n">
        <v>6</v>
      </c>
      <c r="G1743" s="1" t="n">
        <v>9</v>
      </c>
      <c r="H1743" s="1" t="s">
        <v>88</v>
      </c>
      <c r="I1743" s="1" t="n">
        <v>-1</v>
      </c>
      <c r="J1743" s="1" t="n">
        <v>38.5</v>
      </c>
      <c r="K1743" s="1" t="s">
        <v>149</v>
      </c>
      <c r="L1743" s="1" t="b">
        <f aca="false">FALSE()</f>
        <v>0</v>
      </c>
      <c r="M1743" s="1" t="str">
        <f aca="false">VLOOKUP(D1743,'Team Reference'!$A:$B,2,FALSE())</f>
        <v>NYJ</v>
      </c>
      <c r="N1743" s="1" t="str">
        <f aca="false">VLOOKUP(E1743,'Team Reference'!$A:$B,2,FALSE())</f>
        <v>LAR</v>
      </c>
      <c r="O1743" s="1" t="str">
        <f aca="false">IF(F1743&gt;G1743,M1743,IF(G1743&gt;F1743,N1743,"Tie"))</f>
        <v>LAR</v>
      </c>
      <c r="P1743" s="1" t="n">
        <f aca="false">F1743-G1743</f>
        <v>-3</v>
      </c>
      <c r="Q1743" s="1" t="n">
        <f aca="false">F1743+G1743</f>
        <v>15</v>
      </c>
      <c r="R1743" s="1" t="str">
        <f aca="false">IF(H1743=M1743,"Home",IF(H1743=N1743,"Away",IF(H1743="PICK","Pick","N/A")))</f>
        <v>Away</v>
      </c>
      <c r="S1743" s="1" t="n">
        <f aca="false">IF(R1743="Home",P1743,IF(R1743="Away",-P1743,""))</f>
        <v>3</v>
      </c>
      <c r="T1743" s="1" t="str">
        <f aca="false">IF(R1743="Pick","No Line",IF(S1743="","N/A",IF(S1743+I1743&gt;0,"Favorite Covered",IF(S1743+I1743&lt;0,"Underdog Covered","Push"))))</f>
        <v>Favorite Covered</v>
      </c>
      <c r="U1743" s="1" t="str">
        <f aca="false">IF(Q1743&gt;J1743,"Over",IF(Q1743&lt;J1743,"Under","Push"))</f>
        <v>Under</v>
      </c>
    </row>
    <row r="1744" customFormat="false" ht="15" hidden="false" customHeight="false" outlineLevel="0" collapsed="false">
      <c r="A1744" s="1" t="s">
        <v>549</v>
      </c>
      <c r="B1744" s="1" t="n">
        <v>2016</v>
      </c>
      <c r="C1744" s="1" t="s">
        <v>203</v>
      </c>
      <c r="D1744" s="1" t="s">
        <v>103</v>
      </c>
      <c r="E1744" s="1" t="s">
        <v>55</v>
      </c>
      <c r="F1744" s="1" t="n">
        <v>24</v>
      </c>
      <c r="G1744" s="1" t="n">
        <v>15</v>
      </c>
      <c r="H1744" s="1" t="s">
        <v>104</v>
      </c>
      <c r="I1744" s="1" t="n">
        <v>-1.5</v>
      </c>
      <c r="J1744" s="1" t="n">
        <v>49</v>
      </c>
      <c r="K1744" s="1" t="s">
        <v>150</v>
      </c>
      <c r="L1744" s="1" t="b">
        <f aca="false">FALSE()</f>
        <v>0</v>
      </c>
      <c r="M1744" s="1" t="str">
        <f aca="false">VLOOKUP(D1744,'Team Reference'!$A:$B,2,FALSE())</f>
        <v>PHI</v>
      </c>
      <c r="N1744" s="1" t="str">
        <f aca="false">VLOOKUP(E1744,'Team Reference'!$A:$B,2,FALSE())</f>
        <v>ATL</v>
      </c>
      <c r="O1744" s="1" t="str">
        <f aca="false">IF(F1744&gt;G1744,M1744,IF(G1744&gt;F1744,N1744,"Tie"))</f>
        <v>PHI</v>
      </c>
      <c r="P1744" s="1" t="n">
        <f aca="false">F1744-G1744</f>
        <v>9</v>
      </c>
      <c r="Q1744" s="1" t="n">
        <f aca="false">F1744+G1744</f>
        <v>39</v>
      </c>
      <c r="R1744" s="1" t="str">
        <f aca="false">IF(H1744=M1744,"Home",IF(H1744=N1744,"Away",IF(H1744="PICK","Pick","N/A")))</f>
        <v>Home</v>
      </c>
      <c r="S1744" s="1" t="n">
        <f aca="false">IF(R1744="Home",P1744,IF(R1744="Away",-P1744,""))</f>
        <v>9</v>
      </c>
      <c r="T1744" s="1" t="str">
        <f aca="false">IF(R1744="Pick","No Line",IF(S1744="","N/A",IF(S1744+I1744&gt;0,"Favorite Covered",IF(S1744+I1744&lt;0,"Underdog Covered","Push"))))</f>
        <v>Favorite Covered</v>
      </c>
      <c r="U1744" s="1" t="str">
        <f aca="false">IF(Q1744&gt;J1744,"Over",IF(Q1744&lt;J1744,"Under","Push"))</f>
        <v>Under</v>
      </c>
    </row>
    <row r="1745" customFormat="false" ht="15" hidden="false" customHeight="false" outlineLevel="0" collapsed="false">
      <c r="A1745" s="1" t="s">
        <v>549</v>
      </c>
      <c r="B1745" s="1" t="n">
        <v>2016</v>
      </c>
      <c r="C1745" s="1" t="s">
        <v>203</v>
      </c>
      <c r="D1745" s="1" t="s">
        <v>105</v>
      </c>
      <c r="E1745" s="1" t="s">
        <v>69</v>
      </c>
      <c r="F1745" s="1" t="n">
        <v>30</v>
      </c>
      <c r="G1745" s="1" t="n">
        <v>35</v>
      </c>
      <c r="H1745" s="1" t="s">
        <v>106</v>
      </c>
      <c r="I1745" s="1" t="n">
        <v>-3</v>
      </c>
      <c r="J1745" s="1" t="n">
        <v>51</v>
      </c>
      <c r="K1745" s="1" t="s">
        <v>151</v>
      </c>
      <c r="L1745" s="1" t="b">
        <f aca="false">FALSE()</f>
        <v>0</v>
      </c>
      <c r="M1745" s="1" t="str">
        <f aca="false">VLOOKUP(D1745,'Team Reference'!$A:$B,2,FALSE())</f>
        <v>PIT</v>
      </c>
      <c r="N1745" s="1" t="str">
        <f aca="false">VLOOKUP(E1745,'Team Reference'!$A:$B,2,FALSE())</f>
        <v>DAL</v>
      </c>
      <c r="O1745" s="1" t="str">
        <f aca="false">IF(F1745&gt;G1745,M1745,IF(G1745&gt;F1745,N1745,"Tie"))</f>
        <v>DAL</v>
      </c>
      <c r="P1745" s="1" t="n">
        <f aca="false">F1745-G1745</f>
        <v>-5</v>
      </c>
      <c r="Q1745" s="1" t="n">
        <f aca="false">F1745+G1745</f>
        <v>65</v>
      </c>
      <c r="R1745" s="1" t="str">
        <f aca="false">IF(H1745=M1745,"Home",IF(H1745=N1745,"Away",IF(H1745="PICK","Pick","N/A")))</f>
        <v>Home</v>
      </c>
      <c r="S1745" s="1" t="n">
        <f aca="false">IF(R1745="Home",P1745,IF(R1745="Away",-P1745,""))</f>
        <v>-5</v>
      </c>
      <c r="T1745" s="1" t="str">
        <f aca="false">IF(R1745="Pick","No Line",IF(S1745="","N/A",IF(S1745+I1745&gt;0,"Favorite Covered",IF(S1745+I1745&lt;0,"Underdog Covered","Push"))))</f>
        <v>Underdog Covered</v>
      </c>
      <c r="U1745" s="1" t="str">
        <f aca="false">IF(Q1745&gt;J1745,"Over",IF(Q1745&lt;J1745,"Under","Push"))</f>
        <v>Over</v>
      </c>
    </row>
    <row r="1746" customFormat="false" ht="15" hidden="false" customHeight="false" outlineLevel="0" collapsed="false">
      <c r="A1746" s="1" t="s">
        <v>549</v>
      </c>
      <c r="B1746" s="1" t="n">
        <v>2016</v>
      </c>
      <c r="C1746" s="1" t="s">
        <v>203</v>
      </c>
      <c r="D1746" s="1" t="s">
        <v>107</v>
      </c>
      <c r="E1746" s="1" t="s">
        <v>89</v>
      </c>
      <c r="F1746" s="1" t="n">
        <v>24</v>
      </c>
      <c r="G1746" s="1" t="n">
        <v>31</v>
      </c>
      <c r="H1746" s="1" t="s">
        <v>86</v>
      </c>
      <c r="I1746" s="1" t="n">
        <v>-4.5</v>
      </c>
      <c r="J1746" s="1" t="n">
        <v>49</v>
      </c>
      <c r="K1746" s="1" t="s">
        <v>172</v>
      </c>
      <c r="L1746" s="1" t="b">
        <f aca="false">FALSE()</f>
        <v>0</v>
      </c>
      <c r="M1746" s="1" t="str">
        <f aca="false">VLOOKUP(D1746,'Team Reference'!$A:$B,2,FALSE())</f>
        <v>LAC</v>
      </c>
      <c r="N1746" s="1" t="str">
        <f aca="false">VLOOKUP(E1746,'Team Reference'!$A:$B,2,FALSE())</f>
        <v>MIA</v>
      </c>
      <c r="O1746" s="1" t="str">
        <f aca="false">IF(F1746&gt;G1746,M1746,IF(G1746&gt;F1746,N1746,"Tie"))</f>
        <v>MIA</v>
      </c>
      <c r="P1746" s="1" t="n">
        <f aca="false">F1746-G1746</f>
        <v>-7</v>
      </c>
      <c r="Q1746" s="1" t="n">
        <f aca="false">F1746+G1746</f>
        <v>55</v>
      </c>
      <c r="R1746" s="1" t="str">
        <f aca="false">IF(H1746=M1746,"Home",IF(H1746=N1746,"Away",IF(H1746="PICK","Pick","N/A")))</f>
        <v>Home</v>
      </c>
      <c r="S1746" s="1" t="n">
        <f aca="false">IF(R1746="Home",P1746,IF(R1746="Away",-P1746,""))</f>
        <v>-7</v>
      </c>
      <c r="T1746" s="1" t="str">
        <f aca="false">IF(R1746="Pick","No Line",IF(S1746="","N/A",IF(S1746+I1746&gt;0,"Favorite Covered",IF(S1746+I1746&lt;0,"Underdog Covered","Push"))))</f>
        <v>Underdog Covered</v>
      </c>
      <c r="U1746" s="1" t="str">
        <f aca="false">IF(Q1746&gt;J1746,"Over",IF(Q1746&lt;J1746,"Under","Push"))</f>
        <v>Over</v>
      </c>
    </row>
    <row r="1747" customFormat="false" ht="15" hidden="false" customHeight="false" outlineLevel="0" collapsed="false">
      <c r="A1747" s="1" t="s">
        <v>549</v>
      </c>
      <c r="B1747" s="1" t="n">
        <v>2016</v>
      </c>
      <c r="C1747" s="1" t="s">
        <v>203</v>
      </c>
      <c r="D1747" s="1" t="s">
        <v>113</v>
      </c>
      <c r="E1747" s="1" t="s">
        <v>63</v>
      </c>
      <c r="F1747" s="1" t="n">
        <v>36</v>
      </c>
      <c r="G1747" s="1" t="n">
        <v>10</v>
      </c>
      <c r="H1747" s="1" t="s">
        <v>64</v>
      </c>
      <c r="I1747" s="1" t="n">
        <v>-2.5</v>
      </c>
      <c r="J1747" s="1" t="n">
        <v>45</v>
      </c>
      <c r="K1747" s="1" t="s">
        <v>154</v>
      </c>
      <c r="L1747" s="1" t="b">
        <f aca="false">FALSE()</f>
        <v>0</v>
      </c>
      <c r="M1747" s="1" t="str">
        <f aca="false">VLOOKUP(D1747,'Team Reference'!$A:$B,2,FALSE())</f>
        <v>TB</v>
      </c>
      <c r="N1747" s="1" t="str">
        <f aca="false">VLOOKUP(E1747,'Team Reference'!$A:$B,2,FALSE())</f>
        <v>CHI</v>
      </c>
      <c r="O1747" s="1" t="str">
        <f aca="false">IF(F1747&gt;G1747,M1747,IF(G1747&gt;F1747,N1747,"Tie"))</f>
        <v>TB</v>
      </c>
      <c r="P1747" s="1" t="n">
        <f aca="false">F1747-G1747</f>
        <v>26</v>
      </c>
      <c r="Q1747" s="1" t="n">
        <f aca="false">F1747+G1747</f>
        <v>46</v>
      </c>
      <c r="R1747" s="1" t="str">
        <f aca="false">IF(H1747=M1747,"Home",IF(H1747=N1747,"Away",IF(H1747="PICK","Pick","N/A")))</f>
        <v>Away</v>
      </c>
      <c r="S1747" s="1" t="n">
        <f aca="false">IF(R1747="Home",P1747,IF(R1747="Away",-P1747,""))</f>
        <v>-26</v>
      </c>
      <c r="T1747" s="1" t="str">
        <f aca="false">IF(R1747="Pick","No Line",IF(S1747="","N/A",IF(S1747+I1747&gt;0,"Favorite Covered",IF(S1747+I1747&lt;0,"Underdog Covered","Push"))))</f>
        <v>Underdog Covered</v>
      </c>
      <c r="U1747" s="1" t="str">
        <f aca="false">IF(Q1747&gt;J1747,"Over",IF(Q1747&lt;J1747,"Under","Push"))</f>
        <v>Over</v>
      </c>
    </row>
    <row r="1748" customFormat="false" ht="15" hidden="false" customHeight="false" outlineLevel="0" collapsed="false">
      <c r="A1748" s="1" t="s">
        <v>549</v>
      </c>
      <c r="B1748" s="1" t="n">
        <v>2016</v>
      </c>
      <c r="C1748" s="1" t="s">
        <v>203</v>
      </c>
      <c r="D1748" s="1" t="s">
        <v>115</v>
      </c>
      <c r="E1748" s="1" t="s">
        <v>75</v>
      </c>
      <c r="F1748" s="1" t="n">
        <v>47</v>
      </c>
      <c r="G1748" s="1" t="n">
        <v>25</v>
      </c>
      <c r="H1748" s="1" t="s">
        <v>76</v>
      </c>
      <c r="I1748" s="1" t="n">
        <v>-3</v>
      </c>
      <c r="J1748" s="1" t="n">
        <v>49</v>
      </c>
      <c r="K1748" s="1" t="s">
        <v>155</v>
      </c>
      <c r="L1748" s="1" t="b">
        <f aca="false">FALSE()</f>
        <v>0</v>
      </c>
      <c r="M1748" s="1" t="str">
        <f aca="false">VLOOKUP(D1748,'Team Reference'!$A:$B,2,FALSE())</f>
        <v>TEN</v>
      </c>
      <c r="N1748" s="1" t="str">
        <f aca="false">VLOOKUP(E1748,'Team Reference'!$A:$B,2,FALSE())</f>
        <v>GB</v>
      </c>
      <c r="O1748" s="1" t="str">
        <f aca="false">IF(F1748&gt;G1748,M1748,IF(G1748&gt;F1748,N1748,"Tie"))</f>
        <v>TEN</v>
      </c>
      <c r="P1748" s="1" t="n">
        <f aca="false">F1748-G1748</f>
        <v>22</v>
      </c>
      <c r="Q1748" s="1" t="n">
        <f aca="false">F1748+G1748</f>
        <v>72</v>
      </c>
      <c r="R1748" s="1" t="str">
        <f aca="false">IF(H1748=M1748,"Home",IF(H1748=N1748,"Away",IF(H1748="PICK","Pick","N/A")))</f>
        <v>Away</v>
      </c>
      <c r="S1748" s="1" t="n">
        <f aca="false">IF(R1748="Home",P1748,IF(R1748="Away",-P1748,""))</f>
        <v>-22</v>
      </c>
      <c r="T1748" s="1" t="str">
        <f aca="false">IF(R1748="Pick","No Line",IF(S1748="","N/A",IF(S1748+I1748&gt;0,"Favorite Covered",IF(S1748+I1748&lt;0,"Underdog Covered","Push"))))</f>
        <v>Underdog Covered</v>
      </c>
      <c r="U1748" s="1" t="str">
        <f aca="false">IF(Q1748&gt;J1748,"Over",IF(Q1748&lt;J1748,"Under","Push"))</f>
        <v>Over</v>
      </c>
    </row>
    <row r="1749" customFormat="false" ht="15" hidden="false" customHeight="false" outlineLevel="0" collapsed="false">
      <c r="A1749" s="1" t="s">
        <v>549</v>
      </c>
      <c r="B1749" s="1" t="n">
        <v>2016</v>
      </c>
      <c r="C1749" s="1" t="s">
        <v>203</v>
      </c>
      <c r="D1749" s="1" t="s">
        <v>117</v>
      </c>
      <c r="E1749" s="1" t="s">
        <v>91</v>
      </c>
      <c r="F1749" s="1" t="n">
        <v>26</v>
      </c>
      <c r="G1749" s="1" t="n">
        <v>20</v>
      </c>
      <c r="H1749" s="1" t="s">
        <v>118</v>
      </c>
      <c r="I1749" s="1" t="n">
        <v>-2.5</v>
      </c>
      <c r="J1749" s="1" t="n">
        <v>41.5</v>
      </c>
      <c r="K1749" s="1" t="s">
        <v>156</v>
      </c>
      <c r="L1749" s="1" t="b">
        <f aca="false">FALSE()</f>
        <v>0</v>
      </c>
      <c r="M1749" s="1" t="str">
        <f aca="false">VLOOKUP(D1749,'Team Reference'!$A:$B,2,FALSE())</f>
        <v>WAS</v>
      </c>
      <c r="N1749" s="1" t="str">
        <f aca="false">VLOOKUP(E1749,'Team Reference'!$A:$B,2,FALSE())</f>
        <v>MIN</v>
      </c>
      <c r="O1749" s="1" t="str">
        <f aca="false">IF(F1749&gt;G1749,M1749,IF(G1749&gt;F1749,N1749,"Tie"))</f>
        <v>WAS</v>
      </c>
      <c r="P1749" s="1" t="n">
        <f aca="false">F1749-G1749</f>
        <v>6</v>
      </c>
      <c r="Q1749" s="1" t="n">
        <f aca="false">F1749+G1749</f>
        <v>46</v>
      </c>
      <c r="R1749" s="1" t="str">
        <f aca="false">IF(H1749=M1749,"Home",IF(H1749=N1749,"Away",IF(H1749="PICK","Pick","N/A")))</f>
        <v>Home</v>
      </c>
      <c r="S1749" s="1" t="n">
        <f aca="false">IF(R1749="Home",P1749,IF(R1749="Away",-P1749,""))</f>
        <v>6</v>
      </c>
      <c r="T1749" s="1" t="str">
        <f aca="false">IF(R1749="Pick","No Line",IF(S1749="","N/A",IF(S1749+I1749&gt;0,"Favorite Covered",IF(S1749+I1749&lt;0,"Underdog Covered","Push"))))</f>
        <v>Favorite Covered</v>
      </c>
      <c r="U1749" s="1" t="str">
        <f aca="false">IF(Q1749&gt;J1749,"Over",IF(Q1749&lt;J1749,"Under","Push"))</f>
        <v>Over</v>
      </c>
    </row>
    <row r="1750" customFormat="false" ht="15" hidden="false" customHeight="false" outlineLevel="0" collapsed="false">
      <c r="A1750" s="1" t="s">
        <v>550</v>
      </c>
      <c r="B1750" s="1" t="n">
        <v>2016</v>
      </c>
      <c r="C1750" s="1" t="s">
        <v>203</v>
      </c>
      <c r="D1750" s="1" t="s">
        <v>97</v>
      </c>
      <c r="E1750" s="1" t="s">
        <v>65</v>
      </c>
      <c r="F1750" s="1" t="n">
        <v>21</v>
      </c>
      <c r="G1750" s="1" t="n">
        <v>20</v>
      </c>
      <c r="H1750" s="1" t="s">
        <v>200</v>
      </c>
      <c r="I1750" s="1" t="n">
        <v>0</v>
      </c>
      <c r="J1750" s="1" t="n">
        <v>49.5</v>
      </c>
      <c r="K1750" s="1" t="s">
        <v>149</v>
      </c>
      <c r="L1750" s="1" t="b">
        <f aca="false">FALSE()</f>
        <v>0</v>
      </c>
      <c r="M1750" s="1" t="str">
        <f aca="false">VLOOKUP(D1750,'Team Reference'!$A:$B,2,FALSE())</f>
        <v>NYG</v>
      </c>
      <c r="N1750" s="1" t="str">
        <f aca="false">VLOOKUP(E1750,'Team Reference'!$A:$B,2,FALSE())</f>
        <v>CIN</v>
      </c>
      <c r="O1750" s="1" t="str">
        <f aca="false">IF(F1750&gt;G1750,M1750,IF(G1750&gt;F1750,N1750,"Tie"))</f>
        <v>NYG</v>
      </c>
      <c r="P1750" s="1" t="n">
        <f aca="false">F1750-G1750</f>
        <v>1</v>
      </c>
      <c r="Q1750" s="1" t="n">
        <f aca="false">F1750+G1750</f>
        <v>41</v>
      </c>
      <c r="R1750" s="1" t="str">
        <f aca="false">IF(H1750=M1750,"Home",IF(H1750=N1750,"Away",IF(H1750="PICK","Pick","N/A")))</f>
        <v>Pick</v>
      </c>
      <c r="S1750" s="1" t="str">
        <f aca="false">IF(R1750="Home",P1750,IF(R1750="Away",-P1750,""))</f>
        <v/>
      </c>
      <c r="T1750" s="1" t="str">
        <f aca="false">IF(R1750="Pick","No Line",IF(S1750="","N/A",IF(S1750+I1750&gt;0,"Favorite Covered",IF(S1750+I1750&lt;0,"Underdog Covered","Push"))))</f>
        <v>No Line</v>
      </c>
      <c r="U1750" s="1" t="str">
        <f aca="false">IF(Q1750&gt;J1750,"Over",IF(Q1750&lt;J1750,"Under","Push"))</f>
        <v>Under</v>
      </c>
    </row>
    <row r="1751" customFormat="false" ht="15" hidden="false" customHeight="false" outlineLevel="0" collapsed="false">
      <c r="A1751" s="1" t="s">
        <v>551</v>
      </c>
      <c r="B1751" s="1" t="n">
        <v>2016</v>
      </c>
      <c r="C1751" s="1" t="s">
        <v>207</v>
      </c>
      <c r="D1751" s="1" t="s">
        <v>61</v>
      </c>
      <c r="E1751" s="1" t="s">
        <v>95</v>
      </c>
      <c r="F1751" s="1" t="n">
        <v>23</v>
      </c>
      <c r="G1751" s="1" t="n">
        <v>20</v>
      </c>
      <c r="H1751" s="1" t="s">
        <v>62</v>
      </c>
      <c r="I1751" s="1" t="n">
        <v>-3.5</v>
      </c>
      <c r="J1751" s="1" t="n">
        <v>53.5</v>
      </c>
      <c r="K1751" s="1" t="s">
        <v>162</v>
      </c>
      <c r="L1751" s="1" t="b">
        <f aca="false">FALSE()</f>
        <v>0</v>
      </c>
      <c r="M1751" s="1" t="str">
        <f aca="false">VLOOKUP(D1751,'Team Reference'!$A:$B,2,FALSE())</f>
        <v>CAR</v>
      </c>
      <c r="N1751" s="1" t="str">
        <f aca="false">VLOOKUP(E1751,'Team Reference'!$A:$B,2,FALSE())</f>
        <v>NO</v>
      </c>
      <c r="O1751" s="1" t="str">
        <f aca="false">IF(F1751&gt;G1751,M1751,IF(G1751&gt;F1751,N1751,"Tie"))</f>
        <v>CAR</v>
      </c>
      <c r="P1751" s="1" t="n">
        <f aca="false">F1751-G1751</f>
        <v>3</v>
      </c>
      <c r="Q1751" s="1" t="n">
        <f aca="false">F1751+G1751</f>
        <v>43</v>
      </c>
      <c r="R1751" s="1" t="str">
        <f aca="false">IF(H1751=M1751,"Home",IF(H1751=N1751,"Away",IF(H1751="PICK","Pick","N/A")))</f>
        <v>Home</v>
      </c>
      <c r="S1751" s="1" t="n">
        <f aca="false">IF(R1751="Home",P1751,IF(R1751="Away",-P1751,""))</f>
        <v>3</v>
      </c>
      <c r="T1751" s="1" t="str">
        <f aca="false">IF(R1751="Pick","No Line",IF(S1751="","N/A",IF(S1751+I1751&gt;0,"Favorite Covered",IF(S1751+I1751&lt;0,"Underdog Covered","Push"))))</f>
        <v>Underdog Covered</v>
      </c>
      <c r="U1751" s="1" t="str">
        <f aca="false">IF(Q1751&gt;J1751,"Over",IF(Q1751&lt;J1751,"Under","Push"))</f>
        <v>Under</v>
      </c>
    </row>
    <row r="1752" customFormat="false" ht="15" hidden="false" customHeight="false" outlineLevel="0" collapsed="false">
      <c r="A1752" s="1" t="s">
        <v>552</v>
      </c>
      <c r="B1752" s="1" t="n">
        <v>2016</v>
      </c>
      <c r="C1752" s="1" t="s">
        <v>207</v>
      </c>
      <c r="D1752" s="1" t="s">
        <v>65</v>
      </c>
      <c r="E1752" s="1" t="s">
        <v>59</v>
      </c>
      <c r="F1752" s="1" t="n">
        <v>12</v>
      </c>
      <c r="G1752" s="1" t="n">
        <v>16</v>
      </c>
      <c r="H1752" s="1" t="s">
        <v>66</v>
      </c>
      <c r="I1752" s="1" t="n">
        <v>-2.5</v>
      </c>
      <c r="J1752" s="1" t="n">
        <v>48</v>
      </c>
      <c r="K1752" s="1" t="s">
        <v>163</v>
      </c>
      <c r="L1752" s="1" t="b">
        <f aca="false">FALSE()</f>
        <v>0</v>
      </c>
      <c r="M1752" s="1" t="str">
        <f aca="false">VLOOKUP(D1752,'Team Reference'!$A:$B,2,FALSE())</f>
        <v>CIN</v>
      </c>
      <c r="N1752" s="1" t="str">
        <f aca="false">VLOOKUP(E1752,'Team Reference'!$A:$B,2,FALSE())</f>
        <v>BUF</v>
      </c>
      <c r="O1752" s="1" t="str">
        <f aca="false">IF(F1752&gt;G1752,M1752,IF(G1752&gt;F1752,N1752,"Tie"))</f>
        <v>BUF</v>
      </c>
      <c r="P1752" s="1" t="n">
        <f aca="false">F1752-G1752</f>
        <v>-4</v>
      </c>
      <c r="Q1752" s="1" t="n">
        <f aca="false">F1752+G1752</f>
        <v>28</v>
      </c>
      <c r="R1752" s="1" t="str">
        <f aca="false">IF(H1752=M1752,"Home",IF(H1752=N1752,"Away",IF(H1752="PICK","Pick","N/A")))</f>
        <v>Home</v>
      </c>
      <c r="S1752" s="1" t="n">
        <f aca="false">IF(R1752="Home",P1752,IF(R1752="Away",-P1752,""))</f>
        <v>-4</v>
      </c>
      <c r="T1752" s="1" t="str">
        <f aca="false">IF(R1752="Pick","No Line",IF(S1752="","N/A",IF(S1752+I1752&gt;0,"Favorite Covered",IF(S1752+I1752&lt;0,"Underdog Covered","Push"))))</f>
        <v>Underdog Covered</v>
      </c>
      <c r="U1752" s="1" t="str">
        <f aca="false">IF(Q1752&gt;J1752,"Over",IF(Q1752&lt;J1752,"Under","Push"))</f>
        <v>Under</v>
      </c>
    </row>
    <row r="1753" customFormat="false" ht="15" hidden="false" customHeight="false" outlineLevel="0" collapsed="false">
      <c r="A1753" s="1" t="s">
        <v>552</v>
      </c>
      <c r="B1753" s="1" t="n">
        <v>2016</v>
      </c>
      <c r="C1753" s="1" t="s">
        <v>207</v>
      </c>
      <c r="D1753" s="1" t="s">
        <v>67</v>
      </c>
      <c r="E1753" s="1" t="s">
        <v>105</v>
      </c>
      <c r="F1753" s="1" t="n">
        <v>9</v>
      </c>
      <c r="G1753" s="1" t="n">
        <v>24</v>
      </c>
      <c r="H1753" s="1" t="s">
        <v>106</v>
      </c>
      <c r="I1753" s="1" t="n">
        <v>-8.5</v>
      </c>
      <c r="J1753" s="1" t="n">
        <v>45.5</v>
      </c>
      <c r="K1753" s="1" t="s">
        <v>164</v>
      </c>
      <c r="L1753" s="1" t="b">
        <f aca="false">FALSE()</f>
        <v>0</v>
      </c>
      <c r="M1753" s="1" t="str">
        <f aca="false">VLOOKUP(D1753,'Team Reference'!$A:$B,2,FALSE())</f>
        <v>CLE</v>
      </c>
      <c r="N1753" s="1" t="str">
        <f aca="false">VLOOKUP(E1753,'Team Reference'!$A:$B,2,FALSE())</f>
        <v>PIT</v>
      </c>
      <c r="O1753" s="1" t="str">
        <f aca="false">IF(F1753&gt;G1753,M1753,IF(G1753&gt;F1753,N1753,"Tie"))</f>
        <v>PIT</v>
      </c>
      <c r="P1753" s="1" t="n">
        <f aca="false">F1753-G1753</f>
        <v>-15</v>
      </c>
      <c r="Q1753" s="1" t="n">
        <f aca="false">F1753+G1753</f>
        <v>33</v>
      </c>
      <c r="R1753" s="1" t="str">
        <f aca="false">IF(H1753=M1753,"Home",IF(H1753=N1753,"Away",IF(H1753="PICK","Pick","N/A")))</f>
        <v>Away</v>
      </c>
      <c r="S1753" s="1" t="n">
        <f aca="false">IF(R1753="Home",P1753,IF(R1753="Away",-P1753,""))</f>
        <v>15</v>
      </c>
      <c r="T1753" s="1" t="str">
        <f aca="false">IF(R1753="Pick","No Line",IF(S1753="","N/A",IF(S1753+I1753&gt;0,"Favorite Covered",IF(S1753+I1753&lt;0,"Underdog Covered","Push"))))</f>
        <v>Favorite Covered</v>
      </c>
      <c r="U1753" s="1" t="str">
        <f aca="false">IF(Q1753&gt;J1753,"Over",IF(Q1753&lt;J1753,"Under","Push"))</f>
        <v>Under</v>
      </c>
    </row>
    <row r="1754" customFormat="false" ht="15" hidden="false" customHeight="false" outlineLevel="0" collapsed="false">
      <c r="A1754" s="1" t="s">
        <v>552</v>
      </c>
      <c r="B1754" s="1" t="n">
        <v>2016</v>
      </c>
      <c r="C1754" s="1" t="s">
        <v>207</v>
      </c>
      <c r="D1754" s="1" t="s">
        <v>69</v>
      </c>
      <c r="E1754" s="1" t="s">
        <v>57</v>
      </c>
      <c r="F1754" s="1" t="n">
        <v>27</v>
      </c>
      <c r="G1754" s="1" t="n">
        <v>17</v>
      </c>
      <c r="H1754" s="1" t="s">
        <v>70</v>
      </c>
      <c r="I1754" s="1" t="n">
        <v>-7</v>
      </c>
      <c r="J1754" s="1" t="n">
        <v>44.5</v>
      </c>
      <c r="K1754" s="1" t="s">
        <v>165</v>
      </c>
      <c r="L1754" s="1" t="b">
        <f aca="false">FALSE()</f>
        <v>0</v>
      </c>
      <c r="M1754" s="1" t="str">
        <f aca="false">VLOOKUP(D1754,'Team Reference'!$A:$B,2,FALSE())</f>
        <v>DAL</v>
      </c>
      <c r="N1754" s="1" t="str">
        <f aca="false">VLOOKUP(E1754,'Team Reference'!$A:$B,2,FALSE())</f>
        <v>BAL</v>
      </c>
      <c r="O1754" s="1" t="str">
        <f aca="false">IF(F1754&gt;G1754,M1754,IF(G1754&gt;F1754,N1754,"Tie"))</f>
        <v>DAL</v>
      </c>
      <c r="P1754" s="1" t="n">
        <f aca="false">F1754-G1754</f>
        <v>10</v>
      </c>
      <c r="Q1754" s="1" t="n">
        <f aca="false">F1754+G1754</f>
        <v>44</v>
      </c>
      <c r="R1754" s="1" t="str">
        <f aca="false">IF(H1754=M1754,"Home",IF(H1754=N1754,"Away",IF(H1754="PICK","Pick","N/A")))</f>
        <v>Home</v>
      </c>
      <c r="S1754" s="1" t="n">
        <f aca="false">IF(R1754="Home",P1754,IF(R1754="Away",-P1754,""))</f>
        <v>10</v>
      </c>
      <c r="T1754" s="1" t="str">
        <f aca="false">IF(R1754="Pick","No Line",IF(S1754="","N/A",IF(S1754+I1754&gt;0,"Favorite Covered",IF(S1754+I1754&lt;0,"Underdog Covered","Push"))))</f>
        <v>Favorite Covered</v>
      </c>
      <c r="U1754" s="1" t="str">
        <f aca="false">IF(Q1754&gt;J1754,"Over",IF(Q1754&lt;J1754,"Under","Push"))</f>
        <v>Under</v>
      </c>
    </row>
    <row r="1755" customFormat="false" ht="15" hidden="false" customHeight="false" outlineLevel="0" collapsed="false">
      <c r="A1755" s="1" t="s">
        <v>552</v>
      </c>
      <c r="B1755" s="1" t="n">
        <v>2016</v>
      </c>
      <c r="C1755" s="1" t="s">
        <v>207</v>
      </c>
      <c r="D1755" s="1" t="s">
        <v>73</v>
      </c>
      <c r="E1755" s="1" t="s">
        <v>81</v>
      </c>
      <c r="F1755" s="1" t="n">
        <v>26</v>
      </c>
      <c r="G1755" s="1" t="n">
        <v>19</v>
      </c>
      <c r="H1755" s="1" t="s">
        <v>74</v>
      </c>
      <c r="I1755" s="1" t="n">
        <v>-5.5</v>
      </c>
      <c r="J1755" s="1" t="n">
        <v>47</v>
      </c>
      <c r="K1755" s="1" t="s">
        <v>167</v>
      </c>
      <c r="L1755" s="1" t="b">
        <f aca="false">FALSE()</f>
        <v>0</v>
      </c>
      <c r="M1755" s="1" t="str">
        <f aca="false">VLOOKUP(D1755,'Team Reference'!$A:$B,2,FALSE())</f>
        <v>DET</v>
      </c>
      <c r="N1755" s="1" t="str">
        <f aca="false">VLOOKUP(E1755,'Team Reference'!$A:$B,2,FALSE())</f>
        <v>JAX</v>
      </c>
      <c r="O1755" s="1" t="str">
        <f aca="false">IF(F1755&gt;G1755,M1755,IF(G1755&gt;F1755,N1755,"Tie"))</f>
        <v>DET</v>
      </c>
      <c r="P1755" s="1" t="n">
        <f aca="false">F1755-G1755</f>
        <v>7</v>
      </c>
      <c r="Q1755" s="1" t="n">
        <f aca="false">F1755+G1755</f>
        <v>45</v>
      </c>
      <c r="R1755" s="1" t="str">
        <f aca="false">IF(H1755=M1755,"Home",IF(H1755=N1755,"Away",IF(H1755="PICK","Pick","N/A")))</f>
        <v>Home</v>
      </c>
      <c r="S1755" s="1" t="n">
        <f aca="false">IF(R1755="Home",P1755,IF(R1755="Away",-P1755,""))</f>
        <v>7</v>
      </c>
      <c r="T1755" s="1" t="str">
        <f aca="false">IF(R1755="Pick","No Line",IF(S1755="","N/A",IF(S1755+I1755&gt;0,"Favorite Covered",IF(S1755+I1755&lt;0,"Underdog Covered","Push"))))</f>
        <v>Favorite Covered</v>
      </c>
      <c r="U1755" s="1" t="str">
        <f aca="false">IF(Q1755&gt;J1755,"Over",IF(Q1755&lt;J1755,"Under","Push"))</f>
        <v>Under</v>
      </c>
    </row>
    <row r="1756" customFormat="false" ht="15" hidden="false" customHeight="false" outlineLevel="0" collapsed="false">
      <c r="A1756" s="1" t="s">
        <v>552</v>
      </c>
      <c r="B1756" s="1" t="n">
        <v>2016</v>
      </c>
      <c r="C1756" s="1" t="s">
        <v>207</v>
      </c>
      <c r="D1756" s="1" t="s">
        <v>79</v>
      </c>
      <c r="E1756" s="1" t="s">
        <v>115</v>
      </c>
      <c r="F1756" s="1" t="n">
        <v>24</v>
      </c>
      <c r="G1756" s="1" t="n">
        <v>17</v>
      </c>
      <c r="H1756" s="1" t="s">
        <v>80</v>
      </c>
      <c r="I1756" s="1" t="n">
        <v>-3</v>
      </c>
      <c r="J1756" s="1" t="n">
        <v>54</v>
      </c>
      <c r="K1756" s="1" t="s">
        <v>169</v>
      </c>
      <c r="L1756" s="1" t="b">
        <f aca="false">FALSE()</f>
        <v>0</v>
      </c>
      <c r="M1756" s="1" t="str">
        <f aca="false">VLOOKUP(D1756,'Team Reference'!$A:$B,2,FALSE())</f>
        <v>IND</v>
      </c>
      <c r="N1756" s="1" t="str">
        <f aca="false">VLOOKUP(E1756,'Team Reference'!$A:$B,2,FALSE())</f>
        <v>TEN</v>
      </c>
      <c r="O1756" s="1" t="str">
        <f aca="false">IF(F1756&gt;G1756,M1756,IF(G1756&gt;F1756,N1756,"Tie"))</f>
        <v>IND</v>
      </c>
      <c r="P1756" s="1" t="n">
        <f aca="false">F1756-G1756</f>
        <v>7</v>
      </c>
      <c r="Q1756" s="1" t="n">
        <f aca="false">F1756+G1756</f>
        <v>41</v>
      </c>
      <c r="R1756" s="1" t="str">
        <f aca="false">IF(H1756=M1756,"Home",IF(H1756=N1756,"Away",IF(H1756="PICK","Pick","N/A")))</f>
        <v>Home</v>
      </c>
      <c r="S1756" s="1" t="n">
        <f aca="false">IF(R1756="Home",P1756,IF(R1756="Away",-P1756,""))</f>
        <v>7</v>
      </c>
      <c r="T1756" s="1" t="str">
        <f aca="false">IF(R1756="Pick","No Line",IF(S1756="","N/A",IF(S1756+I1756&gt;0,"Favorite Covered",IF(S1756+I1756&lt;0,"Underdog Covered","Push"))))</f>
        <v>Favorite Covered</v>
      </c>
      <c r="U1756" s="1" t="str">
        <f aca="false">IF(Q1756&gt;J1756,"Over",IF(Q1756&lt;J1756,"Under","Push"))</f>
        <v>Under</v>
      </c>
    </row>
    <row r="1757" customFormat="false" ht="15" hidden="false" customHeight="false" outlineLevel="0" collapsed="false">
      <c r="A1757" s="1" t="s">
        <v>552</v>
      </c>
      <c r="B1757" s="1" t="n">
        <v>2016</v>
      </c>
      <c r="C1757" s="1" t="s">
        <v>207</v>
      </c>
      <c r="D1757" s="1" t="s">
        <v>83</v>
      </c>
      <c r="E1757" s="1" t="s">
        <v>113</v>
      </c>
      <c r="F1757" s="1" t="n">
        <v>17</v>
      </c>
      <c r="G1757" s="1" t="n">
        <v>19</v>
      </c>
      <c r="H1757" s="1" t="s">
        <v>84</v>
      </c>
      <c r="I1757" s="1" t="n">
        <v>-7</v>
      </c>
      <c r="J1757" s="1" t="n">
        <v>45</v>
      </c>
      <c r="K1757" s="1" t="s">
        <v>158</v>
      </c>
      <c r="L1757" s="1" t="b">
        <f aca="false">FALSE()</f>
        <v>0</v>
      </c>
      <c r="M1757" s="1" t="str">
        <f aca="false">VLOOKUP(D1757,'Team Reference'!$A:$B,2,FALSE())</f>
        <v>KC</v>
      </c>
      <c r="N1757" s="1" t="str">
        <f aca="false">VLOOKUP(E1757,'Team Reference'!$A:$B,2,FALSE())</f>
        <v>TB</v>
      </c>
      <c r="O1757" s="1" t="str">
        <f aca="false">IF(F1757&gt;G1757,M1757,IF(G1757&gt;F1757,N1757,"Tie"))</f>
        <v>TB</v>
      </c>
      <c r="P1757" s="1" t="n">
        <f aca="false">F1757-G1757</f>
        <v>-2</v>
      </c>
      <c r="Q1757" s="1" t="n">
        <f aca="false">F1757+G1757</f>
        <v>36</v>
      </c>
      <c r="R1757" s="1" t="str">
        <f aca="false">IF(H1757=M1757,"Home",IF(H1757=N1757,"Away",IF(H1757="PICK","Pick","N/A")))</f>
        <v>Home</v>
      </c>
      <c r="S1757" s="1" t="n">
        <f aca="false">IF(R1757="Home",P1757,IF(R1757="Away",-P1757,""))</f>
        <v>-2</v>
      </c>
      <c r="T1757" s="1" t="str">
        <f aca="false">IF(R1757="Pick","No Line",IF(S1757="","N/A",IF(S1757+I1757&gt;0,"Favorite Covered",IF(S1757+I1757&lt;0,"Underdog Covered","Push"))))</f>
        <v>Underdog Covered</v>
      </c>
      <c r="U1757" s="1" t="str">
        <f aca="false">IF(Q1757&gt;J1757,"Over",IF(Q1757&lt;J1757,"Under","Push"))</f>
        <v>Under</v>
      </c>
    </row>
    <row r="1758" customFormat="false" ht="15" hidden="false" customHeight="false" outlineLevel="0" collapsed="false">
      <c r="A1758" s="1" t="s">
        <v>552</v>
      </c>
      <c r="B1758" s="1" t="n">
        <v>2016</v>
      </c>
      <c r="C1758" s="1" t="s">
        <v>207</v>
      </c>
      <c r="D1758" s="1" t="s">
        <v>87</v>
      </c>
      <c r="E1758" s="1" t="s">
        <v>89</v>
      </c>
      <c r="F1758" s="1" t="n">
        <v>10</v>
      </c>
      <c r="G1758" s="1" t="n">
        <v>14</v>
      </c>
      <c r="H1758" s="1" t="s">
        <v>90</v>
      </c>
      <c r="I1758" s="1" t="n">
        <v>-1</v>
      </c>
      <c r="J1758" s="1" t="n">
        <v>38.5</v>
      </c>
      <c r="K1758" s="1" t="s">
        <v>520</v>
      </c>
      <c r="L1758" s="1" t="b">
        <f aca="false">FALSE()</f>
        <v>0</v>
      </c>
      <c r="M1758" s="1" t="str">
        <f aca="false">VLOOKUP(D1758,'Team Reference'!$A:$B,2,FALSE())</f>
        <v>LAR</v>
      </c>
      <c r="N1758" s="1" t="str">
        <f aca="false">VLOOKUP(E1758,'Team Reference'!$A:$B,2,FALSE())</f>
        <v>MIA</v>
      </c>
      <c r="O1758" s="1" t="str">
        <f aca="false">IF(F1758&gt;G1758,M1758,IF(G1758&gt;F1758,N1758,"Tie"))</f>
        <v>MIA</v>
      </c>
      <c r="P1758" s="1" t="n">
        <f aca="false">F1758-G1758</f>
        <v>-4</v>
      </c>
      <c r="Q1758" s="1" t="n">
        <f aca="false">F1758+G1758</f>
        <v>24</v>
      </c>
      <c r="R1758" s="1" t="str">
        <f aca="false">IF(H1758=M1758,"Home",IF(H1758=N1758,"Away",IF(H1758="PICK","Pick","N/A")))</f>
        <v>Away</v>
      </c>
      <c r="S1758" s="1" t="n">
        <f aca="false">IF(R1758="Home",P1758,IF(R1758="Away",-P1758,""))</f>
        <v>4</v>
      </c>
      <c r="T1758" s="1" t="str">
        <f aca="false">IF(R1758="Pick","No Line",IF(S1758="","N/A",IF(S1758+I1758&gt;0,"Favorite Covered",IF(S1758+I1758&lt;0,"Underdog Covered","Push"))))</f>
        <v>Favorite Covered</v>
      </c>
      <c r="U1758" s="1" t="str">
        <f aca="false">IF(Q1758&gt;J1758,"Over",IF(Q1758&lt;J1758,"Under","Push"))</f>
        <v>Under</v>
      </c>
    </row>
    <row r="1759" customFormat="false" ht="15" hidden="false" customHeight="false" outlineLevel="0" collapsed="false">
      <c r="A1759" s="1" t="s">
        <v>552</v>
      </c>
      <c r="B1759" s="1" t="n">
        <v>2016</v>
      </c>
      <c r="C1759" s="1" t="s">
        <v>207</v>
      </c>
      <c r="D1759" s="1" t="s">
        <v>91</v>
      </c>
      <c r="E1759" s="1" t="s">
        <v>53</v>
      </c>
      <c r="F1759" s="1" t="n">
        <v>30</v>
      </c>
      <c r="G1759" s="1" t="n">
        <v>24</v>
      </c>
      <c r="H1759" s="1" t="s">
        <v>92</v>
      </c>
      <c r="I1759" s="1" t="n">
        <v>-2</v>
      </c>
      <c r="J1759" s="1" t="n">
        <v>40</v>
      </c>
      <c r="K1759" s="1" t="s">
        <v>525</v>
      </c>
      <c r="L1759" s="1" t="b">
        <f aca="false">FALSE()</f>
        <v>0</v>
      </c>
      <c r="M1759" s="1" t="str">
        <f aca="false">VLOOKUP(D1759,'Team Reference'!$A:$B,2,FALSE())</f>
        <v>MIN</v>
      </c>
      <c r="N1759" s="1" t="str">
        <f aca="false">VLOOKUP(E1759,'Team Reference'!$A:$B,2,FALSE())</f>
        <v>ARI</v>
      </c>
      <c r="O1759" s="1" t="str">
        <f aca="false">IF(F1759&gt;G1759,M1759,IF(G1759&gt;F1759,N1759,"Tie"))</f>
        <v>MIN</v>
      </c>
      <c r="P1759" s="1" t="n">
        <f aca="false">F1759-G1759</f>
        <v>6</v>
      </c>
      <c r="Q1759" s="1" t="n">
        <f aca="false">F1759+G1759</f>
        <v>54</v>
      </c>
      <c r="R1759" s="1" t="str">
        <f aca="false">IF(H1759=M1759,"Home",IF(H1759=N1759,"Away",IF(H1759="PICK","Pick","N/A")))</f>
        <v>Home</v>
      </c>
      <c r="S1759" s="1" t="n">
        <f aca="false">IF(R1759="Home",P1759,IF(R1759="Away",-P1759,""))</f>
        <v>6</v>
      </c>
      <c r="T1759" s="1" t="str">
        <f aca="false">IF(R1759="Pick","No Line",IF(S1759="","N/A",IF(S1759+I1759&gt;0,"Favorite Covered",IF(S1759+I1759&lt;0,"Underdog Covered","Push"))))</f>
        <v>Favorite Covered</v>
      </c>
      <c r="U1759" s="1" t="str">
        <f aca="false">IF(Q1759&gt;J1759,"Over",IF(Q1759&lt;J1759,"Under","Push"))</f>
        <v>Over</v>
      </c>
    </row>
    <row r="1760" customFormat="false" ht="15" hidden="false" customHeight="false" outlineLevel="0" collapsed="false">
      <c r="A1760" s="1" t="s">
        <v>552</v>
      </c>
      <c r="B1760" s="1" t="n">
        <v>2016</v>
      </c>
      <c r="C1760" s="1" t="s">
        <v>207</v>
      </c>
      <c r="D1760" s="1" t="s">
        <v>97</v>
      </c>
      <c r="E1760" s="1" t="s">
        <v>63</v>
      </c>
      <c r="F1760" s="1" t="n">
        <v>22</v>
      </c>
      <c r="G1760" s="1" t="n">
        <v>16</v>
      </c>
      <c r="H1760" s="1" t="s">
        <v>98</v>
      </c>
      <c r="I1760" s="1" t="n">
        <v>-7</v>
      </c>
      <c r="J1760" s="1" t="n">
        <v>41.5</v>
      </c>
      <c r="K1760" s="1" t="s">
        <v>149</v>
      </c>
      <c r="L1760" s="1" t="b">
        <f aca="false">FALSE()</f>
        <v>0</v>
      </c>
      <c r="M1760" s="1" t="str">
        <f aca="false">VLOOKUP(D1760,'Team Reference'!$A:$B,2,FALSE())</f>
        <v>NYG</v>
      </c>
      <c r="N1760" s="1" t="str">
        <f aca="false">VLOOKUP(E1760,'Team Reference'!$A:$B,2,FALSE())</f>
        <v>CHI</v>
      </c>
      <c r="O1760" s="1" t="str">
        <f aca="false">IF(F1760&gt;G1760,M1760,IF(G1760&gt;F1760,N1760,"Tie"))</f>
        <v>NYG</v>
      </c>
      <c r="P1760" s="1" t="n">
        <f aca="false">F1760-G1760</f>
        <v>6</v>
      </c>
      <c r="Q1760" s="1" t="n">
        <f aca="false">F1760+G1760</f>
        <v>38</v>
      </c>
      <c r="R1760" s="1" t="str">
        <f aca="false">IF(H1760=M1760,"Home",IF(H1760=N1760,"Away",IF(H1760="PICK","Pick","N/A")))</f>
        <v>Home</v>
      </c>
      <c r="S1760" s="1" t="n">
        <f aca="false">IF(R1760="Home",P1760,IF(R1760="Away",-P1760,""))</f>
        <v>6</v>
      </c>
      <c r="T1760" s="1" t="str">
        <f aca="false">IF(R1760="Pick","No Line",IF(S1760="","N/A",IF(S1760+I1760&gt;0,"Favorite Covered",IF(S1760+I1760&lt;0,"Underdog Covered","Push"))))</f>
        <v>Underdog Covered</v>
      </c>
      <c r="U1760" s="1" t="str">
        <f aca="false">IF(Q1760&gt;J1760,"Over",IF(Q1760&lt;J1760,"Under","Push"))</f>
        <v>Under</v>
      </c>
    </row>
    <row r="1761" customFormat="false" ht="15" hidden="false" customHeight="false" outlineLevel="0" collapsed="false">
      <c r="A1761" s="1" t="s">
        <v>552</v>
      </c>
      <c r="B1761" s="1" t="n">
        <v>2016</v>
      </c>
      <c r="C1761" s="1" t="s">
        <v>207</v>
      </c>
      <c r="D1761" s="1" t="s">
        <v>108</v>
      </c>
      <c r="E1761" s="1" t="s">
        <v>93</v>
      </c>
      <c r="F1761" s="1" t="n">
        <v>17</v>
      </c>
      <c r="G1761" s="1" t="n">
        <v>30</v>
      </c>
      <c r="H1761" s="1" t="s">
        <v>94</v>
      </c>
      <c r="I1761" s="1" t="n">
        <v>-11.5</v>
      </c>
      <c r="J1761" s="1" t="n">
        <v>51.5</v>
      </c>
      <c r="K1761" s="1" t="s">
        <v>408</v>
      </c>
      <c r="L1761" s="1" t="b">
        <f aca="false">FALSE()</f>
        <v>0</v>
      </c>
      <c r="M1761" s="1" t="str">
        <f aca="false">VLOOKUP(D1761,'Team Reference'!$A:$B,2,FALSE())</f>
        <v>SF</v>
      </c>
      <c r="N1761" s="1" t="str">
        <f aca="false">VLOOKUP(E1761,'Team Reference'!$A:$B,2,FALSE())</f>
        <v>NE</v>
      </c>
      <c r="O1761" s="1" t="str">
        <f aca="false">IF(F1761&gt;G1761,M1761,IF(G1761&gt;F1761,N1761,"Tie"))</f>
        <v>NE</v>
      </c>
      <c r="P1761" s="1" t="n">
        <f aca="false">F1761-G1761</f>
        <v>-13</v>
      </c>
      <c r="Q1761" s="1" t="n">
        <f aca="false">F1761+G1761</f>
        <v>47</v>
      </c>
      <c r="R1761" s="1" t="str">
        <f aca="false">IF(H1761=M1761,"Home",IF(H1761=N1761,"Away",IF(H1761="PICK","Pick","N/A")))</f>
        <v>Away</v>
      </c>
      <c r="S1761" s="1" t="n">
        <f aca="false">IF(R1761="Home",P1761,IF(R1761="Away",-P1761,""))</f>
        <v>13</v>
      </c>
      <c r="T1761" s="1" t="str">
        <f aca="false">IF(R1761="Pick","No Line",IF(S1761="","N/A",IF(S1761+I1761&gt;0,"Favorite Covered",IF(S1761+I1761&lt;0,"Underdog Covered","Push"))))</f>
        <v>Favorite Covered</v>
      </c>
      <c r="U1761" s="1" t="str">
        <f aca="false">IF(Q1761&gt;J1761,"Over",IF(Q1761&lt;J1761,"Under","Push"))</f>
        <v>Under</v>
      </c>
    </row>
    <row r="1762" customFormat="false" ht="15" hidden="false" customHeight="false" outlineLevel="0" collapsed="false">
      <c r="A1762" s="1" t="s">
        <v>552</v>
      </c>
      <c r="B1762" s="1" t="n">
        <v>2016</v>
      </c>
      <c r="C1762" s="1" t="s">
        <v>207</v>
      </c>
      <c r="D1762" s="1" t="s">
        <v>110</v>
      </c>
      <c r="E1762" s="1" t="s">
        <v>103</v>
      </c>
      <c r="F1762" s="1" t="n">
        <v>26</v>
      </c>
      <c r="G1762" s="1" t="n">
        <v>15</v>
      </c>
      <c r="H1762" s="1" t="s">
        <v>111</v>
      </c>
      <c r="I1762" s="1" t="n">
        <v>-6.5</v>
      </c>
      <c r="J1762" s="1" t="n">
        <v>43</v>
      </c>
      <c r="K1762" s="1" t="s">
        <v>152</v>
      </c>
      <c r="L1762" s="1" t="b">
        <f aca="false">FALSE()</f>
        <v>0</v>
      </c>
      <c r="M1762" s="1" t="str">
        <f aca="false">VLOOKUP(D1762,'Team Reference'!$A:$B,2,FALSE())</f>
        <v>SEA</v>
      </c>
      <c r="N1762" s="1" t="str">
        <f aca="false">VLOOKUP(E1762,'Team Reference'!$A:$B,2,FALSE())</f>
        <v>PHI</v>
      </c>
      <c r="O1762" s="1" t="str">
        <f aca="false">IF(F1762&gt;G1762,M1762,IF(G1762&gt;F1762,N1762,"Tie"))</f>
        <v>SEA</v>
      </c>
      <c r="P1762" s="1" t="n">
        <f aca="false">F1762-G1762</f>
        <v>11</v>
      </c>
      <c r="Q1762" s="1" t="n">
        <f aca="false">F1762+G1762</f>
        <v>41</v>
      </c>
      <c r="R1762" s="1" t="str">
        <f aca="false">IF(H1762=M1762,"Home",IF(H1762=N1762,"Away",IF(H1762="PICK","Pick","N/A")))</f>
        <v>Home</v>
      </c>
      <c r="S1762" s="1" t="n">
        <f aca="false">IF(R1762="Home",P1762,IF(R1762="Away",-P1762,""))</f>
        <v>11</v>
      </c>
      <c r="T1762" s="1" t="str">
        <f aca="false">IF(R1762="Pick","No Line",IF(S1762="","N/A",IF(S1762+I1762&gt;0,"Favorite Covered",IF(S1762+I1762&lt;0,"Underdog Covered","Push"))))</f>
        <v>Favorite Covered</v>
      </c>
      <c r="U1762" s="1" t="str">
        <f aca="false">IF(Q1762&gt;J1762,"Over",IF(Q1762&lt;J1762,"Under","Push"))</f>
        <v>Under</v>
      </c>
    </row>
    <row r="1763" customFormat="false" ht="15" hidden="false" customHeight="false" outlineLevel="0" collapsed="false">
      <c r="A1763" s="1" t="s">
        <v>552</v>
      </c>
      <c r="B1763" s="1" t="n">
        <v>2016</v>
      </c>
      <c r="C1763" s="1" t="s">
        <v>207</v>
      </c>
      <c r="D1763" s="1" t="s">
        <v>117</v>
      </c>
      <c r="E1763" s="1" t="s">
        <v>75</v>
      </c>
      <c r="F1763" s="1" t="n">
        <v>42</v>
      </c>
      <c r="G1763" s="1" t="n">
        <v>24</v>
      </c>
      <c r="H1763" s="1" t="s">
        <v>118</v>
      </c>
      <c r="I1763" s="1" t="n">
        <v>-3</v>
      </c>
      <c r="J1763" s="1" t="n">
        <v>48.5</v>
      </c>
      <c r="K1763" s="1" t="s">
        <v>156</v>
      </c>
      <c r="L1763" s="1" t="b">
        <f aca="false">FALSE()</f>
        <v>0</v>
      </c>
      <c r="M1763" s="1" t="str">
        <f aca="false">VLOOKUP(D1763,'Team Reference'!$A:$B,2,FALSE())</f>
        <v>WAS</v>
      </c>
      <c r="N1763" s="1" t="str">
        <f aca="false">VLOOKUP(E1763,'Team Reference'!$A:$B,2,FALSE())</f>
        <v>GB</v>
      </c>
      <c r="O1763" s="1" t="str">
        <f aca="false">IF(F1763&gt;G1763,M1763,IF(G1763&gt;F1763,N1763,"Tie"))</f>
        <v>WAS</v>
      </c>
      <c r="P1763" s="1" t="n">
        <f aca="false">F1763-G1763</f>
        <v>18</v>
      </c>
      <c r="Q1763" s="1" t="n">
        <f aca="false">F1763+G1763</f>
        <v>66</v>
      </c>
      <c r="R1763" s="1" t="str">
        <f aca="false">IF(H1763=M1763,"Home",IF(H1763=N1763,"Away",IF(H1763="PICK","Pick","N/A")))</f>
        <v>Home</v>
      </c>
      <c r="S1763" s="1" t="n">
        <f aca="false">IF(R1763="Home",P1763,IF(R1763="Away",-P1763,""))</f>
        <v>18</v>
      </c>
      <c r="T1763" s="1" t="str">
        <f aca="false">IF(R1763="Pick","No Line",IF(S1763="","N/A",IF(S1763+I1763&gt;0,"Favorite Covered",IF(S1763+I1763&lt;0,"Underdog Covered","Push"))))</f>
        <v>Favorite Covered</v>
      </c>
      <c r="U1763" s="1" t="str">
        <f aca="false">IF(Q1763&gt;J1763,"Over",IF(Q1763&lt;J1763,"Under","Push"))</f>
        <v>Over</v>
      </c>
    </row>
    <row r="1764" customFormat="false" ht="15" hidden="false" customHeight="false" outlineLevel="0" collapsed="false">
      <c r="A1764" s="1" t="s">
        <v>553</v>
      </c>
      <c r="B1764" s="1" t="n">
        <v>2016</v>
      </c>
      <c r="C1764" s="1" t="s">
        <v>207</v>
      </c>
      <c r="D1764" s="1" t="s">
        <v>101</v>
      </c>
      <c r="E1764" s="1" t="s">
        <v>77</v>
      </c>
      <c r="F1764" s="1" t="n">
        <v>27</v>
      </c>
      <c r="G1764" s="1" t="n">
        <v>20</v>
      </c>
      <c r="H1764" s="1" t="s">
        <v>102</v>
      </c>
      <c r="I1764" s="1" t="n">
        <v>-6.5</v>
      </c>
      <c r="J1764" s="1" t="n">
        <v>46</v>
      </c>
      <c r="K1764" s="1" t="s">
        <v>554</v>
      </c>
      <c r="L1764" s="1" t="b">
        <f aca="false">FALSE()</f>
        <v>0</v>
      </c>
      <c r="M1764" s="1" t="str">
        <f aca="false">VLOOKUP(D1764,'Team Reference'!$A:$B,2,FALSE())</f>
        <v>OAK</v>
      </c>
      <c r="N1764" s="1" t="str">
        <f aca="false">VLOOKUP(E1764,'Team Reference'!$A:$B,2,FALSE())</f>
        <v>HOU</v>
      </c>
      <c r="O1764" s="1" t="str">
        <f aca="false">IF(F1764&gt;G1764,M1764,IF(G1764&gt;F1764,N1764,"Tie"))</f>
        <v>OAK</v>
      </c>
      <c r="P1764" s="1" t="n">
        <f aca="false">F1764-G1764</f>
        <v>7</v>
      </c>
      <c r="Q1764" s="1" t="n">
        <f aca="false">F1764+G1764</f>
        <v>47</v>
      </c>
      <c r="R1764" s="1" t="str">
        <f aca="false">IF(H1764=M1764,"Home",IF(H1764=N1764,"Away",IF(H1764="PICK","Pick","N/A")))</f>
        <v>Home</v>
      </c>
      <c r="S1764" s="1" t="n">
        <f aca="false">IF(R1764="Home",P1764,IF(R1764="Away",-P1764,""))</f>
        <v>7</v>
      </c>
      <c r="T1764" s="1" t="str">
        <f aca="false">IF(R1764="Pick","No Line",IF(S1764="","N/A",IF(S1764+I1764&gt;0,"Favorite Covered",IF(S1764+I1764&lt;0,"Underdog Covered","Push"))))</f>
        <v>Favorite Covered</v>
      </c>
      <c r="U1764" s="1" t="str">
        <f aca="false">IF(Q1764&gt;J1764,"Over",IF(Q1764&lt;J1764,"Under","Push"))</f>
        <v>Over</v>
      </c>
    </row>
    <row r="1765" customFormat="false" ht="15" hidden="false" customHeight="false" outlineLevel="0" collapsed="false">
      <c r="A1765" s="1" t="s">
        <v>555</v>
      </c>
      <c r="B1765" s="1" t="n">
        <v>2016</v>
      </c>
      <c r="C1765" s="1" t="s">
        <v>211</v>
      </c>
      <c r="D1765" s="1" t="s">
        <v>69</v>
      </c>
      <c r="E1765" s="1" t="s">
        <v>117</v>
      </c>
      <c r="F1765" s="1" t="n">
        <v>31</v>
      </c>
      <c r="G1765" s="1" t="n">
        <v>26</v>
      </c>
      <c r="H1765" s="1" t="s">
        <v>70</v>
      </c>
      <c r="I1765" s="1" t="n">
        <v>-6</v>
      </c>
      <c r="J1765" s="1" t="n">
        <v>53.5</v>
      </c>
      <c r="K1765" s="1" t="s">
        <v>165</v>
      </c>
      <c r="L1765" s="1" t="b">
        <f aca="false">FALSE()</f>
        <v>0</v>
      </c>
      <c r="M1765" s="1" t="str">
        <f aca="false">VLOOKUP(D1765,'Team Reference'!$A:$B,2,FALSE())</f>
        <v>DAL</v>
      </c>
      <c r="N1765" s="1" t="str">
        <f aca="false">VLOOKUP(E1765,'Team Reference'!$A:$B,2,FALSE())</f>
        <v>WAS</v>
      </c>
      <c r="O1765" s="1" t="str">
        <f aca="false">IF(F1765&gt;G1765,M1765,IF(G1765&gt;F1765,N1765,"Tie"))</f>
        <v>DAL</v>
      </c>
      <c r="P1765" s="1" t="n">
        <f aca="false">F1765-G1765</f>
        <v>5</v>
      </c>
      <c r="Q1765" s="1" t="n">
        <f aca="false">F1765+G1765</f>
        <v>57</v>
      </c>
      <c r="R1765" s="1" t="str">
        <f aca="false">IF(H1765=M1765,"Home",IF(H1765=N1765,"Away",IF(H1765="PICK","Pick","N/A")))</f>
        <v>Home</v>
      </c>
      <c r="S1765" s="1" t="n">
        <f aca="false">IF(R1765="Home",P1765,IF(R1765="Away",-P1765,""))</f>
        <v>5</v>
      </c>
      <c r="T1765" s="1" t="str">
        <f aca="false">IF(R1765="Pick","No Line",IF(S1765="","N/A",IF(S1765+I1765&gt;0,"Favorite Covered",IF(S1765+I1765&lt;0,"Underdog Covered","Push"))))</f>
        <v>Underdog Covered</v>
      </c>
      <c r="U1765" s="1" t="str">
        <f aca="false">IF(Q1765&gt;J1765,"Over",IF(Q1765&lt;J1765,"Under","Push"))</f>
        <v>Over</v>
      </c>
    </row>
    <row r="1766" customFormat="false" ht="15" hidden="false" customHeight="false" outlineLevel="0" collapsed="false">
      <c r="A1766" s="1" t="s">
        <v>555</v>
      </c>
      <c r="B1766" s="1" t="n">
        <v>2016</v>
      </c>
      <c r="C1766" s="1" t="s">
        <v>211</v>
      </c>
      <c r="D1766" s="1" t="s">
        <v>73</v>
      </c>
      <c r="E1766" s="1" t="s">
        <v>91</v>
      </c>
      <c r="F1766" s="1" t="n">
        <v>16</v>
      </c>
      <c r="G1766" s="1" t="n">
        <v>13</v>
      </c>
      <c r="H1766" s="1" t="s">
        <v>74</v>
      </c>
      <c r="I1766" s="1" t="n">
        <v>-1.5</v>
      </c>
      <c r="J1766" s="1" t="n">
        <v>42</v>
      </c>
      <c r="K1766" s="1" t="s">
        <v>167</v>
      </c>
      <c r="L1766" s="1" t="b">
        <f aca="false">FALSE()</f>
        <v>0</v>
      </c>
      <c r="M1766" s="1" t="str">
        <f aca="false">VLOOKUP(D1766,'Team Reference'!$A:$B,2,FALSE())</f>
        <v>DET</v>
      </c>
      <c r="N1766" s="1" t="str">
        <f aca="false">VLOOKUP(E1766,'Team Reference'!$A:$B,2,FALSE())</f>
        <v>MIN</v>
      </c>
      <c r="O1766" s="1" t="str">
        <f aca="false">IF(F1766&gt;G1766,M1766,IF(G1766&gt;F1766,N1766,"Tie"))</f>
        <v>DET</v>
      </c>
      <c r="P1766" s="1" t="n">
        <f aca="false">F1766-G1766</f>
        <v>3</v>
      </c>
      <c r="Q1766" s="1" t="n">
        <f aca="false">F1766+G1766</f>
        <v>29</v>
      </c>
      <c r="R1766" s="1" t="str">
        <f aca="false">IF(H1766=M1766,"Home",IF(H1766=N1766,"Away",IF(H1766="PICK","Pick","N/A")))</f>
        <v>Home</v>
      </c>
      <c r="S1766" s="1" t="n">
        <f aca="false">IF(R1766="Home",P1766,IF(R1766="Away",-P1766,""))</f>
        <v>3</v>
      </c>
      <c r="T1766" s="1" t="str">
        <f aca="false">IF(R1766="Pick","No Line",IF(S1766="","N/A",IF(S1766+I1766&gt;0,"Favorite Covered",IF(S1766+I1766&lt;0,"Underdog Covered","Push"))))</f>
        <v>Favorite Covered</v>
      </c>
      <c r="U1766" s="1" t="str">
        <f aca="false">IF(Q1766&gt;J1766,"Over",IF(Q1766&lt;J1766,"Under","Push"))</f>
        <v>Under</v>
      </c>
    </row>
    <row r="1767" customFormat="false" ht="15" hidden="false" customHeight="false" outlineLevel="0" collapsed="false">
      <c r="A1767" s="1" t="s">
        <v>555</v>
      </c>
      <c r="B1767" s="1" t="n">
        <v>2016</v>
      </c>
      <c r="C1767" s="1" t="s">
        <v>211</v>
      </c>
      <c r="D1767" s="1" t="s">
        <v>79</v>
      </c>
      <c r="E1767" s="1" t="s">
        <v>105</v>
      </c>
      <c r="F1767" s="1" t="n">
        <v>7</v>
      </c>
      <c r="G1767" s="1" t="n">
        <v>28</v>
      </c>
      <c r="H1767" s="1" t="s">
        <v>106</v>
      </c>
      <c r="I1767" s="1" t="n">
        <v>-8.5</v>
      </c>
      <c r="J1767" s="1" t="n">
        <v>49.5</v>
      </c>
      <c r="K1767" s="1" t="s">
        <v>169</v>
      </c>
      <c r="L1767" s="1" t="b">
        <f aca="false">FALSE()</f>
        <v>0</v>
      </c>
      <c r="M1767" s="1" t="str">
        <f aca="false">VLOOKUP(D1767,'Team Reference'!$A:$B,2,FALSE())</f>
        <v>IND</v>
      </c>
      <c r="N1767" s="1" t="str">
        <f aca="false">VLOOKUP(E1767,'Team Reference'!$A:$B,2,FALSE())</f>
        <v>PIT</v>
      </c>
      <c r="O1767" s="1" t="str">
        <f aca="false">IF(F1767&gt;G1767,M1767,IF(G1767&gt;F1767,N1767,"Tie"))</f>
        <v>PIT</v>
      </c>
      <c r="P1767" s="1" t="n">
        <f aca="false">F1767-G1767</f>
        <v>-21</v>
      </c>
      <c r="Q1767" s="1" t="n">
        <f aca="false">F1767+G1767</f>
        <v>35</v>
      </c>
      <c r="R1767" s="1" t="str">
        <f aca="false">IF(H1767=M1767,"Home",IF(H1767=N1767,"Away",IF(H1767="PICK","Pick","N/A")))</f>
        <v>Away</v>
      </c>
      <c r="S1767" s="1" t="n">
        <f aca="false">IF(R1767="Home",P1767,IF(R1767="Away",-P1767,""))</f>
        <v>21</v>
      </c>
      <c r="T1767" s="1" t="str">
        <f aca="false">IF(R1767="Pick","No Line",IF(S1767="","N/A",IF(S1767+I1767&gt;0,"Favorite Covered",IF(S1767+I1767&lt;0,"Underdog Covered","Push"))))</f>
        <v>Favorite Covered</v>
      </c>
      <c r="U1767" s="1" t="str">
        <f aca="false">IF(Q1767&gt;J1767,"Over",IF(Q1767&lt;J1767,"Under","Push"))</f>
        <v>Under</v>
      </c>
    </row>
    <row r="1768" customFormat="false" ht="15" hidden="false" customHeight="false" outlineLevel="0" collapsed="false">
      <c r="A1768" s="1" t="s">
        <v>556</v>
      </c>
      <c r="B1768" s="1" t="n">
        <v>2016</v>
      </c>
      <c r="C1768" s="1" t="s">
        <v>211</v>
      </c>
      <c r="D1768" s="1" t="s">
        <v>55</v>
      </c>
      <c r="E1768" s="1" t="s">
        <v>53</v>
      </c>
      <c r="F1768" s="1" t="n">
        <v>38</v>
      </c>
      <c r="G1768" s="1" t="n">
        <v>19</v>
      </c>
      <c r="H1768" s="1" t="s">
        <v>56</v>
      </c>
      <c r="I1768" s="1" t="n">
        <v>-4</v>
      </c>
      <c r="J1768" s="1" t="n">
        <v>49</v>
      </c>
      <c r="K1768" s="1" t="s">
        <v>161</v>
      </c>
      <c r="L1768" s="1" t="b">
        <f aca="false">FALSE()</f>
        <v>0</v>
      </c>
      <c r="M1768" s="1" t="str">
        <f aca="false">VLOOKUP(D1768,'Team Reference'!$A:$B,2,FALSE())</f>
        <v>ATL</v>
      </c>
      <c r="N1768" s="1" t="str">
        <f aca="false">VLOOKUP(E1768,'Team Reference'!$A:$B,2,FALSE())</f>
        <v>ARI</v>
      </c>
      <c r="O1768" s="1" t="str">
        <f aca="false">IF(F1768&gt;G1768,M1768,IF(G1768&gt;F1768,N1768,"Tie"))</f>
        <v>ATL</v>
      </c>
      <c r="P1768" s="1" t="n">
        <f aca="false">F1768-G1768</f>
        <v>19</v>
      </c>
      <c r="Q1768" s="1" t="n">
        <f aca="false">F1768+G1768</f>
        <v>57</v>
      </c>
      <c r="R1768" s="1" t="str">
        <f aca="false">IF(H1768=M1768,"Home",IF(H1768=N1768,"Away",IF(H1768="PICK","Pick","N/A")))</f>
        <v>Home</v>
      </c>
      <c r="S1768" s="1" t="n">
        <f aca="false">IF(R1768="Home",P1768,IF(R1768="Away",-P1768,""))</f>
        <v>19</v>
      </c>
      <c r="T1768" s="1" t="str">
        <f aca="false">IF(R1768="Pick","No Line",IF(S1768="","N/A",IF(S1768+I1768&gt;0,"Favorite Covered",IF(S1768+I1768&lt;0,"Underdog Covered","Push"))))</f>
        <v>Favorite Covered</v>
      </c>
      <c r="U1768" s="1" t="str">
        <f aca="false">IF(Q1768&gt;J1768,"Over",IF(Q1768&lt;J1768,"Under","Push"))</f>
        <v>Over</v>
      </c>
    </row>
    <row r="1769" customFormat="false" ht="15" hidden="false" customHeight="false" outlineLevel="0" collapsed="false">
      <c r="A1769" s="1" t="s">
        <v>556</v>
      </c>
      <c r="B1769" s="1" t="n">
        <v>2016</v>
      </c>
      <c r="C1769" s="1" t="s">
        <v>211</v>
      </c>
      <c r="D1769" s="1" t="s">
        <v>57</v>
      </c>
      <c r="E1769" s="1" t="s">
        <v>65</v>
      </c>
      <c r="F1769" s="1" t="n">
        <v>19</v>
      </c>
      <c r="G1769" s="1" t="n">
        <v>14</v>
      </c>
      <c r="H1769" s="1" t="s">
        <v>58</v>
      </c>
      <c r="I1769" s="1" t="n">
        <v>-3.5</v>
      </c>
      <c r="J1769" s="1" t="n">
        <v>42</v>
      </c>
      <c r="K1769" s="1" t="s">
        <v>178</v>
      </c>
      <c r="L1769" s="1" t="b">
        <f aca="false">FALSE()</f>
        <v>0</v>
      </c>
      <c r="M1769" s="1" t="str">
        <f aca="false">VLOOKUP(D1769,'Team Reference'!$A:$B,2,FALSE())</f>
        <v>BAL</v>
      </c>
      <c r="N1769" s="1" t="str">
        <f aca="false">VLOOKUP(E1769,'Team Reference'!$A:$B,2,FALSE())</f>
        <v>CIN</v>
      </c>
      <c r="O1769" s="1" t="str">
        <f aca="false">IF(F1769&gt;G1769,M1769,IF(G1769&gt;F1769,N1769,"Tie"))</f>
        <v>BAL</v>
      </c>
      <c r="P1769" s="1" t="n">
        <f aca="false">F1769-G1769</f>
        <v>5</v>
      </c>
      <c r="Q1769" s="1" t="n">
        <f aca="false">F1769+G1769</f>
        <v>33</v>
      </c>
      <c r="R1769" s="1" t="str">
        <f aca="false">IF(H1769=M1769,"Home",IF(H1769=N1769,"Away",IF(H1769="PICK","Pick","N/A")))</f>
        <v>Home</v>
      </c>
      <c r="S1769" s="1" t="n">
        <f aca="false">IF(R1769="Home",P1769,IF(R1769="Away",-P1769,""))</f>
        <v>5</v>
      </c>
      <c r="T1769" s="1" t="str">
        <f aca="false">IF(R1769="Pick","No Line",IF(S1769="","N/A",IF(S1769+I1769&gt;0,"Favorite Covered",IF(S1769+I1769&lt;0,"Underdog Covered","Push"))))</f>
        <v>Favorite Covered</v>
      </c>
      <c r="U1769" s="1" t="str">
        <f aca="false">IF(Q1769&gt;J1769,"Over",IF(Q1769&lt;J1769,"Under","Push"))</f>
        <v>Under</v>
      </c>
    </row>
    <row r="1770" customFormat="false" ht="15" hidden="false" customHeight="false" outlineLevel="0" collapsed="false">
      <c r="A1770" s="1" t="s">
        <v>556</v>
      </c>
      <c r="B1770" s="1" t="n">
        <v>2016</v>
      </c>
      <c r="C1770" s="1" t="s">
        <v>211</v>
      </c>
      <c r="D1770" s="1" t="s">
        <v>59</v>
      </c>
      <c r="E1770" s="1" t="s">
        <v>81</v>
      </c>
      <c r="F1770" s="1" t="n">
        <v>28</v>
      </c>
      <c r="G1770" s="1" t="n">
        <v>21</v>
      </c>
      <c r="H1770" s="1" t="s">
        <v>60</v>
      </c>
      <c r="I1770" s="1" t="n">
        <v>-8.5</v>
      </c>
      <c r="J1770" s="1" t="n">
        <v>44</v>
      </c>
      <c r="K1770" s="1" t="s">
        <v>522</v>
      </c>
      <c r="L1770" s="1" t="b">
        <f aca="false">FALSE()</f>
        <v>0</v>
      </c>
      <c r="M1770" s="1" t="str">
        <f aca="false">VLOOKUP(D1770,'Team Reference'!$A:$B,2,FALSE())</f>
        <v>BUF</v>
      </c>
      <c r="N1770" s="1" t="str">
        <f aca="false">VLOOKUP(E1770,'Team Reference'!$A:$B,2,FALSE())</f>
        <v>JAX</v>
      </c>
      <c r="O1770" s="1" t="str">
        <f aca="false">IF(F1770&gt;G1770,M1770,IF(G1770&gt;F1770,N1770,"Tie"))</f>
        <v>BUF</v>
      </c>
      <c r="P1770" s="1" t="n">
        <f aca="false">F1770-G1770</f>
        <v>7</v>
      </c>
      <c r="Q1770" s="1" t="n">
        <f aca="false">F1770+G1770</f>
        <v>49</v>
      </c>
      <c r="R1770" s="1" t="str">
        <f aca="false">IF(H1770=M1770,"Home",IF(H1770=N1770,"Away",IF(H1770="PICK","Pick","N/A")))</f>
        <v>Home</v>
      </c>
      <c r="S1770" s="1" t="n">
        <f aca="false">IF(R1770="Home",P1770,IF(R1770="Away",-P1770,""))</f>
        <v>7</v>
      </c>
      <c r="T1770" s="1" t="str">
        <f aca="false">IF(R1770="Pick","No Line",IF(S1770="","N/A",IF(S1770+I1770&gt;0,"Favorite Covered",IF(S1770+I1770&lt;0,"Underdog Covered","Push"))))</f>
        <v>Underdog Covered</v>
      </c>
      <c r="U1770" s="1" t="str">
        <f aca="false">IF(Q1770&gt;J1770,"Over",IF(Q1770&lt;J1770,"Under","Push"))</f>
        <v>Over</v>
      </c>
    </row>
    <row r="1771" customFormat="false" ht="15" hidden="false" customHeight="false" outlineLevel="0" collapsed="false">
      <c r="A1771" s="1" t="s">
        <v>556</v>
      </c>
      <c r="B1771" s="1" t="n">
        <v>2016</v>
      </c>
      <c r="C1771" s="1" t="s">
        <v>211</v>
      </c>
      <c r="D1771" s="1" t="s">
        <v>63</v>
      </c>
      <c r="E1771" s="1" t="s">
        <v>115</v>
      </c>
      <c r="F1771" s="1" t="n">
        <v>21</v>
      </c>
      <c r="G1771" s="1" t="n">
        <v>27</v>
      </c>
      <c r="H1771" s="1" t="s">
        <v>116</v>
      </c>
      <c r="I1771" s="1" t="n">
        <v>-6.5</v>
      </c>
      <c r="J1771" s="1" t="n">
        <v>42</v>
      </c>
      <c r="K1771" s="1" t="s">
        <v>145</v>
      </c>
      <c r="L1771" s="1" t="b">
        <f aca="false">FALSE()</f>
        <v>0</v>
      </c>
      <c r="M1771" s="1" t="str">
        <f aca="false">VLOOKUP(D1771,'Team Reference'!$A:$B,2,FALSE())</f>
        <v>CHI</v>
      </c>
      <c r="N1771" s="1" t="str">
        <f aca="false">VLOOKUP(E1771,'Team Reference'!$A:$B,2,FALSE())</f>
        <v>TEN</v>
      </c>
      <c r="O1771" s="1" t="str">
        <f aca="false">IF(F1771&gt;G1771,M1771,IF(G1771&gt;F1771,N1771,"Tie"))</f>
        <v>TEN</v>
      </c>
      <c r="P1771" s="1" t="n">
        <f aca="false">F1771-G1771</f>
        <v>-6</v>
      </c>
      <c r="Q1771" s="1" t="n">
        <f aca="false">F1771+G1771</f>
        <v>48</v>
      </c>
      <c r="R1771" s="1" t="str">
        <f aca="false">IF(H1771=M1771,"Home",IF(H1771=N1771,"Away",IF(H1771="PICK","Pick","N/A")))</f>
        <v>Away</v>
      </c>
      <c r="S1771" s="1" t="n">
        <f aca="false">IF(R1771="Home",P1771,IF(R1771="Away",-P1771,""))</f>
        <v>6</v>
      </c>
      <c r="T1771" s="1" t="str">
        <f aca="false">IF(R1771="Pick","No Line",IF(S1771="","N/A",IF(S1771+I1771&gt;0,"Favorite Covered",IF(S1771+I1771&lt;0,"Underdog Covered","Push"))))</f>
        <v>Underdog Covered</v>
      </c>
      <c r="U1771" s="1" t="str">
        <f aca="false">IF(Q1771&gt;J1771,"Over",IF(Q1771&lt;J1771,"Under","Push"))</f>
        <v>Over</v>
      </c>
    </row>
    <row r="1772" customFormat="false" ht="15" hidden="false" customHeight="false" outlineLevel="0" collapsed="false">
      <c r="A1772" s="1" t="s">
        <v>556</v>
      </c>
      <c r="B1772" s="1" t="n">
        <v>2016</v>
      </c>
      <c r="C1772" s="1" t="s">
        <v>211</v>
      </c>
      <c r="D1772" s="1" t="s">
        <v>67</v>
      </c>
      <c r="E1772" s="1" t="s">
        <v>97</v>
      </c>
      <c r="F1772" s="1" t="n">
        <v>13</v>
      </c>
      <c r="G1772" s="1" t="n">
        <v>27</v>
      </c>
      <c r="H1772" s="1" t="s">
        <v>98</v>
      </c>
      <c r="I1772" s="1" t="n">
        <v>-6.5</v>
      </c>
      <c r="J1772" s="1" t="n">
        <v>46.5</v>
      </c>
      <c r="K1772" s="1" t="s">
        <v>164</v>
      </c>
      <c r="L1772" s="1" t="b">
        <f aca="false">FALSE()</f>
        <v>0</v>
      </c>
      <c r="M1772" s="1" t="str">
        <f aca="false">VLOOKUP(D1772,'Team Reference'!$A:$B,2,FALSE())</f>
        <v>CLE</v>
      </c>
      <c r="N1772" s="1" t="str">
        <f aca="false">VLOOKUP(E1772,'Team Reference'!$A:$B,2,FALSE())</f>
        <v>NYG</v>
      </c>
      <c r="O1772" s="1" t="str">
        <f aca="false">IF(F1772&gt;G1772,M1772,IF(G1772&gt;F1772,N1772,"Tie"))</f>
        <v>NYG</v>
      </c>
      <c r="P1772" s="1" t="n">
        <f aca="false">F1772-G1772</f>
        <v>-14</v>
      </c>
      <c r="Q1772" s="1" t="n">
        <f aca="false">F1772+G1772</f>
        <v>40</v>
      </c>
      <c r="R1772" s="1" t="str">
        <f aca="false">IF(H1772=M1772,"Home",IF(H1772=N1772,"Away",IF(H1772="PICK","Pick","N/A")))</f>
        <v>Away</v>
      </c>
      <c r="S1772" s="1" t="n">
        <f aca="false">IF(R1772="Home",P1772,IF(R1772="Away",-P1772,""))</f>
        <v>14</v>
      </c>
      <c r="T1772" s="1" t="str">
        <f aca="false">IF(R1772="Pick","No Line",IF(S1772="","N/A",IF(S1772+I1772&gt;0,"Favorite Covered",IF(S1772+I1772&lt;0,"Underdog Covered","Push"))))</f>
        <v>Favorite Covered</v>
      </c>
      <c r="U1772" s="1" t="str">
        <f aca="false">IF(Q1772&gt;J1772,"Over",IF(Q1772&lt;J1772,"Under","Push"))</f>
        <v>Under</v>
      </c>
    </row>
    <row r="1773" customFormat="false" ht="15" hidden="false" customHeight="false" outlineLevel="0" collapsed="false">
      <c r="A1773" s="1" t="s">
        <v>556</v>
      </c>
      <c r="B1773" s="1" t="n">
        <v>2016</v>
      </c>
      <c r="C1773" s="1" t="s">
        <v>211</v>
      </c>
      <c r="D1773" s="1" t="s">
        <v>71</v>
      </c>
      <c r="E1773" s="1" t="s">
        <v>83</v>
      </c>
      <c r="F1773" s="1" t="n">
        <v>27</v>
      </c>
      <c r="G1773" s="1" t="n">
        <v>30</v>
      </c>
      <c r="H1773" s="1" t="s">
        <v>72</v>
      </c>
      <c r="I1773" s="1" t="n">
        <v>-3.5</v>
      </c>
      <c r="J1773" s="1" t="n">
        <v>40</v>
      </c>
      <c r="K1773" s="1" t="s">
        <v>166</v>
      </c>
      <c r="L1773" s="1" t="b">
        <f aca="false">FALSE()</f>
        <v>0</v>
      </c>
      <c r="M1773" s="1" t="str">
        <f aca="false">VLOOKUP(D1773,'Team Reference'!$A:$B,2,FALSE())</f>
        <v>DEN</v>
      </c>
      <c r="N1773" s="1" t="str">
        <f aca="false">VLOOKUP(E1773,'Team Reference'!$A:$B,2,FALSE())</f>
        <v>KC</v>
      </c>
      <c r="O1773" s="1" t="str">
        <f aca="false">IF(F1773&gt;G1773,M1773,IF(G1773&gt;F1773,N1773,"Tie"))</f>
        <v>KC</v>
      </c>
      <c r="P1773" s="1" t="n">
        <f aca="false">F1773-G1773</f>
        <v>-3</v>
      </c>
      <c r="Q1773" s="1" t="n">
        <f aca="false">F1773+G1773</f>
        <v>57</v>
      </c>
      <c r="R1773" s="1" t="str">
        <f aca="false">IF(H1773=M1773,"Home",IF(H1773=N1773,"Away",IF(H1773="PICK","Pick","N/A")))</f>
        <v>Home</v>
      </c>
      <c r="S1773" s="1" t="n">
        <f aca="false">IF(R1773="Home",P1773,IF(R1773="Away",-P1773,""))</f>
        <v>-3</v>
      </c>
      <c r="T1773" s="1" t="str">
        <f aca="false">IF(R1773="Pick","No Line",IF(S1773="","N/A",IF(S1773+I1773&gt;0,"Favorite Covered",IF(S1773+I1773&lt;0,"Underdog Covered","Push"))))</f>
        <v>Underdog Covered</v>
      </c>
      <c r="U1773" s="1" t="str">
        <f aca="false">IF(Q1773&gt;J1773,"Over",IF(Q1773&lt;J1773,"Under","Push"))</f>
        <v>Over</v>
      </c>
    </row>
    <row r="1774" customFormat="false" ht="15" hidden="false" customHeight="false" outlineLevel="0" collapsed="false">
      <c r="A1774" s="1" t="s">
        <v>556</v>
      </c>
      <c r="B1774" s="1" t="n">
        <v>2016</v>
      </c>
      <c r="C1774" s="1" t="s">
        <v>211</v>
      </c>
      <c r="D1774" s="1" t="s">
        <v>77</v>
      </c>
      <c r="E1774" s="1" t="s">
        <v>107</v>
      </c>
      <c r="F1774" s="1" t="n">
        <v>13</v>
      </c>
      <c r="G1774" s="1" t="n">
        <v>21</v>
      </c>
      <c r="H1774" s="1" t="s">
        <v>86</v>
      </c>
      <c r="I1774" s="1" t="n">
        <v>-2.5</v>
      </c>
      <c r="J1774" s="1" t="n">
        <v>46</v>
      </c>
      <c r="K1774" s="1" t="s">
        <v>146</v>
      </c>
      <c r="L1774" s="1" t="b">
        <f aca="false">FALSE()</f>
        <v>0</v>
      </c>
      <c r="M1774" s="1" t="str">
        <f aca="false">VLOOKUP(D1774,'Team Reference'!$A:$B,2,FALSE())</f>
        <v>HOU</v>
      </c>
      <c r="N1774" s="1" t="str">
        <f aca="false">VLOOKUP(E1774,'Team Reference'!$A:$B,2,FALSE())</f>
        <v>LAC</v>
      </c>
      <c r="O1774" s="1" t="str">
        <f aca="false">IF(F1774&gt;G1774,M1774,IF(G1774&gt;F1774,N1774,"Tie"))</f>
        <v>LAC</v>
      </c>
      <c r="P1774" s="1" t="n">
        <f aca="false">F1774-G1774</f>
        <v>-8</v>
      </c>
      <c r="Q1774" s="1" t="n">
        <f aca="false">F1774+G1774</f>
        <v>34</v>
      </c>
      <c r="R1774" s="1" t="str">
        <f aca="false">IF(H1774=M1774,"Home",IF(H1774=N1774,"Away",IF(H1774="PICK","Pick","N/A")))</f>
        <v>Away</v>
      </c>
      <c r="S1774" s="1" t="n">
        <f aca="false">IF(R1774="Home",P1774,IF(R1774="Away",-P1774,""))</f>
        <v>8</v>
      </c>
      <c r="T1774" s="1" t="str">
        <f aca="false">IF(R1774="Pick","No Line",IF(S1774="","N/A",IF(S1774+I1774&gt;0,"Favorite Covered",IF(S1774+I1774&lt;0,"Underdog Covered","Push"))))</f>
        <v>Favorite Covered</v>
      </c>
      <c r="U1774" s="1" t="str">
        <f aca="false">IF(Q1774&gt;J1774,"Over",IF(Q1774&lt;J1774,"Under","Push"))</f>
        <v>Under</v>
      </c>
    </row>
    <row r="1775" customFormat="false" ht="15" hidden="false" customHeight="false" outlineLevel="0" collapsed="false">
      <c r="A1775" s="1" t="s">
        <v>556</v>
      </c>
      <c r="B1775" s="1" t="n">
        <v>2016</v>
      </c>
      <c r="C1775" s="1" t="s">
        <v>211</v>
      </c>
      <c r="D1775" s="1" t="s">
        <v>89</v>
      </c>
      <c r="E1775" s="1" t="s">
        <v>108</v>
      </c>
      <c r="F1775" s="1" t="n">
        <v>31</v>
      </c>
      <c r="G1775" s="1" t="n">
        <v>24</v>
      </c>
      <c r="H1775" s="1" t="s">
        <v>90</v>
      </c>
      <c r="I1775" s="1" t="n">
        <v>-7</v>
      </c>
      <c r="J1775" s="1" t="n">
        <v>45</v>
      </c>
      <c r="K1775" s="1" t="s">
        <v>179</v>
      </c>
      <c r="L1775" s="1" t="b">
        <f aca="false">FALSE()</f>
        <v>0</v>
      </c>
      <c r="M1775" s="1" t="str">
        <f aca="false">VLOOKUP(D1775,'Team Reference'!$A:$B,2,FALSE())</f>
        <v>MIA</v>
      </c>
      <c r="N1775" s="1" t="str">
        <f aca="false">VLOOKUP(E1775,'Team Reference'!$A:$B,2,FALSE())</f>
        <v>SF</v>
      </c>
      <c r="O1775" s="1" t="str">
        <f aca="false">IF(F1775&gt;G1775,M1775,IF(G1775&gt;F1775,N1775,"Tie"))</f>
        <v>MIA</v>
      </c>
      <c r="P1775" s="1" t="n">
        <f aca="false">F1775-G1775</f>
        <v>7</v>
      </c>
      <c r="Q1775" s="1" t="n">
        <f aca="false">F1775+G1775</f>
        <v>55</v>
      </c>
      <c r="R1775" s="1" t="str">
        <f aca="false">IF(H1775=M1775,"Home",IF(H1775=N1775,"Away",IF(H1775="PICK","Pick","N/A")))</f>
        <v>Home</v>
      </c>
      <c r="S1775" s="1" t="n">
        <f aca="false">IF(R1775="Home",P1775,IF(R1775="Away",-P1775,""))</f>
        <v>7</v>
      </c>
      <c r="T1775" s="1" t="str">
        <f aca="false">IF(R1775="Pick","No Line",IF(S1775="","N/A",IF(S1775+I1775&gt;0,"Favorite Covered",IF(S1775+I1775&lt;0,"Underdog Covered","Push"))))</f>
        <v>Push</v>
      </c>
      <c r="U1775" s="1" t="str">
        <f aca="false">IF(Q1775&gt;J1775,"Over",IF(Q1775&lt;J1775,"Under","Push"))</f>
        <v>Over</v>
      </c>
    </row>
    <row r="1776" customFormat="false" ht="15" hidden="false" customHeight="false" outlineLevel="0" collapsed="false">
      <c r="A1776" s="1" t="s">
        <v>556</v>
      </c>
      <c r="B1776" s="1" t="n">
        <v>2016</v>
      </c>
      <c r="C1776" s="1" t="s">
        <v>211</v>
      </c>
      <c r="D1776" s="1" t="s">
        <v>95</v>
      </c>
      <c r="E1776" s="1" t="s">
        <v>87</v>
      </c>
      <c r="F1776" s="1" t="n">
        <v>49</v>
      </c>
      <c r="G1776" s="1" t="n">
        <v>21</v>
      </c>
      <c r="H1776" s="1" t="s">
        <v>96</v>
      </c>
      <c r="I1776" s="1" t="n">
        <v>-8</v>
      </c>
      <c r="J1776" s="1" t="n">
        <v>45</v>
      </c>
      <c r="K1776" s="1" t="s">
        <v>142</v>
      </c>
      <c r="L1776" s="1" t="b">
        <f aca="false">FALSE()</f>
        <v>0</v>
      </c>
      <c r="M1776" s="1" t="str">
        <f aca="false">VLOOKUP(D1776,'Team Reference'!$A:$B,2,FALSE())</f>
        <v>NO</v>
      </c>
      <c r="N1776" s="1" t="str">
        <f aca="false">VLOOKUP(E1776,'Team Reference'!$A:$B,2,FALSE())</f>
        <v>LAR</v>
      </c>
      <c r="O1776" s="1" t="str">
        <f aca="false">IF(F1776&gt;G1776,M1776,IF(G1776&gt;F1776,N1776,"Tie"))</f>
        <v>NO</v>
      </c>
      <c r="P1776" s="1" t="n">
        <f aca="false">F1776-G1776</f>
        <v>28</v>
      </c>
      <c r="Q1776" s="1" t="n">
        <f aca="false">F1776+G1776</f>
        <v>70</v>
      </c>
      <c r="R1776" s="1" t="str">
        <f aca="false">IF(H1776=M1776,"Home",IF(H1776=N1776,"Away",IF(H1776="PICK","Pick","N/A")))</f>
        <v>Home</v>
      </c>
      <c r="S1776" s="1" t="n">
        <f aca="false">IF(R1776="Home",P1776,IF(R1776="Away",-P1776,""))</f>
        <v>28</v>
      </c>
      <c r="T1776" s="1" t="str">
        <f aca="false">IF(R1776="Pick","No Line",IF(S1776="","N/A",IF(S1776+I1776&gt;0,"Favorite Covered",IF(S1776+I1776&lt;0,"Underdog Covered","Push"))))</f>
        <v>Favorite Covered</v>
      </c>
      <c r="U1776" s="1" t="str">
        <f aca="false">IF(Q1776&gt;J1776,"Over",IF(Q1776&lt;J1776,"Under","Push"))</f>
        <v>Over</v>
      </c>
    </row>
    <row r="1777" customFormat="false" ht="15" hidden="false" customHeight="false" outlineLevel="0" collapsed="false">
      <c r="A1777" s="1" t="s">
        <v>556</v>
      </c>
      <c r="B1777" s="1" t="n">
        <v>2016</v>
      </c>
      <c r="C1777" s="1" t="s">
        <v>211</v>
      </c>
      <c r="D1777" s="1" t="s">
        <v>99</v>
      </c>
      <c r="E1777" s="1" t="s">
        <v>93</v>
      </c>
      <c r="F1777" s="1" t="n">
        <v>17</v>
      </c>
      <c r="G1777" s="1" t="n">
        <v>22</v>
      </c>
      <c r="H1777" s="1" t="s">
        <v>94</v>
      </c>
      <c r="I1777" s="1" t="n">
        <v>-9.5</v>
      </c>
      <c r="J1777" s="1" t="n">
        <v>48.5</v>
      </c>
      <c r="K1777" s="1" t="s">
        <v>149</v>
      </c>
      <c r="L1777" s="1" t="b">
        <f aca="false">FALSE()</f>
        <v>0</v>
      </c>
      <c r="M1777" s="1" t="str">
        <f aca="false">VLOOKUP(D1777,'Team Reference'!$A:$B,2,FALSE())</f>
        <v>NYJ</v>
      </c>
      <c r="N1777" s="1" t="str">
        <f aca="false">VLOOKUP(E1777,'Team Reference'!$A:$B,2,FALSE())</f>
        <v>NE</v>
      </c>
      <c r="O1777" s="1" t="str">
        <f aca="false">IF(F1777&gt;G1777,M1777,IF(G1777&gt;F1777,N1777,"Tie"))</f>
        <v>NE</v>
      </c>
      <c r="P1777" s="1" t="n">
        <f aca="false">F1777-G1777</f>
        <v>-5</v>
      </c>
      <c r="Q1777" s="1" t="n">
        <f aca="false">F1777+G1777</f>
        <v>39</v>
      </c>
      <c r="R1777" s="1" t="str">
        <f aca="false">IF(H1777=M1777,"Home",IF(H1777=N1777,"Away",IF(H1777="PICK","Pick","N/A")))</f>
        <v>Away</v>
      </c>
      <c r="S1777" s="1" t="n">
        <f aca="false">IF(R1777="Home",P1777,IF(R1777="Away",-P1777,""))</f>
        <v>5</v>
      </c>
      <c r="T1777" s="1" t="str">
        <f aca="false">IF(R1777="Pick","No Line",IF(S1777="","N/A",IF(S1777+I1777&gt;0,"Favorite Covered",IF(S1777+I1777&lt;0,"Underdog Covered","Push"))))</f>
        <v>Underdog Covered</v>
      </c>
      <c r="U1777" s="1" t="str">
        <f aca="false">IF(Q1777&gt;J1777,"Over",IF(Q1777&lt;J1777,"Under","Push"))</f>
        <v>Under</v>
      </c>
    </row>
    <row r="1778" customFormat="false" ht="15" hidden="false" customHeight="false" outlineLevel="0" collapsed="false">
      <c r="A1778" s="1" t="s">
        <v>556</v>
      </c>
      <c r="B1778" s="1" t="n">
        <v>2016</v>
      </c>
      <c r="C1778" s="1" t="s">
        <v>211</v>
      </c>
      <c r="D1778" s="1" t="s">
        <v>101</v>
      </c>
      <c r="E1778" s="1" t="s">
        <v>61</v>
      </c>
      <c r="F1778" s="1" t="n">
        <v>35</v>
      </c>
      <c r="G1778" s="1" t="n">
        <v>32</v>
      </c>
      <c r="H1778" s="1" t="s">
        <v>102</v>
      </c>
      <c r="I1778" s="1" t="n">
        <v>-3.5</v>
      </c>
      <c r="J1778" s="1" t="n">
        <v>48.5</v>
      </c>
      <c r="K1778" s="1" t="s">
        <v>171</v>
      </c>
      <c r="L1778" s="1" t="b">
        <f aca="false">FALSE()</f>
        <v>0</v>
      </c>
      <c r="M1778" s="1" t="str">
        <f aca="false">VLOOKUP(D1778,'Team Reference'!$A:$B,2,FALSE())</f>
        <v>OAK</v>
      </c>
      <c r="N1778" s="1" t="str">
        <f aca="false">VLOOKUP(E1778,'Team Reference'!$A:$B,2,FALSE())</f>
        <v>CAR</v>
      </c>
      <c r="O1778" s="1" t="str">
        <f aca="false">IF(F1778&gt;G1778,M1778,IF(G1778&gt;F1778,N1778,"Tie"))</f>
        <v>OAK</v>
      </c>
      <c r="P1778" s="1" t="n">
        <f aca="false">F1778-G1778</f>
        <v>3</v>
      </c>
      <c r="Q1778" s="1" t="n">
        <f aca="false">F1778+G1778</f>
        <v>67</v>
      </c>
      <c r="R1778" s="1" t="str">
        <f aca="false">IF(H1778=M1778,"Home",IF(H1778=N1778,"Away",IF(H1778="PICK","Pick","N/A")))</f>
        <v>Home</v>
      </c>
      <c r="S1778" s="1" t="n">
        <f aca="false">IF(R1778="Home",P1778,IF(R1778="Away",-P1778,""))</f>
        <v>3</v>
      </c>
      <c r="T1778" s="1" t="str">
        <f aca="false">IF(R1778="Pick","No Line",IF(S1778="","N/A",IF(S1778+I1778&gt;0,"Favorite Covered",IF(S1778+I1778&lt;0,"Underdog Covered","Push"))))</f>
        <v>Underdog Covered</v>
      </c>
      <c r="U1778" s="1" t="str">
        <f aca="false">IF(Q1778&gt;J1778,"Over",IF(Q1778&lt;J1778,"Under","Push"))</f>
        <v>Over</v>
      </c>
    </row>
    <row r="1779" customFormat="false" ht="15" hidden="false" customHeight="false" outlineLevel="0" collapsed="false">
      <c r="A1779" s="1" t="s">
        <v>556</v>
      </c>
      <c r="B1779" s="1" t="n">
        <v>2016</v>
      </c>
      <c r="C1779" s="1" t="s">
        <v>211</v>
      </c>
      <c r="D1779" s="1" t="s">
        <v>113</v>
      </c>
      <c r="E1779" s="1" t="s">
        <v>110</v>
      </c>
      <c r="F1779" s="1" t="n">
        <v>14</v>
      </c>
      <c r="G1779" s="1" t="n">
        <v>5</v>
      </c>
      <c r="H1779" s="1" t="s">
        <v>111</v>
      </c>
      <c r="I1779" s="1" t="n">
        <v>-5.5</v>
      </c>
      <c r="J1779" s="1" t="n">
        <v>46</v>
      </c>
      <c r="K1779" s="1" t="s">
        <v>154</v>
      </c>
      <c r="L1779" s="1" t="b">
        <f aca="false">FALSE()</f>
        <v>0</v>
      </c>
      <c r="M1779" s="1" t="str">
        <f aca="false">VLOOKUP(D1779,'Team Reference'!$A:$B,2,FALSE())</f>
        <v>TB</v>
      </c>
      <c r="N1779" s="1" t="str">
        <f aca="false">VLOOKUP(E1779,'Team Reference'!$A:$B,2,FALSE())</f>
        <v>SEA</v>
      </c>
      <c r="O1779" s="1" t="str">
        <f aca="false">IF(F1779&gt;G1779,M1779,IF(G1779&gt;F1779,N1779,"Tie"))</f>
        <v>TB</v>
      </c>
      <c r="P1779" s="1" t="n">
        <f aca="false">F1779-G1779</f>
        <v>9</v>
      </c>
      <c r="Q1779" s="1" t="n">
        <f aca="false">F1779+G1779</f>
        <v>19</v>
      </c>
      <c r="R1779" s="1" t="str">
        <f aca="false">IF(H1779=M1779,"Home",IF(H1779=N1779,"Away",IF(H1779="PICK","Pick","N/A")))</f>
        <v>Away</v>
      </c>
      <c r="S1779" s="1" t="n">
        <f aca="false">IF(R1779="Home",P1779,IF(R1779="Away",-P1779,""))</f>
        <v>-9</v>
      </c>
      <c r="T1779" s="1" t="str">
        <f aca="false">IF(R1779="Pick","No Line",IF(S1779="","N/A",IF(S1779+I1779&gt;0,"Favorite Covered",IF(S1779+I1779&lt;0,"Underdog Covered","Push"))))</f>
        <v>Underdog Covered</v>
      </c>
      <c r="U1779" s="1" t="str">
        <f aca="false">IF(Q1779&gt;J1779,"Over",IF(Q1779&lt;J1779,"Under","Push"))</f>
        <v>Under</v>
      </c>
    </row>
    <row r="1780" customFormat="false" ht="15" hidden="false" customHeight="false" outlineLevel="0" collapsed="false">
      <c r="A1780" s="1" t="s">
        <v>557</v>
      </c>
      <c r="B1780" s="1" t="n">
        <v>2016</v>
      </c>
      <c r="C1780" s="1" t="s">
        <v>211</v>
      </c>
      <c r="D1780" s="1" t="s">
        <v>103</v>
      </c>
      <c r="E1780" s="1" t="s">
        <v>75</v>
      </c>
      <c r="F1780" s="1" t="n">
        <v>13</v>
      </c>
      <c r="G1780" s="1" t="n">
        <v>27</v>
      </c>
      <c r="H1780" s="1" t="s">
        <v>104</v>
      </c>
      <c r="I1780" s="1" t="n">
        <v>-4</v>
      </c>
      <c r="J1780" s="1" t="n">
        <v>47.5</v>
      </c>
      <c r="K1780" s="1" t="s">
        <v>150</v>
      </c>
      <c r="L1780" s="1" t="b">
        <f aca="false">FALSE()</f>
        <v>0</v>
      </c>
      <c r="M1780" s="1" t="str">
        <f aca="false">VLOOKUP(D1780,'Team Reference'!$A:$B,2,FALSE())</f>
        <v>PHI</v>
      </c>
      <c r="N1780" s="1" t="str">
        <f aca="false">VLOOKUP(E1780,'Team Reference'!$A:$B,2,FALSE())</f>
        <v>GB</v>
      </c>
      <c r="O1780" s="1" t="str">
        <f aca="false">IF(F1780&gt;G1780,M1780,IF(G1780&gt;F1780,N1780,"Tie"))</f>
        <v>GB</v>
      </c>
      <c r="P1780" s="1" t="n">
        <f aca="false">F1780-G1780</f>
        <v>-14</v>
      </c>
      <c r="Q1780" s="1" t="n">
        <f aca="false">F1780+G1780</f>
        <v>40</v>
      </c>
      <c r="R1780" s="1" t="str">
        <f aca="false">IF(H1780=M1780,"Home",IF(H1780=N1780,"Away",IF(H1780="PICK","Pick","N/A")))</f>
        <v>Home</v>
      </c>
      <c r="S1780" s="1" t="n">
        <f aca="false">IF(R1780="Home",P1780,IF(R1780="Away",-P1780,""))</f>
        <v>-14</v>
      </c>
      <c r="T1780" s="1" t="str">
        <f aca="false">IF(R1780="Pick","No Line",IF(S1780="","N/A",IF(S1780+I1780&gt;0,"Favorite Covered",IF(S1780+I1780&lt;0,"Underdog Covered","Push"))))</f>
        <v>Underdog Covered</v>
      </c>
      <c r="U1780" s="1" t="str">
        <f aca="false">IF(Q1780&gt;J1780,"Over",IF(Q1780&lt;J1780,"Under","Push"))</f>
        <v>Under</v>
      </c>
    </row>
    <row r="1781" customFormat="false" ht="15" hidden="false" customHeight="false" outlineLevel="0" collapsed="false">
      <c r="A1781" s="1" t="s">
        <v>558</v>
      </c>
      <c r="B1781" s="1" t="n">
        <v>2016</v>
      </c>
      <c r="C1781" s="1" t="s">
        <v>215</v>
      </c>
      <c r="D1781" s="1" t="s">
        <v>91</v>
      </c>
      <c r="E1781" s="1" t="s">
        <v>69</v>
      </c>
      <c r="F1781" s="1" t="n">
        <v>15</v>
      </c>
      <c r="G1781" s="1" t="n">
        <v>17</v>
      </c>
      <c r="H1781" s="1" t="s">
        <v>70</v>
      </c>
      <c r="I1781" s="1" t="n">
        <v>-3</v>
      </c>
      <c r="J1781" s="1" t="n">
        <v>43.5</v>
      </c>
      <c r="K1781" s="1" t="s">
        <v>525</v>
      </c>
      <c r="L1781" s="1" t="b">
        <f aca="false">FALSE()</f>
        <v>0</v>
      </c>
      <c r="M1781" s="1" t="str">
        <f aca="false">VLOOKUP(D1781,'Team Reference'!$A:$B,2,FALSE())</f>
        <v>MIN</v>
      </c>
      <c r="N1781" s="1" t="str">
        <f aca="false">VLOOKUP(E1781,'Team Reference'!$A:$B,2,FALSE())</f>
        <v>DAL</v>
      </c>
      <c r="O1781" s="1" t="str">
        <f aca="false">IF(F1781&gt;G1781,M1781,IF(G1781&gt;F1781,N1781,"Tie"))</f>
        <v>DAL</v>
      </c>
      <c r="P1781" s="1" t="n">
        <f aca="false">F1781-G1781</f>
        <v>-2</v>
      </c>
      <c r="Q1781" s="1" t="n">
        <f aca="false">F1781+G1781</f>
        <v>32</v>
      </c>
      <c r="R1781" s="1" t="str">
        <f aca="false">IF(H1781=M1781,"Home",IF(H1781=N1781,"Away",IF(H1781="PICK","Pick","N/A")))</f>
        <v>Away</v>
      </c>
      <c r="S1781" s="1" t="n">
        <f aca="false">IF(R1781="Home",P1781,IF(R1781="Away",-P1781,""))</f>
        <v>2</v>
      </c>
      <c r="T1781" s="1" t="str">
        <f aca="false">IF(R1781="Pick","No Line",IF(S1781="","N/A",IF(S1781+I1781&gt;0,"Favorite Covered",IF(S1781+I1781&lt;0,"Underdog Covered","Push"))))</f>
        <v>Underdog Covered</v>
      </c>
      <c r="U1781" s="1" t="str">
        <f aca="false">IF(Q1781&gt;J1781,"Over",IF(Q1781&lt;J1781,"Under","Push"))</f>
        <v>Under</v>
      </c>
    </row>
    <row r="1782" customFormat="false" ht="15" hidden="false" customHeight="false" outlineLevel="0" collapsed="false">
      <c r="A1782" s="1" t="s">
        <v>559</v>
      </c>
      <c r="B1782" s="1" t="n">
        <v>2016</v>
      </c>
      <c r="C1782" s="1" t="s">
        <v>215</v>
      </c>
      <c r="D1782" s="1" t="s">
        <v>53</v>
      </c>
      <c r="E1782" s="1" t="s">
        <v>117</v>
      </c>
      <c r="F1782" s="1" t="n">
        <v>31</v>
      </c>
      <c r="G1782" s="1" t="n">
        <v>23</v>
      </c>
      <c r="H1782" s="1" t="s">
        <v>54</v>
      </c>
      <c r="I1782" s="1" t="n">
        <v>-2.5</v>
      </c>
      <c r="J1782" s="1" t="n">
        <v>48.5</v>
      </c>
      <c r="K1782" s="1" t="s">
        <v>177</v>
      </c>
      <c r="L1782" s="1" t="b">
        <f aca="false">FALSE()</f>
        <v>0</v>
      </c>
      <c r="M1782" s="1" t="str">
        <f aca="false">VLOOKUP(D1782,'Team Reference'!$A:$B,2,FALSE())</f>
        <v>ARI</v>
      </c>
      <c r="N1782" s="1" t="str">
        <f aca="false">VLOOKUP(E1782,'Team Reference'!$A:$B,2,FALSE())</f>
        <v>WAS</v>
      </c>
      <c r="O1782" s="1" t="str">
        <f aca="false">IF(F1782&gt;G1782,M1782,IF(G1782&gt;F1782,N1782,"Tie"))</f>
        <v>ARI</v>
      </c>
      <c r="P1782" s="1" t="n">
        <f aca="false">F1782-G1782</f>
        <v>8</v>
      </c>
      <c r="Q1782" s="1" t="n">
        <f aca="false">F1782+G1782</f>
        <v>54</v>
      </c>
      <c r="R1782" s="1" t="str">
        <f aca="false">IF(H1782=M1782,"Home",IF(H1782=N1782,"Away",IF(H1782="PICK","Pick","N/A")))</f>
        <v>Home</v>
      </c>
      <c r="S1782" s="1" t="n">
        <f aca="false">IF(R1782="Home",P1782,IF(R1782="Away",-P1782,""))</f>
        <v>8</v>
      </c>
      <c r="T1782" s="1" t="str">
        <f aca="false">IF(R1782="Pick","No Line",IF(S1782="","N/A",IF(S1782+I1782&gt;0,"Favorite Covered",IF(S1782+I1782&lt;0,"Underdog Covered","Push"))))</f>
        <v>Favorite Covered</v>
      </c>
      <c r="U1782" s="1" t="str">
        <f aca="false">IF(Q1782&gt;J1782,"Over",IF(Q1782&lt;J1782,"Under","Push"))</f>
        <v>Over</v>
      </c>
    </row>
    <row r="1783" customFormat="false" ht="15" hidden="false" customHeight="false" outlineLevel="0" collapsed="false">
      <c r="A1783" s="1" t="s">
        <v>559</v>
      </c>
      <c r="B1783" s="1" t="n">
        <v>2016</v>
      </c>
      <c r="C1783" s="1" t="s">
        <v>215</v>
      </c>
      <c r="D1783" s="1" t="s">
        <v>55</v>
      </c>
      <c r="E1783" s="1" t="s">
        <v>83</v>
      </c>
      <c r="F1783" s="1" t="n">
        <v>28</v>
      </c>
      <c r="G1783" s="1" t="n">
        <v>29</v>
      </c>
      <c r="H1783" s="1" t="s">
        <v>56</v>
      </c>
      <c r="I1783" s="1" t="n">
        <v>-5</v>
      </c>
      <c r="J1783" s="1" t="n">
        <v>50</v>
      </c>
      <c r="K1783" s="1" t="s">
        <v>161</v>
      </c>
      <c r="L1783" s="1" t="b">
        <f aca="false">FALSE()</f>
        <v>0</v>
      </c>
      <c r="M1783" s="1" t="str">
        <f aca="false">VLOOKUP(D1783,'Team Reference'!$A:$B,2,FALSE())</f>
        <v>ATL</v>
      </c>
      <c r="N1783" s="1" t="str">
        <f aca="false">VLOOKUP(E1783,'Team Reference'!$A:$B,2,FALSE())</f>
        <v>KC</v>
      </c>
      <c r="O1783" s="1" t="str">
        <f aca="false">IF(F1783&gt;G1783,M1783,IF(G1783&gt;F1783,N1783,"Tie"))</f>
        <v>KC</v>
      </c>
      <c r="P1783" s="1" t="n">
        <f aca="false">F1783-G1783</f>
        <v>-1</v>
      </c>
      <c r="Q1783" s="1" t="n">
        <f aca="false">F1783+G1783</f>
        <v>57</v>
      </c>
      <c r="R1783" s="1" t="str">
        <f aca="false">IF(H1783=M1783,"Home",IF(H1783=N1783,"Away",IF(H1783="PICK","Pick","N/A")))</f>
        <v>Home</v>
      </c>
      <c r="S1783" s="1" t="n">
        <f aca="false">IF(R1783="Home",P1783,IF(R1783="Away",-P1783,""))</f>
        <v>-1</v>
      </c>
      <c r="T1783" s="1" t="str">
        <f aca="false">IF(R1783="Pick","No Line",IF(S1783="","N/A",IF(S1783+I1783&gt;0,"Favorite Covered",IF(S1783+I1783&lt;0,"Underdog Covered","Push"))))</f>
        <v>Underdog Covered</v>
      </c>
      <c r="U1783" s="1" t="str">
        <f aca="false">IF(Q1783&gt;J1783,"Over",IF(Q1783&lt;J1783,"Under","Push"))</f>
        <v>Over</v>
      </c>
    </row>
    <row r="1784" customFormat="false" ht="15" hidden="false" customHeight="false" outlineLevel="0" collapsed="false">
      <c r="A1784" s="1" t="s">
        <v>559</v>
      </c>
      <c r="B1784" s="1" t="n">
        <v>2016</v>
      </c>
      <c r="C1784" s="1" t="s">
        <v>215</v>
      </c>
      <c r="D1784" s="1" t="s">
        <v>57</v>
      </c>
      <c r="E1784" s="1" t="s">
        <v>89</v>
      </c>
      <c r="F1784" s="1" t="n">
        <v>38</v>
      </c>
      <c r="G1784" s="1" t="n">
        <v>6</v>
      </c>
      <c r="H1784" s="1" t="s">
        <v>58</v>
      </c>
      <c r="I1784" s="1" t="n">
        <v>-3.5</v>
      </c>
      <c r="J1784" s="1" t="n">
        <v>41.5</v>
      </c>
      <c r="K1784" s="1" t="s">
        <v>178</v>
      </c>
      <c r="L1784" s="1" t="b">
        <f aca="false">FALSE()</f>
        <v>0</v>
      </c>
      <c r="M1784" s="1" t="str">
        <f aca="false">VLOOKUP(D1784,'Team Reference'!$A:$B,2,FALSE())</f>
        <v>BAL</v>
      </c>
      <c r="N1784" s="1" t="str">
        <f aca="false">VLOOKUP(E1784,'Team Reference'!$A:$B,2,FALSE())</f>
        <v>MIA</v>
      </c>
      <c r="O1784" s="1" t="str">
        <f aca="false">IF(F1784&gt;G1784,M1784,IF(G1784&gt;F1784,N1784,"Tie"))</f>
        <v>BAL</v>
      </c>
      <c r="P1784" s="1" t="n">
        <f aca="false">F1784-G1784</f>
        <v>32</v>
      </c>
      <c r="Q1784" s="1" t="n">
        <f aca="false">F1784+G1784</f>
        <v>44</v>
      </c>
      <c r="R1784" s="1" t="str">
        <f aca="false">IF(H1784=M1784,"Home",IF(H1784=N1784,"Away",IF(H1784="PICK","Pick","N/A")))</f>
        <v>Home</v>
      </c>
      <c r="S1784" s="1" t="n">
        <f aca="false">IF(R1784="Home",P1784,IF(R1784="Away",-P1784,""))</f>
        <v>32</v>
      </c>
      <c r="T1784" s="1" t="str">
        <f aca="false">IF(R1784="Pick","No Line",IF(S1784="","N/A",IF(S1784+I1784&gt;0,"Favorite Covered",IF(S1784+I1784&lt;0,"Underdog Covered","Push"))))</f>
        <v>Favorite Covered</v>
      </c>
      <c r="U1784" s="1" t="str">
        <f aca="false">IF(Q1784&gt;J1784,"Over",IF(Q1784&lt;J1784,"Under","Push"))</f>
        <v>Over</v>
      </c>
    </row>
    <row r="1785" customFormat="false" ht="15" hidden="false" customHeight="false" outlineLevel="0" collapsed="false">
      <c r="A1785" s="1" t="s">
        <v>559</v>
      </c>
      <c r="B1785" s="1" t="n">
        <v>2016</v>
      </c>
      <c r="C1785" s="1" t="s">
        <v>215</v>
      </c>
      <c r="D1785" s="1" t="s">
        <v>63</v>
      </c>
      <c r="E1785" s="1" t="s">
        <v>108</v>
      </c>
      <c r="F1785" s="1" t="n">
        <v>26</v>
      </c>
      <c r="G1785" s="1" t="n">
        <v>6</v>
      </c>
      <c r="H1785" s="1" t="s">
        <v>109</v>
      </c>
      <c r="I1785" s="1" t="n">
        <v>-1</v>
      </c>
      <c r="J1785" s="1" t="n">
        <v>44</v>
      </c>
      <c r="K1785" s="1" t="s">
        <v>145</v>
      </c>
      <c r="L1785" s="1" t="b">
        <f aca="false">FALSE()</f>
        <v>0</v>
      </c>
      <c r="M1785" s="1" t="str">
        <f aca="false">VLOOKUP(D1785,'Team Reference'!$A:$B,2,FALSE())</f>
        <v>CHI</v>
      </c>
      <c r="N1785" s="1" t="str">
        <f aca="false">VLOOKUP(E1785,'Team Reference'!$A:$B,2,FALSE())</f>
        <v>SF</v>
      </c>
      <c r="O1785" s="1" t="str">
        <f aca="false">IF(F1785&gt;G1785,M1785,IF(G1785&gt;F1785,N1785,"Tie"))</f>
        <v>CHI</v>
      </c>
      <c r="P1785" s="1" t="n">
        <f aca="false">F1785-G1785</f>
        <v>20</v>
      </c>
      <c r="Q1785" s="1" t="n">
        <f aca="false">F1785+G1785</f>
        <v>32</v>
      </c>
      <c r="R1785" s="1" t="str">
        <f aca="false">IF(H1785=M1785,"Home",IF(H1785=N1785,"Away",IF(H1785="PICK","Pick","N/A")))</f>
        <v>Away</v>
      </c>
      <c r="S1785" s="1" t="n">
        <f aca="false">IF(R1785="Home",P1785,IF(R1785="Away",-P1785,""))</f>
        <v>-20</v>
      </c>
      <c r="T1785" s="1" t="str">
        <f aca="false">IF(R1785="Pick","No Line",IF(S1785="","N/A",IF(S1785+I1785&gt;0,"Favorite Covered",IF(S1785+I1785&lt;0,"Underdog Covered","Push"))))</f>
        <v>Underdog Covered</v>
      </c>
      <c r="U1785" s="1" t="str">
        <f aca="false">IF(Q1785&gt;J1785,"Over",IF(Q1785&lt;J1785,"Under","Push"))</f>
        <v>Under</v>
      </c>
    </row>
    <row r="1786" customFormat="false" ht="15" hidden="false" customHeight="false" outlineLevel="0" collapsed="false">
      <c r="A1786" s="1" t="s">
        <v>559</v>
      </c>
      <c r="B1786" s="1" t="n">
        <v>2016</v>
      </c>
      <c r="C1786" s="1" t="s">
        <v>215</v>
      </c>
      <c r="D1786" s="1" t="s">
        <v>65</v>
      </c>
      <c r="E1786" s="1" t="s">
        <v>103</v>
      </c>
      <c r="F1786" s="1" t="n">
        <v>32</v>
      </c>
      <c r="G1786" s="1" t="n">
        <v>14</v>
      </c>
      <c r="H1786" s="1" t="s">
        <v>66</v>
      </c>
      <c r="I1786" s="1" t="n">
        <v>-1.5</v>
      </c>
      <c r="J1786" s="1" t="n">
        <v>42</v>
      </c>
      <c r="K1786" s="1" t="s">
        <v>163</v>
      </c>
      <c r="L1786" s="1" t="b">
        <f aca="false">FALSE()</f>
        <v>0</v>
      </c>
      <c r="M1786" s="1" t="str">
        <f aca="false">VLOOKUP(D1786,'Team Reference'!$A:$B,2,FALSE())</f>
        <v>CIN</v>
      </c>
      <c r="N1786" s="1" t="str">
        <f aca="false">VLOOKUP(E1786,'Team Reference'!$A:$B,2,FALSE())</f>
        <v>PHI</v>
      </c>
      <c r="O1786" s="1" t="str">
        <f aca="false">IF(F1786&gt;G1786,M1786,IF(G1786&gt;F1786,N1786,"Tie"))</f>
        <v>CIN</v>
      </c>
      <c r="P1786" s="1" t="n">
        <f aca="false">F1786-G1786</f>
        <v>18</v>
      </c>
      <c r="Q1786" s="1" t="n">
        <f aca="false">F1786+G1786</f>
        <v>46</v>
      </c>
      <c r="R1786" s="1" t="str">
        <f aca="false">IF(H1786=M1786,"Home",IF(H1786=N1786,"Away",IF(H1786="PICK","Pick","N/A")))</f>
        <v>Home</v>
      </c>
      <c r="S1786" s="1" t="n">
        <f aca="false">IF(R1786="Home",P1786,IF(R1786="Away",-P1786,""))</f>
        <v>18</v>
      </c>
      <c r="T1786" s="1" t="str">
        <f aca="false">IF(R1786="Pick","No Line",IF(S1786="","N/A",IF(S1786+I1786&gt;0,"Favorite Covered",IF(S1786+I1786&lt;0,"Underdog Covered","Push"))))</f>
        <v>Favorite Covered</v>
      </c>
      <c r="U1786" s="1" t="str">
        <f aca="false">IF(Q1786&gt;J1786,"Over",IF(Q1786&lt;J1786,"Under","Push"))</f>
        <v>Over</v>
      </c>
    </row>
    <row r="1787" customFormat="false" ht="15" hidden="false" customHeight="false" outlineLevel="0" collapsed="false">
      <c r="A1787" s="1" t="s">
        <v>559</v>
      </c>
      <c r="B1787" s="1" t="n">
        <v>2016</v>
      </c>
      <c r="C1787" s="1" t="s">
        <v>215</v>
      </c>
      <c r="D1787" s="1" t="s">
        <v>75</v>
      </c>
      <c r="E1787" s="1" t="s">
        <v>77</v>
      </c>
      <c r="F1787" s="1" t="n">
        <v>21</v>
      </c>
      <c r="G1787" s="1" t="n">
        <v>13</v>
      </c>
      <c r="H1787" s="1" t="s">
        <v>76</v>
      </c>
      <c r="I1787" s="1" t="n">
        <v>-7</v>
      </c>
      <c r="J1787" s="1" t="n">
        <v>44.5</v>
      </c>
      <c r="K1787" s="1" t="s">
        <v>168</v>
      </c>
      <c r="L1787" s="1" t="b">
        <f aca="false">FALSE()</f>
        <v>0</v>
      </c>
      <c r="M1787" s="1" t="str">
        <f aca="false">VLOOKUP(D1787,'Team Reference'!$A:$B,2,FALSE())</f>
        <v>GB</v>
      </c>
      <c r="N1787" s="1" t="str">
        <f aca="false">VLOOKUP(E1787,'Team Reference'!$A:$B,2,FALSE())</f>
        <v>HOU</v>
      </c>
      <c r="O1787" s="1" t="str">
        <f aca="false">IF(F1787&gt;G1787,M1787,IF(G1787&gt;F1787,N1787,"Tie"))</f>
        <v>GB</v>
      </c>
      <c r="P1787" s="1" t="n">
        <f aca="false">F1787-G1787</f>
        <v>8</v>
      </c>
      <c r="Q1787" s="1" t="n">
        <f aca="false">F1787+G1787</f>
        <v>34</v>
      </c>
      <c r="R1787" s="1" t="str">
        <f aca="false">IF(H1787=M1787,"Home",IF(H1787=N1787,"Away",IF(H1787="PICK","Pick","N/A")))</f>
        <v>Home</v>
      </c>
      <c r="S1787" s="1" t="n">
        <f aca="false">IF(R1787="Home",P1787,IF(R1787="Away",-P1787,""))</f>
        <v>8</v>
      </c>
      <c r="T1787" s="1" t="str">
        <f aca="false">IF(R1787="Pick","No Line",IF(S1787="","N/A",IF(S1787+I1787&gt;0,"Favorite Covered",IF(S1787+I1787&lt;0,"Underdog Covered","Push"))))</f>
        <v>Favorite Covered</v>
      </c>
      <c r="U1787" s="1" t="str">
        <f aca="false">IF(Q1787&gt;J1787,"Over",IF(Q1787&lt;J1787,"Under","Push"))</f>
        <v>Under</v>
      </c>
    </row>
    <row r="1788" customFormat="false" ht="15" hidden="false" customHeight="false" outlineLevel="0" collapsed="false">
      <c r="A1788" s="1" t="s">
        <v>559</v>
      </c>
      <c r="B1788" s="1" t="n">
        <v>2016</v>
      </c>
      <c r="C1788" s="1" t="s">
        <v>215</v>
      </c>
      <c r="D1788" s="1" t="s">
        <v>81</v>
      </c>
      <c r="E1788" s="1" t="s">
        <v>71</v>
      </c>
      <c r="F1788" s="1" t="n">
        <v>10</v>
      </c>
      <c r="G1788" s="1" t="n">
        <v>20</v>
      </c>
      <c r="H1788" s="1" t="s">
        <v>72</v>
      </c>
      <c r="I1788" s="1" t="n">
        <v>-3.5</v>
      </c>
      <c r="J1788" s="1" t="n">
        <v>38.5</v>
      </c>
      <c r="K1788" s="1" t="s">
        <v>147</v>
      </c>
      <c r="L1788" s="1" t="b">
        <f aca="false">FALSE()</f>
        <v>0</v>
      </c>
      <c r="M1788" s="1" t="str">
        <f aca="false">VLOOKUP(D1788,'Team Reference'!$A:$B,2,FALSE())</f>
        <v>JAX</v>
      </c>
      <c r="N1788" s="1" t="str">
        <f aca="false">VLOOKUP(E1788,'Team Reference'!$A:$B,2,FALSE())</f>
        <v>DEN</v>
      </c>
      <c r="O1788" s="1" t="str">
        <f aca="false">IF(F1788&gt;G1788,M1788,IF(G1788&gt;F1788,N1788,"Tie"))</f>
        <v>DEN</v>
      </c>
      <c r="P1788" s="1" t="n">
        <f aca="false">F1788-G1788</f>
        <v>-10</v>
      </c>
      <c r="Q1788" s="1" t="n">
        <f aca="false">F1788+G1788</f>
        <v>30</v>
      </c>
      <c r="R1788" s="1" t="str">
        <f aca="false">IF(H1788=M1788,"Home",IF(H1788=N1788,"Away",IF(H1788="PICK","Pick","N/A")))</f>
        <v>Away</v>
      </c>
      <c r="S1788" s="1" t="n">
        <f aca="false">IF(R1788="Home",P1788,IF(R1788="Away",-P1788,""))</f>
        <v>10</v>
      </c>
      <c r="T1788" s="1" t="str">
        <f aca="false">IF(R1788="Pick","No Line",IF(S1788="","N/A",IF(S1788+I1788&gt;0,"Favorite Covered",IF(S1788+I1788&lt;0,"Underdog Covered","Push"))))</f>
        <v>Favorite Covered</v>
      </c>
      <c r="U1788" s="1" t="str">
        <f aca="false">IF(Q1788&gt;J1788,"Over",IF(Q1788&lt;J1788,"Under","Push"))</f>
        <v>Under</v>
      </c>
    </row>
    <row r="1789" customFormat="false" ht="15" hidden="false" customHeight="false" outlineLevel="0" collapsed="false">
      <c r="A1789" s="1" t="s">
        <v>559</v>
      </c>
      <c r="B1789" s="1" t="n">
        <v>2016</v>
      </c>
      <c r="C1789" s="1" t="s">
        <v>215</v>
      </c>
      <c r="D1789" s="1" t="s">
        <v>93</v>
      </c>
      <c r="E1789" s="1" t="s">
        <v>87</v>
      </c>
      <c r="F1789" s="1" t="n">
        <v>26</v>
      </c>
      <c r="G1789" s="1" t="n">
        <v>10</v>
      </c>
      <c r="H1789" s="1" t="s">
        <v>94</v>
      </c>
      <c r="I1789" s="1" t="n">
        <v>-13.5</v>
      </c>
      <c r="J1789" s="1" t="n">
        <v>45</v>
      </c>
      <c r="K1789" s="1" t="s">
        <v>148</v>
      </c>
      <c r="L1789" s="1" t="b">
        <f aca="false">FALSE()</f>
        <v>0</v>
      </c>
      <c r="M1789" s="1" t="str">
        <f aca="false">VLOOKUP(D1789,'Team Reference'!$A:$B,2,FALSE())</f>
        <v>NE</v>
      </c>
      <c r="N1789" s="1" t="str">
        <f aca="false">VLOOKUP(E1789,'Team Reference'!$A:$B,2,FALSE())</f>
        <v>LAR</v>
      </c>
      <c r="O1789" s="1" t="str">
        <f aca="false">IF(F1789&gt;G1789,M1789,IF(G1789&gt;F1789,N1789,"Tie"))</f>
        <v>NE</v>
      </c>
      <c r="P1789" s="1" t="n">
        <f aca="false">F1789-G1789</f>
        <v>16</v>
      </c>
      <c r="Q1789" s="1" t="n">
        <f aca="false">F1789+G1789</f>
        <v>36</v>
      </c>
      <c r="R1789" s="1" t="str">
        <f aca="false">IF(H1789=M1789,"Home",IF(H1789=N1789,"Away",IF(H1789="PICK","Pick","N/A")))</f>
        <v>Home</v>
      </c>
      <c r="S1789" s="1" t="n">
        <f aca="false">IF(R1789="Home",P1789,IF(R1789="Away",-P1789,""))</f>
        <v>16</v>
      </c>
      <c r="T1789" s="1" t="str">
        <f aca="false">IF(R1789="Pick","No Line",IF(S1789="","N/A",IF(S1789+I1789&gt;0,"Favorite Covered",IF(S1789+I1789&lt;0,"Underdog Covered","Push"))))</f>
        <v>Favorite Covered</v>
      </c>
      <c r="U1789" s="1" t="str">
        <f aca="false">IF(Q1789&gt;J1789,"Over",IF(Q1789&lt;J1789,"Under","Push"))</f>
        <v>Under</v>
      </c>
    </row>
    <row r="1790" customFormat="false" ht="15" hidden="false" customHeight="false" outlineLevel="0" collapsed="false">
      <c r="A1790" s="1" t="s">
        <v>559</v>
      </c>
      <c r="B1790" s="1" t="n">
        <v>2016</v>
      </c>
      <c r="C1790" s="1" t="s">
        <v>215</v>
      </c>
      <c r="D1790" s="1" t="s">
        <v>95</v>
      </c>
      <c r="E1790" s="1" t="s">
        <v>73</v>
      </c>
      <c r="F1790" s="1" t="n">
        <v>13</v>
      </c>
      <c r="G1790" s="1" t="n">
        <v>28</v>
      </c>
      <c r="H1790" s="1" t="s">
        <v>96</v>
      </c>
      <c r="I1790" s="1" t="n">
        <v>-6.5</v>
      </c>
      <c r="J1790" s="1" t="n">
        <v>53.5</v>
      </c>
      <c r="K1790" s="1" t="s">
        <v>142</v>
      </c>
      <c r="L1790" s="1" t="b">
        <f aca="false">FALSE()</f>
        <v>0</v>
      </c>
      <c r="M1790" s="1" t="str">
        <f aca="false">VLOOKUP(D1790,'Team Reference'!$A:$B,2,FALSE())</f>
        <v>NO</v>
      </c>
      <c r="N1790" s="1" t="str">
        <f aca="false">VLOOKUP(E1790,'Team Reference'!$A:$B,2,FALSE())</f>
        <v>DET</v>
      </c>
      <c r="O1790" s="1" t="str">
        <f aca="false">IF(F1790&gt;G1790,M1790,IF(G1790&gt;F1790,N1790,"Tie"))</f>
        <v>DET</v>
      </c>
      <c r="P1790" s="1" t="n">
        <f aca="false">F1790-G1790</f>
        <v>-15</v>
      </c>
      <c r="Q1790" s="1" t="n">
        <f aca="false">F1790+G1790</f>
        <v>41</v>
      </c>
      <c r="R1790" s="1" t="str">
        <f aca="false">IF(H1790=M1790,"Home",IF(H1790=N1790,"Away",IF(H1790="PICK","Pick","N/A")))</f>
        <v>Home</v>
      </c>
      <c r="S1790" s="1" t="n">
        <f aca="false">IF(R1790="Home",P1790,IF(R1790="Away",-P1790,""))</f>
        <v>-15</v>
      </c>
      <c r="T1790" s="1" t="str">
        <f aca="false">IF(R1790="Pick","No Line",IF(S1790="","N/A",IF(S1790+I1790&gt;0,"Favorite Covered",IF(S1790+I1790&lt;0,"Underdog Covered","Push"))))</f>
        <v>Underdog Covered</v>
      </c>
      <c r="U1790" s="1" t="str">
        <f aca="false">IF(Q1790&gt;J1790,"Over",IF(Q1790&lt;J1790,"Under","Push"))</f>
        <v>Under</v>
      </c>
    </row>
    <row r="1791" customFormat="false" ht="15" hidden="false" customHeight="false" outlineLevel="0" collapsed="false">
      <c r="A1791" s="1" t="s">
        <v>559</v>
      </c>
      <c r="B1791" s="1" t="n">
        <v>2016</v>
      </c>
      <c r="C1791" s="1" t="s">
        <v>215</v>
      </c>
      <c r="D1791" s="1" t="s">
        <v>101</v>
      </c>
      <c r="E1791" s="1" t="s">
        <v>59</v>
      </c>
      <c r="F1791" s="1" t="n">
        <v>38</v>
      </c>
      <c r="G1791" s="1" t="n">
        <v>24</v>
      </c>
      <c r="H1791" s="1" t="s">
        <v>102</v>
      </c>
      <c r="I1791" s="1" t="n">
        <v>-3</v>
      </c>
      <c r="J1791" s="1" t="n">
        <v>48.5</v>
      </c>
      <c r="K1791" s="1" t="s">
        <v>171</v>
      </c>
      <c r="L1791" s="1" t="b">
        <f aca="false">FALSE()</f>
        <v>0</v>
      </c>
      <c r="M1791" s="1" t="str">
        <f aca="false">VLOOKUP(D1791,'Team Reference'!$A:$B,2,FALSE())</f>
        <v>OAK</v>
      </c>
      <c r="N1791" s="1" t="str">
        <f aca="false">VLOOKUP(E1791,'Team Reference'!$A:$B,2,FALSE())</f>
        <v>BUF</v>
      </c>
      <c r="O1791" s="1" t="str">
        <f aca="false">IF(F1791&gt;G1791,M1791,IF(G1791&gt;F1791,N1791,"Tie"))</f>
        <v>OAK</v>
      </c>
      <c r="P1791" s="1" t="n">
        <f aca="false">F1791-G1791</f>
        <v>14</v>
      </c>
      <c r="Q1791" s="1" t="n">
        <f aca="false">F1791+G1791</f>
        <v>62</v>
      </c>
      <c r="R1791" s="1" t="str">
        <f aca="false">IF(H1791=M1791,"Home",IF(H1791=N1791,"Away",IF(H1791="PICK","Pick","N/A")))</f>
        <v>Home</v>
      </c>
      <c r="S1791" s="1" t="n">
        <f aca="false">IF(R1791="Home",P1791,IF(R1791="Away",-P1791,""))</f>
        <v>14</v>
      </c>
      <c r="T1791" s="1" t="str">
        <f aca="false">IF(R1791="Pick","No Line",IF(S1791="","N/A",IF(S1791+I1791&gt;0,"Favorite Covered",IF(S1791+I1791&lt;0,"Underdog Covered","Push"))))</f>
        <v>Favorite Covered</v>
      </c>
      <c r="U1791" s="1" t="str">
        <f aca="false">IF(Q1791&gt;J1791,"Over",IF(Q1791&lt;J1791,"Under","Push"))</f>
        <v>Over</v>
      </c>
    </row>
    <row r="1792" customFormat="false" ht="15" hidden="false" customHeight="false" outlineLevel="0" collapsed="false">
      <c r="A1792" s="1" t="s">
        <v>559</v>
      </c>
      <c r="B1792" s="1" t="n">
        <v>2016</v>
      </c>
      <c r="C1792" s="1" t="s">
        <v>215</v>
      </c>
      <c r="D1792" s="1" t="s">
        <v>105</v>
      </c>
      <c r="E1792" s="1" t="s">
        <v>97</v>
      </c>
      <c r="F1792" s="1" t="n">
        <v>24</v>
      </c>
      <c r="G1792" s="1" t="n">
        <v>14</v>
      </c>
      <c r="H1792" s="1" t="s">
        <v>106</v>
      </c>
      <c r="I1792" s="1" t="n">
        <v>-6.5</v>
      </c>
      <c r="J1792" s="1" t="n">
        <v>49.5</v>
      </c>
      <c r="K1792" s="1" t="s">
        <v>151</v>
      </c>
      <c r="L1792" s="1" t="b">
        <f aca="false">FALSE()</f>
        <v>0</v>
      </c>
      <c r="M1792" s="1" t="str">
        <f aca="false">VLOOKUP(D1792,'Team Reference'!$A:$B,2,FALSE())</f>
        <v>PIT</v>
      </c>
      <c r="N1792" s="1" t="str">
        <f aca="false">VLOOKUP(E1792,'Team Reference'!$A:$B,2,FALSE())</f>
        <v>NYG</v>
      </c>
      <c r="O1792" s="1" t="str">
        <f aca="false">IF(F1792&gt;G1792,M1792,IF(G1792&gt;F1792,N1792,"Tie"))</f>
        <v>PIT</v>
      </c>
      <c r="P1792" s="1" t="n">
        <f aca="false">F1792-G1792</f>
        <v>10</v>
      </c>
      <c r="Q1792" s="1" t="n">
        <f aca="false">F1792+G1792</f>
        <v>38</v>
      </c>
      <c r="R1792" s="1" t="str">
        <f aca="false">IF(H1792=M1792,"Home",IF(H1792=N1792,"Away",IF(H1792="PICK","Pick","N/A")))</f>
        <v>Home</v>
      </c>
      <c r="S1792" s="1" t="n">
        <f aca="false">IF(R1792="Home",P1792,IF(R1792="Away",-P1792,""))</f>
        <v>10</v>
      </c>
      <c r="T1792" s="1" t="str">
        <f aca="false">IF(R1792="Pick","No Line",IF(S1792="","N/A",IF(S1792+I1792&gt;0,"Favorite Covered",IF(S1792+I1792&lt;0,"Underdog Covered","Push"))))</f>
        <v>Favorite Covered</v>
      </c>
      <c r="U1792" s="1" t="str">
        <f aca="false">IF(Q1792&gt;J1792,"Over",IF(Q1792&lt;J1792,"Under","Push"))</f>
        <v>Under</v>
      </c>
    </row>
    <row r="1793" customFormat="false" ht="15" hidden="false" customHeight="false" outlineLevel="0" collapsed="false">
      <c r="A1793" s="1" t="s">
        <v>559</v>
      </c>
      <c r="B1793" s="1" t="n">
        <v>2016</v>
      </c>
      <c r="C1793" s="1" t="s">
        <v>215</v>
      </c>
      <c r="D1793" s="1" t="s">
        <v>107</v>
      </c>
      <c r="E1793" s="1" t="s">
        <v>113</v>
      </c>
      <c r="F1793" s="1" t="n">
        <v>21</v>
      </c>
      <c r="G1793" s="1" t="n">
        <v>28</v>
      </c>
      <c r="H1793" s="1" t="s">
        <v>86</v>
      </c>
      <c r="I1793" s="1" t="n">
        <v>-3.5</v>
      </c>
      <c r="J1793" s="1" t="n">
        <v>49</v>
      </c>
      <c r="K1793" s="1" t="s">
        <v>172</v>
      </c>
      <c r="L1793" s="1" t="b">
        <f aca="false">FALSE()</f>
        <v>0</v>
      </c>
      <c r="M1793" s="1" t="str">
        <f aca="false">VLOOKUP(D1793,'Team Reference'!$A:$B,2,FALSE())</f>
        <v>LAC</v>
      </c>
      <c r="N1793" s="1" t="str">
        <f aca="false">VLOOKUP(E1793,'Team Reference'!$A:$B,2,FALSE())</f>
        <v>TB</v>
      </c>
      <c r="O1793" s="1" t="str">
        <f aca="false">IF(F1793&gt;G1793,M1793,IF(G1793&gt;F1793,N1793,"Tie"))</f>
        <v>TB</v>
      </c>
      <c r="P1793" s="1" t="n">
        <f aca="false">F1793-G1793</f>
        <v>-7</v>
      </c>
      <c r="Q1793" s="1" t="n">
        <f aca="false">F1793+G1793</f>
        <v>49</v>
      </c>
      <c r="R1793" s="1" t="str">
        <f aca="false">IF(H1793=M1793,"Home",IF(H1793=N1793,"Away",IF(H1793="PICK","Pick","N/A")))</f>
        <v>Home</v>
      </c>
      <c r="S1793" s="1" t="n">
        <f aca="false">IF(R1793="Home",P1793,IF(R1793="Away",-P1793,""))</f>
        <v>-7</v>
      </c>
      <c r="T1793" s="1" t="str">
        <f aca="false">IF(R1793="Pick","No Line",IF(S1793="","N/A",IF(S1793+I1793&gt;0,"Favorite Covered",IF(S1793+I1793&lt;0,"Underdog Covered","Push"))))</f>
        <v>Underdog Covered</v>
      </c>
      <c r="U1793" s="1" t="str">
        <f aca="false">IF(Q1793&gt;J1793,"Over",IF(Q1793&lt;J1793,"Under","Push"))</f>
        <v>Push</v>
      </c>
    </row>
    <row r="1794" customFormat="false" ht="15" hidden="false" customHeight="false" outlineLevel="0" collapsed="false">
      <c r="A1794" s="1" t="s">
        <v>559</v>
      </c>
      <c r="B1794" s="1" t="n">
        <v>2016</v>
      </c>
      <c r="C1794" s="1" t="s">
        <v>215</v>
      </c>
      <c r="D1794" s="1" t="s">
        <v>110</v>
      </c>
      <c r="E1794" s="1" t="s">
        <v>61</v>
      </c>
      <c r="F1794" s="1" t="n">
        <v>40</v>
      </c>
      <c r="G1794" s="1" t="n">
        <v>7</v>
      </c>
      <c r="H1794" s="1" t="s">
        <v>111</v>
      </c>
      <c r="I1794" s="1" t="n">
        <v>-8.5</v>
      </c>
      <c r="J1794" s="1" t="n">
        <v>44</v>
      </c>
      <c r="K1794" s="1" t="s">
        <v>152</v>
      </c>
      <c r="L1794" s="1" t="b">
        <f aca="false">FALSE()</f>
        <v>0</v>
      </c>
      <c r="M1794" s="1" t="str">
        <f aca="false">VLOOKUP(D1794,'Team Reference'!$A:$B,2,FALSE())</f>
        <v>SEA</v>
      </c>
      <c r="N1794" s="1" t="str">
        <f aca="false">VLOOKUP(E1794,'Team Reference'!$A:$B,2,FALSE())</f>
        <v>CAR</v>
      </c>
      <c r="O1794" s="1" t="str">
        <f aca="false">IF(F1794&gt;G1794,M1794,IF(G1794&gt;F1794,N1794,"Tie"))</f>
        <v>SEA</v>
      </c>
      <c r="P1794" s="1" t="n">
        <f aca="false">F1794-G1794</f>
        <v>33</v>
      </c>
      <c r="Q1794" s="1" t="n">
        <f aca="false">F1794+G1794</f>
        <v>47</v>
      </c>
      <c r="R1794" s="1" t="str">
        <f aca="false">IF(H1794=M1794,"Home",IF(H1794=N1794,"Away",IF(H1794="PICK","Pick","N/A")))</f>
        <v>Home</v>
      </c>
      <c r="S1794" s="1" t="n">
        <f aca="false">IF(R1794="Home",P1794,IF(R1794="Away",-P1794,""))</f>
        <v>33</v>
      </c>
      <c r="T1794" s="1" t="str">
        <f aca="false">IF(R1794="Pick","No Line",IF(S1794="","N/A",IF(S1794+I1794&gt;0,"Favorite Covered",IF(S1794+I1794&lt;0,"Underdog Covered","Push"))))</f>
        <v>Favorite Covered</v>
      </c>
      <c r="U1794" s="1" t="str">
        <f aca="false">IF(Q1794&gt;J1794,"Over",IF(Q1794&lt;J1794,"Under","Push"))</f>
        <v>Over</v>
      </c>
    </row>
    <row r="1795" customFormat="false" ht="15" hidden="false" customHeight="false" outlineLevel="0" collapsed="false">
      <c r="A1795" s="1" t="s">
        <v>560</v>
      </c>
      <c r="B1795" s="1" t="n">
        <v>2016</v>
      </c>
      <c r="C1795" s="1" t="s">
        <v>215</v>
      </c>
      <c r="D1795" s="1" t="s">
        <v>99</v>
      </c>
      <c r="E1795" s="1" t="s">
        <v>79</v>
      </c>
      <c r="F1795" s="1" t="n">
        <v>10</v>
      </c>
      <c r="G1795" s="1" t="n">
        <v>41</v>
      </c>
      <c r="H1795" s="1" t="s">
        <v>100</v>
      </c>
      <c r="I1795" s="1" t="n">
        <v>-1</v>
      </c>
      <c r="J1795" s="1" t="n">
        <v>48.5</v>
      </c>
      <c r="K1795" s="1" t="s">
        <v>149</v>
      </c>
      <c r="L1795" s="1" t="b">
        <f aca="false">FALSE()</f>
        <v>0</v>
      </c>
      <c r="M1795" s="1" t="str">
        <f aca="false">VLOOKUP(D1795,'Team Reference'!$A:$B,2,FALSE())</f>
        <v>NYJ</v>
      </c>
      <c r="N1795" s="1" t="str">
        <f aca="false">VLOOKUP(E1795,'Team Reference'!$A:$B,2,FALSE())</f>
        <v>IND</v>
      </c>
      <c r="O1795" s="1" t="str">
        <f aca="false">IF(F1795&gt;G1795,M1795,IF(G1795&gt;F1795,N1795,"Tie"))</f>
        <v>IND</v>
      </c>
      <c r="P1795" s="1" t="n">
        <f aca="false">F1795-G1795</f>
        <v>-31</v>
      </c>
      <c r="Q1795" s="1" t="n">
        <f aca="false">F1795+G1795</f>
        <v>51</v>
      </c>
      <c r="R1795" s="1" t="str">
        <f aca="false">IF(H1795=M1795,"Home",IF(H1795=N1795,"Away",IF(H1795="PICK","Pick","N/A")))</f>
        <v>Home</v>
      </c>
      <c r="S1795" s="1" t="n">
        <f aca="false">IF(R1795="Home",P1795,IF(R1795="Away",-P1795,""))</f>
        <v>-31</v>
      </c>
      <c r="T1795" s="1" t="str">
        <f aca="false">IF(R1795="Pick","No Line",IF(S1795="","N/A",IF(S1795+I1795&gt;0,"Favorite Covered",IF(S1795+I1795&lt;0,"Underdog Covered","Push"))))</f>
        <v>Underdog Covered</v>
      </c>
      <c r="U1795" s="1" t="str">
        <f aca="false">IF(Q1795&gt;J1795,"Over",IF(Q1795&lt;J1795,"Under","Push"))</f>
        <v>Over</v>
      </c>
    </row>
    <row r="1796" customFormat="false" ht="15" hidden="false" customHeight="false" outlineLevel="0" collapsed="false">
      <c r="A1796" s="1" t="s">
        <v>561</v>
      </c>
      <c r="B1796" s="1" t="n">
        <v>2016</v>
      </c>
      <c r="C1796" s="1" t="s">
        <v>219</v>
      </c>
      <c r="D1796" s="1" t="s">
        <v>83</v>
      </c>
      <c r="E1796" s="1" t="s">
        <v>101</v>
      </c>
      <c r="F1796" s="1" t="n">
        <v>21</v>
      </c>
      <c r="G1796" s="1" t="n">
        <v>13</v>
      </c>
      <c r="H1796" s="1" t="s">
        <v>84</v>
      </c>
      <c r="I1796" s="1" t="n">
        <v>-3.5</v>
      </c>
      <c r="J1796" s="1" t="n">
        <v>46</v>
      </c>
      <c r="K1796" s="1" t="s">
        <v>158</v>
      </c>
      <c r="L1796" s="1" t="b">
        <f aca="false">FALSE()</f>
        <v>0</v>
      </c>
      <c r="M1796" s="1" t="str">
        <f aca="false">VLOOKUP(D1796,'Team Reference'!$A:$B,2,FALSE())</f>
        <v>KC</v>
      </c>
      <c r="N1796" s="1" t="str">
        <f aca="false">VLOOKUP(E1796,'Team Reference'!$A:$B,2,FALSE())</f>
        <v>OAK</v>
      </c>
      <c r="O1796" s="1" t="str">
        <f aca="false">IF(F1796&gt;G1796,M1796,IF(G1796&gt;F1796,N1796,"Tie"))</f>
        <v>KC</v>
      </c>
      <c r="P1796" s="1" t="n">
        <f aca="false">F1796-G1796</f>
        <v>8</v>
      </c>
      <c r="Q1796" s="1" t="n">
        <f aca="false">F1796+G1796</f>
        <v>34</v>
      </c>
      <c r="R1796" s="1" t="str">
        <f aca="false">IF(H1796=M1796,"Home",IF(H1796=N1796,"Away",IF(H1796="PICK","Pick","N/A")))</f>
        <v>Home</v>
      </c>
      <c r="S1796" s="1" t="n">
        <f aca="false">IF(R1796="Home",P1796,IF(R1796="Away",-P1796,""))</f>
        <v>8</v>
      </c>
      <c r="T1796" s="1" t="str">
        <f aca="false">IF(R1796="Pick","No Line",IF(S1796="","N/A",IF(S1796+I1796&gt;0,"Favorite Covered",IF(S1796+I1796&lt;0,"Underdog Covered","Push"))))</f>
        <v>Favorite Covered</v>
      </c>
      <c r="U1796" s="1" t="str">
        <f aca="false">IF(Q1796&gt;J1796,"Over",IF(Q1796&lt;J1796,"Under","Push"))</f>
        <v>Under</v>
      </c>
    </row>
    <row r="1797" customFormat="false" ht="15" hidden="false" customHeight="false" outlineLevel="0" collapsed="false">
      <c r="A1797" s="1" t="s">
        <v>562</v>
      </c>
      <c r="B1797" s="1" t="n">
        <v>2016</v>
      </c>
      <c r="C1797" s="1" t="s">
        <v>219</v>
      </c>
      <c r="D1797" s="1" t="s">
        <v>59</v>
      </c>
      <c r="E1797" s="1" t="s">
        <v>105</v>
      </c>
      <c r="F1797" s="1" t="n">
        <v>20</v>
      </c>
      <c r="G1797" s="1" t="n">
        <v>27</v>
      </c>
      <c r="H1797" s="1" t="s">
        <v>106</v>
      </c>
      <c r="I1797" s="1" t="n">
        <v>-2</v>
      </c>
      <c r="J1797" s="1" t="n">
        <v>45.5</v>
      </c>
      <c r="K1797" s="1" t="s">
        <v>522</v>
      </c>
      <c r="L1797" s="1" t="b">
        <f aca="false">FALSE()</f>
        <v>0</v>
      </c>
      <c r="M1797" s="1" t="str">
        <f aca="false">VLOOKUP(D1797,'Team Reference'!$A:$B,2,FALSE())</f>
        <v>BUF</v>
      </c>
      <c r="N1797" s="1" t="str">
        <f aca="false">VLOOKUP(E1797,'Team Reference'!$A:$B,2,FALSE())</f>
        <v>PIT</v>
      </c>
      <c r="O1797" s="1" t="str">
        <f aca="false">IF(F1797&gt;G1797,M1797,IF(G1797&gt;F1797,N1797,"Tie"))</f>
        <v>PIT</v>
      </c>
      <c r="P1797" s="1" t="n">
        <f aca="false">F1797-G1797</f>
        <v>-7</v>
      </c>
      <c r="Q1797" s="1" t="n">
        <f aca="false">F1797+G1797</f>
        <v>47</v>
      </c>
      <c r="R1797" s="1" t="str">
        <f aca="false">IF(H1797=M1797,"Home",IF(H1797=N1797,"Away",IF(H1797="PICK","Pick","N/A")))</f>
        <v>Away</v>
      </c>
      <c r="S1797" s="1" t="n">
        <f aca="false">IF(R1797="Home",P1797,IF(R1797="Away",-P1797,""))</f>
        <v>7</v>
      </c>
      <c r="T1797" s="1" t="str">
        <f aca="false">IF(R1797="Pick","No Line",IF(S1797="","N/A",IF(S1797+I1797&gt;0,"Favorite Covered",IF(S1797+I1797&lt;0,"Underdog Covered","Push"))))</f>
        <v>Favorite Covered</v>
      </c>
      <c r="U1797" s="1" t="str">
        <f aca="false">IF(Q1797&gt;J1797,"Over",IF(Q1797&lt;J1797,"Under","Push"))</f>
        <v>Over</v>
      </c>
    </row>
    <row r="1798" customFormat="false" ht="15" hidden="false" customHeight="false" outlineLevel="0" collapsed="false">
      <c r="A1798" s="1" t="s">
        <v>562</v>
      </c>
      <c r="B1798" s="1" t="n">
        <v>2016</v>
      </c>
      <c r="C1798" s="1" t="s">
        <v>219</v>
      </c>
      <c r="D1798" s="1" t="s">
        <v>61</v>
      </c>
      <c r="E1798" s="1" t="s">
        <v>107</v>
      </c>
      <c r="F1798" s="1" t="n">
        <v>28</v>
      </c>
      <c r="G1798" s="1" t="n">
        <v>16</v>
      </c>
      <c r="H1798" s="1" t="s">
        <v>62</v>
      </c>
      <c r="I1798" s="1" t="n">
        <v>-1</v>
      </c>
      <c r="J1798" s="1" t="n">
        <v>48.5</v>
      </c>
      <c r="K1798" s="1" t="s">
        <v>162</v>
      </c>
      <c r="L1798" s="1" t="b">
        <f aca="false">FALSE()</f>
        <v>0</v>
      </c>
      <c r="M1798" s="1" t="str">
        <f aca="false">VLOOKUP(D1798,'Team Reference'!$A:$B,2,FALSE())</f>
        <v>CAR</v>
      </c>
      <c r="N1798" s="1" t="str">
        <f aca="false">VLOOKUP(E1798,'Team Reference'!$A:$B,2,FALSE())</f>
        <v>LAC</v>
      </c>
      <c r="O1798" s="1" t="str">
        <f aca="false">IF(F1798&gt;G1798,M1798,IF(G1798&gt;F1798,N1798,"Tie"))</f>
        <v>CAR</v>
      </c>
      <c r="P1798" s="1" t="n">
        <f aca="false">F1798-G1798</f>
        <v>12</v>
      </c>
      <c r="Q1798" s="1" t="n">
        <f aca="false">F1798+G1798</f>
        <v>44</v>
      </c>
      <c r="R1798" s="1" t="str">
        <f aca="false">IF(H1798=M1798,"Home",IF(H1798=N1798,"Away",IF(H1798="PICK","Pick","N/A")))</f>
        <v>Home</v>
      </c>
      <c r="S1798" s="1" t="n">
        <f aca="false">IF(R1798="Home",P1798,IF(R1798="Away",-P1798,""))</f>
        <v>12</v>
      </c>
      <c r="T1798" s="1" t="str">
        <f aca="false">IF(R1798="Pick","No Line",IF(S1798="","N/A",IF(S1798+I1798&gt;0,"Favorite Covered",IF(S1798+I1798&lt;0,"Underdog Covered","Push"))))</f>
        <v>Favorite Covered</v>
      </c>
      <c r="U1798" s="1" t="str">
        <f aca="false">IF(Q1798&gt;J1798,"Over",IF(Q1798&lt;J1798,"Under","Push"))</f>
        <v>Under</v>
      </c>
    </row>
    <row r="1799" customFormat="false" ht="15" hidden="false" customHeight="false" outlineLevel="0" collapsed="false">
      <c r="A1799" s="1" t="s">
        <v>562</v>
      </c>
      <c r="B1799" s="1" t="n">
        <v>2016</v>
      </c>
      <c r="C1799" s="1" t="s">
        <v>219</v>
      </c>
      <c r="D1799" s="1" t="s">
        <v>67</v>
      </c>
      <c r="E1799" s="1" t="s">
        <v>65</v>
      </c>
      <c r="F1799" s="1" t="n">
        <v>10</v>
      </c>
      <c r="G1799" s="1" t="n">
        <v>23</v>
      </c>
      <c r="H1799" s="1" t="s">
        <v>66</v>
      </c>
      <c r="I1799" s="1" t="n">
        <v>-5</v>
      </c>
      <c r="J1799" s="1" t="n">
        <v>41.5</v>
      </c>
      <c r="K1799" s="1" t="s">
        <v>164</v>
      </c>
      <c r="L1799" s="1" t="b">
        <f aca="false">FALSE()</f>
        <v>0</v>
      </c>
      <c r="M1799" s="1" t="str">
        <f aca="false">VLOOKUP(D1799,'Team Reference'!$A:$B,2,FALSE())</f>
        <v>CLE</v>
      </c>
      <c r="N1799" s="1" t="str">
        <f aca="false">VLOOKUP(E1799,'Team Reference'!$A:$B,2,FALSE())</f>
        <v>CIN</v>
      </c>
      <c r="O1799" s="1" t="str">
        <f aca="false">IF(F1799&gt;G1799,M1799,IF(G1799&gt;F1799,N1799,"Tie"))</f>
        <v>CIN</v>
      </c>
      <c r="P1799" s="1" t="n">
        <f aca="false">F1799-G1799</f>
        <v>-13</v>
      </c>
      <c r="Q1799" s="1" t="n">
        <f aca="false">F1799+G1799</f>
        <v>33</v>
      </c>
      <c r="R1799" s="1" t="str">
        <f aca="false">IF(H1799=M1799,"Home",IF(H1799=N1799,"Away",IF(H1799="PICK","Pick","N/A")))</f>
        <v>Away</v>
      </c>
      <c r="S1799" s="1" t="n">
        <f aca="false">IF(R1799="Home",P1799,IF(R1799="Away",-P1799,""))</f>
        <v>13</v>
      </c>
      <c r="T1799" s="1" t="str">
        <f aca="false">IF(R1799="Pick","No Line",IF(S1799="","N/A",IF(S1799+I1799&gt;0,"Favorite Covered",IF(S1799+I1799&lt;0,"Underdog Covered","Push"))))</f>
        <v>Favorite Covered</v>
      </c>
      <c r="U1799" s="1" t="str">
        <f aca="false">IF(Q1799&gt;J1799,"Over",IF(Q1799&lt;J1799,"Under","Push"))</f>
        <v>Under</v>
      </c>
    </row>
    <row r="1800" customFormat="false" ht="15" hidden="false" customHeight="false" outlineLevel="0" collapsed="false">
      <c r="A1800" s="1" t="s">
        <v>562</v>
      </c>
      <c r="B1800" s="1" t="n">
        <v>2016</v>
      </c>
      <c r="C1800" s="1" t="s">
        <v>219</v>
      </c>
      <c r="D1800" s="1" t="s">
        <v>73</v>
      </c>
      <c r="E1800" s="1" t="s">
        <v>63</v>
      </c>
      <c r="F1800" s="1" t="n">
        <v>20</v>
      </c>
      <c r="G1800" s="1" t="n">
        <v>17</v>
      </c>
      <c r="H1800" s="1" t="s">
        <v>74</v>
      </c>
      <c r="I1800" s="1" t="n">
        <v>-7.5</v>
      </c>
      <c r="J1800" s="1" t="n">
        <v>42</v>
      </c>
      <c r="K1800" s="1" t="s">
        <v>167</v>
      </c>
      <c r="L1800" s="1" t="b">
        <f aca="false">FALSE()</f>
        <v>0</v>
      </c>
      <c r="M1800" s="1" t="str">
        <f aca="false">VLOOKUP(D1800,'Team Reference'!$A:$B,2,FALSE())</f>
        <v>DET</v>
      </c>
      <c r="N1800" s="1" t="str">
        <f aca="false">VLOOKUP(E1800,'Team Reference'!$A:$B,2,FALSE())</f>
        <v>CHI</v>
      </c>
      <c r="O1800" s="1" t="str">
        <f aca="false">IF(F1800&gt;G1800,M1800,IF(G1800&gt;F1800,N1800,"Tie"))</f>
        <v>DET</v>
      </c>
      <c r="P1800" s="1" t="n">
        <f aca="false">F1800-G1800</f>
        <v>3</v>
      </c>
      <c r="Q1800" s="1" t="n">
        <f aca="false">F1800+G1800</f>
        <v>37</v>
      </c>
      <c r="R1800" s="1" t="str">
        <f aca="false">IF(H1800=M1800,"Home",IF(H1800=N1800,"Away",IF(H1800="PICK","Pick","N/A")))</f>
        <v>Home</v>
      </c>
      <c r="S1800" s="1" t="n">
        <f aca="false">IF(R1800="Home",P1800,IF(R1800="Away",-P1800,""))</f>
        <v>3</v>
      </c>
      <c r="T1800" s="1" t="str">
        <f aca="false">IF(R1800="Pick","No Line",IF(S1800="","N/A",IF(S1800+I1800&gt;0,"Favorite Covered",IF(S1800+I1800&lt;0,"Underdog Covered","Push"))))</f>
        <v>Underdog Covered</v>
      </c>
      <c r="U1800" s="1" t="str">
        <f aca="false">IF(Q1800&gt;J1800,"Over",IF(Q1800&lt;J1800,"Under","Push"))</f>
        <v>Under</v>
      </c>
    </row>
    <row r="1801" customFormat="false" ht="15" hidden="false" customHeight="false" outlineLevel="0" collapsed="false">
      <c r="A1801" s="1" t="s">
        <v>562</v>
      </c>
      <c r="B1801" s="1" t="n">
        <v>2016</v>
      </c>
      <c r="C1801" s="1" t="s">
        <v>219</v>
      </c>
      <c r="D1801" s="1" t="s">
        <v>75</v>
      </c>
      <c r="E1801" s="1" t="s">
        <v>110</v>
      </c>
      <c r="F1801" s="1" t="n">
        <v>38</v>
      </c>
      <c r="G1801" s="1" t="n">
        <v>10</v>
      </c>
      <c r="H1801" s="1" t="s">
        <v>111</v>
      </c>
      <c r="I1801" s="1" t="n">
        <v>-3</v>
      </c>
      <c r="J1801" s="1" t="n">
        <v>47</v>
      </c>
      <c r="K1801" s="1" t="s">
        <v>168</v>
      </c>
      <c r="L1801" s="1" t="b">
        <f aca="false">FALSE()</f>
        <v>0</v>
      </c>
      <c r="M1801" s="1" t="str">
        <f aca="false">VLOOKUP(D1801,'Team Reference'!$A:$B,2,FALSE())</f>
        <v>GB</v>
      </c>
      <c r="N1801" s="1" t="str">
        <f aca="false">VLOOKUP(E1801,'Team Reference'!$A:$B,2,FALSE())</f>
        <v>SEA</v>
      </c>
      <c r="O1801" s="1" t="str">
        <f aca="false">IF(F1801&gt;G1801,M1801,IF(G1801&gt;F1801,N1801,"Tie"))</f>
        <v>GB</v>
      </c>
      <c r="P1801" s="1" t="n">
        <f aca="false">F1801-G1801</f>
        <v>28</v>
      </c>
      <c r="Q1801" s="1" t="n">
        <f aca="false">F1801+G1801</f>
        <v>48</v>
      </c>
      <c r="R1801" s="1" t="str">
        <f aca="false">IF(H1801=M1801,"Home",IF(H1801=N1801,"Away",IF(H1801="PICK","Pick","N/A")))</f>
        <v>Away</v>
      </c>
      <c r="S1801" s="1" t="n">
        <f aca="false">IF(R1801="Home",P1801,IF(R1801="Away",-P1801,""))</f>
        <v>-28</v>
      </c>
      <c r="T1801" s="1" t="str">
        <f aca="false">IF(R1801="Pick","No Line",IF(S1801="","N/A",IF(S1801+I1801&gt;0,"Favorite Covered",IF(S1801+I1801&lt;0,"Underdog Covered","Push"))))</f>
        <v>Underdog Covered</v>
      </c>
      <c r="U1801" s="1" t="str">
        <f aca="false">IF(Q1801&gt;J1801,"Over",IF(Q1801&lt;J1801,"Under","Push"))</f>
        <v>Over</v>
      </c>
    </row>
    <row r="1802" customFormat="false" ht="15" hidden="false" customHeight="false" outlineLevel="0" collapsed="false">
      <c r="A1802" s="1" t="s">
        <v>562</v>
      </c>
      <c r="B1802" s="1" t="n">
        <v>2016</v>
      </c>
      <c r="C1802" s="1" t="s">
        <v>219</v>
      </c>
      <c r="D1802" s="1" t="s">
        <v>79</v>
      </c>
      <c r="E1802" s="1" t="s">
        <v>77</v>
      </c>
      <c r="F1802" s="1" t="n">
        <v>17</v>
      </c>
      <c r="G1802" s="1" t="n">
        <v>22</v>
      </c>
      <c r="H1802" s="1" t="s">
        <v>80</v>
      </c>
      <c r="I1802" s="1" t="n">
        <v>-6.5</v>
      </c>
      <c r="J1802" s="1" t="n">
        <v>47.5</v>
      </c>
      <c r="K1802" s="1" t="s">
        <v>169</v>
      </c>
      <c r="L1802" s="1" t="b">
        <f aca="false">FALSE()</f>
        <v>0</v>
      </c>
      <c r="M1802" s="1" t="str">
        <f aca="false">VLOOKUP(D1802,'Team Reference'!$A:$B,2,FALSE())</f>
        <v>IND</v>
      </c>
      <c r="N1802" s="1" t="str">
        <f aca="false">VLOOKUP(E1802,'Team Reference'!$A:$B,2,FALSE())</f>
        <v>HOU</v>
      </c>
      <c r="O1802" s="1" t="str">
        <f aca="false">IF(F1802&gt;G1802,M1802,IF(G1802&gt;F1802,N1802,"Tie"))</f>
        <v>HOU</v>
      </c>
      <c r="P1802" s="1" t="n">
        <f aca="false">F1802-G1802</f>
        <v>-5</v>
      </c>
      <c r="Q1802" s="1" t="n">
        <f aca="false">F1802+G1802</f>
        <v>39</v>
      </c>
      <c r="R1802" s="1" t="str">
        <f aca="false">IF(H1802=M1802,"Home",IF(H1802=N1802,"Away",IF(H1802="PICK","Pick","N/A")))</f>
        <v>Home</v>
      </c>
      <c r="S1802" s="1" t="n">
        <f aca="false">IF(R1802="Home",P1802,IF(R1802="Away",-P1802,""))</f>
        <v>-5</v>
      </c>
      <c r="T1802" s="1" t="str">
        <f aca="false">IF(R1802="Pick","No Line",IF(S1802="","N/A",IF(S1802+I1802&gt;0,"Favorite Covered",IF(S1802+I1802&lt;0,"Underdog Covered","Push"))))</f>
        <v>Underdog Covered</v>
      </c>
      <c r="U1802" s="1" t="str">
        <f aca="false">IF(Q1802&gt;J1802,"Over",IF(Q1802&lt;J1802,"Under","Push"))</f>
        <v>Under</v>
      </c>
    </row>
    <row r="1803" customFormat="false" ht="15" hidden="false" customHeight="false" outlineLevel="0" collapsed="false">
      <c r="A1803" s="1" t="s">
        <v>562</v>
      </c>
      <c r="B1803" s="1" t="n">
        <v>2016</v>
      </c>
      <c r="C1803" s="1" t="s">
        <v>219</v>
      </c>
      <c r="D1803" s="1" t="s">
        <v>81</v>
      </c>
      <c r="E1803" s="1" t="s">
        <v>91</v>
      </c>
      <c r="F1803" s="1" t="n">
        <v>16</v>
      </c>
      <c r="G1803" s="1" t="n">
        <v>25</v>
      </c>
      <c r="H1803" s="1" t="s">
        <v>92</v>
      </c>
      <c r="I1803" s="1" t="n">
        <v>-3.5</v>
      </c>
      <c r="J1803" s="1" t="n">
        <v>38</v>
      </c>
      <c r="K1803" s="1" t="s">
        <v>147</v>
      </c>
      <c r="L1803" s="1" t="b">
        <f aca="false">FALSE()</f>
        <v>0</v>
      </c>
      <c r="M1803" s="1" t="str">
        <f aca="false">VLOOKUP(D1803,'Team Reference'!$A:$B,2,FALSE())</f>
        <v>JAX</v>
      </c>
      <c r="N1803" s="1" t="str">
        <f aca="false">VLOOKUP(E1803,'Team Reference'!$A:$B,2,FALSE())</f>
        <v>MIN</v>
      </c>
      <c r="O1803" s="1" t="str">
        <f aca="false">IF(F1803&gt;G1803,M1803,IF(G1803&gt;F1803,N1803,"Tie"))</f>
        <v>MIN</v>
      </c>
      <c r="P1803" s="1" t="n">
        <f aca="false">F1803-G1803</f>
        <v>-9</v>
      </c>
      <c r="Q1803" s="1" t="n">
        <f aca="false">F1803+G1803</f>
        <v>41</v>
      </c>
      <c r="R1803" s="1" t="str">
        <f aca="false">IF(H1803=M1803,"Home",IF(H1803=N1803,"Away",IF(H1803="PICK","Pick","N/A")))</f>
        <v>Away</v>
      </c>
      <c r="S1803" s="1" t="n">
        <f aca="false">IF(R1803="Home",P1803,IF(R1803="Away",-P1803,""))</f>
        <v>9</v>
      </c>
      <c r="T1803" s="1" t="str">
        <f aca="false">IF(R1803="Pick","No Line",IF(S1803="","N/A",IF(S1803+I1803&gt;0,"Favorite Covered",IF(S1803+I1803&lt;0,"Underdog Covered","Push"))))</f>
        <v>Favorite Covered</v>
      </c>
      <c r="U1803" s="1" t="str">
        <f aca="false">IF(Q1803&gt;J1803,"Over",IF(Q1803&lt;J1803,"Under","Push"))</f>
        <v>Over</v>
      </c>
    </row>
    <row r="1804" customFormat="false" ht="15" hidden="false" customHeight="false" outlineLevel="0" collapsed="false">
      <c r="A1804" s="1" t="s">
        <v>562</v>
      </c>
      <c r="B1804" s="1" t="n">
        <v>2016</v>
      </c>
      <c r="C1804" s="1" t="s">
        <v>219</v>
      </c>
      <c r="D1804" s="1" t="s">
        <v>87</v>
      </c>
      <c r="E1804" s="1" t="s">
        <v>55</v>
      </c>
      <c r="F1804" s="1" t="n">
        <v>14</v>
      </c>
      <c r="G1804" s="1" t="n">
        <v>42</v>
      </c>
      <c r="H1804" s="1" t="s">
        <v>56</v>
      </c>
      <c r="I1804" s="1" t="n">
        <v>-5</v>
      </c>
      <c r="J1804" s="1" t="n">
        <v>44</v>
      </c>
      <c r="K1804" s="1" t="s">
        <v>520</v>
      </c>
      <c r="L1804" s="1" t="b">
        <f aca="false">FALSE()</f>
        <v>0</v>
      </c>
      <c r="M1804" s="1" t="str">
        <f aca="false">VLOOKUP(D1804,'Team Reference'!$A:$B,2,FALSE())</f>
        <v>LAR</v>
      </c>
      <c r="N1804" s="1" t="str">
        <f aca="false">VLOOKUP(E1804,'Team Reference'!$A:$B,2,FALSE())</f>
        <v>ATL</v>
      </c>
      <c r="O1804" s="1" t="str">
        <f aca="false">IF(F1804&gt;G1804,M1804,IF(G1804&gt;F1804,N1804,"Tie"))</f>
        <v>ATL</v>
      </c>
      <c r="P1804" s="1" t="n">
        <f aca="false">F1804-G1804</f>
        <v>-28</v>
      </c>
      <c r="Q1804" s="1" t="n">
        <f aca="false">F1804+G1804</f>
        <v>56</v>
      </c>
      <c r="R1804" s="1" t="str">
        <f aca="false">IF(H1804=M1804,"Home",IF(H1804=N1804,"Away",IF(H1804="PICK","Pick","N/A")))</f>
        <v>Away</v>
      </c>
      <c r="S1804" s="1" t="n">
        <f aca="false">IF(R1804="Home",P1804,IF(R1804="Away",-P1804,""))</f>
        <v>28</v>
      </c>
      <c r="T1804" s="1" t="str">
        <f aca="false">IF(R1804="Pick","No Line",IF(S1804="","N/A",IF(S1804+I1804&gt;0,"Favorite Covered",IF(S1804+I1804&lt;0,"Underdog Covered","Push"))))</f>
        <v>Favorite Covered</v>
      </c>
      <c r="U1804" s="1" t="str">
        <f aca="false">IF(Q1804&gt;J1804,"Over",IF(Q1804&lt;J1804,"Under","Push"))</f>
        <v>Over</v>
      </c>
    </row>
    <row r="1805" customFormat="false" ht="15" hidden="false" customHeight="false" outlineLevel="0" collapsed="false">
      <c r="A1805" s="1" t="s">
        <v>562</v>
      </c>
      <c r="B1805" s="1" t="n">
        <v>2016</v>
      </c>
      <c r="C1805" s="1" t="s">
        <v>219</v>
      </c>
      <c r="D1805" s="1" t="s">
        <v>89</v>
      </c>
      <c r="E1805" s="1" t="s">
        <v>53</v>
      </c>
      <c r="F1805" s="1" t="n">
        <v>26</v>
      </c>
      <c r="G1805" s="1" t="n">
        <v>23</v>
      </c>
      <c r="H1805" s="1" t="s">
        <v>54</v>
      </c>
      <c r="I1805" s="1" t="n">
        <v>-2</v>
      </c>
      <c r="J1805" s="1" t="n">
        <v>44</v>
      </c>
      <c r="K1805" s="1" t="s">
        <v>179</v>
      </c>
      <c r="L1805" s="1" t="b">
        <f aca="false">FALSE()</f>
        <v>0</v>
      </c>
      <c r="M1805" s="1" t="str">
        <f aca="false">VLOOKUP(D1805,'Team Reference'!$A:$B,2,FALSE())</f>
        <v>MIA</v>
      </c>
      <c r="N1805" s="1" t="str">
        <f aca="false">VLOOKUP(E1805,'Team Reference'!$A:$B,2,FALSE())</f>
        <v>ARI</v>
      </c>
      <c r="O1805" s="1" t="str">
        <f aca="false">IF(F1805&gt;G1805,M1805,IF(G1805&gt;F1805,N1805,"Tie"))</f>
        <v>MIA</v>
      </c>
      <c r="P1805" s="1" t="n">
        <f aca="false">F1805-G1805</f>
        <v>3</v>
      </c>
      <c r="Q1805" s="1" t="n">
        <f aca="false">F1805+G1805</f>
        <v>49</v>
      </c>
      <c r="R1805" s="1" t="str">
        <f aca="false">IF(H1805=M1805,"Home",IF(H1805=N1805,"Away",IF(H1805="PICK","Pick","N/A")))</f>
        <v>Away</v>
      </c>
      <c r="S1805" s="1" t="n">
        <f aca="false">IF(R1805="Home",P1805,IF(R1805="Away",-P1805,""))</f>
        <v>-3</v>
      </c>
      <c r="T1805" s="1" t="str">
        <f aca="false">IF(R1805="Pick","No Line",IF(S1805="","N/A",IF(S1805+I1805&gt;0,"Favorite Covered",IF(S1805+I1805&lt;0,"Underdog Covered","Push"))))</f>
        <v>Underdog Covered</v>
      </c>
      <c r="U1805" s="1" t="str">
        <f aca="false">IF(Q1805&gt;J1805,"Over",IF(Q1805&lt;J1805,"Under","Push"))</f>
        <v>Over</v>
      </c>
    </row>
    <row r="1806" customFormat="false" ht="15" hidden="false" customHeight="false" outlineLevel="0" collapsed="false">
      <c r="A1806" s="1" t="s">
        <v>562</v>
      </c>
      <c r="B1806" s="1" t="n">
        <v>2016</v>
      </c>
      <c r="C1806" s="1" t="s">
        <v>219</v>
      </c>
      <c r="D1806" s="1" t="s">
        <v>97</v>
      </c>
      <c r="E1806" s="1" t="s">
        <v>69</v>
      </c>
      <c r="F1806" s="1" t="n">
        <v>10</v>
      </c>
      <c r="G1806" s="1" t="n">
        <v>7</v>
      </c>
      <c r="H1806" s="1" t="s">
        <v>70</v>
      </c>
      <c r="I1806" s="1" t="n">
        <v>-3.5</v>
      </c>
      <c r="J1806" s="1" t="n">
        <v>47</v>
      </c>
      <c r="K1806" s="1" t="s">
        <v>149</v>
      </c>
      <c r="L1806" s="1" t="b">
        <f aca="false">FALSE()</f>
        <v>0</v>
      </c>
      <c r="M1806" s="1" t="str">
        <f aca="false">VLOOKUP(D1806,'Team Reference'!$A:$B,2,FALSE())</f>
        <v>NYG</v>
      </c>
      <c r="N1806" s="1" t="str">
        <f aca="false">VLOOKUP(E1806,'Team Reference'!$A:$B,2,FALSE())</f>
        <v>DAL</v>
      </c>
      <c r="O1806" s="1" t="str">
        <f aca="false">IF(F1806&gt;G1806,M1806,IF(G1806&gt;F1806,N1806,"Tie"))</f>
        <v>NYG</v>
      </c>
      <c r="P1806" s="1" t="n">
        <f aca="false">F1806-G1806</f>
        <v>3</v>
      </c>
      <c r="Q1806" s="1" t="n">
        <f aca="false">F1806+G1806</f>
        <v>17</v>
      </c>
      <c r="R1806" s="1" t="str">
        <f aca="false">IF(H1806=M1806,"Home",IF(H1806=N1806,"Away",IF(H1806="PICK","Pick","N/A")))</f>
        <v>Away</v>
      </c>
      <c r="S1806" s="1" t="n">
        <f aca="false">IF(R1806="Home",P1806,IF(R1806="Away",-P1806,""))</f>
        <v>-3</v>
      </c>
      <c r="T1806" s="1" t="str">
        <f aca="false">IF(R1806="Pick","No Line",IF(S1806="","N/A",IF(S1806+I1806&gt;0,"Favorite Covered",IF(S1806+I1806&lt;0,"Underdog Covered","Push"))))</f>
        <v>Underdog Covered</v>
      </c>
      <c r="U1806" s="1" t="str">
        <f aca="false">IF(Q1806&gt;J1806,"Over",IF(Q1806&lt;J1806,"Under","Push"))</f>
        <v>Under</v>
      </c>
    </row>
    <row r="1807" customFormat="false" ht="15" hidden="false" customHeight="false" outlineLevel="0" collapsed="false">
      <c r="A1807" s="1" t="s">
        <v>562</v>
      </c>
      <c r="B1807" s="1" t="n">
        <v>2016</v>
      </c>
      <c r="C1807" s="1" t="s">
        <v>219</v>
      </c>
      <c r="D1807" s="1" t="s">
        <v>103</v>
      </c>
      <c r="E1807" s="1" t="s">
        <v>117</v>
      </c>
      <c r="F1807" s="1" t="n">
        <v>22</v>
      </c>
      <c r="G1807" s="1" t="n">
        <v>27</v>
      </c>
      <c r="H1807" s="1" t="s">
        <v>118</v>
      </c>
      <c r="I1807" s="1" t="n">
        <v>-2.5</v>
      </c>
      <c r="J1807" s="1" t="n">
        <v>48.5</v>
      </c>
      <c r="K1807" s="1" t="s">
        <v>150</v>
      </c>
      <c r="L1807" s="1" t="b">
        <f aca="false">FALSE()</f>
        <v>0</v>
      </c>
      <c r="M1807" s="1" t="str">
        <f aca="false">VLOOKUP(D1807,'Team Reference'!$A:$B,2,FALSE())</f>
        <v>PHI</v>
      </c>
      <c r="N1807" s="1" t="str">
        <f aca="false">VLOOKUP(E1807,'Team Reference'!$A:$B,2,FALSE())</f>
        <v>WAS</v>
      </c>
      <c r="O1807" s="1" t="str">
        <f aca="false">IF(F1807&gt;G1807,M1807,IF(G1807&gt;F1807,N1807,"Tie"))</f>
        <v>WAS</v>
      </c>
      <c r="P1807" s="1" t="n">
        <f aca="false">F1807-G1807</f>
        <v>-5</v>
      </c>
      <c r="Q1807" s="1" t="n">
        <f aca="false">F1807+G1807</f>
        <v>49</v>
      </c>
      <c r="R1807" s="1" t="str">
        <f aca="false">IF(H1807=M1807,"Home",IF(H1807=N1807,"Away",IF(H1807="PICK","Pick","N/A")))</f>
        <v>Away</v>
      </c>
      <c r="S1807" s="1" t="n">
        <f aca="false">IF(R1807="Home",P1807,IF(R1807="Away",-P1807,""))</f>
        <v>5</v>
      </c>
      <c r="T1807" s="1" t="str">
        <f aca="false">IF(R1807="Pick","No Line",IF(S1807="","N/A",IF(S1807+I1807&gt;0,"Favorite Covered",IF(S1807+I1807&lt;0,"Underdog Covered","Push"))))</f>
        <v>Favorite Covered</v>
      </c>
      <c r="U1807" s="1" t="str">
        <f aca="false">IF(Q1807&gt;J1807,"Over",IF(Q1807&lt;J1807,"Under","Push"))</f>
        <v>Over</v>
      </c>
    </row>
    <row r="1808" customFormat="false" ht="15" hidden="false" customHeight="false" outlineLevel="0" collapsed="false">
      <c r="A1808" s="1" t="s">
        <v>562</v>
      </c>
      <c r="B1808" s="1" t="n">
        <v>2016</v>
      </c>
      <c r="C1808" s="1" t="s">
        <v>219</v>
      </c>
      <c r="D1808" s="1" t="s">
        <v>108</v>
      </c>
      <c r="E1808" s="1" t="s">
        <v>99</v>
      </c>
      <c r="F1808" s="1" t="n">
        <v>17</v>
      </c>
      <c r="G1808" s="1" t="n">
        <v>23</v>
      </c>
      <c r="H1808" s="1" t="s">
        <v>109</v>
      </c>
      <c r="I1808" s="1" t="n">
        <v>-3</v>
      </c>
      <c r="J1808" s="1" t="n">
        <v>43</v>
      </c>
      <c r="K1808" s="1" t="s">
        <v>408</v>
      </c>
      <c r="L1808" s="1" t="b">
        <f aca="false">FALSE()</f>
        <v>0</v>
      </c>
      <c r="M1808" s="1" t="str">
        <f aca="false">VLOOKUP(D1808,'Team Reference'!$A:$B,2,FALSE())</f>
        <v>SF</v>
      </c>
      <c r="N1808" s="1" t="str">
        <f aca="false">VLOOKUP(E1808,'Team Reference'!$A:$B,2,FALSE())</f>
        <v>NYJ</v>
      </c>
      <c r="O1808" s="1" t="str">
        <f aca="false">IF(F1808&gt;G1808,M1808,IF(G1808&gt;F1808,N1808,"Tie"))</f>
        <v>NYJ</v>
      </c>
      <c r="P1808" s="1" t="n">
        <f aca="false">F1808-G1808</f>
        <v>-6</v>
      </c>
      <c r="Q1808" s="1" t="n">
        <f aca="false">F1808+G1808</f>
        <v>40</v>
      </c>
      <c r="R1808" s="1" t="str">
        <f aca="false">IF(H1808=M1808,"Home",IF(H1808=N1808,"Away",IF(H1808="PICK","Pick","N/A")))</f>
        <v>Home</v>
      </c>
      <c r="S1808" s="1" t="n">
        <f aca="false">IF(R1808="Home",P1808,IF(R1808="Away",-P1808,""))</f>
        <v>-6</v>
      </c>
      <c r="T1808" s="1" t="str">
        <f aca="false">IF(R1808="Pick","No Line",IF(S1808="","N/A",IF(S1808+I1808&gt;0,"Favorite Covered",IF(S1808+I1808&lt;0,"Underdog Covered","Push"))))</f>
        <v>Underdog Covered</v>
      </c>
      <c r="U1808" s="1" t="str">
        <f aca="false">IF(Q1808&gt;J1808,"Over",IF(Q1808&lt;J1808,"Under","Push"))</f>
        <v>Under</v>
      </c>
    </row>
    <row r="1809" customFormat="false" ht="15" hidden="false" customHeight="false" outlineLevel="0" collapsed="false">
      <c r="A1809" s="1" t="s">
        <v>562</v>
      </c>
      <c r="B1809" s="1" t="n">
        <v>2016</v>
      </c>
      <c r="C1809" s="1" t="s">
        <v>219</v>
      </c>
      <c r="D1809" s="1" t="s">
        <v>113</v>
      </c>
      <c r="E1809" s="1" t="s">
        <v>95</v>
      </c>
      <c r="F1809" s="1" t="n">
        <v>16</v>
      </c>
      <c r="G1809" s="1" t="n">
        <v>11</v>
      </c>
      <c r="H1809" s="1" t="s">
        <v>114</v>
      </c>
      <c r="I1809" s="1" t="n">
        <v>-2</v>
      </c>
      <c r="J1809" s="1" t="n">
        <v>52</v>
      </c>
      <c r="K1809" s="1" t="s">
        <v>154</v>
      </c>
      <c r="L1809" s="1" t="b">
        <f aca="false">FALSE()</f>
        <v>0</v>
      </c>
      <c r="M1809" s="1" t="str">
        <f aca="false">VLOOKUP(D1809,'Team Reference'!$A:$B,2,FALSE())</f>
        <v>TB</v>
      </c>
      <c r="N1809" s="1" t="str">
        <f aca="false">VLOOKUP(E1809,'Team Reference'!$A:$B,2,FALSE())</f>
        <v>NO</v>
      </c>
      <c r="O1809" s="1" t="str">
        <f aca="false">IF(F1809&gt;G1809,M1809,IF(G1809&gt;F1809,N1809,"Tie"))</f>
        <v>TB</v>
      </c>
      <c r="P1809" s="1" t="n">
        <f aca="false">F1809-G1809</f>
        <v>5</v>
      </c>
      <c r="Q1809" s="1" t="n">
        <f aca="false">F1809+G1809</f>
        <v>27</v>
      </c>
      <c r="R1809" s="1" t="str">
        <f aca="false">IF(H1809=M1809,"Home",IF(H1809=N1809,"Away",IF(H1809="PICK","Pick","N/A")))</f>
        <v>Home</v>
      </c>
      <c r="S1809" s="1" t="n">
        <f aca="false">IF(R1809="Home",P1809,IF(R1809="Away",-P1809,""))</f>
        <v>5</v>
      </c>
      <c r="T1809" s="1" t="str">
        <f aca="false">IF(R1809="Pick","No Line",IF(S1809="","N/A",IF(S1809+I1809&gt;0,"Favorite Covered",IF(S1809+I1809&lt;0,"Underdog Covered","Push"))))</f>
        <v>Favorite Covered</v>
      </c>
      <c r="U1809" s="1" t="str">
        <f aca="false">IF(Q1809&gt;J1809,"Over",IF(Q1809&lt;J1809,"Under","Push"))</f>
        <v>Under</v>
      </c>
    </row>
    <row r="1810" customFormat="false" ht="15" hidden="false" customHeight="false" outlineLevel="0" collapsed="false">
      <c r="A1810" s="1" t="s">
        <v>562</v>
      </c>
      <c r="B1810" s="1" t="n">
        <v>2016</v>
      </c>
      <c r="C1810" s="1" t="s">
        <v>219</v>
      </c>
      <c r="D1810" s="1" t="s">
        <v>115</v>
      </c>
      <c r="E1810" s="1" t="s">
        <v>71</v>
      </c>
      <c r="F1810" s="1" t="n">
        <v>13</v>
      </c>
      <c r="G1810" s="1" t="n">
        <v>10</v>
      </c>
      <c r="H1810" s="1" t="s">
        <v>116</v>
      </c>
      <c r="I1810" s="1" t="n">
        <v>-2</v>
      </c>
      <c r="J1810" s="1" t="n">
        <v>44</v>
      </c>
      <c r="K1810" s="1" t="s">
        <v>155</v>
      </c>
      <c r="L1810" s="1" t="b">
        <f aca="false">FALSE()</f>
        <v>0</v>
      </c>
      <c r="M1810" s="1" t="str">
        <f aca="false">VLOOKUP(D1810,'Team Reference'!$A:$B,2,FALSE())</f>
        <v>TEN</v>
      </c>
      <c r="N1810" s="1" t="str">
        <f aca="false">VLOOKUP(E1810,'Team Reference'!$A:$B,2,FALSE())</f>
        <v>DEN</v>
      </c>
      <c r="O1810" s="1" t="str">
        <f aca="false">IF(F1810&gt;G1810,M1810,IF(G1810&gt;F1810,N1810,"Tie"))</f>
        <v>TEN</v>
      </c>
      <c r="P1810" s="1" t="n">
        <f aca="false">F1810-G1810</f>
        <v>3</v>
      </c>
      <c r="Q1810" s="1" t="n">
        <f aca="false">F1810+G1810</f>
        <v>23</v>
      </c>
      <c r="R1810" s="1" t="str">
        <f aca="false">IF(H1810=M1810,"Home",IF(H1810=N1810,"Away",IF(H1810="PICK","Pick","N/A")))</f>
        <v>Home</v>
      </c>
      <c r="S1810" s="1" t="n">
        <f aca="false">IF(R1810="Home",P1810,IF(R1810="Away",-P1810,""))</f>
        <v>3</v>
      </c>
      <c r="T1810" s="1" t="str">
        <f aca="false">IF(R1810="Pick","No Line",IF(S1810="","N/A",IF(S1810+I1810&gt;0,"Favorite Covered",IF(S1810+I1810&lt;0,"Underdog Covered","Push"))))</f>
        <v>Favorite Covered</v>
      </c>
      <c r="U1810" s="1" t="str">
        <f aca="false">IF(Q1810&gt;J1810,"Over",IF(Q1810&lt;J1810,"Under","Push"))</f>
        <v>Under</v>
      </c>
    </row>
    <row r="1811" customFormat="false" ht="15" hidden="false" customHeight="false" outlineLevel="0" collapsed="false">
      <c r="A1811" s="1" t="s">
        <v>563</v>
      </c>
      <c r="B1811" s="1" t="n">
        <v>2016</v>
      </c>
      <c r="C1811" s="1" t="s">
        <v>219</v>
      </c>
      <c r="D1811" s="1" t="s">
        <v>93</v>
      </c>
      <c r="E1811" s="1" t="s">
        <v>57</v>
      </c>
      <c r="F1811" s="1" t="n">
        <v>30</v>
      </c>
      <c r="G1811" s="1" t="n">
        <v>23</v>
      </c>
      <c r="H1811" s="1" t="s">
        <v>94</v>
      </c>
      <c r="I1811" s="1" t="n">
        <v>-6</v>
      </c>
      <c r="J1811" s="1" t="n">
        <v>45</v>
      </c>
      <c r="K1811" s="1" t="s">
        <v>148</v>
      </c>
      <c r="L1811" s="1" t="b">
        <f aca="false">FALSE()</f>
        <v>0</v>
      </c>
      <c r="M1811" s="1" t="str">
        <f aca="false">VLOOKUP(D1811,'Team Reference'!$A:$B,2,FALSE())</f>
        <v>NE</v>
      </c>
      <c r="N1811" s="1" t="str">
        <f aca="false">VLOOKUP(E1811,'Team Reference'!$A:$B,2,FALSE())</f>
        <v>BAL</v>
      </c>
      <c r="O1811" s="1" t="str">
        <f aca="false">IF(F1811&gt;G1811,M1811,IF(G1811&gt;F1811,N1811,"Tie"))</f>
        <v>NE</v>
      </c>
      <c r="P1811" s="1" t="n">
        <f aca="false">F1811-G1811</f>
        <v>7</v>
      </c>
      <c r="Q1811" s="1" t="n">
        <f aca="false">F1811+G1811</f>
        <v>53</v>
      </c>
      <c r="R1811" s="1" t="str">
        <f aca="false">IF(H1811=M1811,"Home",IF(H1811=N1811,"Away",IF(H1811="PICK","Pick","N/A")))</f>
        <v>Home</v>
      </c>
      <c r="S1811" s="1" t="n">
        <f aca="false">IF(R1811="Home",P1811,IF(R1811="Away",-P1811,""))</f>
        <v>7</v>
      </c>
      <c r="T1811" s="1" t="str">
        <f aca="false">IF(R1811="Pick","No Line",IF(S1811="","N/A",IF(S1811+I1811&gt;0,"Favorite Covered",IF(S1811+I1811&lt;0,"Underdog Covered","Push"))))</f>
        <v>Favorite Covered</v>
      </c>
      <c r="U1811" s="1" t="str">
        <f aca="false">IF(Q1811&gt;J1811,"Over",IF(Q1811&lt;J1811,"Under","Push"))</f>
        <v>Over</v>
      </c>
    </row>
    <row r="1812" customFormat="false" ht="15" hidden="false" customHeight="false" outlineLevel="0" collapsed="false">
      <c r="A1812" s="1" t="s">
        <v>564</v>
      </c>
      <c r="B1812" s="1" t="n">
        <v>2016</v>
      </c>
      <c r="C1812" s="1" t="s">
        <v>223</v>
      </c>
      <c r="D1812" s="1" t="s">
        <v>110</v>
      </c>
      <c r="E1812" s="1" t="s">
        <v>87</v>
      </c>
      <c r="F1812" s="1" t="n">
        <v>24</v>
      </c>
      <c r="G1812" s="1" t="n">
        <v>3</v>
      </c>
      <c r="H1812" s="1" t="s">
        <v>111</v>
      </c>
      <c r="I1812" s="1" t="n">
        <v>-15</v>
      </c>
      <c r="J1812" s="1" t="n">
        <v>39.5</v>
      </c>
      <c r="K1812" s="1" t="s">
        <v>152</v>
      </c>
      <c r="L1812" s="1" t="b">
        <f aca="false">FALSE()</f>
        <v>0</v>
      </c>
      <c r="M1812" s="1" t="str">
        <f aca="false">VLOOKUP(D1812,'Team Reference'!$A:$B,2,FALSE())</f>
        <v>SEA</v>
      </c>
      <c r="N1812" s="1" t="str">
        <f aca="false">VLOOKUP(E1812,'Team Reference'!$A:$B,2,FALSE())</f>
        <v>LAR</v>
      </c>
      <c r="O1812" s="1" t="str">
        <f aca="false">IF(F1812&gt;G1812,M1812,IF(G1812&gt;F1812,N1812,"Tie"))</f>
        <v>SEA</v>
      </c>
      <c r="P1812" s="1" t="n">
        <f aca="false">F1812-G1812</f>
        <v>21</v>
      </c>
      <c r="Q1812" s="1" t="n">
        <f aca="false">F1812+G1812</f>
        <v>27</v>
      </c>
      <c r="R1812" s="1" t="str">
        <f aca="false">IF(H1812=M1812,"Home",IF(H1812=N1812,"Away",IF(H1812="PICK","Pick","N/A")))</f>
        <v>Home</v>
      </c>
      <c r="S1812" s="1" t="n">
        <f aca="false">IF(R1812="Home",P1812,IF(R1812="Away",-P1812,""))</f>
        <v>21</v>
      </c>
      <c r="T1812" s="1" t="str">
        <f aca="false">IF(R1812="Pick","No Line",IF(S1812="","N/A",IF(S1812+I1812&gt;0,"Favorite Covered",IF(S1812+I1812&lt;0,"Underdog Covered","Push"))))</f>
        <v>Favorite Covered</v>
      </c>
      <c r="U1812" s="1" t="str">
        <f aca="false">IF(Q1812&gt;J1812,"Over",IF(Q1812&lt;J1812,"Under","Push"))</f>
        <v>Under</v>
      </c>
    </row>
    <row r="1813" customFormat="false" ht="15" hidden="false" customHeight="false" outlineLevel="0" collapsed="false">
      <c r="A1813" s="1" t="s">
        <v>565</v>
      </c>
      <c r="B1813" s="1" t="n">
        <v>2016</v>
      </c>
      <c r="C1813" s="1" t="s">
        <v>223</v>
      </c>
      <c r="D1813" s="1" t="s">
        <v>99</v>
      </c>
      <c r="E1813" s="1" t="s">
        <v>89</v>
      </c>
      <c r="F1813" s="1" t="n">
        <v>13</v>
      </c>
      <c r="G1813" s="1" t="n">
        <v>34</v>
      </c>
      <c r="H1813" s="1" t="s">
        <v>90</v>
      </c>
      <c r="I1813" s="1" t="n">
        <v>-2.5</v>
      </c>
      <c r="J1813" s="1" t="n">
        <v>40</v>
      </c>
      <c r="K1813" s="1" t="s">
        <v>149</v>
      </c>
      <c r="L1813" s="1" t="b">
        <f aca="false">FALSE()</f>
        <v>0</v>
      </c>
      <c r="M1813" s="1" t="str">
        <f aca="false">VLOOKUP(D1813,'Team Reference'!$A:$B,2,FALSE())</f>
        <v>NYJ</v>
      </c>
      <c r="N1813" s="1" t="str">
        <f aca="false">VLOOKUP(E1813,'Team Reference'!$A:$B,2,FALSE())</f>
        <v>MIA</v>
      </c>
      <c r="O1813" s="1" t="str">
        <f aca="false">IF(F1813&gt;G1813,M1813,IF(G1813&gt;F1813,N1813,"Tie"))</f>
        <v>MIA</v>
      </c>
      <c r="P1813" s="1" t="n">
        <f aca="false">F1813-G1813</f>
        <v>-21</v>
      </c>
      <c r="Q1813" s="1" t="n">
        <f aca="false">F1813+G1813</f>
        <v>47</v>
      </c>
      <c r="R1813" s="1" t="str">
        <f aca="false">IF(H1813=M1813,"Home",IF(H1813=N1813,"Away",IF(H1813="PICK","Pick","N/A")))</f>
        <v>Away</v>
      </c>
      <c r="S1813" s="1" t="n">
        <f aca="false">IF(R1813="Home",P1813,IF(R1813="Away",-P1813,""))</f>
        <v>21</v>
      </c>
      <c r="T1813" s="1" t="str">
        <f aca="false">IF(R1813="Pick","No Line",IF(S1813="","N/A",IF(S1813+I1813&gt;0,"Favorite Covered",IF(S1813+I1813&lt;0,"Underdog Covered","Push"))))</f>
        <v>Favorite Covered</v>
      </c>
      <c r="U1813" s="1" t="str">
        <f aca="false">IF(Q1813&gt;J1813,"Over",IF(Q1813&lt;J1813,"Under","Push"))</f>
        <v>Over</v>
      </c>
    </row>
    <row r="1814" customFormat="false" ht="15" hidden="false" customHeight="false" outlineLevel="0" collapsed="false">
      <c r="A1814" s="1" t="s">
        <v>566</v>
      </c>
      <c r="B1814" s="1" t="n">
        <v>2016</v>
      </c>
      <c r="C1814" s="1" t="s">
        <v>223</v>
      </c>
      <c r="D1814" s="1" t="s">
        <v>53</v>
      </c>
      <c r="E1814" s="1" t="s">
        <v>95</v>
      </c>
      <c r="F1814" s="1" t="n">
        <v>41</v>
      </c>
      <c r="G1814" s="1" t="n">
        <v>48</v>
      </c>
      <c r="H1814" s="1" t="s">
        <v>54</v>
      </c>
      <c r="I1814" s="1" t="n">
        <v>-3</v>
      </c>
      <c r="J1814" s="1" t="n">
        <v>48.5</v>
      </c>
      <c r="K1814" s="1" t="s">
        <v>177</v>
      </c>
      <c r="L1814" s="1" t="b">
        <f aca="false">FALSE()</f>
        <v>0</v>
      </c>
      <c r="M1814" s="1" t="str">
        <f aca="false">VLOOKUP(D1814,'Team Reference'!$A:$B,2,FALSE())</f>
        <v>ARI</v>
      </c>
      <c r="N1814" s="1" t="str">
        <f aca="false">VLOOKUP(E1814,'Team Reference'!$A:$B,2,FALSE())</f>
        <v>NO</v>
      </c>
      <c r="O1814" s="1" t="str">
        <f aca="false">IF(F1814&gt;G1814,M1814,IF(G1814&gt;F1814,N1814,"Tie"))</f>
        <v>NO</v>
      </c>
      <c r="P1814" s="1" t="n">
        <f aca="false">F1814-G1814</f>
        <v>-7</v>
      </c>
      <c r="Q1814" s="1" t="n">
        <f aca="false">F1814+G1814</f>
        <v>89</v>
      </c>
      <c r="R1814" s="1" t="str">
        <f aca="false">IF(H1814=M1814,"Home",IF(H1814=N1814,"Away",IF(H1814="PICK","Pick","N/A")))</f>
        <v>Home</v>
      </c>
      <c r="S1814" s="1" t="n">
        <f aca="false">IF(R1814="Home",P1814,IF(R1814="Away",-P1814,""))</f>
        <v>-7</v>
      </c>
      <c r="T1814" s="1" t="str">
        <f aca="false">IF(R1814="Pick","No Line",IF(S1814="","N/A",IF(S1814+I1814&gt;0,"Favorite Covered",IF(S1814+I1814&lt;0,"Underdog Covered","Push"))))</f>
        <v>Underdog Covered</v>
      </c>
      <c r="U1814" s="1" t="str">
        <f aca="false">IF(Q1814&gt;J1814,"Over",IF(Q1814&lt;J1814,"Under","Push"))</f>
        <v>Over</v>
      </c>
    </row>
    <row r="1815" customFormat="false" ht="15" hidden="false" customHeight="false" outlineLevel="0" collapsed="false">
      <c r="A1815" s="1" t="s">
        <v>566</v>
      </c>
      <c r="B1815" s="1" t="n">
        <v>2016</v>
      </c>
      <c r="C1815" s="1" t="s">
        <v>223</v>
      </c>
      <c r="D1815" s="1" t="s">
        <v>55</v>
      </c>
      <c r="E1815" s="1" t="s">
        <v>108</v>
      </c>
      <c r="F1815" s="1" t="n">
        <v>41</v>
      </c>
      <c r="G1815" s="1" t="n">
        <v>13</v>
      </c>
      <c r="H1815" s="1" t="s">
        <v>56</v>
      </c>
      <c r="I1815" s="1" t="n">
        <v>-13.5</v>
      </c>
      <c r="J1815" s="1" t="n">
        <v>51.5</v>
      </c>
      <c r="K1815" s="1" t="s">
        <v>161</v>
      </c>
      <c r="L1815" s="1" t="b">
        <f aca="false">FALSE()</f>
        <v>0</v>
      </c>
      <c r="M1815" s="1" t="str">
        <f aca="false">VLOOKUP(D1815,'Team Reference'!$A:$B,2,FALSE())</f>
        <v>ATL</v>
      </c>
      <c r="N1815" s="1" t="str">
        <f aca="false">VLOOKUP(E1815,'Team Reference'!$A:$B,2,FALSE())</f>
        <v>SF</v>
      </c>
      <c r="O1815" s="1" t="str">
        <f aca="false">IF(F1815&gt;G1815,M1815,IF(G1815&gt;F1815,N1815,"Tie"))</f>
        <v>ATL</v>
      </c>
      <c r="P1815" s="1" t="n">
        <f aca="false">F1815-G1815</f>
        <v>28</v>
      </c>
      <c r="Q1815" s="1" t="n">
        <f aca="false">F1815+G1815</f>
        <v>54</v>
      </c>
      <c r="R1815" s="1" t="str">
        <f aca="false">IF(H1815=M1815,"Home",IF(H1815=N1815,"Away",IF(H1815="PICK","Pick","N/A")))</f>
        <v>Home</v>
      </c>
      <c r="S1815" s="1" t="n">
        <f aca="false">IF(R1815="Home",P1815,IF(R1815="Away",-P1815,""))</f>
        <v>28</v>
      </c>
      <c r="T1815" s="1" t="str">
        <f aca="false">IF(R1815="Pick","No Line",IF(S1815="","N/A",IF(S1815+I1815&gt;0,"Favorite Covered",IF(S1815+I1815&lt;0,"Underdog Covered","Push"))))</f>
        <v>Favorite Covered</v>
      </c>
      <c r="U1815" s="1" t="str">
        <f aca="false">IF(Q1815&gt;J1815,"Over",IF(Q1815&lt;J1815,"Under","Push"))</f>
        <v>Over</v>
      </c>
    </row>
    <row r="1816" customFormat="false" ht="15" hidden="false" customHeight="false" outlineLevel="0" collapsed="false">
      <c r="A1816" s="1" t="s">
        <v>566</v>
      </c>
      <c r="B1816" s="1" t="n">
        <v>2016</v>
      </c>
      <c r="C1816" s="1" t="s">
        <v>223</v>
      </c>
      <c r="D1816" s="1" t="s">
        <v>57</v>
      </c>
      <c r="E1816" s="1" t="s">
        <v>103</v>
      </c>
      <c r="F1816" s="1" t="n">
        <v>27</v>
      </c>
      <c r="G1816" s="1" t="n">
        <v>26</v>
      </c>
      <c r="H1816" s="1" t="s">
        <v>58</v>
      </c>
      <c r="I1816" s="1" t="n">
        <v>-5</v>
      </c>
      <c r="J1816" s="1" t="n">
        <v>41</v>
      </c>
      <c r="K1816" s="1" t="s">
        <v>178</v>
      </c>
      <c r="L1816" s="1" t="b">
        <f aca="false">FALSE()</f>
        <v>0</v>
      </c>
      <c r="M1816" s="1" t="str">
        <f aca="false">VLOOKUP(D1816,'Team Reference'!$A:$B,2,FALSE())</f>
        <v>BAL</v>
      </c>
      <c r="N1816" s="1" t="str">
        <f aca="false">VLOOKUP(E1816,'Team Reference'!$A:$B,2,FALSE())</f>
        <v>PHI</v>
      </c>
      <c r="O1816" s="1" t="str">
        <f aca="false">IF(F1816&gt;G1816,M1816,IF(G1816&gt;F1816,N1816,"Tie"))</f>
        <v>BAL</v>
      </c>
      <c r="P1816" s="1" t="n">
        <f aca="false">F1816-G1816</f>
        <v>1</v>
      </c>
      <c r="Q1816" s="1" t="n">
        <f aca="false">F1816+G1816</f>
        <v>53</v>
      </c>
      <c r="R1816" s="1" t="str">
        <f aca="false">IF(H1816=M1816,"Home",IF(H1816=N1816,"Away",IF(H1816="PICK","Pick","N/A")))</f>
        <v>Home</v>
      </c>
      <c r="S1816" s="1" t="n">
        <f aca="false">IF(R1816="Home",P1816,IF(R1816="Away",-P1816,""))</f>
        <v>1</v>
      </c>
      <c r="T1816" s="1" t="str">
        <f aca="false">IF(R1816="Pick","No Line",IF(S1816="","N/A",IF(S1816+I1816&gt;0,"Favorite Covered",IF(S1816+I1816&lt;0,"Underdog Covered","Push"))))</f>
        <v>Underdog Covered</v>
      </c>
      <c r="U1816" s="1" t="str">
        <f aca="false">IF(Q1816&gt;J1816,"Over",IF(Q1816&lt;J1816,"Under","Push"))</f>
        <v>Over</v>
      </c>
    </row>
    <row r="1817" customFormat="false" ht="15" hidden="false" customHeight="false" outlineLevel="0" collapsed="false">
      <c r="A1817" s="1" t="s">
        <v>566</v>
      </c>
      <c r="B1817" s="1" t="n">
        <v>2016</v>
      </c>
      <c r="C1817" s="1" t="s">
        <v>223</v>
      </c>
      <c r="D1817" s="1" t="s">
        <v>59</v>
      </c>
      <c r="E1817" s="1" t="s">
        <v>67</v>
      </c>
      <c r="F1817" s="1" t="n">
        <v>33</v>
      </c>
      <c r="G1817" s="1" t="n">
        <v>13</v>
      </c>
      <c r="H1817" s="1" t="s">
        <v>60</v>
      </c>
      <c r="I1817" s="1" t="n">
        <v>-10.5</v>
      </c>
      <c r="J1817" s="1" t="n">
        <v>43</v>
      </c>
      <c r="K1817" s="1" t="s">
        <v>522</v>
      </c>
      <c r="L1817" s="1" t="b">
        <f aca="false">FALSE()</f>
        <v>0</v>
      </c>
      <c r="M1817" s="1" t="str">
        <f aca="false">VLOOKUP(D1817,'Team Reference'!$A:$B,2,FALSE())</f>
        <v>BUF</v>
      </c>
      <c r="N1817" s="1" t="str">
        <f aca="false">VLOOKUP(E1817,'Team Reference'!$A:$B,2,FALSE())</f>
        <v>CLE</v>
      </c>
      <c r="O1817" s="1" t="str">
        <f aca="false">IF(F1817&gt;G1817,M1817,IF(G1817&gt;F1817,N1817,"Tie"))</f>
        <v>BUF</v>
      </c>
      <c r="P1817" s="1" t="n">
        <f aca="false">F1817-G1817</f>
        <v>20</v>
      </c>
      <c r="Q1817" s="1" t="n">
        <f aca="false">F1817+G1817</f>
        <v>46</v>
      </c>
      <c r="R1817" s="1" t="str">
        <f aca="false">IF(H1817=M1817,"Home",IF(H1817=N1817,"Away",IF(H1817="PICK","Pick","N/A")))</f>
        <v>Home</v>
      </c>
      <c r="S1817" s="1" t="n">
        <f aca="false">IF(R1817="Home",P1817,IF(R1817="Away",-P1817,""))</f>
        <v>20</v>
      </c>
      <c r="T1817" s="1" t="str">
        <f aca="false">IF(R1817="Pick","No Line",IF(S1817="","N/A",IF(S1817+I1817&gt;0,"Favorite Covered",IF(S1817+I1817&lt;0,"Underdog Covered","Push"))))</f>
        <v>Favorite Covered</v>
      </c>
      <c r="U1817" s="1" t="str">
        <f aca="false">IF(Q1817&gt;J1817,"Over",IF(Q1817&lt;J1817,"Under","Push"))</f>
        <v>Over</v>
      </c>
    </row>
    <row r="1818" customFormat="false" ht="15" hidden="false" customHeight="false" outlineLevel="0" collapsed="false">
      <c r="A1818" s="1" t="s">
        <v>566</v>
      </c>
      <c r="B1818" s="1" t="n">
        <v>2016</v>
      </c>
      <c r="C1818" s="1" t="s">
        <v>223</v>
      </c>
      <c r="D1818" s="1" t="s">
        <v>63</v>
      </c>
      <c r="E1818" s="1" t="s">
        <v>75</v>
      </c>
      <c r="F1818" s="1" t="n">
        <v>27</v>
      </c>
      <c r="G1818" s="1" t="n">
        <v>30</v>
      </c>
      <c r="H1818" s="1" t="s">
        <v>76</v>
      </c>
      <c r="I1818" s="1" t="n">
        <v>-4.5</v>
      </c>
      <c r="J1818" s="1" t="n">
        <v>40</v>
      </c>
      <c r="K1818" s="1" t="s">
        <v>145</v>
      </c>
      <c r="L1818" s="1" t="b">
        <f aca="false">FALSE()</f>
        <v>0</v>
      </c>
      <c r="M1818" s="1" t="str">
        <f aca="false">VLOOKUP(D1818,'Team Reference'!$A:$B,2,FALSE())</f>
        <v>CHI</v>
      </c>
      <c r="N1818" s="1" t="str">
        <f aca="false">VLOOKUP(E1818,'Team Reference'!$A:$B,2,FALSE())</f>
        <v>GB</v>
      </c>
      <c r="O1818" s="1" t="str">
        <f aca="false">IF(F1818&gt;G1818,M1818,IF(G1818&gt;F1818,N1818,"Tie"))</f>
        <v>GB</v>
      </c>
      <c r="P1818" s="1" t="n">
        <f aca="false">F1818-G1818</f>
        <v>-3</v>
      </c>
      <c r="Q1818" s="1" t="n">
        <f aca="false">F1818+G1818</f>
        <v>57</v>
      </c>
      <c r="R1818" s="1" t="str">
        <f aca="false">IF(H1818=M1818,"Home",IF(H1818=N1818,"Away",IF(H1818="PICK","Pick","N/A")))</f>
        <v>Away</v>
      </c>
      <c r="S1818" s="1" t="n">
        <f aca="false">IF(R1818="Home",P1818,IF(R1818="Away",-P1818,""))</f>
        <v>3</v>
      </c>
      <c r="T1818" s="1" t="str">
        <f aca="false">IF(R1818="Pick","No Line",IF(S1818="","N/A",IF(S1818+I1818&gt;0,"Favorite Covered",IF(S1818+I1818&lt;0,"Underdog Covered","Push"))))</f>
        <v>Underdog Covered</v>
      </c>
      <c r="U1818" s="1" t="str">
        <f aca="false">IF(Q1818&gt;J1818,"Over",IF(Q1818&lt;J1818,"Under","Push"))</f>
        <v>Over</v>
      </c>
    </row>
    <row r="1819" customFormat="false" ht="15" hidden="false" customHeight="false" outlineLevel="0" collapsed="false">
      <c r="A1819" s="1" t="s">
        <v>566</v>
      </c>
      <c r="B1819" s="1" t="n">
        <v>2016</v>
      </c>
      <c r="C1819" s="1" t="s">
        <v>223</v>
      </c>
      <c r="D1819" s="1" t="s">
        <v>65</v>
      </c>
      <c r="E1819" s="1" t="s">
        <v>105</v>
      </c>
      <c r="F1819" s="1" t="n">
        <v>20</v>
      </c>
      <c r="G1819" s="1" t="n">
        <v>24</v>
      </c>
      <c r="H1819" s="1" t="s">
        <v>106</v>
      </c>
      <c r="I1819" s="1" t="n">
        <v>-3</v>
      </c>
      <c r="J1819" s="1" t="n">
        <v>45.5</v>
      </c>
      <c r="K1819" s="1" t="s">
        <v>163</v>
      </c>
      <c r="L1819" s="1" t="b">
        <f aca="false">FALSE()</f>
        <v>0</v>
      </c>
      <c r="M1819" s="1" t="str">
        <f aca="false">VLOOKUP(D1819,'Team Reference'!$A:$B,2,FALSE())</f>
        <v>CIN</v>
      </c>
      <c r="N1819" s="1" t="str">
        <f aca="false">VLOOKUP(E1819,'Team Reference'!$A:$B,2,FALSE())</f>
        <v>PIT</v>
      </c>
      <c r="O1819" s="1" t="str">
        <f aca="false">IF(F1819&gt;G1819,M1819,IF(G1819&gt;F1819,N1819,"Tie"))</f>
        <v>PIT</v>
      </c>
      <c r="P1819" s="1" t="n">
        <f aca="false">F1819-G1819</f>
        <v>-4</v>
      </c>
      <c r="Q1819" s="1" t="n">
        <f aca="false">F1819+G1819</f>
        <v>44</v>
      </c>
      <c r="R1819" s="1" t="str">
        <f aca="false">IF(H1819=M1819,"Home",IF(H1819=N1819,"Away",IF(H1819="PICK","Pick","N/A")))</f>
        <v>Away</v>
      </c>
      <c r="S1819" s="1" t="n">
        <f aca="false">IF(R1819="Home",P1819,IF(R1819="Away",-P1819,""))</f>
        <v>4</v>
      </c>
      <c r="T1819" s="1" t="str">
        <f aca="false">IF(R1819="Pick","No Line",IF(S1819="","N/A",IF(S1819+I1819&gt;0,"Favorite Covered",IF(S1819+I1819&lt;0,"Underdog Covered","Push"))))</f>
        <v>Favorite Covered</v>
      </c>
      <c r="U1819" s="1" t="str">
        <f aca="false">IF(Q1819&gt;J1819,"Over",IF(Q1819&lt;J1819,"Under","Push"))</f>
        <v>Under</v>
      </c>
    </row>
    <row r="1820" customFormat="false" ht="15" hidden="false" customHeight="false" outlineLevel="0" collapsed="false">
      <c r="A1820" s="1" t="s">
        <v>566</v>
      </c>
      <c r="B1820" s="1" t="n">
        <v>2016</v>
      </c>
      <c r="C1820" s="1" t="s">
        <v>223</v>
      </c>
      <c r="D1820" s="1" t="s">
        <v>69</v>
      </c>
      <c r="E1820" s="1" t="s">
        <v>113</v>
      </c>
      <c r="F1820" s="1" t="n">
        <v>26</v>
      </c>
      <c r="G1820" s="1" t="n">
        <v>20</v>
      </c>
      <c r="H1820" s="1" t="s">
        <v>70</v>
      </c>
      <c r="I1820" s="1" t="n">
        <v>-7</v>
      </c>
      <c r="J1820" s="1" t="n">
        <v>47.5</v>
      </c>
      <c r="K1820" s="1" t="s">
        <v>165</v>
      </c>
      <c r="L1820" s="1" t="b">
        <f aca="false">FALSE()</f>
        <v>0</v>
      </c>
      <c r="M1820" s="1" t="str">
        <f aca="false">VLOOKUP(D1820,'Team Reference'!$A:$B,2,FALSE())</f>
        <v>DAL</v>
      </c>
      <c r="N1820" s="1" t="str">
        <f aca="false">VLOOKUP(E1820,'Team Reference'!$A:$B,2,FALSE())</f>
        <v>TB</v>
      </c>
      <c r="O1820" s="1" t="str">
        <f aca="false">IF(F1820&gt;G1820,M1820,IF(G1820&gt;F1820,N1820,"Tie"))</f>
        <v>DAL</v>
      </c>
      <c r="P1820" s="1" t="n">
        <f aca="false">F1820-G1820</f>
        <v>6</v>
      </c>
      <c r="Q1820" s="1" t="n">
        <f aca="false">F1820+G1820</f>
        <v>46</v>
      </c>
      <c r="R1820" s="1" t="str">
        <f aca="false">IF(H1820=M1820,"Home",IF(H1820=N1820,"Away",IF(H1820="PICK","Pick","N/A")))</f>
        <v>Home</v>
      </c>
      <c r="S1820" s="1" t="n">
        <f aca="false">IF(R1820="Home",P1820,IF(R1820="Away",-P1820,""))</f>
        <v>6</v>
      </c>
      <c r="T1820" s="1" t="str">
        <f aca="false">IF(R1820="Pick","No Line",IF(S1820="","N/A",IF(S1820+I1820&gt;0,"Favorite Covered",IF(S1820+I1820&lt;0,"Underdog Covered","Push"))))</f>
        <v>Underdog Covered</v>
      </c>
      <c r="U1820" s="1" t="str">
        <f aca="false">IF(Q1820&gt;J1820,"Over",IF(Q1820&lt;J1820,"Under","Push"))</f>
        <v>Under</v>
      </c>
    </row>
    <row r="1821" customFormat="false" ht="15" hidden="false" customHeight="false" outlineLevel="0" collapsed="false">
      <c r="A1821" s="1" t="s">
        <v>566</v>
      </c>
      <c r="B1821" s="1" t="n">
        <v>2016</v>
      </c>
      <c r="C1821" s="1" t="s">
        <v>223</v>
      </c>
      <c r="D1821" s="1" t="s">
        <v>71</v>
      </c>
      <c r="E1821" s="1" t="s">
        <v>93</v>
      </c>
      <c r="F1821" s="1" t="n">
        <v>3</v>
      </c>
      <c r="G1821" s="1" t="n">
        <v>16</v>
      </c>
      <c r="H1821" s="1" t="s">
        <v>94</v>
      </c>
      <c r="I1821" s="1" t="n">
        <v>-3</v>
      </c>
      <c r="J1821" s="1" t="n">
        <v>43</v>
      </c>
      <c r="K1821" s="1" t="s">
        <v>166</v>
      </c>
      <c r="L1821" s="1" t="b">
        <f aca="false">FALSE()</f>
        <v>0</v>
      </c>
      <c r="M1821" s="1" t="str">
        <f aca="false">VLOOKUP(D1821,'Team Reference'!$A:$B,2,FALSE())</f>
        <v>DEN</v>
      </c>
      <c r="N1821" s="1" t="str">
        <f aca="false">VLOOKUP(E1821,'Team Reference'!$A:$B,2,FALSE())</f>
        <v>NE</v>
      </c>
      <c r="O1821" s="1" t="str">
        <f aca="false">IF(F1821&gt;G1821,M1821,IF(G1821&gt;F1821,N1821,"Tie"))</f>
        <v>NE</v>
      </c>
      <c r="P1821" s="1" t="n">
        <f aca="false">F1821-G1821</f>
        <v>-13</v>
      </c>
      <c r="Q1821" s="1" t="n">
        <f aca="false">F1821+G1821</f>
        <v>19</v>
      </c>
      <c r="R1821" s="1" t="str">
        <f aca="false">IF(H1821=M1821,"Home",IF(H1821=N1821,"Away",IF(H1821="PICK","Pick","N/A")))</f>
        <v>Away</v>
      </c>
      <c r="S1821" s="1" t="n">
        <f aca="false">IF(R1821="Home",P1821,IF(R1821="Away",-P1821,""))</f>
        <v>13</v>
      </c>
      <c r="T1821" s="1" t="str">
        <f aca="false">IF(R1821="Pick","No Line",IF(S1821="","N/A",IF(S1821+I1821&gt;0,"Favorite Covered",IF(S1821+I1821&lt;0,"Underdog Covered","Push"))))</f>
        <v>Favorite Covered</v>
      </c>
      <c r="U1821" s="1" t="str">
        <f aca="false">IF(Q1821&gt;J1821,"Over",IF(Q1821&lt;J1821,"Under","Push"))</f>
        <v>Under</v>
      </c>
    </row>
    <row r="1822" customFormat="false" ht="15" hidden="false" customHeight="false" outlineLevel="0" collapsed="false">
      <c r="A1822" s="1" t="s">
        <v>566</v>
      </c>
      <c r="B1822" s="1" t="n">
        <v>2016</v>
      </c>
      <c r="C1822" s="1" t="s">
        <v>223</v>
      </c>
      <c r="D1822" s="1" t="s">
        <v>77</v>
      </c>
      <c r="E1822" s="1" t="s">
        <v>81</v>
      </c>
      <c r="F1822" s="1" t="n">
        <v>21</v>
      </c>
      <c r="G1822" s="1" t="n">
        <v>20</v>
      </c>
      <c r="H1822" s="1" t="s">
        <v>78</v>
      </c>
      <c r="I1822" s="1" t="n">
        <v>-3.5</v>
      </c>
      <c r="J1822" s="1" t="n">
        <v>39.5</v>
      </c>
      <c r="K1822" s="1" t="s">
        <v>146</v>
      </c>
      <c r="L1822" s="1" t="b">
        <f aca="false">FALSE()</f>
        <v>0</v>
      </c>
      <c r="M1822" s="1" t="str">
        <f aca="false">VLOOKUP(D1822,'Team Reference'!$A:$B,2,FALSE())</f>
        <v>HOU</v>
      </c>
      <c r="N1822" s="1" t="str">
        <f aca="false">VLOOKUP(E1822,'Team Reference'!$A:$B,2,FALSE())</f>
        <v>JAX</v>
      </c>
      <c r="O1822" s="1" t="str">
        <f aca="false">IF(F1822&gt;G1822,M1822,IF(G1822&gt;F1822,N1822,"Tie"))</f>
        <v>HOU</v>
      </c>
      <c r="P1822" s="1" t="n">
        <f aca="false">F1822-G1822</f>
        <v>1</v>
      </c>
      <c r="Q1822" s="1" t="n">
        <f aca="false">F1822+G1822</f>
        <v>41</v>
      </c>
      <c r="R1822" s="1" t="str">
        <f aca="false">IF(H1822=M1822,"Home",IF(H1822=N1822,"Away",IF(H1822="PICK","Pick","N/A")))</f>
        <v>Home</v>
      </c>
      <c r="S1822" s="1" t="n">
        <f aca="false">IF(R1822="Home",P1822,IF(R1822="Away",-P1822,""))</f>
        <v>1</v>
      </c>
      <c r="T1822" s="1" t="str">
        <f aca="false">IF(R1822="Pick","No Line",IF(S1822="","N/A",IF(S1822+I1822&gt;0,"Favorite Covered",IF(S1822+I1822&lt;0,"Underdog Covered","Push"))))</f>
        <v>Underdog Covered</v>
      </c>
      <c r="U1822" s="1" t="str">
        <f aca="false">IF(Q1822&gt;J1822,"Over",IF(Q1822&lt;J1822,"Under","Push"))</f>
        <v>Over</v>
      </c>
    </row>
    <row r="1823" customFormat="false" ht="15" hidden="false" customHeight="false" outlineLevel="0" collapsed="false">
      <c r="A1823" s="1" t="s">
        <v>566</v>
      </c>
      <c r="B1823" s="1" t="n">
        <v>2016</v>
      </c>
      <c r="C1823" s="1" t="s">
        <v>223</v>
      </c>
      <c r="D1823" s="1" t="s">
        <v>83</v>
      </c>
      <c r="E1823" s="1" t="s">
        <v>115</v>
      </c>
      <c r="F1823" s="1" t="n">
        <v>17</v>
      </c>
      <c r="G1823" s="1" t="n">
        <v>19</v>
      </c>
      <c r="H1823" s="1" t="s">
        <v>84</v>
      </c>
      <c r="I1823" s="1" t="n">
        <v>-6</v>
      </c>
      <c r="J1823" s="1" t="n">
        <v>43</v>
      </c>
      <c r="K1823" s="1" t="s">
        <v>158</v>
      </c>
      <c r="L1823" s="1" t="b">
        <f aca="false">FALSE()</f>
        <v>0</v>
      </c>
      <c r="M1823" s="1" t="str">
        <f aca="false">VLOOKUP(D1823,'Team Reference'!$A:$B,2,FALSE())</f>
        <v>KC</v>
      </c>
      <c r="N1823" s="1" t="str">
        <f aca="false">VLOOKUP(E1823,'Team Reference'!$A:$B,2,FALSE())</f>
        <v>TEN</v>
      </c>
      <c r="O1823" s="1" t="str">
        <f aca="false">IF(F1823&gt;G1823,M1823,IF(G1823&gt;F1823,N1823,"Tie"))</f>
        <v>TEN</v>
      </c>
      <c r="P1823" s="1" t="n">
        <f aca="false">F1823-G1823</f>
        <v>-2</v>
      </c>
      <c r="Q1823" s="1" t="n">
        <f aca="false">F1823+G1823</f>
        <v>36</v>
      </c>
      <c r="R1823" s="1" t="str">
        <f aca="false">IF(H1823=M1823,"Home",IF(H1823=N1823,"Away",IF(H1823="PICK","Pick","N/A")))</f>
        <v>Home</v>
      </c>
      <c r="S1823" s="1" t="n">
        <f aca="false">IF(R1823="Home",P1823,IF(R1823="Away",-P1823,""))</f>
        <v>-2</v>
      </c>
      <c r="T1823" s="1" t="str">
        <f aca="false">IF(R1823="Pick","No Line",IF(S1823="","N/A",IF(S1823+I1823&gt;0,"Favorite Covered",IF(S1823+I1823&lt;0,"Underdog Covered","Push"))))</f>
        <v>Underdog Covered</v>
      </c>
      <c r="U1823" s="1" t="str">
        <f aca="false">IF(Q1823&gt;J1823,"Over",IF(Q1823&lt;J1823,"Under","Push"))</f>
        <v>Under</v>
      </c>
    </row>
    <row r="1824" customFormat="false" ht="15" hidden="false" customHeight="false" outlineLevel="0" collapsed="false">
      <c r="A1824" s="1" t="s">
        <v>566</v>
      </c>
      <c r="B1824" s="1" t="n">
        <v>2016</v>
      </c>
      <c r="C1824" s="1" t="s">
        <v>223</v>
      </c>
      <c r="D1824" s="1" t="s">
        <v>91</v>
      </c>
      <c r="E1824" s="1" t="s">
        <v>79</v>
      </c>
      <c r="F1824" s="1" t="n">
        <v>6</v>
      </c>
      <c r="G1824" s="1" t="n">
        <v>34</v>
      </c>
      <c r="H1824" s="1" t="s">
        <v>92</v>
      </c>
      <c r="I1824" s="1" t="n">
        <v>-5</v>
      </c>
      <c r="J1824" s="1" t="n">
        <v>44.5</v>
      </c>
      <c r="K1824" s="1" t="s">
        <v>525</v>
      </c>
      <c r="L1824" s="1" t="b">
        <f aca="false">FALSE()</f>
        <v>0</v>
      </c>
      <c r="M1824" s="1" t="str">
        <f aca="false">VLOOKUP(D1824,'Team Reference'!$A:$B,2,FALSE())</f>
        <v>MIN</v>
      </c>
      <c r="N1824" s="1" t="str">
        <f aca="false">VLOOKUP(E1824,'Team Reference'!$A:$B,2,FALSE())</f>
        <v>IND</v>
      </c>
      <c r="O1824" s="1" t="str">
        <f aca="false">IF(F1824&gt;G1824,M1824,IF(G1824&gt;F1824,N1824,"Tie"))</f>
        <v>IND</v>
      </c>
      <c r="P1824" s="1" t="n">
        <f aca="false">F1824-G1824</f>
        <v>-28</v>
      </c>
      <c r="Q1824" s="1" t="n">
        <f aca="false">F1824+G1824</f>
        <v>40</v>
      </c>
      <c r="R1824" s="1" t="str">
        <f aca="false">IF(H1824=M1824,"Home",IF(H1824=N1824,"Away",IF(H1824="PICK","Pick","N/A")))</f>
        <v>Home</v>
      </c>
      <c r="S1824" s="1" t="n">
        <f aca="false">IF(R1824="Home",P1824,IF(R1824="Away",-P1824,""))</f>
        <v>-28</v>
      </c>
      <c r="T1824" s="1" t="str">
        <f aca="false">IF(R1824="Pick","No Line",IF(S1824="","N/A",IF(S1824+I1824&gt;0,"Favorite Covered",IF(S1824+I1824&lt;0,"Underdog Covered","Push"))))</f>
        <v>Underdog Covered</v>
      </c>
      <c r="U1824" s="1" t="str">
        <f aca="false">IF(Q1824&gt;J1824,"Over",IF(Q1824&lt;J1824,"Under","Push"))</f>
        <v>Under</v>
      </c>
    </row>
    <row r="1825" customFormat="false" ht="15" hidden="false" customHeight="false" outlineLevel="0" collapsed="false">
      <c r="A1825" s="1" t="s">
        <v>566</v>
      </c>
      <c r="B1825" s="1" t="n">
        <v>2016</v>
      </c>
      <c r="C1825" s="1" t="s">
        <v>223</v>
      </c>
      <c r="D1825" s="1" t="s">
        <v>97</v>
      </c>
      <c r="E1825" s="1" t="s">
        <v>73</v>
      </c>
      <c r="F1825" s="1" t="n">
        <v>17</v>
      </c>
      <c r="G1825" s="1" t="n">
        <v>6</v>
      </c>
      <c r="H1825" s="1" t="s">
        <v>98</v>
      </c>
      <c r="I1825" s="1" t="n">
        <v>-4</v>
      </c>
      <c r="J1825" s="1" t="n">
        <v>42.5</v>
      </c>
      <c r="K1825" s="1" t="s">
        <v>149</v>
      </c>
      <c r="L1825" s="1" t="b">
        <f aca="false">FALSE()</f>
        <v>0</v>
      </c>
      <c r="M1825" s="1" t="str">
        <f aca="false">VLOOKUP(D1825,'Team Reference'!$A:$B,2,FALSE())</f>
        <v>NYG</v>
      </c>
      <c r="N1825" s="1" t="str">
        <f aca="false">VLOOKUP(E1825,'Team Reference'!$A:$B,2,FALSE())</f>
        <v>DET</v>
      </c>
      <c r="O1825" s="1" t="str">
        <f aca="false">IF(F1825&gt;G1825,M1825,IF(G1825&gt;F1825,N1825,"Tie"))</f>
        <v>NYG</v>
      </c>
      <c r="P1825" s="1" t="n">
        <f aca="false">F1825-G1825</f>
        <v>11</v>
      </c>
      <c r="Q1825" s="1" t="n">
        <f aca="false">F1825+G1825</f>
        <v>23</v>
      </c>
      <c r="R1825" s="1" t="str">
        <f aca="false">IF(H1825=M1825,"Home",IF(H1825=N1825,"Away",IF(H1825="PICK","Pick","N/A")))</f>
        <v>Home</v>
      </c>
      <c r="S1825" s="1" t="n">
        <f aca="false">IF(R1825="Home",P1825,IF(R1825="Away",-P1825,""))</f>
        <v>11</v>
      </c>
      <c r="T1825" s="1" t="str">
        <f aca="false">IF(R1825="Pick","No Line",IF(S1825="","N/A",IF(S1825+I1825&gt;0,"Favorite Covered",IF(S1825+I1825&lt;0,"Underdog Covered","Push"))))</f>
        <v>Favorite Covered</v>
      </c>
      <c r="U1825" s="1" t="str">
        <f aca="false">IF(Q1825&gt;J1825,"Over",IF(Q1825&lt;J1825,"Under","Push"))</f>
        <v>Under</v>
      </c>
    </row>
    <row r="1826" customFormat="false" ht="15" hidden="false" customHeight="false" outlineLevel="0" collapsed="false">
      <c r="A1826" s="1" t="s">
        <v>566</v>
      </c>
      <c r="B1826" s="1" t="n">
        <v>2016</v>
      </c>
      <c r="C1826" s="1" t="s">
        <v>223</v>
      </c>
      <c r="D1826" s="1" t="s">
        <v>107</v>
      </c>
      <c r="E1826" s="1" t="s">
        <v>101</v>
      </c>
      <c r="F1826" s="1" t="n">
        <v>16</v>
      </c>
      <c r="G1826" s="1" t="n">
        <v>19</v>
      </c>
      <c r="H1826" s="1" t="s">
        <v>102</v>
      </c>
      <c r="I1826" s="1" t="n">
        <v>-2.5</v>
      </c>
      <c r="J1826" s="1" t="n">
        <v>49.5</v>
      </c>
      <c r="K1826" s="1" t="s">
        <v>172</v>
      </c>
      <c r="L1826" s="1" t="b">
        <f aca="false">FALSE()</f>
        <v>0</v>
      </c>
      <c r="M1826" s="1" t="str">
        <f aca="false">VLOOKUP(D1826,'Team Reference'!$A:$B,2,FALSE())</f>
        <v>LAC</v>
      </c>
      <c r="N1826" s="1" t="str">
        <f aca="false">VLOOKUP(E1826,'Team Reference'!$A:$B,2,FALSE())</f>
        <v>OAK</v>
      </c>
      <c r="O1826" s="1" t="str">
        <f aca="false">IF(F1826&gt;G1826,M1826,IF(G1826&gt;F1826,N1826,"Tie"))</f>
        <v>OAK</v>
      </c>
      <c r="P1826" s="1" t="n">
        <f aca="false">F1826-G1826</f>
        <v>-3</v>
      </c>
      <c r="Q1826" s="1" t="n">
        <f aca="false">F1826+G1826</f>
        <v>35</v>
      </c>
      <c r="R1826" s="1" t="str">
        <f aca="false">IF(H1826=M1826,"Home",IF(H1826=N1826,"Away",IF(H1826="PICK","Pick","N/A")))</f>
        <v>Away</v>
      </c>
      <c r="S1826" s="1" t="n">
        <f aca="false">IF(R1826="Home",P1826,IF(R1826="Away",-P1826,""))</f>
        <v>3</v>
      </c>
      <c r="T1826" s="1" t="str">
        <f aca="false">IF(R1826="Pick","No Line",IF(S1826="","N/A",IF(S1826+I1826&gt;0,"Favorite Covered",IF(S1826+I1826&lt;0,"Underdog Covered","Push"))))</f>
        <v>Favorite Covered</v>
      </c>
      <c r="U1826" s="1" t="str">
        <f aca="false">IF(Q1826&gt;J1826,"Over",IF(Q1826&lt;J1826,"Under","Push"))</f>
        <v>Under</v>
      </c>
    </row>
    <row r="1827" customFormat="false" ht="15" hidden="false" customHeight="false" outlineLevel="0" collapsed="false">
      <c r="A1827" s="1" t="s">
        <v>567</v>
      </c>
      <c r="B1827" s="1" t="n">
        <v>2016</v>
      </c>
      <c r="C1827" s="1" t="s">
        <v>223</v>
      </c>
      <c r="D1827" s="1" t="s">
        <v>117</v>
      </c>
      <c r="E1827" s="1" t="s">
        <v>61</v>
      </c>
      <c r="F1827" s="1" t="n">
        <v>15</v>
      </c>
      <c r="G1827" s="1" t="n">
        <v>26</v>
      </c>
      <c r="H1827" s="1" t="s">
        <v>118</v>
      </c>
      <c r="I1827" s="1" t="n">
        <v>-7</v>
      </c>
      <c r="J1827" s="1" t="n">
        <v>50.5</v>
      </c>
      <c r="K1827" s="1" t="s">
        <v>156</v>
      </c>
      <c r="L1827" s="1" t="b">
        <f aca="false">FALSE()</f>
        <v>0</v>
      </c>
      <c r="M1827" s="1" t="str">
        <f aca="false">VLOOKUP(D1827,'Team Reference'!$A:$B,2,FALSE())</f>
        <v>WAS</v>
      </c>
      <c r="N1827" s="1" t="str">
        <f aca="false">VLOOKUP(E1827,'Team Reference'!$A:$B,2,FALSE())</f>
        <v>CAR</v>
      </c>
      <c r="O1827" s="1" t="str">
        <f aca="false">IF(F1827&gt;G1827,M1827,IF(G1827&gt;F1827,N1827,"Tie"))</f>
        <v>CAR</v>
      </c>
      <c r="P1827" s="1" t="n">
        <f aca="false">F1827-G1827</f>
        <v>-11</v>
      </c>
      <c r="Q1827" s="1" t="n">
        <f aca="false">F1827+G1827</f>
        <v>41</v>
      </c>
      <c r="R1827" s="1" t="str">
        <f aca="false">IF(H1827=M1827,"Home",IF(H1827=N1827,"Away",IF(H1827="PICK","Pick","N/A")))</f>
        <v>Home</v>
      </c>
      <c r="S1827" s="1" t="n">
        <f aca="false">IF(R1827="Home",P1827,IF(R1827="Away",-P1827,""))</f>
        <v>-11</v>
      </c>
      <c r="T1827" s="1" t="str">
        <f aca="false">IF(R1827="Pick","No Line",IF(S1827="","N/A",IF(S1827+I1827&gt;0,"Favorite Covered",IF(S1827+I1827&lt;0,"Underdog Covered","Push"))))</f>
        <v>Underdog Covered</v>
      </c>
      <c r="U1827" s="1" t="str">
        <f aca="false">IF(Q1827&gt;J1827,"Over",IF(Q1827&lt;J1827,"Under","Push"))</f>
        <v>Under</v>
      </c>
    </row>
    <row r="1828" customFormat="false" ht="15" hidden="false" customHeight="false" outlineLevel="0" collapsed="false">
      <c r="A1828" s="1" t="s">
        <v>568</v>
      </c>
      <c r="B1828" s="1" t="n">
        <v>2016</v>
      </c>
      <c r="C1828" s="1" t="s">
        <v>227</v>
      </c>
      <c r="D1828" s="1" t="s">
        <v>103</v>
      </c>
      <c r="E1828" s="1" t="s">
        <v>97</v>
      </c>
      <c r="F1828" s="1" t="n">
        <v>24</v>
      </c>
      <c r="G1828" s="1" t="n">
        <v>19</v>
      </c>
      <c r="H1828" s="1" t="s">
        <v>104</v>
      </c>
      <c r="I1828" s="1" t="n">
        <v>-1.5</v>
      </c>
      <c r="J1828" s="1" t="n">
        <v>42.5</v>
      </c>
      <c r="K1828" s="1" t="s">
        <v>150</v>
      </c>
      <c r="L1828" s="1" t="b">
        <f aca="false">FALSE()</f>
        <v>0</v>
      </c>
      <c r="M1828" s="1" t="str">
        <f aca="false">VLOOKUP(D1828,'Team Reference'!$A:$B,2,FALSE())</f>
        <v>PHI</v>
      </c>
      <c r="N1828" s="1" t="str">
        <f aca="false">VLOOKUP(E1828,'Team Reference'!$A:$B,2,FALSE())</f>
        <v>NYG</v>
      </c>
      <c r="O1828" s="1" t="str">
        <f aca="false">IF(F1828&gt;G1828,M1828,IF(G1828&gt;F1828,N1828,"Tie"))</f>
        <v>PHI</v>
      </c>
      <c r="P1828" s="1" t="n">
        <f aca="false">F1828-G1828</f>
        <v>5</v>
      </c>
      <c r="Q1828" s="1" t="n">
        <f aca="false">F1828+G1828</f>
        <v>43</v>
      </c>
      <c r="R1828" s="1" t="str">
        <f aca="false">IF(H1828=M1828,"Home",IF(H1828=N1828,"Away",IF(H1828="PICK","Pick","N/A")))</f>
        <v>Home</v>
      </c>
      <c r="S1828" s="1" t="n">
        <f aca="false">IF(R1828="Home",P1828,IF(R1828="Away",-P1828,""))</f>
        <v>5</v>
      </c>
      <c r="T1828" s="1" t="str">
        <f aca="false">IF(R1828="Pick","No Line",IF(S1828="","N/A",IF(S1828+I1828&gt;0,"Favorite Covered",IF(S1828+I1828&lt;0,"Underdog Covered","Push"))))</f>
        <v>Favorite Covered</v>
      </c>
      <c r="U1828" s="1" t="str">
        <f aca="false">IF(Q1828&gt;J1828,"Over",IF(Q1828&lt;J1828,"Under","Push"))</f>
        <v>Over</v>
      </c>
    </row>
    <row r="1829" customFormat="false" ht="15" hidden="false" customHeight="false" outlineLevel="0" collapsed="false">
      <c r="A1829" s="1" t="s">
        <v>569</v>
      </c>
      <c r="B1829" s="1" t="n">
        <v>2016</v>
      </c>
      <c r="C1829" s="1" t="s">
        <v>227</v>
      </c>
      <c r="D1829" s="1" t="s">
        <v>59</v>
      </c>
      <c r="E1829" s="1" t="s">
        <v>89</v>
      </c>
      <c r="F1829" s="1" t="n">
        <v>31</v>
      </c>
      <c r="G1829" s="1" t="n">
        <v>34</v>
      </c>
      <c r="H1829" s="1" t="s">
        <v>60</v>
      </c>
      <c r="I1829" s="1" t="n">
        <v>-4.5</v>
      </c>
      <c r="J1829" s="1" t="n">
        <v>44.5</v>
      </c>
      <c r="K1829" s="1" t="s">
        <v>522</v>
      </c>
      <c r="L1829" s="1" t="b">
        <f aca="false">FALSE()</f>
        <v>0</v>
      </c>
      <c r="M1829" s="1" t="str">
        <f aca="false">VLOOKUP(D1829,'Team Reference'!$A:$B,2,FALSE())</f>
        <v>BUF</v>
      </c>
      <c r="N1829" s="1" t="str">
        <f aca="false">VLOOKUP(E1829,'Team Reference'!$A:$B,2,FALSE())</f>
        <v>MIA</v>
      </c>
      <c r="O1829" s="1" t="str">
        <f aca="false">IF(F1829&gt;G1829,M1829,IF(G1829&gt;F1829,N1829,"Tie"))</f>
        <v>MIA</v>
      </c>
      <c r="P1829" s="1" t="n">
        <f aca="false">F1829-G1829</f>
        <v>-3</v>
      </c>
      <c r="Q1829" s="1" t="n">
        <f aca="false">F1829+G1829</f>
        <v>65</v>
      </c>
      <c r="R1829" s="1" t="str">
        <f aca="false">IF(H1829=M1829,"Home",IF(H1829=N1829,"Away",IF(H1829="PICK","Pick","N/A")))</f>
        <v>Home</v>
      </c>
      <c r="S1829" s="1" t="n">
        <f aca="false">IF(R1829="Home",P1829,IF(R1829="Away",-P1829,""))</f>
        <v>-3</v>
      </c>
      <c r="T1829" s="1" t="str">
        <f aca="false">IF(R1829="Pick","No Line",IF(S1829="","N/A",IF(S1829+I1829&gt;0,"Favorite Covered",IF(S1829+I1829&lt;0,"Underdog Covered","Push"))))</f>
        <v>Underdog Covered</v>
      </c>
      <c r="U1829" s="1" t="str">
        <f aca="false">IF(Q1829&gt;J1829,"Over",IF(Q1829&lt;J1829,"Under","Push"))</f>
        <v>Over</v>
      </c>
    </row>
    <row r="1830" customFormat="false" ht="15" hidden="false" customHeight="false" outlineLevel="0" collapsed="false">
      <c r="A1830" s="1" t="s">
        <v>569</v>
      </c>
      <c r="B1830" s="1" t="n">
        <v>2016</v>
      </c>
      <c r="C1830" s="1" t="s">
        <v>227</v>
      </c>
      <c r="D1830" s="1" t="s">
        <v>61</v>
      </c>
      <c r="E1830" s="1" t="s">
        <v>55</v>
      </c>
      <c r="F1830" s="1" t="n">
        <v>16</v>
      </c>
      <c r="G1830" s="1" t="n">
        <v>33</v>
      </c>
      <c r="H1830" s="1" t="s">
        <v>56</v>
      </c>
      <c r="I1830" s="1" t="n">
        <v>-3</v>
      </c>
      <c r="J1830" s="1" t="n">
        <v>49</v>
      </c>
      <c r="K1830" s="1" t="s">
        <v>162</v>
      </c>
      <c r="L1830" s="1" t="b">
        <f aca="false">FALSE()</f>
        <v>0</v>
      </c>
      <c r="M1830" s="1" t="str">
        <f aca="false">VLOOKUP(D1830,'Team Reference'!$A:$B,2,FALSE())</f>
        <v>CAR</v>
      </c>
      <c r="N1830" s="1" t="str">
        <f aca="false">VLOOKUP(E1830,'Team Reference'!$A:$B,2,FALSE())</f>
        <v>ATL</v>
      </c>
      <c r="O1830" s="1" t="str">
        <f aca="false">IF(F1830&gt;G1830,M1830,IF(G1830&gt;F1830,N1830,"Tie"))</f>
        <v>ATL</v>
      </c>
      <c r="P1830" s="1" t="n">
        <f aca="false">F1830-G1830</f>
        <v>-17</v>
      </c>
      <c r="Q1830" s="1" t="n">
        <f aca="false">F1830+G1830</f>
        <v>49</v>
      </c>
      <c r="R1830" s="1" t="str">
        <f aca="false">IF(H1830=M1830,"Home",IF(H1830=N1830,"Away",IF(H1830="PICK","Pick","N/A")))</f>
        <v>Away</v>
      </c>
      <c r="S1830" s="1" t="n">
        <f aca="false">IF(R1830="Home",P1830,IF(R1830="Away",-P1830,""))</f>
        <v>17</v>
      </c>
      <c r="T1830" s="1" t="str">
        <f aca="false">IF(R1830="Pick","No Line",IF(S1830="","N/A",IF(S1830+I1830&gt;0,"Favorite Covered",IF(S1830+I1830&lt;0,"Underdog Covered","Push"))))</f>
        <v>Favorite Covered</v>
      </c>
      <c r="U1830" s="1" t="str">
        <f aca="false">IF(Q1830&gt;J1830,"Over",IF(Q1830&lt;J1830,"Under","Push"))</f>
        <v>Push</v>
      </c>
    </row>
    <row r="1831" customFormat="false" ht="15" hidden="false" customHeight="false" outlineLevel="0" collapsed="false">
      <c r="A1831" s="1" t="s">
        <v>569</v>
      </c>
      <c r="B1831" s="1" t="n">
        <v>2016</v>
      </c>
      <c r="C1831" s="1" t="s">
        <v>227</v>
      </c>
      <c r="D1831" s="1" t="s">
        <v>63</v>
      </c>
      <c r="E1831" s="1" t="s">
        <v>117</v>
      </c>
      <c r="F1831" s="1" t="n">
        <v>21</v>
      </c>
      <c r="G1831" s="1" t="n">
        <v>41</v>
      </c>
      <c r="H1831" s="1" t="s">
        <v>118</v>
      </c>
      <c r="I1831" s="1" t="n">
        <v>-3</v>
      </c>
      <c r="J1831" s="1" t="n">
        <v>49</v>
      </c>
      <c r="K1831" s="1" t="s">
        <v>145</v>
      </c>
      <c r="L1831" s="1" t="b">
        <f aca="false">FALSE()</f>
        <v>0</v>
      </c>
      <c r="M1831" s="1" t="str">
        <f aca="false">VLOOKUP(D1831,'Team Reference'!$A:$B,2,FALSE())</f>
        <v>CHI</v>
      </c>
      <c r="N1831" s="1" t="str">
        <f aca="false">VLOOKUP(E1831,'Team Reference'!$A:$B,2,FALSE())</f>
        <v>WAS</v>
      </c>
      <c r="O1831" s="1" t="str">
        <f aca="false">IF(F1831&gt;G1831,M1831,IF(G1831&gt;F1831,N1831,"Tie"))</f>
        <v>WAS</v>
      </c>
      <c r="P1831" s="1" t="n">
        <f aca="false">F1831-G1831</f>
        <v>-20</v>
      </c>
      <c r="Q1831" s="1" t="n">
        <f aca="false">F1831+G1831</f>
        <v>62</v>
      </c>
      <c r="R1831" s="1" t="str">
        <f aca="false">IF(H1831=M1831,"Home",IF(H1831=N1831,"Away",IF(H1831="PICK","Pick","N/A")))</f>
        <v>Away</v>
      </c>
      <c r="S1831" s="1" t="n">
        <f aca="false">IF(R1831="Home",P1831,IF(R1831="Away",-P1831,""))</f>
        <v>20</v>
      </c>
      <c r="T1831" s="1" t="str">
        <f aca="false">IF(R1831="Pick","No Line",IF(S1831="","N/A",IF(S1831+I1831&gt;0,"Favorite Covered",IF(S1831+I1831&lt;0,"Underdog Covered","Push"))))</f>
        <v>Favorite Covered</v>
      </c>
      <c r="U1831" s="1" t="str">
        <f aca="false">IF(Q1831&gt;J1831,"Over",IF(Q1831&lt;J1831,"Under","Push"))</f>
        <v>Over</v>
      </c>
    </row>
    <row r="1832" customFormat="false" ht="15" hidden="false" customHeight="false" outlineLevel="0" collapsed="false">
      <c r="A1832" s="1" t="s">
        <v>569</v>
      </c>
      <c r="B1832" s="1" t="n">
        <v>2016</v>
      </c>
      <c r="C1832" s="1" t="s">
        <v>227</v>
      </c>
      <c r="D1832" s="1" t="s">
        <v>67</v>
      </c>
      <c r="E1832" s="1" t="s">
        <v>107</v>
      </c>
      <c r="F1832" s="1" t="n">
        <v>20</v>
      </c>
      <c r="G1832" s="1" t="n">
        <v>17</v>
      </c>
      <c r="H1832" s="1" t="s">
        <v>86</v>
      </c>
      <c r="I1832" s="1" t="n">
        <v>-4.5</v>
      </c>
      <c r="J1832" s="1" t="n">
        <v>45</v>
      </c>
      <c r="K1832" s="1" t="s">
        <v>164</v>
      </c>
      <c r="L1832" s="1" t="b">
        <f aca="false">FALSE()</f>
        <v>0</v>
      </c>
      <c r="M1832" s="1" t="str">
        <f aca="false">VLOOKUP(D1832,'Team Reference'!$A:$B,2,FALSE())</f>
        <v>CLE</v>
      </c>
      <c r="N1832" s="1" t="str">
        <f aca="false">VLOOKUP(E1832,'Team Reference'!$A:$B,2,FALSE())</f>
        <v>LAC</v>
      </c>
      <c r="O1832" s="1" t="str">
        <f aca="false">IF(F1832&gt;G1832,M1832,IF(G1832&gt;F1832,N1832,"Tie"))</f>
        <v>CLE</v>
      </c>
      <c r="P1832" s="1" t="n">
        <f aca="false">F1832-G1832</f>
        <v>3</v>
      </c>
      <c r="Q1832" s="1" t="n">
        <f aca="false">F1832+G1832</f>
        <v>37</v>
      </c>
      <c r="R1832" s="1" t="str">
        <f aca="false">IF(H1832=M1832,"Home",IF(H1832=N1832,"Away",IF(H1832="PICK","Pick","N/A")))</f>
        <v>Away</v>
      </c>
      <c r="S1832" s="1" t="n">
        <f aca="false">IF(R1832="Home",P1832,IF(R1832="Away",-P1832,""))</f>
        <v>-3</v>
      </c>
      <c r="T1832" s="1" t="str">
        <f aca="false">IF(R1832="Pick","No Line",IF(S1832="","N/A",IF(S1832+I1832&gt;0,"Favorite Covered",IF(S1832+I1832&lt;0,"Underdog Covered","Push"))))</f>
        <v>Underdog Covered</v>
      </c>
      <c r="U1832" s="1" t="str">
        <f aca="false">IF(Q1832&gt;J1832,"Over",IF(Q1832&lt;J1832,"Under","Push"))</f>
        <v>Under</v>
      </c>
    </row>
    <row r="1833" customFormat="false" ht="15" hidden="false" customHeight="false" outlineLevel="0" collapsed="false">
      <c r="A1833" s="1" t="s">
        <v>569</v>
      </c>
      <c r="B1833" s="1" t="n">
        <v>2016</v>
      </c>
      <c r="C1833" s="1" t="s">
        <v>227</v>
      </c>
      <c r="D1833" s="1" t="s">
        <v>75</v>
      </c>
      <c r="E1833" s="1" t="s">
        <v>91</v>
      </c>
      <c r="F1833" s="1" t="n">
        <v>38</v>
      </c>
      <c r="G1833" s="1" t="n">
        <v>25</v>
      </c>
      <c r="H1833" s="1" t="s">
        <v>76</v>
      </c>
      <c r="I1833" s="1" t="n">
        <v>-6</v>
      </c>
      <c r="J1833" s="1" t="n">
        <v>44.5</v>
      </c>
      <c r="K1833" s="1" t="s">
        <v>168</v>
      </c>
      <c r="L1833" s="1" t="b">
        <f aca="false">FALSE()</f>
        <v>0</v>
      </c>
      <c r="M1833" s="1" t="str">
        <f aca="false">VLOOKUP(D1833,'Team Reference'!$A:$B,2,FALSE())</f>
        <v>GB</v>
      </c>
      <c r="N1833" s="1" t="str">
        <f aca="false">VLOOKUP(E1833,'Team Reference'!$A:$B,2,FALSE())</f>
        <v>MIN</v>
      </c>
      <c r="O1833" s="1" t="str">
        <f aca="false">IF(F1833&gt;G1833,M1833,IF(G1833&gt;F1833,N1833,"Tie"))</f>
        <v>GB</v>
      </c>
      <c r="P1833" s="1" t="n">
        <f aca="false">F1833-G1833</f>
        <v>13</v>
      </c>
      <c r="Q1833" s="1" t="n">
        <f aca="false">F1833+G1833</f>
        <v>63</v>
      </c>
      <c r="R1833" s="1" t="str">
        <f aca="false">IF(H1833=M1833,"Home",IF(H1833=N1833,"Away",IF(H1833="PICK","Pick","N/A")))</f>
        <v>Home</v>
      </c>
      <c r="S1833" s="1" t="n">
        <f aca="false">IF(R1833="Home",P1833,IF(R1833="Away",-P1833,""))</f>
        <v>13</v>
      </c>
      <c r="T1833" s="1" t="str">
        <f aca="false">IF(R1833="Pick","No Line",IF(S1833="","N/A",IF(S1833+I1833&gt;0,"Favorite Covered",IF(S1833+I1833&lt;0,"Underdog Covered","Push"))))</f>
        <v>Favorite Covered</v>
      </c>
      <c r="U1833" s="1" t="str">
        <f aca="false">IF(Q1833&gt;J1833,"Over",IF(Q1833&lt;J1833,"Under","Push"))</f>
        <v>Over</v>
      </c>
    </row>
    <row r="1834" customFormat="false" ht="15" hidden="false" customHeight="false" outlineLevel="0" collapsed="false">
      <c r="A1834" s="1" t="s">
        <v>569</v>
      </c>
      <c r="B1834" s="1" t="n">
        <v>2016</v>
      </c>
      <c r="C1834" s="1" t="s">
        <v>227</v>
      </c>
      <c r="D1834" s="1" t="s">
        <v>77</v>
      </c>
      <c r="E1834" s="1" t="s">
        <v>65</v>
      </c>
      <c r="F1834" s="1" t="n">
        <v>12</v>
      </c>
      <c r="G1834" s="1" t="n">
        <v>10</v>
      </c>
      <c r="H1834" s="1" t="s">
        <v>78</v>
      </c>
      <c r="I1834" s="1" t="n">
        <v>-3</v>
      </c>
      <c r="J1834" s="1" t="n">
        <v>41.5</v>
      </c>
      <c r="K1834" s="1" t="s">
        <v>146</v>
      </c>
      <c r="L1834" s="1" t="b">
        <f aca="false">FALSE()</f>
        <v>0</v>
      </c>
      <c r="M1834" s="1" t="str">
        <f aca="false">VLOOKUP(D1834,'Team Reference'!$A:$B,2,FALSE())</f>
        <v>HOU</v>
      </c>
      <c r="N1834" s="1" t="str">
        <f aca="false">VLOOKUP(E1834,'Team Reference'!$A:$B,2,FALSE())</f>
        <v>CIN</v>
      </c>
      <c r="O1834" s="1" t="str">
        <f aca="false">IF(F1834&gt;G1834,M1834,IF(G1834&gt;F1834,N1834,"Tie"))</f>
        <v>HOU</v>
      </c>
      <c r="P1834" s="1" t="n">
        <f aca="false">F1834-G1834</f>
        <v>2</v>
      </c>
      <c r="Q1834" s="1" t="n">
        <f aca="false">F1834+G1834</f>
        <v>22</v>
      </c>
      <c r="R1834" s="1" t="str">
        <f aca="false">IF(H1834=M1834,"Home",IF(H1834=N1834,"Away",IF(H1834="PICK","Pick","N/A")))</f>
        <v>Home</v>
      </c>
      <c r="S1834" s="1" t="n">
        <f aca="false">IF(R1834="Home",P1834,IF(R1834="Away",-P1834,""))</f>
        <v>2</v>
      </c>
      <c r="T1834" s="1" t="str">
        <f aca="false">IF(R1834="Pick","No Line",IF(S1834="","N/A",IF(S1834+I1834&gt;0,"Favorite Covered",IF(S1834+I1834&lt;0,"Underdog Covered","Push"))))</f>
        <v>Underdog Covered</v>
      </c>
      <c r="U1834" s="1" t="str">
        <f aca="false">IF(Q1834&gt;J1834,"Over",IF(Q1834&lt;J1834,"Under","Push"))</f>
        <v>Under</v>
      </c>
    </row>
    <row r="1835" customFormat="false" ht="15" hidden="false" customHeight="false" outlineLevel="0" collapsed="false">
      <c r="A1835" s="1" t="s">
        <v>569</v>
      </c>
      <c r="B1835" s="1" t="n">
        <v>2016</v>
      </c>
      <c r="C1835" s="1" t="s">
        <v>227</v>
      </c>
      <c r="D1835" s="1" t="s">
        <v>81</v>
      </c>
      <c r="E1835" s="1" t="s">
        <v>115</v>
      </c>
      <c r="F1835" s="1" t="n">
        <v>38</v>
      </c>
      <c r="G1835" s="1" t="n">
        <v>17</v>
      </c>
      <c r="H1835" s="1" t="s">
        <v>116</v>
      </c>
      <c r="I1835" s="1" t="n">
        <v>-4</v>
      </c>
      <c r="J1835" s="1" t="n">
        <v>44</v>
      </c>
      <c r="K1835" s="1" t="s">
        <v>147</v>
      </c>
      <c r="L1835" s="1" t="b">
        <f aca="false">FALSE()</f>
        <v>0</v>
      </c>
      <c r="M1835" s="1" t="str">
        <f aca="false">VLOOKUP(D1835,'Team Reference'!$A:$B,2,FALSE())</f>
        <v>JAX</v>
      </c>
      <c r="N1835" s="1" t="str">
        <f aca="false">VLOOKUP(E1835,'Team Reference'!$A:$B,2,FALSE())</f>
        <v>TEN</v>
      </c>
      <c r="O1835" s="1" t="str">
        <f aca="false">IF(F1835&gt;G1835,M1835,IF(G1835&gt;F1835,N1835,"Tie"))</f>
        <v>JAX</v>
      </c>
      <c r="P1835" s="1" t="n">
        <f aca="false">F1835-G1835</f>
        <v>21</v>
      </c>
      <c r="Q1835" s="1" t="n">
        <f aca="false">F1835+G1835</f>
        <v>55</v>
      </c>
      <c r="R1835" s="1" t="str">
        <f aca="false">IF(H1835=M1835,"Home",IF(H1835=N1835,"Away",IF(H1835="PICK","Pick","N/A")))</f>
        <v>Away</v>
      </c>
      <c r="S1835" s="1" t="n">
        <f aca="false">IF(R1835="Home",P1835,IF(R1835="Away",-P1835,""))</f>
        <v>-21</v>
      </c>
      <c r="T1835" s="1" t="str">
        <f aca="false">IF(R1835="Pick","No Line",IF(S1835="","N/A",IF(S1835+I1835&gt;0,"Favorite Covered",IF(S1835+I1835&lt;0,"Underdog Covered","Push"))))</f>
        <v>Underdog Covered</v>
      </c>
      <c r="U1835" s="1" t="str">
        <f aca="false">IF(Q1835&gt;J1835,"Over",IF(Q1835&lt;J1835,"Under","Push"))</f>
        <v>Over</v>
      </c>
    </row>
    <row r="1836" customFormat="false" ht="15" hidden="false" customHeight="false" outlineLevel="0" collapsed="false">
      <c r="A1836" s="1" t="s">
        <v>569</v>
      </c>
      <c r="B1836" s="1" t="n">
        <v>2016</v>
      </c>
      <c r="C1836" s="1" t="s">
        <v>227</v>
      </c>
      <c r="D1836" s="1" t="s">
        <v>87</v>
      </c>
      <c r="E1836" s="1" t="s">
        <v>108</v>
      </c>
      <c r="F1836" s="1" t="n">
        <v>21</v>
      </c>
      <c r="G1836" s="1" t="n">
        <v>22</v>
      </c>
      <c r="H1836" s="1" t="s">
        <v>88</v>
      </c>
      <c r="I1836" s="1" t="n">
        <v>-6</v>
      </c>
      <c r="J1836" s="1" t="n">
        <v>39.5</v>
      </c>
      <c r="K1836" s="1" t="s">
        <v>520</v>
      </c>
      <c r="L1836" s="1" t="b">
        <f aca="false">FALSE()</f>
        <v>0</v>
      </c>
      <c r="M1836" s="1" t="str">
        <f aca="false">VLOOKUP(D1836,'Team Reference'!$A:$B,2,FALSE())</f>
        <v>LAR</v>
      </c>
      <c r="N1836" s="1" t="str">
        <f aca="false">VLOOKUP(E1836,'Team Reference'!$A:$B,2,FALSE())</f>
        <v>SF</v>
      </c>
      <c r="O1836" s="1" t="str">
        <f aca="false">IF(F1836&gt;G1836,M1836,IF(G1836&gt;F1836,N1836,"Tie"))</f>
        <v>SF</v>
      </c>
      <c r="P1836" s="1" t="n">
        <f aca="false">F1836-G1836</f>
        <v>-1</v>
      </c>
      <c r="Q1836" s="1" t="n">
        <f aca="false">F1836+G1836</f>
        <v>43</v>
      </c>
      <c r="R1836" s="1" t="str">
        <f aca="false">IF(H1836=M1836,"Home",IF(H1836=N1836,"Away",IF(H1836="PICK","Pick","N/A")))</f>
        <v>Home</v>
      </c>
      <c r="S1836" s="1" t="n">
        <f aca="false">IF(R1836="Home",P1836,IF(R1836="Away",-P1836,""))</f>
        <v>-1</v>
      </c>
      <c r="T1836" s="1" t="str">
        <f aca="false">IF(R1836="Pick","No Line",IF(S1836="","N/A",IF(S1836+I1836&gt;0,"Favorite Covered",IF(S1836+I1836&lt;0,"Underdog Covered","Push"))))</f>
        <v>Underdog Covered</v>
      </c>
      <c r="U1836" s="1" t="str">
        <f aca="false">IF(Q1836&gt;J1836,"Over",IF(Q1836&lt;J1836,"Under","Push"))</f>
        <v>Over</v>
      </c>
    </row>
    <row r="1837" customFormat="false" ht="15" hidden="false" customHeight="false" outlineLevel="0" collapsed="false">
      <c r="A1837" s="1" t="s">
        <v>569</v>
      </c>
      <c r="B1837" s="1" t="n">
        <v>2016</v>
      </c>
      <c r="C1837" s="1" t="s">
        <v>227</v>
      </c>
      <c r="D1837" s="1" t="s">
        <v>93</v>
      </c>
      <c r="E1837" s="1" t="s">
        <v>99</v>
      </c>
      <c r="F1837" s="1" t="n">
        <v>41</v>
      </c>
      <c r="G1837" s="1" t="n">
        <v>3</v>
      </c>
      <c r="H1837" s="1" t="s">
        <v>94</v>
      </c>
      <c r="I1837" s="1" t="n">
        <v>-17</v>
      </c>
      <c r="J1837" s="1" t="n">
        <v>45</v>
      </c>
      <c r="K1837" s="1" t="s">
        <v>148</v>
      </c>
      <c r="L1837" s="1" t="b">
        <f aca="false">FALSE()</f>
        <v>0</v>
      </c>
      <c r="M1837" s="1" t="str">
        <f aca="false">VLOOKUP(D1837,'Team Reference'!$A:$B,2,FALSE())</f>
        <v>NE</v>
      </c>
      <c r="N1837" s="1" t="str">
        <f aca="false">VLOOKUP(E1837,'Team Reference'!$A:$B,2,FALSE())</f>
        <v>NYJ</v>
      </c>
      <c r="O1837" s="1" t="str">
        <f aca="false">IF(F1837&gt;G1837,M1837,IF(G1837&gt;F1837,N1837,"Tie"))</f>
        <v>NE</v>
      </c>
      <c r="P1837" s="1" t="n">
        <f aca="false">F1837-G1837</f>
        <v>38</v>
      </c>
      <c r="Q1837" s="1" t="n">
        <f aca="false">F1837+G1837</f>
        <v>44</v>
      </c>
      <c r="R1837" s="1" t="str">
        <f aca="false">IF(H1837=M1837,"Home",IF(H1837=N1837,"Away",IF(H1837="PICK","Pick","N/A")))</f>
        <v>Home</v>
      </c>
      <c r="S1837" s="1" t="n">
        <f aca="false">IF(R1837="Home",P1837,IF(R1837="Away",-P1837,""))</f>
        <v>38</v>
      </c>
      <c r="T1837" s="1" t="str">
        <f aca="false">IF(R1837="Pick","No Line",IF(S1837="","N/A",IF(S1837+I1837&gt;0,"Favorite Covered",IF(S1837+I1837&lt;0,"Underdog Covered","Push"))))</f>
        <v>Favorite Covered</v>
      </c>
      <c r="U1837" s="1" t="str">
        <f aca="false">IF(Q1837&gt;J1837,"Over",IF(Q1837&lt;J1837,"Under","Push"))</f>
        <v>Under</v>
      </c>
    </row>
    <row r="1838" customFormat="false" ht="15" hidden="false" customHeight="false" outlineLevel="0" collapsed="false">
      <c r="A1838" s="1" t="s">
        <v>569</v>
      </c>
      <c r="B1838" s="1" t="n">
        <v>2016</v>
      </c>
      <c r="C1838" s="1" t="s">
        <v>227</v>
      </c>
      <c r="D1838" s="1" t="s">
        <v>95</v>
      </c>
      <c r="E1838" s="1" t="s">
        <v>113</v>
      </c>
      <c r="F1838" s="1" t="n">
        <v>31</v>
      </c>
      <c r="G1838" s="1" t="n">
        <v>24</v>
      </c>
      <c r="H1838" s="1" t="s">
        <v>96</v>
      </c>
      <c r="I1838" s="1" t="n">
        <v>-3</v>
      </c>
      <c r="J1838" s="1" t="n">
        <v>53</v>
      </c>
      <c r="K1838" s="1" t="s">
        <v>142</v>
      </c>
      <c r="L1838" s="1" t="b">
        <f aca="false">FALSE()</f>
        <v>0</v>
      </c>
      <c r="M1838" s="1" t="str">
        <f aca="false">VLOOKUP(D1838,'Team Reference'!$A:$B,2,FALSE())</f>
        <v>NO</v>
      </c>
      <c r="N1838" s="1" t="str">
        <f aca="false">VLOOKUP(E1838,'Team Reference'!$A:$B,2,FALSE())</f>
        <v>TB</v>
      </c>
      <c r="O1838" s="1" t="str">
        <f aca="false">IF(F1838&gt;G1838,M1838,IF(G1838&gt;F1838,N1838,"Tie"))</f>
        <v>NO</v>
      </c>
      <c r="P1838" s="1" t="n">
        <f aca="false">F1838-G1838</f>
        <v>7</v>
      </c>
      <c r="Q1838" s="1" t="n">
        <f aca="false">F1838+G1838</f>
        <v>55</v>
      </c>
      <c r="R1838" s="1" t="str">
        <f aca="false">IF(H1838=M1838,"Home",IF(H1838=N1838,"Away",IF(H1838="PICK","Pick","N/A")))</f>
        <v>Home</v>
      </c>
      <c r="S1838" s="1" t="n">
        <f aca="false">IF(R1838="Home",P1838,IF(R1838="Away",-P1838,""))</f>
        <v>7</v>
      </c>
      <c r="T1838" s="1" t="str">
        <f aca="false">IF(R1838="Pick","No Line",IF(S1838="","N/A",IF(S1838+I1838&gt;0,"Favorite Covered",IF(S1838+I1838&lt;0,"Underdog Covered","Push"))))</f>
        <v>Favorite Covered</v>
      </c>
      <c r="U1838" s="1" t="str">
        <f aca="false">IF(Q1838&gt;J1838,"Over",IF(Q1838&lt;J1838,"Under","Push"))</f>
        <v>Over</v>
      </c>
    </row>
    <row r="1839" customFormat="false" ht="15" hidden="false" customHeight="false" outlineLevel="0" collapsed="false">
      <c r="A1839" s="1" t="s">
        <v>569</v>
      </c>
      <c r="B1839" s="1" t="n">
        <v>2016</v>
      </c>
      <c r="C1839" s="1" t="s">
        <v>227</v>
      </c>
      <c r="D1839" s="1" t="s">
        <v>101</v>
      </c>
      <c r="E1839" s="1" t="s">
        <v>79</v>
      </c>
      <c r="F1839" s="1" t="n">
        <v>33</v>
      </c>
      <c r="G1839" s="1" t="n">
        <v>25</v>
      </c>
      <c r="H1839" s="1" t="s">
        <v>102</v>
      </c>
      <c r="I1839" s="1" t="n">
        <v>-3.5</v>
      </c>
      <c r="J1839" s="1" t="n">
        <v>52</v>
      </c>
      <c r="K1839" s="1" t="s">
        <v>171</v>
      </c>
      <c r="L1839" s="1" t="b">
        <f aca="false">FALSE()</f>
        <v>0</v>
      </c>
      <c r="M1839" s="1" t="str">
        <f aca="false">VLOOKUP(D1839,'Team Reference'!$A:$B,2,FALSE())</f>
        <v>OAK</v>
      </c>
      <c r="N1839" s="1" t="str">
        <f aca="false">VLOOKUP(E1839,'Team Reference'!$A:$B,2,FALSE())</f>
        <v>IND</v>
      </c>
      <c r="O1839" s="1" t="str">
        <f aca="false">IF(F1839&gt;G1839,M1839,IF(G1839&gt;F1839,N1839,"Tie"))</f>
        <v>OAK</v>
      </c>
      <c r="P1839" s="1" t="n">
        <f aca="false">F1839-G1839</f>
        <v>8</v>
      </c>
      <c r="Q1839" s="1" t="n">
        <f aca="false">F1839+G1839</f>
        <v>58</v>
      </c>
      <c r="R1839" s="1" t="str">
        <f aca="false">IF(H1839=M1839,"Home",IF(H1839=N1839,"Away",IF(H1839="PICK","Pick","N/A")))</f>
        <v>Home</v>
      </c>
      <c r="S1839" s="1" t="n">
        <f aca="false">IF(R1839="Home",P1839,IF(R1839="Away",-P1839,""))</f>
        <v>8</v>
      </c>
      <c r="T1839" s="1" t="str">
        <f aca="false">IF(R1839="Pick","No Line",IF(S1839="","N/A",IF(S1839+I1839&gt;0,"Favorite Covered",IF(S1839+I1839&lt;0,"Underdog Covered","Push"))))</f>
        <v>Favorite Covered</v>
      </c>
      <c r="U1839" s="1" t="str">
        <f aca="false">IF(Q1839&gt;J1839,"Over",IF(Q1839&lt;J1839,"Under","Push"))</f>
        <v>Over</v>
      </c>
    </row>
    <row r="1840" customFormat="false" ht="15" hidden="false" customHeight="false" outlineLevel="0" collapsed="false">
      <c r="A1840" s="1" t="s">
        <v>569</v>
      </c>
      <c r="B1840" s="1" t="n">
        <v>2016</v>
      </c>
      <c r="C1840" s="1" t="s">
        <v>227</v>
      </c>
      <c r="D1840" s="1" t="s">
        <v>110</v>
      </c>
      <c r="E1840" s="1" t="s">
        <v>53</v>
      </c>
      <c r="F1840" s="1" t="n">
        <v>31</v>
      </c>
      <c r="G1840" s="1" t="n">
        <v>34</v>
      </c>
      <c r="H1840" s="1" t="s">
        <v>111</v>
      </c>
      <c r="I1840" s="1" t="n">
        <v>-9</v>
      </c>
      <c r="J1840" s="1" t="n">
        <v>43.5</v>
      </c>
      <c r="K1840" s="1" t="s">
        <v>152</v>
      </c>
      <c r="L1840" s="1" t="b">
        <f aca="false">FALSE()</f>
        <v>0</v>
      </c>
      <c r="M1840" s="1" t="str">
        <f aca="false">VLOOKUP(D1840,'Team Reference'!$A:$B,2,FALSE())</f>
        <v>SEA</v>
      </c>
      <c r="N1840" s="1" t="str">
        <f aca="false">VLOOKUP(E1840,'Team Reference'!$A:$B,2,FALSE())</f>
        <v>ARI</v>
      </c>
      <c r="O1840" s="1" t="str">
        <f aca="false">IF(F1840&gt;G1840,M1840,IF(G1840&gt;F1840,N1840,"Tie"))</f>
        <v>ARI</v>
      </c>
      <c r="P1840" s="1" t="n">
        <f aca="false">F1840-G1840</f>
        <v>-3</v>
      </c>
      <c r="Q1840" s="1" t="n">
        <f aca="false">F1840+G1840</f>
        <v>65</v>
      </c>
      <c r="R1840" s="1" t="str">
        <f aca="false">IF(H1840=M1840,"Home",IF(H1840=N1840,"Away",IF(H1840="PICK","Pick","N/A")))</f>
        <v>Home</v>
      </c>
      <c r="S1840" s="1" t="n">
        <f aca="false">IF(R1840="Home",P1840,IF(R1840="Away",-P1840,""))</f>
        <v>-3</v>
      </c>
      <c r="T1840" s="1" t="str">
        <f aca="false">IF(R1840="Pick","No Line",IF(S1840="","N/A",IF(S1840+I1840&gt;0,"Favorite Covered",IF(S1840+I1840&lt;0,"Underdog Covered","Push"))))</f>
        <v>Underdog Covered</v>
      </c>
      <c r="U1840" s="1" t="str">
        <f aca="false">IF(Q1840&gt;J1840,"Over",IF(Q1840&lt;J1840,"Under","Push"))</f>
        <v>Over</v>
      </c>
    </row>
    <row r="1841" customFormat="false" ht="15" hidden="false" customHeight="false" outlineLevel="0" collapsed="false">
      <c r="A1841" s="1" t="s">
        <v>570</v>
      </c>
      <c r="B1841" s="1" t="n">
        <v>2016</v>
      </c>
      <c r="C1841" s="1" t="s">
        <v>227</v>
      </c>
      <c r="D1841" s="1" t="s">
        <v>83</v>
      </c>
      <c r="E1841" s="1" t="s">
        <v>71</v>
      </c>
      <c r="F1841" s="1" t="n">
        <v>33</v>
      </c>
      <c r="G1841" s="1" t="n">
        <v>10</v>
      </c>
      <c r="H1841" s="1" t="s">
        <v>84</v>
      </c>
      <c r="I1841" s="1" t="n">
        <v>-3.5</v>
      </c>
      <c r="J1841" s="1" t="n">
        <v>38</v>
      </c>
      <c r="K1841" s="1" t="s">
        <v>158</v>
      </c>
      <c r="L1841" s="1" t="b">
        <f aca="false">FALSE()</f>
        <v>0</v>
      </c>
      <c r="M1841" s="1" t="str">
        <f aca="false">VLOOKUP(D1841,'Team Reference'!$A:$B,2,FALSE())</f>
        <v>KC</v>
      </c>
      <c r="N1841" s="1" t="str">
        <f aca="false">VLOOKUP(E1841,'Team Reference'!$A:$B,2,FALSE())</f>
        <v>DEN</v>
      </c>
      <c r="O1841" s="1" t="str">
        <f aca="false">IF(F1841&gt;G1841,M1841,IF(G1841&gt;F1841,N1841,"Tie"))</f>
        <v>KC</v>
      </c>
      <c r="P1841" s="1" t="n">
        <f aca="false">F1841-G1841</f>
        <v>23</v>
      </c>
      <c r="Q1841" s="1" t="n">
        <f aca="false">F1841+G1841</f>
        <v>43</v>
      </c>
      <c r="R1841" s="1" t="str">
        <f aca="false">IF(H1841=M1841,"Home",IF(H1841=N1841,"Away",IF(H1841="PICK","Pick","N/A")))</f>
        <v>Home</v>
      </c>
      <c r="S1841" s="1" t="n">
        <f aca="false">IF(R1841="Home",P1841,IF(R1841="Away",-P1841,""))</f>
        <v>23</v>
      </c>
      <c r="T1841" s="1" t="str">
        <f aca="false">IF(R1841="Pick","No Line",IF(S1841="","N/A",IF(S1841+I1841&gt;0,"Favorite Covered",IF(S1841+I1841&lt;0,"Underdog Covered","Push"))))</f>
        <v>Favorite Covered</v>
      </c>
      <c r="U1841" s="1" t="str">
        <f aca="false">IF(Q1841&gt;J1841,"Over",IF(Q1841&lt;J1841,"Under","Push"))</f>
        <v>Over</v>
      </c>
    </row>
    <row r="1842" customFormat="false" ht="15" hidden="false" customHeight="false" outlineLevel="0" collapsed="false">
      <c r="A1842" s="1" t="s">
        <v>570</v>
      </c>
      <c r="B1842" s="1" t="n">
        <v>2016</v>
      </c>
      <c r="C1842" s="1" t="s">
        <v>227</v>
      </c>
      <c r="D1842" s="1" t="s">
        <v>105</v>
      </c>
      <c r="E1842" s="1" t="s">
        <v>57</v>
      </c>
      <c r="F1842" s="1" t="n">
        <v>31</v>
      </c>
      <c r="G1842" s="1" t="n">
        <v>27</v>
      </c>
      <c r="H1842" s="1" t="s">
        <v>106</v>
      </c>
      <c r="I1842" s="1" t="n">
        <v>-5.5</v>
      </c>
      <c r="J1842" s="1" t="n">
        <v>46.5</v>
      </c>
      <c r="K1842" s="1" t="s">
        <v>151</v>
      </c>
      <c r="L1842" s="1" t="b">
        <f aca="false">FALSE()</f>
        <v>0</v>
      </c>
      <c r="M1842" s="1" t="str">
        <f aca="false">VLOOKUP(D1842,'Team Reference'!$A:$B,2,FALSE())</f>
        <v>PIT</v>
      </c>
      <c r="N1842" s="1" t="str">
        <f aca="false">VLOOKUP(E1842,'Team Reference'!$A:$B,2,FALSE())</f>
        <v>BAL</v>
      </c>
      <c r="O1842" s="1" t="str">
        <f aca="false">IF(F1842&gt;G1842,M1842,IF(G1842&gt;F1842,N1842,"Tie"))</f>
        <v>PIT</v>
      </c>
      <c r="P1842" s="1" t="n">
        <f aca="false">F1842-G1842</f>
        <v>4</v>
      </c>
      <c r="Q1842" s="1" t="n">
        <f aca="false">F1842+G1842</f>
        <v>58</v>
      </c>
      <c r="R1842" s="1" t="str">
        <f aca="false">IF(H1842=M1842,"Home",IF(H1842=N1842,"Away",IF(H1842="PICK","Pick","N/A")))</f>
        <v>Home</v>
      </c>
      <c r="S1842" s="1" t="n">
        <f aca="false">IF(R1842="Home",P1842,IF(R1842="Away",-P1842,""))</f>
        <v>4</v>
      </c>
      <c r="T1842" s="1" t="str">
        <f aca="false">IF(R1842="Pick","No Line",IF(S1842="","N/A",IF(S1842+I1842&gt;0,"Favorite Covered",IF(S1842+I1842&lt;0,"Underdog Covered","Push"))))</f>
        <v>Underdog Covered</v>
      </c>
      <c r="U1842" s="1" t="str">
        <f aca="false">IF(Q1842&gt;J1842,"Over",IF(Q1842&lt;J1842,"Under","Push"))</f>
        <v>Over</v>
      </c>
    </row>
    <row r="1843" customFormat="false" ht="15" hidden="false" customHeight="false" outlineLevel="0" collapsed="false">
      <c r="A1843" s="1" t="s">
        <v>571</v>
      </c>
      <c r="B1843" s="1" t="n">
        <v>2016</v>
      </c>
      <c r="C1843" s="1" t="s">
        <v>227</v>
      </c>
      <c r="D1843" s="1" t="s">
        <v>69</v>
      </c>
      <c r="E1843" s="1" t="s">
        <v>73</v>
      </c>
      <c r="F1843" s="1" t="n">
        <v>42</v>
      </c>
      <c r="G1843" s="1" t="n">
        <v>21</v>
      </c>
      <c r="H1843" s="1" t="s">
        <v>70</v>
      </c>
      <c r="I1843" s="1" t="n">
        <v>-6.5</v>
      </c>
      <c r="J1843" s="1" t="n">
        <v>46.5</v>
      </c>
      <c r="K1843" s="1" t="s">
        <v>165</v>
      </c>
      <c r="L1843" s="1" t="b">
        <f aca="false">FALSE()</f>
        <v>0</v>
      </c>
      <c r="M1843" s="1" t="str">
        <f aca="false">VLOOKUP(D1843,'Team Reference'!$A:$B,2,FALSE())</f>
        <v>DAL</v>
      </c>
      <c r="N1843" s="1" t="str">
        <f aca="false">VLOOKUP(E1843,'Team Reference'!$A:$B,2,FALSE())</f>
        <v>DET</v>
      </c>
      <c r="O1843" s="1" t="str">
        <f aca="false">IF(F1843&gt;G1843,M1843,IF(G1843&gt;F1843,N1843,"Tie"))</f>
        <v>DAL</v>
      </c>
      <c r="P1843" s="1" t="n">
        <f aca="false">F1843-G1843</f>
        <v>21</v>
      </c>
      <c r="Q1843" s="1" t="n">
        <f aca="false">F1843+G1843</f>
        <v>63</v>
      </c>
      <c r="R1843" s="1" t="str">
        <f aca="false">IF(H1843=M1843,"Home",IF(H1843=N1843,"Away",IF(H1843="PICK","Pick","N/A")))</f>
        <v>Home</v>
      </c>
      <c r="S1843" s="1" t="n">
        <f aca="false">IF(R1843="Home",P1843,IF(R1843="Away",-P1843,""))</f>
        <v>21</v>
      </c>
      <c r="T1843" s="1" t="str">
        <f aca="false">IF(R1843="Pick","No Line",IF(S1843="","N/A",IF(S1843+I1843&gt;0,"Favorite Covered",IF(S1843+I1843&lt;0,"Underdog Covered","Push"))))</f>
        <v>Favorite Covered</v>
      </c>
      <c r="U1843" s="1" t="str">
        <f aca="false">IF(Q1843&gt;J1843,"Over",IF(Q1843&lt;J1843,"Under","Push"))</f>
        <v>Over</v>
      </c>
    </row>
    <row r="1844" customFormat="false" ht="15" hidden="false" customHeight="false" outlineLevel="0" collapsed="false">
      <c r="A1844" s="1" t="s">
        <v>572</v>
      </c>
      <c r="B1844" s="1" t="n">
        <v>2016</v>
      </c>
      <c r="C1844" s="1" t="s">
        <v>233</v>
      </c>
      <c r="D1844" s="1" t="s">
        <v>55</v>
      </c>
      <c r="E1844" s="1" t="s">
        <v>95</v>
      </c>
      <c r="F1844" s="1" t="n">
        <v>38</v>
      </c>
      <c r="G1844" s="1" t="n">
        <v>32</v>
      </c>
      <c r="H1844" s="1" t="s">
        <v>56</v>
      </c>
      <c r="I1844" s="1" t="n">
        <v>-7.5</v>
      </c>
      <c r="J1844" s="1" t="n">
        <v>58.5</v>
      </c>
      <c r="K1844" s="1" t="s">
        <v>161</v>
      </c>
      <c r="L1844" s="1" t="b">
        <f aca="false">FALSE()</f>
        <v>0</v>
      </c>
      <c r="M1844" s="1" t="str">
        <f aca="false">VLOOKUP(D1844,'Team Reference'!$A:$B,2,FALSE())</f>
        <v>ATL</v>
      </c>
      <c r="N1844" s="1" t="str">
        <f aca="false">VLOOKUP(E1844,'Team Reference'!$A:$B,2,FALSE())</f>
        <v>NO</v>
      </c>
      <c r="O1844" s="1" t="str">
        <f aca="false">IF(F1844&gt;G1844,M1844,IF(G1844&gt;F1844,N1844,"Tie"))</f>
        <v>ATL</v>
      </c>
      <c r="P1844" s="1" t="n">
        <f aca="false">F1844-G1844</f>
        <v>6</v>
      </c>
      <c r="Q1844" s="1" t="n">
        <f aca="false">F1844+G1844</f>
        <v>70</v>
      </c>
      <c r="R1844" s="1" t="str">
        <f aca="false">IF(H1844=M1844,"Home",IF(H1844=N1844,"Away",IF(H1844="PICK","Pick","N/A")))</f>
        <v>Home</v>
      </c>
      <c r="S1844" s="1" t="n">
        <f aca="false">IF(R1844="Home",P1844,IF(R1844="Away",-P1844,""))</f>
        <v>6</v>
      </c>
      <c r="T1844" s="1" t="str">
        <f aca="false">IF(R1844="Pick","No Line",IF(S1844="","N/A",IF(S1844+I1844&gt;0,"Favorite Covered",IF(S1844+I1844&lt;0,"Underdog Covered","Push"))))</f>
        <v>Underdog Covered</v>
      </c>
      <c r="U1844" s="1" t="str">
        <f aca="false">IF(Q1844&gt;J1844,"Over",IF(Q1844&lt;J1844,"Under","Push"))</f>
        <v>Over</v>
      </c>
    </row>
    <row r="1845" customFormat="false" ht="15" hidden="false" customHeight="false" outlineLevel="0" collapsed="false">
      <c r="A1845" s="1" t="s">
        <v>572</v>
      </c>
      <c r="B1845" s="1" t="n">
        <v>2016</v>
      </c>
      <c r="C1845" s="1" t="s">
        <v>233</v>
      </c>
      <c r="D1845" s="1" t="s">
        <v>65</v>
      </c>
      <c r="E1845" s="1" t="s">
        <v>57</v>
      </c>
      <c r="F1845" s="1" t="n">
        <v>27</v>
      </c>
      <c r="G1845" s="1" t="n">
        <v>10</v>
      </c>
      <c r="H1845" s="1" t="s">
        <v>58</v>
      </c>
      <c r="I1845" s="1" t="n">
        <v>-2.5</v>
      </c>
      <c r="J1845" s="1" t="n">
        <v>40.5</v>
      </c>
      <c r="K1845" s="1" t="s">
        <v>163</v>
      </c>
      <c r="L1845" s="1" t="b">
        <f aca="false">FALSE()</f>
        <v>0</v>
      </c>
      <c r="M1845" s="1" t="str">
        <f aca="false">VLOOKUP(D1845,'Team Reference'!$A:$B,2,FALSE())</f>
        <v>CIN</v>
      </c>
      <c r="N1845" s="1" t="str">
        <f aca="false">VLOOKUP(E1845,'Team Reference'!$A:$B,2,FALSE())</f>
        <v>BAL</v>
      </c>
      <c r="O1845" s="1" t="str">
        <f aca="false">IF(F1845&gt;G1845,M1845,IF(G1845&gt;F1845,N1845,"Tie"))</f>
        <v>CIN</v>
      </c>
      <c r="P1845" s="1" t="n">
        <f aca="false">F1845-G1845</f>
        <v>17</v>
      </c>
      <c r="Q1845" s="1" t="n">
        <f aca="false">F1845+G1845</f>
        <v>37</v>
      </c>
      <c r="R1845" s="1" t="str">
        <f aca="false">IF(H1845=M1845,"Home",IF(H1845=N1845,"Away",IF(H1845="PICK","Pick","N/A")))</f>
        <v>Away</v>
      </c>
      <c r="S1845" s="1" t="n">
        <f aca="false">IF(R1845="Home",P1845,IF(R1845="Away",-P1845,""))</f>
        <v>-17</v>
      </c>
      <c r="T1845" s="1" t="str">
        <f aca="false">IF(R1845="Pick","No Line",IF(S1845="","N/A",IF(S1845+I1845&gt;0,"Favorite Covered",IF(S1845+I1845&lt;0,"Underdog Covered","Push"))))</f>
        <v>Underdog Covered</v>
      </c>
      <c r="U1845" s="1" t="str">
        <f aca="false">IF(Q1845&gt;J1845,"Over",IF(Q1845&lt;J1845,"Under","Push"))</f>
        <v>Under</v>
      </c>
    </row>
    <row r="1846" customFormat="false" ht="15" hidden="false" customHeight="false" outlineLevel="0" collapsed="false">
      <c r="A1846" s="1" t="s">
        <v>572</v>
      </c>
      <c r="B1846" s="1" t="n">
        <v>2016</v>
      </c>
      <c r="C1846" s="1" t="s">
        <v>233</v>
      </c>
      <c r="D1846" s="1" t="s">
        <v>71</v>
      </c>
      <c r="E1846" s="1" t="s">
        <v>101</v>
      </c>
      <c r="F1846" s="1" t="n">
        <v>24</v>
      </c>
      <c r="G1846" s="1" t="n">
        <v>6</v>
      </c>
      <c r="H1846" s="1" t="s">
        <v>72</v>
      </c>
      <c r="I1846" s="1" t="n">
        <v>-1</v>
      </c>
      <c r="J1846" s="1" t="n">
        <v>40</v>
      </c>
      <c r="K1846" s="1" t="s">
        <v>166</v>
      </c>
      <c r="L1846" s="1" t="b">
        <f aca="false">FALSE()</f>
        <v>0</v>
      </c>
      <c r="M1846" s="1" t="str">
        <f aca="false">VLOOKUP(D1846,'Team Reference'!$A:$B,2,FALSE())</f>
        <v>DEN</v>
      </c>
      <c r="N1846" s="1" t="str">
        <f aca="false">VLOOKUP(E1846,'Team Reference'!$A:$B,2,FALSE())</f>
        <v>OAK</v>
      </c>
      <c r="O1846" s="1" t="str">
        <f aca="false">IF(F1846&gt;G1846,M1846,IF(G1846&gt;F1846,N1846,"Tie"))</f>
        <v>DEN</v>
      </c>
      <c r="P1846" s="1" t="n">
        <f aca="false">F1846-G1846</f>
        <v>18</v>
      </c>
      <c r="Q1846" s="1" t="n">
        <f aca="false">F1846+G1846</f>
        <v>30</v>
      </c>
      <c r="R1846" s="1" t="str">
        <f aca="false">IF(H1846=M1846,"Home",IF(H1846=N1846,"Away",IF(H1846="PICK","Pick","N/A")))</f>
        <v>Home</v>
      </c>
      <c r="S1846" s="1" t="n">
        <f aca="false">IF(R1846="Home",P1846,IF(R1846="Away",-P1846,""))</f>
        <v>18</v>
      </c>
      <c r="T1846" s="1" t="str">
        <f aca="false">IF(R1846="Pick","No Line",IF(S1846="","N/A",IF(S1846+I1846&gt;0,"Favorite Covered",IF(S1846+I1846&lt;0,"Underdog Covered","Push"))))</f>
        <v>Favorite Covered</v>
      </c>
      <c r="U1846" s="1" t="str">
        <f aca="false">IF(Q1846&gt;J1846,"Over",IF(Q1846&lt;J1846,"Under","Push"))</f>
        <v>Under</v>
      </c>
    </row>
    <row r="1847" customFormat="false" ht="15" hidden="false" customHeight="false" outlineLevel="0" collapsed="false">
      <c r="A1847" s="1" t="s">
        <v>572</v>
      </c>
      <c r="B1847" s="1" t="n">
        <v>2016</v>
      </c>
      <c r="C1847" s="1" t="s">
        <v>233</v>
      </c>
      <c r="D1847" s="1" t="s">
        <v>73</v>
      </c>
      <c r="E1847" s="1" t="s">
        <v>75</v>
      </c>
      <c r="F1847" s="1" t="n">
        <v>24</v>
      </c>
      <c r="G1847" s="1" t="n">
        <v>31</v>
      </c>
      <c r="H1847" s="1" t="s">
        <v>76</v>
      </c>
      <c r="I1847" s="1" t="n">
        <v>-3.5</v>
      </c>
      <c r="J1847" s="1" t="n">
        <v>50</v>
      </c>
      <c r="K1847" s="1" t="s">
        <v>167</v>
      </c>
      <c r="L1847" s="1" t="b">
        <f aca="false">FALSE()</f>
        <v>0</v>
      </c>
      <c r="M1847" s="1" t="str">
        <f aca="false">VLOOKUP(D1847,'Team Reference'!$A:$B,2,FALSE())</f>
        <v>DET</v>
      </c>
      <c r="N1847" s="1" t="str">
        <f aca="false">VLOOKUP(E1847,'Team Reference'!$A:$B,2,FALSE())</f>
        <v>GB</v>
      </c>
      <c r="O1847" s="1" t="str">
        <f aca="false">IF(F1847&gt;G1847,M1847,IF(G1847&gt;F1847,N1847,"Tie"))</f>
        <v>GB</v>
      </c>
      <c r="P1847" s="1" t="n">
        <f aca="false">F1847-G1847</f>
        <v>-7</v>
      </c>
      <c r="Q1847" s="1" t="n">
        <f aca="false">F1847+G1847</f>
        <v>55</v>
      </c>
      <c r="R1847" s="1" t="str">
        <f aca="false">IF(H1847=M1847,"Home",IF(H1847=N1847,"Away",IF(H1847="PICK","Pick","N/A")))</f>
        <v>Away</v>
      </c>
      <c r="S1847" s="1" t="n">
        <f aca="false">IF(R1847="Home",P1847,IF(R1847="Away",-P1847,""))</f>
        <v>7</v>
      </c>
      <c r="T1847" s="1" t="str">
        <f aca="false">IF(R1847="Pick","No Line",IF(S1847="","N/A",IF(S1847+I1847&gt;0,"Favorite Covered",IF(S1847+I1847&lt;0,"Underdog Covered","Push"))))</f>
        <v>Favorite Covered</v>
      </c>
      <c r="U1847" s="1" t="str">
        <f aca="false">IF(Q1847&gt;J1847,"Over",IF(Q1847&lt;J1847,"Under","Push"))</f>
        <v>Over</v>
      </c>
    </row>
    <row r="1848" customFormat="false" ht="15" hidden="false" customHeight="false" outlineLevel="0" collapsed="false">
      <c r="A1848" s="1" t="s">
        <v>572</v>
      </c>
      <c r="B1848" s="1" t="n">
        <v>2016</v>
      </c>
      <c r="C1848" s="1" t="s">
        <v>233</v>
      </c>
      <c r="D1848" s="1" t="s">
        <v>79</v>
      </c>
      <c r="E1848" s="1" t="s">
        <v>81</v>
      </c>
      <c r="F1848" s="1" t="n">
        <v>24</v>
      </c>
      <c r="G1848" s="1" t="n">
        <v>20</v>
      </c>
      <c r="H1848" s="1" t="s">
        <v>80</v>
      </c>
      <c r="I1848" s="1" t="n">
        <v>-5.5</v>
      </c>
      <c r="J1848" s="1" t="n">
        <v>48.5</v>
      </c>
      <c r="K1848" s="1" t="s">
        <v>169</v>
      </c>
      <c r="L1848" s="1" t="b">
        <f aca="false">FALSE()</f>
        <v>0</v>
      </c>
      <c r="M1848" s="1" t="str">
        <f aca="false">VLOOKUP(D1848,'Team Reference'!$A:$B,2,FALSE())</f>
        <v>IND</v>
      </c>
      <c r="N1848" s="1" t="str">
        <f aca="false">VLOOKUP(E1848,'Team Reference'!$A:$B,2,FALSE())</f>
        <v>JAX</v>
      </c>
      <c r="O1848" s="1" t="str">
        <f aca="false">IF(F1848&gt;G1848,M1848,IF(G1848&gt;F1848,N1848,"Tie"))</f>
        <v>IND</v>
      </c>
      <c r="P1848" s="1" t="n">
        <f aca="false">F1848-G1848</f>
        <v>4</v>
      </c>
      <c r="Q1848" s="1" t="n">
        <f aca="false">F1848+G1848</f>
        <v>44</v>
      </c>
      <c r="R1848" s="1" t="str">
        <f aca="false">IF(H1848=M1848,"Home",IF(H1848=N1848,"Away",IF(H1848="PICK","Pick","N/A")))</f>
        <v>Home</v>
      </c>
      <c r="S1848" s="1" t="n">
        <f aca="false">IF(R1848="Home",P1848,IF(R1848="Away",-P1848,""))</f>
        <v>4</v>
      </c>
      <c r="T1848" s="1" t="str">
        <f aca="false">IF(R1848="Pick","No Line",IF(S1848="","N/A",IF(S1848+I1848&gt;0,"Favorite Covered",IF(S1848+I1848&lt;0,"Underdog Covered","Push"))))</f>
        <v>Underdog Covered</v>
      </c>
      <c r="U1848" s="1" t="str">
        <f aca="false">IF(Q1848&gt;J1848,"Over",IF(Q1848&lt;J1848,"Under","Push"))</f>
        <v>Under</v>
      </c>
    </row>
    <row r="1849" customFormat="false" ht="15" hidden="false" customHeight="false" outlineLevel="0" collapsed="false">
      <c r="A1849" s="1" t="s">
        <v>572</v>
      </c>
      <c r="B1849" s="1" t="n">
        <v>2016</v>
      </c>
      <c r="C1849" s="1" t="s">
        <v>233</v>
      </c>
      <c r="D1849" s="1" t="s">
        <v>87</v>
      </c>
      <c r="E1849" s="1" t="s">
        <v>53</v>
      </c>
      <c r="F1849" s="1" t="n">
        <v>6</v>
      </c>
      <c r="G1849" s="1" t="n">
        <v>44</v>
      </c>
      <c r="H1849" s="1" t="s">
        <v>54</v>
      </c>
      <c r="I1849" s="1" t="n">
        <v>-7</v>
      </c>
      <c r="J1849" s="1" t="n">
        <v>39</v>
      </c>
      <c r="K1849" s="1" t="s">
        <v>520</v>
      </c>
      <c r="L1849" s="1" t="b">
        <f aca="false">FALSE()</f>
        <v>0</v>
      </c>
      <c r="M1849" s="1" t="str">
        <f aca="false">VLOOKUP(D1849,'Team Reference'!$A:$B,2,FALSE())</f>
        <v>LAR</v>
      </c>
      <c r="N1849" s="1" t="str">
        <f aca="false">VLOOKUP(E1849,'Team Reference'!$A:$B,2,FALSE())</f>
        <v>ARI</v>
      </c>
      <c r="O1849" s="1" t="str">
        <f aca="false">IF(F1849&gt;G1849,M1849,IF(G1849&gt;F1849,N1849,"Tie"))</f>
        <v>ARI</v>
      </c>
      <c r="P1849" s="1" t="n">
        <f aca="false">F1849-G1849</f>
        <v>-38</v>
      </c>
      <c r="Q1849" s="1" t="n">
        <f aca="false">F1849+G1849</f>
        <v>50</v>
      </c>
      <c r="R1849" s="1" t="str">
        <f aca="false">IF(H1849=M1849,"Home",IF(H1849=N1849,"Away",IF(H1849="PICK","Pick","N/A")))</f>
        <v>Away</v>
      </c>
      <c r="S1849" s="1" t="n">
        <f aca="false">IF(R1849="Home",P1849,IF(R1849="Away",-P1849,""))</f>
        <v>38</v>
      </c>
      <c r="T1849" s="1" t="str">
        <f aca="false">IF(R1849="Pick","No Line",IF(S1849="","N/A",IF(S1849+I1849&gt;0,"Favorite Covered",IF(S1849+I1849&lt;0,"Underdog Covered","Push"))))</f>
        <v>Favorite Covered</v>
      </c>
      <c r="U1849" s="1" t="str">
        <f aca="false">IF(Q1849&gt;J1849,"Over",IF(Q1849&lt;J1849,"Under","Push"))</f>
        <v>Over</v>
      </c>
    </row>
    <row r="1850" customFormat="false" ht="15" hidden="false" customHeight="false" outlineLevel="0" collapsed="false">
      <c r="A1850" s="1" t="s">
        <v>572</v>
      </c>
      <c r="B1850" s="1" t="n">
        <v>2016</v>
      </c>
      <c r="C1850" s="1" t="s">
        <v>233</v>
      </c>
      <c r="D1850" s="1" t="s">
        <v>89</v>
      </c>
      <c r="E1850" s="1" t="s">
        <v>93</v>
      </c>
      <c r="F1850" s="1" t="n">
        <v>14</v>
      </c>
      <c r="G1850" s="1" t="n">
        <v>35</v>
      </c>
      <c r="H1850" s="1" t="s">
        <v>94</v>
      </c>
      <c r="I1850" s="1" t="n">
        <v>-7.5</v>
      </c>
      <c r="J1850" s="1" t="n">
        <v>47</v>
      </c>
      <c r="K1850" s="1" t="s">
        <v>179</v>
      </c>
      <c r="L1850" s="1" t="b">
        <f aca="false">FALSE()</f>
        <v>0</v>
      </c>
      <c r="M1850" s="1" t="str">
        <f aca="false">VLOOKUP(D1850,'Team Reference'!$A:$B,2,FALSE())</f>
        <v>MIA</v>
      </c>
      <c r="N1850" s="1" t="str">
        <f aca="false">VLOOKUP(E1850,'Team Reference'!$A:$B,2,FALSE())</f>
        <v>NE</v>
      </c>
      <c r="O1850" s="1" t="str">
        <f aca="false">IF(F1850&gt;G1850,M1850,IF(G1850&gt;F1850,N1850,"Tie"))</f>
        <v>NE</v>
      </c>
      <c r="P1850" s="1" t="n">
        <f aca="false">F1850-G1850</f>
        <v>-21</v>
      </c>
      <c r="Q1850" s="1" t="n">
        <f aca="false">F1850+G1850</f>
        <v>49</v>
      </c>
      <c r="R1850" s="1" t="str">
        <f aca="false">IF(H1850=M1850,"Home",IF(H1850=N1850,"Away",IF(H1850="PICK","Pick","N/A")))</f>
        <v>Away</v>
      </c>
      <c r="S1850" s="1" t="n">
        <f aca="false">IF(R1850="Home",P1850,IF(R1850="Away",-P1850,""))</f>
        <v>21</v>
      </c>
      <c r="T1850" s="1" t="str">
        <f aca="false">IF(R1850="Pick","No Line",IF(S1850="","N/A",IF(S1850+I1850&gt;0,"Favorite Covered",IF(S1850+I1850&lt;0,"Underdog Covered","Push"))))</f>
        <v>Favorite Covered</v>
      </c>
      <c r="U1850" s="1" t="str">
        <f aca="false">IF(Q1850&gt;J1850,"Over",IF(Q1850&lt;J1850,"Under","Push"))</f>
        <v>Over</v>
      </c>
    </row>
    <row r="1851" customFormat="false" ht="15" hidden="false" customHeight="false" outlineLevel="0" collapsed="false">
      <c r="A1851" s="1" t="s">
        <v>572</v>
      </c>
      <c r="B1851" s="1" t="n">
        <v>2016</v>
      </c>
      <c r="C1851" s="1" t="s">
        <v>233</v>
      </c>
      <c r="D1851" s="1" t="s">
        <v>91</v>
      </c>
      <c r="E1851" s="1" t="s">
        <v>63</v>
      </c>
      <c r="F1851" s="1" t="n">
        <v>38</v>
      </c>
      <c r="G1851" s="1" t="n">
        <v>10</v>
      </c>
      <c r="H1851" s="1" t="s">
        <v>92</v>
      </c>
      <c r="I1851" s="1" t="n">
        <v>-6</v>
      </c>
      <c r="J1851" s="1" t="n">
        <v>44</v>
      </c>
      <c r="K1851" s="1" t="s">
        <v>525</v>
      </c>
      <c r="L1851" s="1" t="b">
        <f aca="false">FALSE()</f>
        <v>0</v>
      </c>
      <c r="M1851" s="1" t="str">
        <f aca="false">VLOOKUP(D1851,'Team Reference'!$A:$B,2,FALSE())</f>
        <v>MIN</v>
      </c>
      <c r="N1851" s="1" t="str">
        <f aca="false">VLOOKUP(E1851,'Team Reference'!$A:$B,2,FALSE())</f>
        <v>CHI</v>
      </c>
      <c r="O1851" s="1" t="str">
        <f aca="false">IF(F1851&gt;G1851,M1851,IF(G1851&gt;F1851,N1851,"Tie"))</f>
        <v>MIN</v>
      </c>
      <c r="P1851" s="1" t="n">
        <f aca="false">F1851-G1851</f>
        <v>28</v>
      </c>
      <c r="Q1851" s="1" t="n">
        <f aca="false">F1851+G1851</f>
        <v>48</v>
      </c>
      <c r="R1851" s="1" t="str">
        <f aca="false">IF(H1851=M1851,"Home",IF(H1851=N1851,"Away",IF(H1851="PICK","Pick","N/A")))</f>
        <v>Home</v>
      </c>
      <c r="S1851" s="1" t="n">
        <f aca="false">IF(R1851="Home",P1851,IF(R1851="Away",-P1851,""))</f>
        <v>28</v>
      </c>
      <c r="T1851" s="1" t="str">
        <f aca="false">IF(R1851="Pick","No Line",IF(S1851="","N/A",IF(S1851+I1851&gt;0,"Favorite Covered",IF(S1851+I1851&lt;0,"Underdog Covered","Push"))))</f>
        <v>Favorite Covered</v>
      </c>
      <c r="U1851" s="1" t="str">
        <f aca="false">IF(Q1851&gt;J1851,"Over",IF(Q1851&lt;J1851,"Under","Push"))</f>
        <v>Over</v>
      </c>
    </row>
    <row r="1852" customFormat="false" ht="15" hidden="false" customHeight="false" outlineLevel="0" collapsed="false">
      <c r="A1852" s="1" t="s">
        <v>572</v>
      </c>
      <c r="B1852" s="1" t="n">
        <v>2016</v>
      </c>
      <c r="C1852" s="1" t="s">
        <v>233</v>
      </c>
      <c r="D1852" s="1" t="s">
        <v>99</v>
      </c>
      <c r="E1852" s="1" t="s">
        <v>59</v>
      </c>
      <c r="F1852" s="1" t="n">
        <v>30</v>
      </c>
      <c r="G1852" s="1" t="n">
        <v>10</v>
      </c>
      <c r="H1852" s="1" t="s">
        <v>60</v>
      </c>
      <c r="I1852" s="1" t="n">
        <v>-3.5</v>
      </c>
      <c r="J1852" s="1" t="n">
        <v>43</v>
      </c>
      <c r="K1852" s="1" t="s">
        <v>149</v>
      </c>
      <c r="L1852" s="1" t="b">
        <f aca="false">FALSE()</f>
        <v>0</v>
      </c>
      <c r="M1852" s="1" t="str">
        <f aca="false">VLOOKUP(D1852,'Team Reference'!$A:$B,2,FALSE())</f>
        <v>NYJ</v>
      </c>
      <c r="N1852" s="1" t="str">
        <f aca="false">VLOOKUP(E1852,'Team Reference'!$A:$B,2,FALSE())</f>
        <v>BUF</v>
      </c>
      <c r="O1852" s="1" t="str">
        <f aca="false">IF(F1852&gt;G1852,M1852,IF(G1852&gt;F1852,N1852,"Tie"))</f>
        <v>NYJ</v>
      </c>
      <c r="P1852" s="1" t="n">
        <f aca="false">F1852-G1852</f>
        <v>20</v>
      </c>
      <c r="Q1852" s="1" t="n">
        <f aca="false">F1852+G1852</f>
        <v>40</v>
      </c>
      <c r="R1852" s="1" t="str">
        <f aca="false">IF(H1852=M1852,"Home",IF(H1852=N1852,"Away",IF(H1852="PICK","Pick","N/A")))</f>
        <v>Away</v>
      </c>
      <c r="S1852" s="1" t="n">
        <f aca="false">IF(R1852="Home",P1852,IF(R1852="Away",-P1852,""))</f>
        <v>-20</v>
      </c>
      <c r="T1852" s="1" t="str">
        <f aca="false">IF(R1852="Pick","No Line",IF(S1852="","N/A",IF(S1852+I1852&gt;0,"Favorite Covered",IF(S1852+I1852&lt;0,"Underdog Covered","Push"))))</f>
        <v>Underdog Covered</v>
      </c>
      <c r="U1852" s="1" t="str">
        <f aca="false">IF(Q1852&gt;J1852,"Over",IF(Q1852&lt;J1852,"Under","Push"))</f>
        <v>Under</v>
      </c>
    </row>
    <row r="1853" customFormat="false" ht="15" hidden="false" customHeight="false" outlineLevel="0" collapsed="false">
      <c r="A1853" s="1" t="s">
        <v>572</v>
      </c>
      <c r="B1853" s="1" t="n">
        <v>2016</v>
      </c>
      <c r="C1853" s="1" t="s">
        <v>233</v>
      </c>
      <c r="D1853" s="1" t="s">
        <v>103</v>
      </c>
      <c r="E1853" s="1" t="s">
        <v>69</v>
      </c>
      <c r="F1853" s="1" t="n">
        <v>27</v>
      </c>
      <c r="G1853" s="1" t="n">
        <v>13</v>
      </c>
      <c r="H1853" s="1" t="s">
        <v>104</v>
      </c>
      <c r="I1853" s="1" t="n">
        <v>-6.5</v>
      </c>
      <c r="J1853" s="1" t="n">
        <v>44</v>
      </c>
      <c r="K1853" s="1" t="s">
        <v>150</v>
      </c>
      <c r="L1853" s="1" t="b">
        <f aca="false">FALSE()</f>
        <v>0</v>
      </c>
      <c r="M1853" s="1" t="str">
        <f aca="false">VLOOKUP(D1853,'Team Reference'!$A:$B,2,FALSE())</f>
        <v>PHI</v>
      </c>
      <c r="N1853" s="1" t="str">
        <f aca="false">VLOOKUP(E1853,'Team Reference'!$A:$B,2,FALSE())</f>
        <v>DAL</v>
      </c>
      <c r="O1853" s="1" t="str">
        <f aca="false">IF(F1853&gt;G1853,M1853,IF(G1853&gt;F1853,N1853,"Tie"))</f>
        <v>PHI</v>
      </c>
      <c r="P1853" s="1" t="n">
        <f aca="false">F1853-G1853</f>
        <v>14</v>
      </c>
      <c r="Q1853" s="1" t="n">
        <f aca="false">F1853+G1853</f>
        <v>40</v>
      </c>
      <c r="R1853" s="1" t="str">
        <f aca="false">IF(H1853=M1853,"Home",IF(H1853=N1853,"Away",IF(H1853="PICK","Pick","N/A")))</f>
        <v>Home</v>
      </c>
      <c r="S1853" s="1" t="n">
        <f aca="false">IF(R1853="Home",P1853,IF(R1853="Away",-P1853,""))</f>
        <v>14</v>
      </c>
      <c r="T1853" s="1" t="str">
        <f aca="false">IF(R1853="Pick","No Line",IF(S1853="","N/A",IF(S1853+I1853&gt;0,"Favorite Covered",IF(S1853+I1853&lt;0,"Underdog Covered","Push"))))</f>
        <v>Favorite Covered</v>
      </c>
      <c r="U1853" s="1" t="str">
        <f aca="false">IF(Q1853&gt;J1853,"Over",IF(Q1853&lt;J1853,"Under","Push"))</f>
        <v>Under</v>
      </c>
    </row>
    <row r="1854" customFormat="false" ht="15" hidden="false" customHeight="false" outlineLevel="0" collapsed="false">
      <c r="A1854" s="1" t="s">
        <v>572</v>
      </c>
      <c r="B1854" s="1" t="n">
        <v>2016</v>
      </c>
      <c r="C1854" s="1" t="s">
        <v>233</v>
      </c>
      <c r="D1854" s="1" t="s">
        <v>105</v>
      </c>
      <c r="E1854" s="1" t="s">
        <v>67</v>
      </c>
      <c r="F1854" s="1" t="n">
        <v>27</v>
      </c>
      <c r="G1854" s="1" t="n">
        <v>24</v>
      </c>
      <c r="H1854" s="1" t="s">
        <v>106</v>
      </c>
      <c r="I1854" s="1" t="n">
        <v>-3</v>
      </c>
      <c r="J1854" s="1" t="n">
        <v>41.5</v>
      </c>
      <c r="K1854" s="1" t="s">
        <v>151</v>
      </c>
      <c r="L1854" s="1" t="b">
        <f aca="false">FALSE()</f>
        <v>0</v>
      </c>
      <c r="M1854" s="1" t="str">
        <f aca="false">VLOOKUP(D1854,'Team Reference'!$A:$B,2,FALSE())</f>
        <v>PIT</v>
      </c>
      <c r="N1854" s="1" t="str">
        <f aca="false">VLOOKUP(E1854,'Team Reference'!$A:$B,2,FALSE())</f>
        <v>CLE</v>
      </c>
      <c r="O1854" s="1" t="str">
        <f aca="false">IF(F1854&gt;G1854,M1854,IF(G1854&gt;F1854,N1854,"Tie"))</f>
        <v>PIT</v>
      </c>
      <c r="P1854" s="1" t="n">
        <f aca="false">F1854-G1854</f>
        <v>3</v>
      </c>
      <c r="Q1854" s="1" t="n">
        <f aca="false">F1854+G1854</f>
        <v>51</v>
      </c>
      <c r="R1854" s="1" t="str">
        <f aca="false">IF(H1854=M1854,"Home",IF(H1854=N1854,"Away",IF(H1854="PICK","Pick","N/A")))</f>
        <v>Home</v>
      </c>
      <c r="S1854" s="1" t="n">
        <f aca="false">IF(R1854="Home",P1854,IF(R1854="Away",-P1854,""))</f>
        <v>3</v>
      </c>
      <c r="T1854" s="1" t="str">
        <f aca="false">IF(R1854="Pick","No Line",IF(S1854="","N/A",IF(S1854+I1854&gt;0,"Favorite Covered",IF(S1854+I1854&lt;0,"Underdog Covered","Push"))))</f>
        <v>Push</v>
      </c>
      <c r="U1854" s="1" t="str">
        <f aca="false">IF(Q1854&gt;J1854,"Over",IF(Q1854&lt;J1854,"Under","Push"))</f>
        <v>Over</v>
      </c>
    </row>
    <row r="1855" customFormat="false" ht="15" hidden="false" customHeight="false" outlineLevel="0" collapsed="false">
      <c r="A1855" s="1" t="s">
        <v>572</v>
      </c>
      <c r="B1855" s="1" t="n">
        <v>2016</v>
      </c>
      <c r="C1855" s="1" t="s">
        <v>233</v>
      </c>
      <c r="D1855" s="1" t="s">
        <v>107</v>
      </c>
      <c r="E1855" s="1" t="s">
        <v>83</v>
      </c>
      <c r="F1855" s="1" t="n">
        <v>27</v>
      </c>
      <c r="G1855" s="1" t="n">
        <v>37</v>
      </c>
      <c r="H1855" s="1" t="s">
        <v>84</v>
      </c>
      <c r="I1855" s="1" t="n">
        <v>-5.5</v>
      </c>
      <c r="J1855" s="1" t="n">
        <v>45</v>
      </c>
      <c r="K1855" s="1" t="s">
        <v>172</v>
      </c>
      <c r="L1855" s="1" t="b">
        <f aca="false">FALSE()</f>
        <v>0</v>
      </c>
      <c r="M1855" s="1" t="str">
        <f aca="false">VLOOKUP(D1855,'Team Reference'!$A:$B,2,FALSE())</f>
        <v>LAC</v>
      </c>
      <c r="N1855" s="1" t="str">
        <f aca="false">VLOOKUP(E1855,'Team Reference'!$A:$B,2,FALSE())</f>
        <v>KC</v>
      </c>
      <c r="O1855" s="1" t="str">
        <f aca="false">IF(F1855&gt;G1855,M1855,IF(G1855&gt;F1855,N1855,"Tie"))</f>
        <v>KC</v>
      </c>
      <c r="P1855" s="1" t="n">
        <f aca="false">F1855-G1855</f>
        <v>-10</v>
      </c>
      <c r="Q1855" s="1" t="n">
        <f aca="false">F1855+G1855</f>
        <v>64</v>
      </c>
      <c r="R1855" s="1" t="str">
        <f aca="false">IF(H1855=M1855,"Home",IF(H1855=N1855,"Away",IF(H1855="PICK","Pick","N/A")))</f>
        <v>Away</v>
      </c>
      <c r="S1855" s="1" t="n">
        <f aca="false">IF(R1855="Home",P1855,IF(R1855="Away",-P1855,""))</f>
        <v>10</v>
      </c>
      <c r="T1855" s="1" t="str">
        <f aca="false">IF(R1855="Pick","No Line",IF(S1855="","N/A",IF(S1855+I1855&gt;0,"Favorite Covered",IF(S1855+I1855&lt;0,"Underdog Covered","Push"))))</f>
        <v>Favorite Covered</v>
      </c>
      <c r="U1855" s="1" t="str">
        <f aca="false">IF(Q1855&gt;J1855,"Over",IF(Q1855&lt;J1855,"Under","Push"))</f>
        <v>Over</v>
      </c>
    </row>
    <row r="1856" customFormat="false" ht="15" hidden="false" customHeight="false" outlineLevel="0" collapsed="false">
      <c r="A1856" s="1" t="s">
        <v>572</v>
      </c>
      <c r="B1856" s="1" t="n">
        <v>2016</v>
      </c>
      <c r="C1856" s="1" t="s">
        <v>233</v>
      </c>
      <c r="D1856" s="1" t="s">
        <v>108</v>
      </c>
      <c r="E1856" s="1" t="s">
        <v>110</v>
      </c>
      <c r="F1856" s="1" t="n">
        <v>23</v>
      </c>
      <c r="G1856" s="1" t="n">
        <v>25</v>
      </c>
      <c r="H1856" s="1" t="s">
        <v>111</v>
      </c>
      <c r="I1856" s="1" t="n">
        <v>-11.5</v>
      </c>
      <c r="J1856" s="1" t="n">
        <v>45</v>
      </c>
      <c r="K1856" s="1" t="s">
        <v>408</v>
      </c>
      <c r="L1856" s="1" t="b">
        <f aca="false">FALSE()</f>
        <v>0</v>
      </c>
      <c r="M1856" s="1" t="str">
        <f aca="false">VLOOKUP(D1856,'Team Reference'!$A:$B,2,FALSE())</f>
        <v>SF</v>
      </c>
      <c r="N1856" s="1" t="str">
        <f aca="false">VLOOKUP(E1856,'Team Reference'!$A:$B,2,FALSE())</f>
        <v>SEA</v>
      </c>
      <c r="O1856" s="1" t="str">
        <f aca="false">IF(F1856&gt;G1856,M1856,IF(G1856&gt;F1856,N1856,"Tie"))</f>
        <v>SEA</v>
      </c>
      <c r="P1856" s="1" t="n">
        <f aca="false">F1856-G1856</f>
        <v>-2</v>
      </c>
      <c r="Q1856" s="1" t="n">
        <f aca="false">F1856+G1856</f>
        <v>48</v>
      </c>
      <c r="R1856" s="1" t="str">
        <f aca="false">IF(H1856=M1856,"Home",IF(H1856=N1856,"Away",IF(H1856="PICK","Pick","N/A")))</f>
        <v>Away</v>
      </c>
      <c r="S1856" s="1" t="n">
        <f aca="false">IF(R1856="Home",P1856,IF(R1856="Away",-P1856,""))</f>
        <v>2</v>
      </c>
      <c r="T1856" s="1" t="str">
        <f aca="false">IF(R1856="Pick","No Line",IF(S1856="","N/A",IF(S1856+I1856&gt;0,"Favorite Covered",IF(S1856+I1856&lt;0,"Underdog Covered","Push"))))</f>
        <v>Underdog Covered</v>
      </c>
      <c r="U1856" s="1" t="str">
        <f aca="false">IF(Q1856&gt;J1856,"Over",IF(Q1856&lt;J1856,"Under","Push"))</f>
        <v>Over</v>
      </c>
    </row>
    <row r="1857" customFormat="false" ht="15" hidden="false" customHeight="false" outlineLevel="0" collapsed="false">
      <c r="A1857" s="1" t="s">
        <v>572</v>
      </c>
      <c r="B1857" s="1" t="n">
        <v>2016</v>
      </c>
      <c r="C1857" s="1" t="s">
        <v>233</v>
      </c>
      <c r="D1857" s="1" t="s">
        <v>113</v>
      </c>
      <c r="E1857" s="1" t="s">
        <v>61</v>
      </c>
      <c r="F1857" s="1" t="n">
        <v>17</v>
      </c>
      <c r="G1857" s="1" t="n">
        <v>16</v>
      </c>
      <c r="H1857" s="1" t="s">
        <v>114</v>
      </c>
      <c r="I1857" s="1" t="n">
        <v>-3</v>
      </c>
      <c r="J1857" s="1" t="n">
        <v>44.5</v>
      </c>
      <c r="K1857" s="1" t="s">
        <v>154</v>
      </c>
      <c r="L1857" s="1" t="b">
        <f aca="false">FALSE()</f>
        <v>0</v>
      </c>
      <c r="M1857" s="1" t="str">
        <f aca="false">VLOOKUP(D1857,'Team Reference'!$A:$B,2,FALSE())</f>
        <v>TB</v>
      </c>
      <c r="N1857" s="1" t="str">
        <f aca="false">VLOOKUP(E1857,'Team Reference'!$A:$B,2,FALSE())</f>
        <v>CAR</v>
      </c>
      <c r="O1857" s="1" t="str">
        <f aca="false">IF(F1857&gt;G1857,M1857,IF(G1857&gt;F1857,N1857,"Tie"))</f>
        <v>TB</v>
      </c>
      <c r="P1857" s="1" t="n">
        <f aca="false">F1857-G1857</f>
        <v>1</v>
      </c>
      <c r="Q1857" s="1" t="n">
        <f aca="false">F1857+G1857</f>
        <v>33</v>
      </c>
      <c r="R1857" s="1" t="str">
        <f aca="false">IF(H1857=M1857,"Home",IF(H1857=N1857,"Away",IF(H1857="PICK","Pick","N/A")))</f>
        <v>Home</v>
      </c>
      <c r="S1857" s="1" t="n">
        <f aca="false">IF(R1857="Home",P1857,IF(R1857="Away",-P1857,""))</f>
        <v>1</v>
      </c>
      <c r="T1857" s="1" t="str">
        <f aca="false">IF(R1857="Pick","No Line",IF(S1857="","N/A",IF(S1857+I1857&gt;0,"Favorite Covered",IF(S1857+I1857&lt;0,"Underdog Covered","Push"))))</f>
        <v>Underdog Covered</v>
      </c>
      <c r="U1857" s="1" t="str">
        <f aca="false">IF(Q1857&gt;J1857,"Over",IF(Q1857&lt;J1857,"Under","Push"))</f>
        <v>Under</v>
      </c>
    </row>
    <row r="1858" customFormat="false" ht="15" hidden="false" customHeight="false" outlineLevel="0" collapsed="false">
      <c r="A1858" s="1" t="s">
        <v>572</v>
      </c>
      <c r="B1858" s="1" t="n">
        <v>2016</v>
      </c>
      <c r="C1858" s="1" t="s">
        <v>233</v>
      </c>
      <c r="D1858" s="1" t="s">
        <v>115</v>
      </c>
      <c r="E1858" s="1" t="s">
        <v>77</v>
      </c>
      <c r="F1858" s="1" t="n">
        <v>24</v>
      </c>
      <c r="G1858" s="1" t="n">
        <v>17</v>
      </c>
      <c r="H1858" s="1" t="s">
        <v>116</v>
      </c>
      <c r="I1858" s="1" t="n">
        <v>-3</v>
      </c>
      <c r="J1858" s="1" t="n">
        <v>41.5</v>
      </c>
      <c r="K1858" s="1" t="s">
        <v>155</v>
      </c>
      <c r="L1858" s="1" t="b">
        <f aca="false">FALSE()</f>
        <v>0</v>
      </c>
      <c r="M1858" s="1" t="str">
        <f aca="false">VLOOKUP(D1858,'Team Reference'!$A:$B,2,FALSE())</f>
        <v>TEN</v>
      </c>
      <c r="N1858" s="1" t="str">
        <f aca="false">VLOOKUP(E1858,'Team Reference'!$A:$B,2,FALSE())</f>
        <v>HOU</v>
      </c>
      <c r="O1858" s="1" t="str">
        <f aca="false">IF(F1858&gt;G1858,M1858,IF(G1858&gt;F1858,N1858,"Tie"))</f>
        <v>TEN</v>
      </c>
      <c r="P1858" s="1" t="n">
        <f aca="false">F1858-G1858</f>
        <v>7</v>
      </c>
      <c r="Q1858" s="1" t="n">
        <f aca="false">F1858+G1858</f>
        <v>41</v>
      </c>
      <c r="R1858" s="1" t="str">
        <f aca="false">IF(H1858=M1858,"Home",IF(H1858=N1858,"Away",IF(H1858="PICK","Pick","N/A")))</f>
        <v>Home</v>
      </c>
      <c r="S1858" s="1" t="n">
        <f aca="false">IF(R1858="Home",P1858,IF(R1858="Away",-P1858,""))</f>
        <v>7</v>
      </c>
      <c r="T1858" s="1" t="str">
        <f aca="false">IF(R1858="Pick","No Line",IF(S1858="","N/A",IF(S1858+I1858&gt;0,"Favorite Covered",IF(S1858+I1858&lt;0,"Underdog Covered","Push"))))</f>
        <v>Favorite Covered</v>
      </c>
      <c r="U1858" s="1" t="str">
        <f aca="false">IF(Q1858&gt;J1858,"Over",IF(Q1858&lt;J1858,"Under","Push"))</f>
        <v>Under</v>
      </c>
    </row>
    <row r="1859" customFormat="false" ht="15" hidden="false" customHeight="false" outlineLevel="0" collapsed="false">
      <c r="A1859" s="1" t="s">
        <v>572</v>
      </c>
      <c r="B1859" s="1" t="n">
        <v>2016</v>
      </c>
      <c r="C1859" s="1" t="s">
        <v>233</v>
      </c>
      <c r="D1859" s="1" t="s">
        <v>117</v>
      </c>
      <c r="E1859" s="1" t="s">
        <v>97</v>
      </c>
      <c r="F1859" s="1" t="n">
        <v>10</v>
      </c>
      <c r="G1859" s="1" t="n">
        <v>19</v>
      </c>
      <c r="H1859" s="1" t="s">
        <v>118</v>
      </c>
      <c r="I1859" s="1" t="n">
        <v>-9</v>
      </c>
      <c r="J1859" s="1" t="n">
        <v>47.5</v>
      </c>
      <c r="K1859" s="1" t="s">
        <v>156</v>
      </c>
      <c r="L1859" s="1" t="b">
        <f aca="false">FALSE()</f>
        <v>0</v>
      </c>
      <c r="M1859" s="1" t="str">
        <f aca="false">VLOOKUP(D1859,'Team Reference'!$A:$B,2,FALSE())</f>
        <v>WAS</v>
      </c>
      <c r="N1859" s="1" t="str">
        <f aca="false">VLOOKUP(E1859,'Team Reference'!$A:$B,2,FALSE())</f>
        <v>NYG</v>
      </c>
      <c r="O1859" s="1" t="str">
        <f aca="false">IF(F1859&gt;G1859,M1859,IF(G1859&gt;F1859,N1859,"Tie"))</f>
        <v>NYG</v>
      </c>
      <c r="P1859" s="1" t="n">
        <f aca="false">F1859-G1859</f>
        <v>-9</v>
      </c>
      <c r="Q1859" s="1" t="n">
        <f aca="false">F1859+G1859</f>
        <v>29</v>
      </c>
      <c r="R1859" s="1" t="str">
        <f aca="false">IF(H1859=M1859,"Home",IF(H1859=N1859,"Away",IF(H1859="PICK","Pick","N/A")))</f>
        <v>Home</v>
      </c>
      <c r="S1859" s="1" t="n">
        <f aca="false">IF(R1859="Home",P1859,IF(R1859="Away",-P1859,""))</f>
        <v>-9</v>
      </c>
      <c r="T1859" s="1" t="str">
        <f aca="false">IF(R1859="Pick","No Line",IF(S1859="","N/A",IF(S1859+I1859&gt;0,"Favorite Covered",IF(S1859+I1859&lt;0,"Underdog Covered","Push"))))</f>
        <v>Underdog Covered</v>
      </c>
      <c r="U1859" s="1" t="str">
        <f aca="false">IF(Q1859&gt;J1859,"Over",IF(Q1859&lt;J1859,"Under","Push"))</f>
        <v>Under</v>
      </c>
    </row>
    <row r="1860" customFormat="false" ht="15" hidden="false" customHeight="false" outlineLevel="0" collapsed="false">
      <c r="A1860" s="1" t="s">
        <v>573</v>
      </c>
      <c r="B1860" s="1" t="n">
        <v>2016</v>
      </c>
      <c r="C1860" s="1" t="s">
        <v>574</v>
      </c>
      <c r="D1860" s="1" t="s">
        <v>77</v>
      </c>
      <c r="E1860" s="1" t="s">
        <v>101</v>
      </c>
      <c r="F1860" s="1" t="n">
        <v>27</v>
      </c>
      <c r="G1860" s="1" t="n">
        <v>14</v>
      </c>
      <c r="H1860" s="1" t="s">
        <v>78</v>
      </c>
      <c r="I1860" s="1" t="n">
        <v>-4</v>
      </c>
      <c r="J1860" s="1" t="n">
        <v>38</v>
      </c>
      <c r="L1860" s="1" t="b">
        <f aca="false">TRUE()</f>
        <v>1</v>
      </c>
      <c r="M1860" s="1" t="str">
        <f aca="false">VLOOKUP(D1860,'Team Reference'!$A:$B,2,FALSE())</f>
        <v>HOU</v>
      </c>
      <c r="N1860" s="1" t="str">
        <f aca="false">VLOOKUP(E1860,'Team Reference'!$A:$B,2,FALSE())</f>
        <v>OAK</v>
      </c>
      <c r="O1860" s="1" t="str">
        <f aca="false">IF(F1860&gt;G1860,M1860,IF(G1860&gt;F1860,N1860,"Tie"))</f>
        <v>HOU</v>
      </c>
      <c r="P1860" s="1" t="n">
        <f aca="false">F1860-G1860</f>
        <v>13</v>
      </c>
      <c r="Q1860" s="1" t="n">
        <f aca="false">F1860+G1860</f>
        <v>41</v>
      </c>
      <c r="R1860" s="1" t="str">
        <f aca="false">IF(H1860=M1860,"Home",IF(H1860=N1860,"Away",IF(H1860="PICK","Pick","N/A")))</f>
        <v>Home</v>
      </c>
      <c r="S1860" s="1" t="n">
        <f aca="false">IF(R1860="Home",P1860,IF(R1860="Away",-P1860,""))</f>
        <v>13</v>
      </c>
      <c r="T1860" s="1" t="str">
        <f aca="false">IF(R1860="Pick","No Line",IF(S1860="","N/A",IF(S1860+I1860&gt;0,"Favorite Covered",IF(S1860+I1860&lt;0,"Underdog Covered","Push"))))</f>
        <v>Favorite Covered</v>
      </c>
      <c r="U1860" s="1" t="str">
        <f aca="false">IF(Q1860&gt;J1860,"Over",IF(Q1860&lt;J1860,"Under","Push"))</f>
        <v>Over</v>
      </c>
    </row>
    <row r="1861" customFormat="false" ht="15" hidden="false" customHeight="false" outlineLevel="0" collapsed="false">
      <c r="A1861" s="1" t="s">
        <v>573</v>
      </c>
      <c r="B1861" s="1" t="n">
        <v>2016</v>
      </c>
      <c r="C1861" s="1" t="s">
        <v>574</v>
      </c>
      <c r="D1861" s="1" t="s">
        <v>110</v>
      </c>
      <c r="E1861" s="1" t="s">
        <v>73</v>
      </c>
      <c r="F1861" s="1" t="n">
        <v>26</v>
      </c>
      <c r="G1861" s="1" t="n">
        <v>6</v>
      </c>
      <c r="H1861" s="1" t="s">
        <v>111</v>
      </c>
      <c r="I1861" s="1" t="n">
        <v>-8</v>
      </c>
      <c r="J1861" s="1" t="n">
        <v>45.5</v>
      </c>
      <c r="L1861" s="1" t="b">
        <f aca="false">TRUE()</f>
        <v>1</v>
      </c>
      <c r="M1861" s="1" t="str">
        <f aca="false">VLOOKUP(D1861,'Team Reference'!$A:$B,2,FALSE())</f>
        <v>SEA</v>
      </c>
      <c r="N1861" s="1" t="str">
        <f aca="false">VLOOKUP(E1861,'Team Reference'!$A:$B,2,FALSE())</f>
        <v>DET</v>
      </c>
      <c r="O1861" s="1" t="str">
        <f aca="false">IF(F1861&gt;G1861,M1861,IF(G1861&gt;F1861,N1861,"Tie"))</f>
        <v>SEA</v>
      </c>
      <c r="P1861" s="1" t="n">
        <f aca="false">F1861-G1861</f>
        <v>20</v>
      </c>
      <c r="Q1861" s="1" t="n">
        <f aca="false">F1861+G1861</f>
        <v>32</v>
      </c>
      <c r="R1861" s="1" t="str">
        <f aca="false">IF(H1861=M1861,"Home",IF(H1861=N1861,"Away",IF(H1861="PICK","Pick","N/A")))</f>
        <v>Home</v>
      </c>
      <c r="S1861" s="1" t="n">
        <f aca="false">IF(R1861="Home",P1861,IF(R1861="Away",-P1861,""))</f>
        <v>20</v>
      </c>
      <c r="T1861" s="1" t="str">
        <f aca="false">IF(R1861="Pick","No Line",IF(S1861="","N/A",IF(S1861+I1861&gt;0,"Favorite Covered",IF(S1861+I1861&lt;0,"Underdog Covered","Push"))))</f>
        <v>Favorite Covered</v>
      </c>
      <c r="U1861" s="1" t="str">
        <f aca="false">IF(Q1861&gt;J1861,"Over",IF(Q1861&lt;J1861,"Under","Push"))</f>
        <v>Under</v>
      </c>
    </row>
    <row r="1862" customFormat="false" ht="15" hidden="false" customHeight="false" outlineLevel="0" collapsed="false">
      <c r="A1862" s="1" t="s">
        <v>575</v>
      </c>
      <c r="B1862" s="1" t="n">
        <v>2016</v>
      </c>
      <c r="C1862" s="1" t="s">
        <v>574</v>
      </c>
      <c r="D1862" s="1" t="s">
        <v>75</v>
      </c>
      <c r="E1862" s="1" t="s">
        <v>97</v>
      </c>
      <c r="F1862" s="1" t="n">
        <v>38</v>
      </c>
      <c r="G1862" s="1" t="n">
        <v>13</v>
      </c>
      <c r="H1862" s="1" t="s">
        <v>76</v>
      </c>
      <c r="I1862" s="1" t="n">
        <v>-5</v>
      </c>
      <c r="J1862" s="1" t="n">
        <v>46.5</v>
      </c>
      <c r="L1862" s="1" t="b">
        <f aca="false">TRUE()</f>
        <v>1</v>
      </c>
      <c r="M1862" s="1" t="str">
        <f aca="false">VLOOKUP(D1862,'Team Reference'!$A:$B,2,FALSE())</f>
        <v>GB</v>
      </c>
      <c r="N1862" s="1" t="str">
        <f aca="false">VLOOKUP(E1862,'Team Reference'!$A:$B,2,FALSE())</f>
        <v>NYG</v>
      </c>
      <c r="O1862" s="1" t="str">
        <f aca="false">IF(F1862&gt;G1862,M1862,IF(G1862&gt;F1862,N1862,"Tie"))</f>
        <v>GB</v>
      </c>
      <c r="P1862" s="1" t="n">
        <f aca="false">F1862-G1862</f>
        <v>25</v>
      </c>
      <c r="Q1862" s="1" t="n">
        <f aca="false">F1862+G1862</f>
        <v>51</v>
      </c>
      <c r="R1862" s="1" t="str">
        <f aca="false">IF(H1862=M1862,"Home",IF(H1862=N1862,"Away",IF(H1862="PICK","Pick","N/A")))</f>
        <v>Home</v>
      </c>
      <c r="S1862" s="1" t="n">
        <f aca="false">IF(R1862="Home",P1862,IF(R1862="Away",-P1862,""))</f>
        <v>25</v>
      </c>
      <c r="T1862" s="1" t="str">
        <f aca="false">IF(R1862="Pick","No Line",IF(S1862="","N/A",IF(S1862+I1862&gt;0,"Favorite Covered",IF(S1862+I1862&lt;0,"Underdog Covered","Push"))))</f>
        <v>Favorite Covered</v>
      </c>
      <c r="U1862" s="1" t="str">
        <f aca="false">IF(Q1862&gt;J1862,"Over",IF(Q1862&lt;J1862,"Under","Push"))</f>
        <v>Over</v>
      </c>
    </row>
    <row r="1863" customFormat="false" ht="15" hidden="false" customHeight="false" outlineLevel="0" collapsed="false">
      <c r="A1863" s="1" t="s">
        <v>575</v>
      </c>
      <c r="B1863" s="1" t="n">
        <v>2016</v>
      </c>
      <c r="C1863" s="1" t="s">
        <v>574</v>
      </c>
      <c r="D1863" s="1" t="s">
        <v>105</v>
      </c>
      <c r="E1863" s="1" t="s">
        <v>89</v>
      </c>
      <c r="F1863" s="1" t="n">
        <v>30</v>
      </c>
      <c r="G1863" s="1" t="n">
        <v>12</v>
      </c>
      <c r="H1863" s="1" t="s">
        <v>106</v>
      </c>
      <c r="I1863" s="1" t="n">
        <v>-11</v>
      </c>
      <c r="J1863" s="1" t="n">
        <v>47.5</v>
      </c>
      <c r="L1863" s="1" t="b">
        <f aca="false">TRUE()</f>
        <v>1</v>
      </c>
      <c r="M1863" s="1" t="str">
        <f aca="false">VLOOKUP(D1863,'Team Reference'!$A:$B,2,FALSE())</f>
        <v>PIT</v>
      </c>
      <c r="N1863" s="1" t="str">
        <f aca="false">VLOOKUP(E1863,'Team Reference'!$A:$B,2,FALSE())</f>
        <v>MIA</v>
      </c>
      <c r="O1863" s="1" t="str">
        <f aca="false">IF(F1863&gt;G1863,M1863,IF(G1863&gt;F1863,N1863,"Tie"))</f>
        <v>PIT</v>
      </c>
      <c r="P1863" s="1" t="n">
        <f aca="false">F1863-G1863</f>
        <v>18</v>
      </c>
      <c r="Q1863" s="1" t="n">
        <f aca="false">F1863+G1863</f>
        <v>42</v>
      </c>
      <c r="R1863" s="1" t="str">
        <f aca="false">IF(H1863=M1863,"Home",IF(H1863=N1863,"Away",IF(H1863="PICK","Pick","N/A")))</f>
        <v>Home</v>
      </c>
      <c r="S1863" s="1" t="n">
        <f aca="false">IF(R1863="Home",P1863,IF(R1863="Away",-P1863,""))</f>
        <v>18</v>
      </c>
      <c r="T1863" s="1" t="str">
        <f aca="false">IF(R1863="Pick","No Line",IF(S1863="","N/A",IF(S1863+I1863&gt;0,"Favorite Covered",IF(S1863+I1863&lt;0,"Underdog Covered","Push"))))</f>
        <v>Favorite Covered</v>
      </c>
      <c r="U1863" s="1" t="str">
        <f aca="false">IF(Q1863&gt;J1863,"Over",IF(Q1863&lt;J1863,"Under","Push"))</f>
        <v>Under</v>
      </c>
    </row>
    <row r="1864" customFormat="false" ht="15" hidden="false" customHeight="false" outlineLevel="0" collapsed="false">
      <c r="A1864" s="1" t="s">
        <v>576</v>
      </c>
      <c r="B1864" s="1" t="n">
        <v>2016</v>
      </c>
      <c r="C1864" s="1" t="s">
        <v>238</v>
      </c>
      <c r="D1864" s="1" t="s">
        <v>55</v>
      </c>
      <c r="E1864" s="1" t="s">
        <v>110</v>
      </c>
      <c r="F1864" s="1" t="n">
        <v>36</v>
      </c>
      <c r="G1864" s="1" t="n">
        <v>20</v>
      </c>
      <c r="H1864" s="1" t="s">
        <v>56</v>
      </c>
      <c r="I1864" s="1" t="n">
        <v>-6.5</v>
      </c>
      <c r="J1864" s="1" t="n">
        <v>51</v>
      </c>
      <c r="K1864" s="1" t="s">
        <v>161</v>
      </c>
      <c r="L1864" s="1" t="b">
        <f aca="false">TRUE()</f>
        <v>1</v>
      </c>
      <c r="M1864" s="1" t="str">
        <f aca="false">VLOOKUP(D1864,'Team Reference'!$A:$B,2,FALSE())</f>
        <v>ATL</v>
      </c>
      <c r="N1864" s="1" t="str">
        <f aca="false">VLOOKUP(E1864,'Team Reference'!$A:$B,2,FALSE())</f>
        <v>SEA</v>
      </c>
      <c r="O1864" s="1" t="str">
        <f aca="false">IF(F1864&gt;G1864,M1864,IF(G1864&gt;F1864,N1864,"Tie"))</f>
        <v>ATL</v>
      </c>
      <c r="P1864" s="1" t="n">
        <f aca="false">F1864-G1864</f>
        <v>16</v>
      </c>
      <c r="Q1864" s="1" t="n">
        <f aca="false">F1864+G1864</f>
        <v>56</v>
      </c>
      <c r="R1864" s="1" t="str">
        <f aca="false">IF(H1864=M1864,"Home",IF(H1864=N1864,"Away",IF(H1864="PICK","Pick","N/A")))</f>
        <v>Home</v>
      </c>
      <c r="S1864" s="1" t="n">
        <f aca="false">IF(R1864="Home",P1864,IF(R1864="Away",-P1864,""))</f>
        <v>16</v>
      </c>
      <c r="T1864" s="1" t="str">
        <f aca="false">IF(R1864="Pick","No Line",IF(S1864="","N/A",IF(S1864+I1864&gt;0,"Favorite Covered",IF(S1864+I1864&lt;0,"Underdog Covered","Push"))))</f>
        <v>Favorite Covered</v>
      </c>
      <c r="U1864" s="1" t="str">
        <f aca="false">IF(Q1864&gt;J1864,"Over",IF(Q1864&lt;J1864,"Under","Push"))</f>
        <v>Over</v>
      </c>
    </row>
    <row r="1865" customFormat="false" ht="15" hidden="false" customHeight="false" outlineLevel="0" collapsed="false">
      <c r="A1865" s="1" t="s">
        <v>576</v>
      </c>
      <c r="B1865" s="1" t="n">
        <v>2016</v>
      </c>
      <c r="C1865" s="1" t="s">
        <v>238</v>
      </c>
      <c r="D1865" s="1" t="s">
        <v>93</v>
      </c>
      <c r="E1865" s="1" t="s">
        <v>77</v>
      </c>
      <c r="F1865" s="1" t="n">
        <v>34</v>
      </c>
      <c r="G1865" s="1" t="n">
        <v>16</v>
      </c>
      <c r="H1865" s="1" t="s">
        <v>94</v>
      </c>
      <c r="I1865" s="1" t="n">
        <v>-16</v>
      </c>
      <c r="J1865" s="1" t="n">
        <v>44</v>
      </c>
      <c r="L1865" s="1" t="b">
        <f aca="false">TRUE()</f>
        <v>1</v>
      </c>
      <c r="M1865" s="1" t="str">
        <f aca="false">VLOOKUP(D1865,'Team Reference'!$A:$B,2,FALSE())</f>
        <v>NE</v>
      </c>
      <c r="N1865" s="1" t="str">
        <f aca="false">VLOOKUP(E1865,'Team Reference'!$A:$B,2,FALSE())</f>
        <v>HOU</v>
      </c>
      <c r="O1865" s="1" t="str">
        <f aca="false">IF(F1865&gt;G1865,M1865,IF(G1865&gt;F1865,N1865,"Tie"))</f>
        <v>NE</v>
      </c>
      <c r="P1865" s="1" t="n">
        <f aca="false">F1865-G1865</f>
        <v>18</v>
      </c>
      <c r="Q1865" s="1" t="n">
        <f aca="false">F1865+G1865</f>
        <v>50</v>
      </c>
      <c r="R1865" s="1" t="str">
        <f aca="false">IF(H1865=M1865,"Home",IF(H1865=N1865,"Away",IF(H1865="PICK","Pick","N/A")))</f>
        <v>Home</v>
      </c>
      <c r="S1865" s="1" t="n">
        <f aca="false">IF(R1865="Home",P1865,IF(R1865="Away",-P1865,""))</f>
        <v>18</v>
      </c>
      <c r="T1865" s="1" t="str">
        <f aca="false">IF(R1865="Pick","No Line",IF(S1865="","N/A",IF(S1865+I1865&gt;0,"Favorite Covered",IF(S1865+I1865&lt;0,"Underdog Covered","Push"))))</f>
        <v>Favorite Covered</v>
      </c>
      <c r="U1865" s="1" t="str">
        <f aca="false">IF(Q1865&gt;J1865,"Over",IF(Q1865&lt;J1865,"Under","Push"))</f>
        <v>Over</v>
      </c>
    </row>
    <row r="1866" customFormat="false" ht="15" hidden="false" customHeight="false" outlineLevel="0" collapsed="false">
      <c r="A1866" s="1" t="s">
        <v>577</v>
      </c>
      <c r="B1866" s="1" t="n">
        <v>2016</v>
      </c>
      <c r="C1866" s="1" t="s">
        <v>238</v>
      </c>
      <c r="D1866" s="1" t="s">
        <v>69</v>
      </c>
      <c r="E1866" s="1" t="s">
        <v>75</v>
      </c>
      <c r="F1866" s="1" t="n">
        <v>31</v>
      </c>
      <c r="G1866" s="1" t="n">
        <v>34</v>
      </c>
      <c r="H1866" s="1" t="s">
        <v>70</v>
      </c>
      <c r="I1866" s="1" t="n">
        <v>-5.5</v>
      </c>
      <c r="J1866" s="1" t="n">
        <v>52.5</v>
      </c>
      <c r="K1866" s="1" t="s">
        <v>165</v>
      </c>
      <c r="L1866" s="1" t="b">
        <f aca="false">TRUE()</f>
        <v>1</v>
      </c>
      <c r="M1866" s="1" t="str">
        <f aca="false">VLOOKUP(D1866,'Team Reference'!$A:$B,2,FALSE())</f>
        <v>DAL</v>
      </c>
      <c r="N1866" s="1" t="str">
        <f aca="false">VLOOKUP(E1866,'Team Reference'!$A:$B,2,FALSE())</f>
        <v>GB</v>
      </c>
      <c r="O1866" s="1" t="str">
        <f aca="false">IF(F1866&gt;G1866,M1866,IF(G1866&gt;F1866,N1866,"Tie"))</f>
        <v>GB</v>
      </c>
      <c r="P1866" s="1" t="n">
        <f aca="false">F1866-G1866</f>
        <v>-3</v>
      </c>
      <c r="Q1866" s="1" t="n">
        <f aca="false">F1866+G1866</f>
        <v>65</v>
      </c>
      <c r="R1866" s="1" t="str">
        <f aca="false">IF(H1866=M1866,"Home",IF(H1866=N1866,"Away",IF(H1866="PICK","Pick","N/A")))</f>
        <v>Home</v>
      </c>
      <c r="S1866" s="1" t="n">
        <f aca="false">IF(R1866="Home",P1866,IF(R1866="Away",-P1866,""))</f>
        <v>-3</v>
      </c>
      <c r="T1866" s="1" t="str">
        <f aca="false">IF(R1866="Pick","No Line",IF(S1866="","N/A",IF(S1866+I1866&gt;0,"Favorite Covered",IF(S1866+I1866&lt;0,"Underdog Covered","Push"))))</f>
        <v>Underdog Covered</v>
      </c>
      <c r="U1866" s="1" t="str">
        <f aca="false">IF(Q1866&gt;J1866,"Over",IF(Q1866&lt;J1866,"Under","Push"))</f>
        <v>Over</v>
      </c>
    </row>
    <row r="1867" customFormat="false" ht="15" hidden="false" customHeight="false" outlineLevel="0" collapsed="false">
      <c r="A1867" s="1" t="s">
        <v>577</v>
      </c>
      <c r="B1867" s="1" t="n">
        <v>2016</v>
      </c>
      <c r="C1867" s="1" t="s">
        <v>238</v>
      </c>
      <c r="D1867" s="1" t="s">
        <v>83</v>
      </c>
      <c r="E1867" s="1" t="s">
        <v>105</v>
      </c>
      <c r="F1867" s="1" t="n">
        <v>16</v>
      </c>
      <c r="G1867" s="1" t="n">
        <v>18</v>
      </c>
      <c r="H1867" s="1" t="s">
        <v>84</v>
      </c>
      <c r="I1867" s="1" t="n">
        <v>-2.5</v>
      </c>
      <c r="J1867" s="1" t="n">
        <v>45.5</v>
      </c>
      <c r="L1867" s="1" t="b">
        <f aca="false">TRUE()</f>
        <v>1</v>
      </c>
      <c r="M1867" s="1" t="str">
        <f aca="false">VLOOKUP(D1867,'Team Reference'!$A:$B,2,FALSE())</f>
        <v>KC</v>
      </c>
      <c r="N1867" s="1" t="str">
        <f aca="false">VLOOKUP(E1867,'Team Reference'!$A:$B,2,FALSE())</f>
        <v>PIT</v>
      </c>
      <c r="O1867" s="1" t="str">
        <f aca="false">IF(F1867&gt;G1867,M1867,IF(G1867&gt;F1867,N1867,"Tie"))</f>
        <v>PIT</v>
      </c>
      <c r="P1867" s="1" t="n">
        <f aca="false">F1867-G1867</f>
        <v>-2</v>
      </c>
      <c r="Q1867" s="1" t="n">
        <f aca="false">F1867+G1867</f>
        <v>34</v>
      </c>
      <c r="R1867" s="1" t="str">
        <f aca="false">IF(H1867=M1867,"Home",IF(H1867=N1867,"Away",IF(H1867="PICK","Pick","N/A")))</f>
        <v>Home</v>
      </c>
      <c r="S1867" s="1" t="n">
        <f aca="false">IF(R1867="Home",P1867,IF(R1867="Away",-P1867,""))</f>
        <v>-2</v>
      </c>
      <c r="T1867" s="1" t="str">
        <f aca="false">IF(R1867="Pick","No Line",IF(S1867="","N/A",IF(S1867+I1867&gt;0,"Favorite Covered",IF(S1867+I1867&lt;0,"Underdog Covered","Push"))))</f>
        <v>Underdog Covered</v>
      </c>
      <c r="U1867" s="1" t="str">
        <f aca="false">IF(Q1867&gt;J1867,"Over",IF(Q1867&lt;J1867,"Under","Push"))</f>
        <v>Under</v>
      </c>
    </row>
    <row r="1868" customFormat="false" ht="15" hidden="false" customHeight="false" outlineLevel="0" collapsed="false">
      <c r="A1868" s="1" t="s">
        <v>578</v>
      </c>
      <c r="B1868" s="1" t="n">
        <v>2016</v>
      </c>
      <c r="C1868" s="1" t="s">
        <v>241</v>
      </c>
      <c r="D1868" s="1" t="s">
        <v>55</v>
      </c>
      <c r="E1868" s="1" t="s">
        <v>75</v>
      </c>
      <c r="F1868" s="1" t="n">
        <v>44</v>
      </c>
      <c r="G1868" s="1" t="n">
        <v>21</v>
      </c>
      <c r="H1868" s="1" t="s">
        <v>56</v>
      </c>
      <c r="I1868" s="1" t="n">
        <v>-6.5</v>
      </c>
      <c r="J1868" s="1" t="n">
        <v>59.5</v>
      </c>
      <c r="K1868" s="1" t="s">
        <v>161</v>
      </c>
      <c r="L1868" s="1" t="b">
        <f aca="false">TRUE()</f>
        <v>1</v>
      </c>
      <c r="M1868" s="1" t="str">
        <f aca="false">VLOOKUP(D1868,'Team Reference'!$A:$B,2,FALSE())</f>
        <v>ATL</v>
      </c>
      <c r="N1868" s="1" t="str">
        <f aca="false">VLOOKUP(E1868,'Team Reference'!$A:$B,2,FALSE())</f>
        <v>GB</v>
      </c>
      <c r="O1868" s="1" t="str">
        <f aca="false">IF(F1868&gt;G1868,M1868,IF(G1868&gt;F1868,N1868,"Tie"))</f>
        <v>ATL</v>
      </c>
      <c r="P1868" s="1" t="n">
        <f aca="false">F1868-G1868</f>
        <v>23</v>
      </c>
      <c r="Q1868" s="1" t="n">
        <f aca="false">F1868+G1868</f>
        <v>65</v>
      </c>
      <c r="R1868" s="1" t="str">
        <f aca="false">IF(H1868=M1868,"Home",IF(H1868=N1868,"Away",IF(H1868="PICK","Pick","N/A")))</f>
        <v>Home</v>
      </c>
      <c r="S1868" s="1" t="n">
        <f aca="false">IF(R1868="Home",P1868,IF(R1868="Away",-P1868,""))</f>
        <v>23</v>
      </c>
      <c r="T1868" s="1" t="str">
        <f aca="false">IF(R1868="Pick","No Line",IF(S1868="","N/A",IF(S1868+I1868&gt;0,"Favorite Covered",IF(S1868+I1868&lt;0,"Underdog Covered","Push"))))</f>
        <v>Favorite Covered</v>
      </c>
      <c r="U1868" s="1" t="str">
        <f aca="false">IF(Q1868&gt;J1868,"Over",IF(Q1868&lt;J1868,"Under","Push"))</f>
        <v>Over</v>
      </c>
    </row>
    <row r="1869" customFormat="false" ht="15" hidden="false" customHeight="false" outlineLevel="0" collapsed="false">
      <c r="A1869" s="1" t="s">
        <v>578</v>
      </c>
      <c r="B1869" s="1" t="n">
        <v>2016</v>
      </c>
      <c r="C1869" s="1" t="s">
        <v>241</v>
      </c>
      <c r="D1869" s="1" t="s">
        <v>93</v>
      </c>
      <c r="E1869" s="1" t="s">
        <v>105</v>
      </c>
      <c r="F1869" s="1" t="n">
        <v>36</v>
      </c>
      <c r="G1869" s="1" t="n">
        <v>17</v>
      </c>
      <c r="H1869" s="1" t="s">
        <v>94</v>
      </c>
      <c r="I1869" s="1" t="n">
        <v>-5.5</v>
      </c>
      <c r="J1869" s="1" t="n">
        <v>50</v>
      </c>
      <c r="L1869" s="1" t="b">
        <f aca="false">TRUE()</f>
        <v>1</v>
      </c>
      <c r="M1869" s="1" t="str">
        <f aca="false">VLOOKUP(D1869,'Team Reference'!$A:$B,2,FALSE())</f>
        <v>NE</v>
      </c>
      <c r="N1869" s="1" t="str">
        <f aca="false">VLOOKUP(E1869,'Team Reference'!$A:$B,2,FALSE())</f>
        <v>PIT</v>
      </c>
      <c r="O1869" s="1" t="str">
        <f aca="false">IF(F1869&gt;G1869,M1869,IF(G1869&gt;F1869,N1869,"Tie"))</f>
        <v>NE</v>
      </c>
      <c r="P1869" s="1" t="n">
        <f aca="false">F1869-G1869</f>
        <v>19</v>
      </c>
      <c r="Q1869" s="1" t="n">
        <f aca="false">F1869+G1869</f>
        <v>53</v>
      </c>
      <c r="R1869" s="1" t="str">
        <f aca="false">IF(H1869=M1869,"Home",IF(H1869=N1869,"Away",IF(H1869="PICK","Pick","N/A")))</f>
        <v>Home</v>
      </c>
      <c r="S1869" s="1" t="n">
        <f aca="false">IF(R1869="Home",P1869,IF(R1869="Away",-P1869,""))</f>
        <v>19</v>
      </c>
      <c r="T1869" s="1" t="str">
        <f aca="false">IF(R1869="Pick","No Line",IF(S1869="","N/A",IF(S1869+I1869&gt;0,"Favorite Covered",IF(S1869+I1869&lt;0,"Underdog Covered","Push"))))</f>
        <v>Favorite Covered</v>
      </c>
      <c r="U1869" s="1" t="str">
        <f aca="false">IF(Q1869&gt;J1869,"Over",IF(Q1869&lt;J1869,"Under","Push"))</f>
        <v>Over</v>
      </c>
    </row>
    <row r="1870" customFormat="false" ht="15" hidden="false" customHeight="false" outlineLevel="0" collapsed="false">
      <c r="A1870" s="1" t="s">
        <v>578</v>
      </c>
      <c r="B1870" s="1" t="n">
        <v>2016</v>
      </c>
      <c r="C1870" s="1" t="s">
        <v>579</v>
      </c>
      <c r="D1870" s="1" t="s">
        <v>93</v>
      </c>
      <c r="E1870" s="1" t="s">
        <v>55</v>
      </c>
      <c r="F1870" s="1" t="n">
        <v>34</v>
      </c>
      <c r="G1870" s="1" t="n">
        <v>28</v>
      </c>
      <c r="H1870" s="1" t="s">
        <v>94</v>
      </c>
      <c r="I1870" s="1" t="n">
        <v>-3</v>
      </c>
      <c r="J1870" s="1" t="n">
        <v>57.5</v>
      </c>
      <c r="K1870" s="1" t="s">
        <v>580</v>
      </c>
      <c r="L1870" s="1" t="b">
        <f aca="false">TRUE()</f>
        <v>1</v>
      </c>
      <c r="M1870" s="1" t="str">
        <f aca="false">VLOOKUP(D1870,'Team Reference'!$A:$B,2,FALSE())</f>
        <v>NE</v>
      </c>
      <c r="N1870" s="1" t="str">
        <f aca="false">VLOOKUP(E1870,'Team Reference'!$A:$B,2,FALSE())</f>
        <v>ATL</v>
      </c>
      <c r="O1870" s="1" t="str">
        <f aca="false">IF(F1870&gt;G1870,M1870,IF(G1870&gt;F1870,N1870,"Tie"))</f>
        <v>NE</v>
      </c>
      <c r="P1870" s="1" t="n">
        <f aca="false">F1870-G1870</f>
        <v>6</v>
      </c>
      <c r="Q1870" s="1" t="n">
        <f aca="false">F1870+G1870</f>
        <v>62</v>
      </c>
      <c r="R1870" s="1" t="str">
        <f aca="false">IF(H1870=M1870,"Home",IF(H1870=N1870,"Away",IF(H1870="PICK","Pick","N/A")))</f>
        <v>Home</v>
      </c>
      <c r="S1870" s="1" t="n">
        <f aca="false">IF(R1870="Home",P1870,IF(R1870="Away",-P1870,""))</f>
        <v>6</v>
      </c>
      <c r="T1870" s="1" t="str">
        <f aca="false">IF(R1870="Pick","No Line",IF(S1870="","N/A",IF(S1870+I1870&gt;0,"Favorite Covered",IF(S1870+I1870&lt;0,"Underdog Covered","Push"))))</f>
        <v>Favorite Covered</v>
      </c>
      <c r="U1870" s="1" t="str">
        <f aca="false">IF(Q1870&gt;J1870,"Over",IF(Q1870&lt;J1870,"Under","Push"))</f>
        <v>Over</v>
      </c>
    </row>
    <row r="1871" customFormat="false" ht="15" hidden="false" customHeight="false" outlineLevel="0" collapsed="false">
      <c r="A1871" s="1" t="s">
        <v>581</v>
      </c>
      <c r="B1871" s="1" t="n">
        <v>2017</v>
      </c>
      <c r="C1871" s="1" t="s">
        <v>141</v>
      </c>
      <c r="D1871" s="1" t="s">
        <v>93</v>
      </c>
      <c r="E1871" s="1" t="s">
        <v>83</v>
      </c>
      <c r="F1871" s="1" t="n">
        <v>27</v>
      </c>
      <c r="G1871" s="1" t="n">
        <v>42</v>
      </c>
      <c r="H1871" s="1" t="s">
        <v>94</v>
      </c>
      <c r="I1871" s="1" t="n">
        <v>-9</v>
      </c>
      <c r="J1871" s="1" t="n">
        <v>48.5</v>
      </c>
      <c r="K1871" s="1" t="s">
        <v>148</v>
      </c>
      <c r="L1871" s="1" t="b">
        <f aca="false">FALSE()</f>
        <v>0</v>
      </c>
      <c r="M1871" s="1" t="str">
        <f aca="false">VLOOKUP(D1871,'Team Reference'!$A:$B,2,FALSE())</f>
        <v>NE</v>
      </c>
      <c r="N1871" s="1" t="str">
        <f aca="false">VLOOKUP(E1871,'Team Reference'!$A:$B,2,FALSE())</f>
        <v>KC</v>
      </c>
      <c r="O1871" s="1" t="str">
        <f aca="false">IF(F1871&gt;G1871,M1871,IF(G1871&gt;F1871,N1871,"Tie"))</f>
        <v>KC</v>
      </c>
      <c r="P1871" s="1" t="n">
        <f aca="false">F1871-G1871</f>
        <v>-15</v>
      </c>
      <c r="Q1871" s="1" t="n">
        <f aca="false">F1871+G1871</f>
        <v>69</v>
      </c>
      <c r="R1871" s="1" t="str">
        <f aca="false">IF(H1871=M1871,"Home",IF(H1871=N1871,"Away",IF(H1871="PICK","Pick","N/A")))</f>
        <v>Home</v>
      </c>
      <c r="S1871" s="1" t="n">
        <f aca="false">IF(R1871="Home",P1871,IF(R1871="Away",-P1871,""))</f>
        <v>-15</v>
      </c>
      <c r="T1871" s="1" t="str">
        <f aca="false">IF(R1871="Pick","No Line",IF(S1871="","N/A",IF(S1871+I1871&gt;0,"Favorite Covered",IF(S1871+I1871&lt;0,"Underdog Covered","Push"))))</f>
        <v>Underdog Covered</v>
      </c>
      <c r="U1871" s="1" t="str">
        <f aca="false">IF(Q1871&gt;J1871,"Over",IF(Q1871&lt;J1871,"Under","Push"))</f>
        <v>Over</v>
      </c>
    </row>
    <row r="1872" customFormat="false" ht="15" hidden="false" customHeight="false" outlineLevel="0" collapsed="false">
      <c r="A1872" s="1" t="s">
        <v>582</v>
      </c>
      <c r="B1872" s="1" t="n">
        <v>2017</v>
      </c>
      <c r="C1872" s="1" t="s">
        <v>141</v>
      </c>
      <c r="D1872" s="1" t="s">
        <v>59</v>
      </c>
      <c r="E1872" s="1" t="s">
        <v>99</v>
      </c>
      <c r="F1872" s="1" t="n">
        <v>21</v>
      </c>
      <c r="G1872" s="1" t="n">
        <v>12</v>
      </c>
      <c r="H1872" s="1" t="s">
        <v>60</v>
      </c>
      <c r="I1872" s="1" t="n">
        <v>-9.5</v>
      </c>
      <c r="J1872" s="1" t="n">
        <v>40</v>
      </c>
      <c r="K1872" s="1" t="s">
        <v>522</v>
      </c>
      <c r="L1872" s="1" t="b">
        <f aca="false">FALSE()</f>
        <v>0</v>
      </c>
      <c r="M1872" s="1" t="str">
        <f aca="false">VLOOKUP(D1872,'Team Reference'!$A:$B,2,FALSE())</f>
        <v>BUF</v>
      </c>
      <c r="N1872" s="1" t="str">
        <f aca="false">VLOOKUP(E1872,'Team Reference'!$A:$B,2,FALSE())</f>
        <v>NYJ</v>
      </c>
      <c r="O1872" s="1" t="str">
        <f aca="false">IF(F1872&gt;G1872,M1872,IF(G1872&gt;F1872,N1872,"Tie"))</f>
        <v>BUF</v>
      </c>
      <c r="P1872" s="1" t="n">
        <f aca="false">F1872-G1872</f>
        <v>9</v>
      </c>
      <c r="Q1872" s="1" t="n">
        <f aca="false">F1872+G1872</f>
        <v>33</v>
      </c>
      <c r="R1872" s="1" t="str">
        <f aca="false">IF(H1872=M1872,"Home",IF(H1872=N1872,"Away",IF(H1872="PICK","Pick","N/A")))</f>
        <v>Home</v>
      </c>
      <c r="S1872" s="1" t="n">
        <f aca="false">IF(R1872="Home",P1872,IF(R1872="Away",-P1872,""))</f>
        <v>9</v>
      </c>
      <c r="T1872" s="1" t="str">
        <f aca="false">IF(R1872="Pick","No Line",IF(S1872="","N/A",IF(S1872+I1872&gt;0,"Favorite Covered",IF(S1872+I1872&lt;0,"Underdog Covered","Push"))))</f>
        <v>Underdog Covered</v>
      </c>
      <c r="U1872" s="1" t="str">
        <f aca="false">IF(Q1872&gt;J1872,"Over",IF(Q1872&lt;J1872,"Under","Push"))</f>
        <v>Under</v>
      </c>
    </row>
    <row r="1873" customFormat="false" ht="15" hidden="false" customHeight="false" outlineLevel="0" collapsed="false">
      <c r="A1873" s="1" t="s">
        <v>582</v>
      </c>
      <c r="B1873" s="1" t="n">
        <v>2017</v>
      </c>
      <c r="C1873" s="1" t="s">
        <v>141</v>
      </c>
      <c r="D1873" s="1" t="s">
        <v>63</v>
      </c>
      <c r="E1873" s="1" t="s">
        <v>55</v>
      </c>
      <c r="F1873" s="1" t="n">
        <v>17</v>
      </c>
      <c r="G1873" s="1" t="n">
        <v>23</v>
      </c>
      <c r="H1873" s="1" t="s">
        <v>56</v>
      </c>
      <c r="I1873" s="1" t="n">
        <v>-7</v>
      </c>
      <c r="J1873" s="1" t="n">
        <v>49.5</v>
      </c>
      <c r="K1873" s="1" t="s">
        <v>145</v>
      </c>
      <c r="L1873" s="1" t="b">
        <f aca="false">FALSE()</f>
        <v>0</v>
      </c>
      <c r="M1873" s="1" t="str">
        <f aca="false">VLOOKUP(D1873,'Team Reference'!$A:$B,2,FALSE())</f>
        <v>CHI</v>
      </c>
      <c r="N1873" s="1" t="str">
        <f aca="false">VLOOKUP(E1873,'Team Reference'!$A:$B,2,FALSE())</f>
        <v>ATL</v>
      </c>
      <c r="O1873" s="1" t="str">
        <f aca="false">IF(F1873&gt;G1873,M1873,IF(G1873&gt;F1873,N1873,"Tie"))</f>
        <v>ATL</v>
      </c>
      <c r="P1873" s="1" t="n">
        <f aca="false">F1873-G1873</f>
        <v>-6</v>
      </c>
      <c r="Q1873" s="1" t="n">
        <f aca="false">F1873+G1873</f>
        <v>40</v>
      </c>
      <c r="R1873" s="1" t="str">
        <f aca="false">IF(H1873=M1873,"Home",IF(H1873=N1873,"Away",IF(H1873="PICK","Pick","N/A")))</f>
        <v>Away</v>
      </c>
      <c r="S1873" s="1" t="n">
        <f aca="false">IF(R1873="Home",P1873,IF(R1873="Away",-P1873,""))</f>
        <v>6</v>
      </c>
      <c r="T1873" s="1" t="str">
        <f aca="false">IF(R1873="Pick","No Line",IF(S1873="","N/A",IF(S1873+I1873&gt;0,"Favorite Covered",IF(S1873+I1873&lt;0,"Underdog Covered","Push"))))</f>
        <v>Underdog Covered</v>
      </c>
      <c r="U1873" s="1" t="str">
        <f aca="false">IF(Q1873&gt;J1873,"Over",IF(Q1873&lt;J1873,"Under","Push"))</f>
        <v>Under</v>
      </c>
    </row>
    <row r="1874" customFormat="false" ht="15" hidden="false" customHeight="false" outlineLevel="0" collapsed="false">
      <c r="A1874" s="1" t="s">
        <v>582</v>
      </c>
      <c r="B1874" s="1" t="n">
        <v>2017</v>
      </c>
      <c r="C1874" s="1" t="s">
        <v>141</v>
      </c>
      <c r="D1874" s="1" t="s">
        <v>65</v>
      </c>
      <c r="E1874" s="1" t="s">
        <v>57</v>
      </c>
      <c r="F1874" s="1" t="n">
        <v>0</v>
      </c>
      <c r="G1874" s="1" t="n">
        <v>20</v>
      </c>
      <c r="H1874" s="1" t="s">
        <v>66</v>
      </c>
      <c r="I1874" s="1" t="n">
        <v>-3</v>
      </c>
      <c r="J1874" s="1" t="n">
        <v>42.5</v>
      </c>
      <c r="K1874" s="1" t="s">
        <v>163</v>
      </c>
      <c r="L1874" s="1" t="b">
        <f aca="false">FALSE()</f>
        <v>0</v>
      </c>
      <c r="M1874" s="1" t="str">
        <f aca="false">VLOOKUP(D1874,'Team Reference'!$A:$B,2,FALSE())</f>
        <v>CIN</v>
      </c>
      <c r="N1874" s="1" t="str">
        <f aca="false">VLOOKUP(E1874,'Team Reference'!$A:$B,2,FALSE())</f>
        <v>BAL</v>
      </c>
      <c r="O1874" s="1" t="str">
        <f aca="false">IF(F1874&gt;G1874,M1874,IF(G1874&gt;F1874,N1874,"Tie"))</f>
        <v>BAL</v>
      </c>
      <c r="P1874" s="1" t="n">
        <f aca="false">F1874-G1874</f>
        <v>-20</v>
      </c>
      <c r="Q1874" s="1" t="n">
        <f aca="false">F1874+G1874</f>
        <v>20</v>
      </c>
      <c r="R1874" s="1" t="str">
        <f aca="false">IF(H1874=M1874,"Home",IF(H1874=N1874,"Away",IF(H1874="PICK","Pick","N/A")))</f>
        <v>Home</v>
      </c>
      <c r="S1874" s="1" t="n">
        <f aca="false">IF(R1874="Home",P1874,IF(R1874="Away",-P1874,""))</f>
        <v>-20</v>
      </c>
      <c r="T1874" s="1" t="str">
        <f aca="false">IF(R1874="Pick","No Line",IF(S1874="","N/A",IF(S1874+I1874&gt;0,"Favorite Covered",IF(S1874+I1874&lt;0,"Underdog Covered","Push"))))</f>
        <v>Underdog Covered</v>
      </c>
      <c r="U1874" s="1" t="str">
        <f aca="false">IF(Q1874&gt;J1874,"Over",IF(Q1874&lt;J1874,"Under","Push"))</f>
        <v>Under</v>
      </c>
    </row>
    <row r="1875" customFormat="false" ht="15" hidden="false" customHeight="false" outlineLevel="0" collapsed="false">
      <c r="A1875" s="1" t="s">
        <v>582</v>
      </c>
      <c r="B1875" s="1" t="n">
        <v>2017</v>
      </c>
      <c r="C1875" s="1" t="s">
        <v>141</v>
      </c>
      <c r="D1875" s="1" t="s">
        <v>67</v>
      </c>
      <c r="E1875" s="1" t="s">
        <v>105</v>
      </c>
      <c r="F1875" s="1" t="n">
        <v>18</v>
      </c>
      <c r="G1875" s="1" t="n">
        <v>21</v>
      </c>
      <c r="H1875" s="1" t="s">
        <v>106</v>
      </c>
      <c r="I1875" s="1" t="n">
        <v>-9</v>
      </c>
      <c r="J1875" s="1" t="n">
        <v>47</v>
      </c>
      <c r="K1875" s="1" t="s">
        <v>164</v>
      </c>
      <c r="L1875" s="1" t="b">
        <f aca="false">FALSE()</f>
        <v>0</v>
      </c>
      <c r="M1875" s="1" t="str">
        <f aca="false">VLOOKUP(D1875,'Team Reference'!$A:$B,2,FALSE())</f>
        <v>CLE</v>
      </c>
      <c r="N1875" s="1" t="str">
        <f aca="false">VLOOKUP(E1875,'Team Reference'!$A:$B,2,FALSE())</f>
        <v>PIT</v>
      </c>
      <c r="O1875" s="1" t="str">
        <f aca="false">IF(F1875&gt;G1875,M1875,IF(G1875&gt;F1875,N1875,"Tie"))</f>
        <v>PIT</v>
      </c>
      <c r="P1875" s="1" t="n">
        <f aca="false">F1875-G1875</f>
        <v>-3</v>
      </c>
      <c r="Q1875" s="1" t="n">
        <f aca="false">F1875+G1875</f>
        <v>39</v>
      </c>
      <c r="R1875" s="1" t="str">
        <f aca="false">IF(H1875=M1875,"Home",IF(H1875=N1875,"Away",IF(H1875="PICK","Pick","N/A")))</f>
        <v>Away</v>
      </c>
      <c r="S1875" s="1" t="n">
        <f aca="false">IF(R1875="Home",P1875,IF(R1875="Away",-P1875,""))</f>
        <v>3</v>
      </c>
      <c r="T1875" s="1" t="str">
        <f aca="false">IF(R1875="Pick","No Line",IF(S1875="","N/A",IF(S1875+I1875&gt;0,"Favorite Covered",IF(S1875+I1875&lt;0,"Underdog Covered","Push"))))</f>
        <v>Underdog Covered</v>
      </c>
      <c r="U1875" s="1" t="str">
        <f aca="false">IF(Q1875&gt;J1875,"Over",IF(Q1875&lt;J1875,"Under","Push"))</f>
        <v>Under</v>
      </c>
    </row>
    <row r="1876" customFormat="false" ht="15" hidden="false" customHeight="false" outlineLevel="0" collapsed="false">
      <c r="A1876" s="1" t="s">
        <v>582</v>
      </c>
      <c r="B1876" s="1" t="n">
        <v>2017</v>
      </c>
      <c r="C1876" s="1" t="s">
        <v>141</v>
      </c>
      <c r="D1876" s="1" t="s">
        <v>69</v>
      </c>
      <c r="E1876" s="1" t="s">
        <v>97</v>
      </c>
      <c r="F1876" s="1" t="n">
        <v>19</v>
      </c>
      <c r="G1876" s="1" t="n">
        <v>3</v>
      </c>
      <c r="H1876" s="1" t="s">
        <v>70</v>
      </c>
      <c r="I1876" s="1" t="n">
        <v>-3.5</v>
      </c>
      <c r="J1876" s="1" t="n">
        <v>47.5</v>
      </c>
      <c r="K1876" s="1" t="s">
        <v>583</v>
      </c>
      <c r="L1876" s="1" t="b">
        <f aca="false">FALSE()</f>
        <v>0</v>
      </c>
      <c r="M1876" s="1" t="str">
        <f aca="false">VLOOKUP(D1876,'Team Reference'!$A:$B,2,FALSE())</f>
        <v>DAL</v>
      </c>
      <c r="N1876" s="1" t="str">
        <f aca="false">VLOOKUP(E1876,'Team Reference'!$A:$B,2,FALSE())</f>
        <v>NYG</v>
      </c>
      <c r="O1876" s="1" t="str">
        <f aca="false">IF(F1876&gt;G1876,M1876,IF(G1876&gt;F1876,N1876,"Tie"))</f>
        <v>DAL</v>
      </c>
      <c r="P1876" s="1" t="n">
        <f aca="false">F1876-G1876</f>
        <v>16</v>
      </c>
      <c r="Q1876" s="1" t="n">
        <f aca="false">F1876+G1876</f>
        <v>22</v>
      </c>
      <c r="R1876" s="1" t="str">
        <f aca="false">IF(H1876=M1876,"Home",IF(H1876=N1876,"Away",IF(H1876="PICK","Pick","N/A")))</f>
        <v>Home</v>
      </c>
      <c r="S1876" s="1" t="n">
        <f aca="false">IF(R1876="Home",P1876,IF(R1876="Away",-P1876,""))</f>
        <v>16</v>
      </c>
      <c r="T1876" s="1" t="str">
        <f aca="false">IF(R1876="Pick","No Line",IF(S1876="","N/A",IF(S1876+I1876&gt;0,"Favorite Covered",IF(S1876+I1876&lt;0,"Underdog Covered","Push"))))</f>
        <v>Favorite Covered</v>
      </c>
      <c r="U1876" s="1" t="str">
        <f aca="false">IF(Q1876&gt;J1876,"Over",IF(Q1876&lt;J1876,"Under","Push"))</f>
        <v>Under</v>
      </c>
    </row>
    <row r="1877" customFormat="false" ht="15" hidden="false" customHeight="false" outlineLevel="0" collapsed="false">
      <c r="A1877" s="1" t="s">
        <v>582</v>
      </c>
      <c r="B1877" s="1" t="n">
        <v>2017</v>
      </c>
      <c r="C1877" s="1" t="s">
        <v>141</v>
      </c>
      <c r="D1877" s="1" t="s">
        <v>73</v>
      </c>
      <c r="E1877" s="1" t="s">
        <v>53</v>
      </c>
      <c r="F1877" s="1" t="n">
        <v>35</v>
      </c>
      <c r="G1877" s="1" t="n">
        <v>23</v>
      </c>
      <c r="H1877" s="1" t="s">
        <v>54</v>
      </c>
      <c r="I1877" s="1" t="n">
        <v>-2</v>
      </c>
      <c r="J1877" s="1" t="n">
        <v>48</v>
      </c>
      <c r="K1877" s="1" t="s">
        <v>167</v>
      </c>
      <c r="L1877" s="1" t="b">
        <f aca="false">FALSE()</f>
        <v>0</v>
      </c>
      <c r="M1877" s="1" t="str">
        <f aca="false">VLOOKUP(D1877,'Team Reference'!$A:$B,2,FALSE())</f>
        <v>DET</v>
      </c>
      <c r="N1877" s="1" t="str">
        <f aca="false">VLOOKUP(E1877,'Team Reference'!$A:$B,2,FALSE())</f>
        <v>ARI</v>
      </c>
      <c r="O1877" s="1" t="str">
        <f aca="false">IF(F1877&gt;G1877,M1877,IF(G1877&gt;F1877,N1877,"Tie"))</f>
        <v>DET</v>
      </c>
      <c r="P1877" s="1" t="n">
        <f aca="false">F1877-G1877</f>
        <v>12</v>
      </c>
      <c r="Q1877" s="1" t="n">
        <f aca="false">F1877+G1877</f>
        <v>58</v>
      </c>
      <c r="R1877" s="1" t="str">
        <f aca="false">IF(H1877=M1877,"Home",IF(H1877=N1877,"Away",IF(H1877="PICK","Pick","N/A")))</f>
        <v>Away</v>
      </c>
      <c r="S1877" s="1" t="n">
        <f aca="false">IF(R1877="Home",P1877,IF(R1877="Away",-P1877,""))</f>
        <v>-12</v>
      </c>
      <c r="T1877" s="1" t="str">
        <f aca="false">IF(R1877="Pick","No Line",IF(S1877="","N/A",IF(S1877+I1877&gt;0,"Favorite Covered",IF(S1877+I1877&lt;0,"Underdog Covered","Push"))))</f>
        <v>Underdog Covered</v>
      </c>
      <c r="U1877" s="1" t="str">
        <f aca="false">IF(Q1877&gt;J1877,"Over",IF(Q1877&lt;J1877,"Under","Push"))</f>
        <v>Over</v>
      </c>
    </row>
    <row r="1878" customFormat="false" ht="15" hidden="false" customHeight="false" outlineLevel="0" collapsed="false">
      <c r="A1878" s="1" t="s">
        <v>582</v>
      </c>
      <c r="B1878" s="1" t="n">
        <v>2017</v>
      </c>
      <c r="C1878" s="1" t="s">
        <v>141</v>
      </c>
      <c r="D1878" s="1" t="s">
        <v>75</v>
      </c>
      <c r="E1878" s="1" t="s">
        <v>110</v>
      </c>
      <c r="F1878" s="1" t="n">
        <v>17</v>
      </c>
      <c r="G1878" s="1" t="n">
        <v>9</v>
      </c>
      <c r="H1878" s="1" t="s">
        <v>76</v>
      </c>
      <c r="I1878" s="1" t="n">
        <v>-3</v>
      </c>
      <c r="J1878" s="1" t="n">
        <v>50.5</v>
      </c>
      <c r="K1878" s="1" t="s">
        <v>168</v>
      </c>
      <c r="L1878" s="1" t="b">
        <f aca="false">FALSE()</f>
        <v>0</v>
      </c>
      <c r="M1878" s="1" t="str">
        <f aca="false">VLOOKUP(D1878,'Team Reference'!$A:$B,2,FALSE())</f>
        <v>GB</v>
      </c>
      <c r="N1878" s="1" t="str">
        <f aca="false">VLOOKUP(E1878,'Team Reference'!$A:$B,2,FALSE())</f>
        <v>SEA</v>
      </c>
      <c r="O1878" s="1" t="str">
        <f aca="false">IF(F1878&gt;G1878,M1878,IF(G1878&gt;F1878,N1878,"Tie"))</f>
        <v>GB</v>
      </c>
      <c r="P1878" s="1" t="n">
        <f aca="false">F1878-G1878</f>
        <v>8</v>
      </c>
      <c r="Q1878" s="1" t="n">
        <f aca="false">F1878+G1878</f>
        <v>26</v>
      </c>
      <c r="R1878" s="1" t="str">
        <f aca="false">IF(H1878=M1878,"Home",IF(H1878=N1878,"Away",IF(H1878="PICK","Pick","N/A")))</f>
        <v>Home</v>
      </c>
      <c r="S1878" s="1" t="n">
        <f aca="false">IF(R1878="Home",P1878,IF(R1878="Away",-P1878,""))</f>
        <v>8</v>
      </c>
      <c r="T1878" s="1" t="str">
        <f aca="false">IF(R1878="Pick","No Line",IF(S1878="","N/A",IF(S1878+I1878&gt;0,"Favorite Covered",IF(S1878+I1878&lt;0,"Underdog Covered","Push"))))</f>
        <v>Favorite Covered</v>
      </c>
      <c r="U1878" s="1" t="str">
        <f aca="false">IF(Q1878&gt;J1878,"Over",IF(Q1878&lt;J1878,"Under","Push"))</f>
        <v>Under</v>
      </c>
    </row>
    <row r="1879" customFormat="false" ht="15" hidden="false" customHeight="false" outlineLevel="0" collapsed="false">
      <c r="A1879" s="1" t="s">
        <v>582</v>
      </c>
      <c r="B1879" s="1" t="n">
        <v>2017</v>
      </c>
      <c r="C1879" s="1" t="s">
        <v>141</v>
      </c>
      <c r="D1879" s="1" t="s">
        <v>77</v>
      </c>
      <c r="E1879" s="1" t="s">
        <v>81</v>
      </c>
      <c r="F1879" s="1" t="n">
        <v>7</v>
      </c>
      <c r="G1879" s="1" t="n">
        <v>29</v>
      </c>
      <c r="H1879" s="1" t="s">
        <v>78</v>
      </c>
      <c r="I1879" s="1" t="n">
        <v>-5.5</v>
      </c>
      <c r="J1879" s="1" t="n">
        <v>39.5</v>
      </c>
      <c r="K1879" s="1" t="s">
        <v>580</v>
      </c>
      <c r="L1879" s="1" t="b">
        <f aca="false">FALSE()</f>
        <v>0</v>
      </c>
      <c r="M1879" s="1" t="str">
        <f aca="false">VLOOKUP(D1879,'Team Reference'!$A:$B,2,FALSE())</f>
        <v>HOU</v>
      </c>
      <c r="N1879" s="1" t="str">
        <f aca="false">VLOOKUP(E1879,'Team Reference'!$A:$B,2,FALSE())</f>
        <v>JAX</v>
      </c>
      <c r="O1879" s="1" t="str">
        <f aca="false">IF(F1879&gt;G1879,M1879,IF(G1879&gt;F1879,N1879,"Tie"))</f>
        <v>JAX</v>
      </c>
      <c r="P1879" s="1" t="n">
        <f aca="false">F1879-G1879</f>
        <v>-22</v>
      </c>
      <c r="Q1879" s="1" t="n">
        <f aca="false">F1879+G1879</f>
        <v>36</v>
      </c>
      <c r="R1879" s="1" t="str">
        <f aca="false">IF(H1879=M1879,"Home",IF(H1879=N1879,"Away",IF(H1879="PICK","Pick","N/A")))</f>
        <v>Home</v>
      </c>
      <c r="S1879" s="1" t="n">
        <f aca="false">IF(R1879="Home",P1879,IF(R1879="Away",-P1879,""))</f>
        <v>-22</v>
      </c>
      <c r="T1879" s="1" t="str">
        <f aca="false">IF(R1879="Pick","No Line",IF(S1879="","N/A",IF(S1879+I1879&gt;0,"Favorite Covered",IF(S1879+I1879&lt;0,"Underdog Covered","Push"))))</f>
        <v>Underdog Covered</v>
      </c>
      <c r="U1879" s="1" t="str">
        <f aca="false">IF(Q1879&gt;J1879,"Over",IF(Q1879&lt;J1879,"Under","Push"))</f>
        <v>Under</v>
      </c>
    </row>
    <row r="1880" customFormat="false" ht="15" hidden="false" customHeight="false" outlineLevel="0" collapsed="false">
      <c r="A1880" s="1" t="s">
        <v>582</v>
      </c>
      <c r="B1880" s="1" t="n">
        <v>2017</v>
      </c>
      <c r="C1880" s="1" t="s">
        <v>141</v>
      </c>
      <c r="D1880" s="1" t="s">
        <v>87</v>
      </c>
      <c r="E1880" s="1" t="s">
        <v>79</v>
      </c>
      <c r="F1880" s="1" t="n">
        <v>46</v>
      </c>
      <c r="G1880" s="1" t="n">
        <v>9</v>
      </c>
      <c r="H1880" s="1" t="s">
        <v>80</v>
      </c>
      <c r="I1880" s="1" t="n">
        <v>-1.5</v>
      </c>
      <c r="J1880" s="1" t="n">
        <v>41.5</v>
      </c>
      <c r="K1880" s="1" t="s">
        <v>520</v>
      </c>
      <c r="L1880" s="1" t="b">
        <f aca="false">FALSE()</f>
        <v>0</v>
      </c>
      <c r="M1880" s="1" t="str">
        <f aca="false">VLOOKUP(D1880,'Team Reference'!$A:$B,2,FALSE())</f>
        <v>LAR</v>
      </c>
      <c r="N1880" s="1" t="str">
        <f aca="false">VLOOKUP(E1880,'Team Reference'!$A:$B,2,FALSE())</f>
        <v>IND</v>
      </c>
      <c r="O1880" s="1" t="str">
        <f aca="false">IF(F1880&gt;G1880,M1880,IF(G1880&gt;F1880,N1880,"Tie"))</f>
        <v>LAR</v>
      </c>
      <c r="P1880" s="1" t="n">
        <f aca="false">F1880-G1880</f>
        <v>37</v>
      </c>
      <c r="Q1880" s="1" t="n">
        <f aca="false">F1880+G1880</f>
        <v>55</v>
      </c>
      <c r="R1880" s="1" t="str">
        <f aca="false">IF(H1880=M1880,"Home",IF(H1880=N1880,"Away",IF(H1880="PICK","Pick","N/A")))</f>
        <v>Away</v>
      </c>
      <c r="S1880" s="1" t="n">
        <f aca="false">IF(R1880="Home",P1880,IF(R1880="Away",-P1880,""))</f>
        <v>-37</v>
      </c>
      <c r="T1880" s="1" t="str">
        <f aca="false">IF(R1880="Pick","No Line",IF(S1880="","N/A",IF(S1880+I1880&gt;0,"Favorite Covered",IF(S1880+I1880&lt;0,"Underdog Covered","Push"))))</f>
        <v>Underdog Covered</v>
      </c>
      <c r="U1880" s="1" t="str">
        <f aca="false">IF(Q1880&gt;J1880,"Over",IF(Q1880&lt;J1880,"Under","Push"))</f>
        <v>Over</v>
      </c>
    </row>
    <row r="1881" customFormat="false" ht="15" hidden="false" customHeight="false" outlineLevel="0" collapsed="false">
      <c r="A1881" s="1" t="s">
        <v>582</v>
      </c>
      <c r="B1881" s="1" t="n">
        <v>2017</v>
      </c>
      <c r="C1881" s="1" t="s">
        <v>141</v>
      </c>
      <c r="D1881" s="1" t="s">
        <v>108</v>
      </c>
      <c r="E1881" s="1" t="s">
        <v>61</v>
      </c>
      <c r="F1881" s="1" t="n">
        <v>3</v>
      </c>
      <c r="G1881" s="1" t="n">
        <v>23</v>
      </c>
      <c r="H1881" s="1" t="s">
        <v>62</v>
      </c>
      <c r="I1881" s="1" t="n">
        <v>-5.5</v>
      </c>
      <c r="J1881" s="1" t="n">
        <v>48</v>
      </c>
      <c r="K1881" s="1" t="s">
        <v>408</v>
      </c>
      <c r="L1881" s="1" t="b">
        <f aca="false">FALSE()</f>
        <v>0</v>
      </c>
      <c r="M1881" s="1" t="str">
        <f aca="false">VLOOKUP(D1881,'Team Reference'!$A:$B,2,FALSE())</f>
        <v>SF</v>
      </c>
      <c r="N1881" s="1" t="str">
        <f aca="false">VLOOKUP(E1881,'Team Reference'!$A:$B,2,FALSE())</f>
        <v>CAR</v>
      </c>
      <c r="O1881" s="1" t="str">
        <f aca="false">IF(F1881&gt;G1881,M1881,IF(G1881&gt;F1881,N1881,"Tie"))</f>
        <v>CAR</v>
      </c>
      <c r="P1881" s="1" t="n">
        <f aca="false">F1881-G1881</f>
        <v>-20</v>
      </c>
      <c r="Q1881" s="1" t="n">
        <f aca="false">F1881+G1881</f>
        <v>26</v>
      </c>
      <c r="R1881" s="1" t="str">
        <f aca="false">IF(H1881=M1881,"Home",IF(H1881=N1881,"Away",IF(H1881="PICK","Pick","N/A")))</f>
        <v>Away</v>
      </c>
      <c r="S1881" s="1" t="n">
        <f aca="false">IF(R1881="Home",P1881,IF(R1881="Away",-P1881,""))</f>
        <v>20</v>
      </c>
      <c r="T1881" s="1" t="str">
        <f aca="false">IF(R1881="Pick","No Line",IF(S1881="","N/A",IF(S1881+I1881&gt;0,"Favorite Covered",IF(S1881+I1881&lt;0,"Underdog Covered","Push"))))</f>
        <v>Favorite Covered</v>
      </c>
      <c r="U1881" s="1" t="str">
        <f aca="false">IF(Q1881&gt;J1881,"Over",IF(Q1881&lt;J1881,"Under","Push"))</f>
        <v>Under</v>
      </c>
    </row>
    <row r="1882" customFormat="false" ht="15" hidden="false" customHeight="false" outlineLevel="0" collapsed="false">
      <c r="A1882" s="1" t="s">
        <v>582</v>
      </c>
      <c r="B1882" s="1" t="n">
        <v>2017</v>
      </c>
      <c r="C1882" s="1" t="s">
        <v>141</v>
      </c>
      <c r="D1882" s="1" t="s">
        <v>115</v>
      </c>
      <c r="E1882" s="1" t="s">
        <v>101</v>
      </c>
      <c r="F1882" s="1" t="n">
        <v>16</v>
      </c>
      <c r="G1882" s="1" t="n">
        <v>26</v>
      </c>
      <c r="H1882" s="1" t="s">
        <v>116</v>
      </c>
      <c r="I1882" s="1" t="n">
        <v>-2</v>
      </c>
      <c r="J1882" s="1" t="n">
        <v>50.5</v>
      </c>
      <c r="K1882" s="1" t="s">
        <v>584</v>
      </c>
      <c r="L1882" s="1" t="b">
        <f aca="false">FALSE()</f>
        <v>0</v>
      </c>
      <c r="M1882" s="1" t="str">
        <f aca="false">VLOOKUP(D1882,'Team Reference'!$A:$B,2,FALSE())</f>
        <v>TEN</v>
      </c>
      <c r="N1882" s="1" t="str">
        <f aca="false">VLOOKUP(E1882,'Team Reference'!$A:$B,2,FALSE())</f>
        <v>OAK</v>
      </c>
      <c r="O1882" s="1" t="str">
        <f aca="false">IF(F1882&gt;G1882,M1882,IF(G1882&gt;F1882,N1882,"Tie"))</f>
        <v>OAK</v>
      </c>
      <c r="P1882" s="1" t="n">
        <f aca="false">F1882-G1882</f>
        <v>-10</v>
      </c>
      <c r="Q1882" s="1" t="n">
        <f aca="false">F1882+G1882</f>
        <v>42</v>
      </c>
      <c r="R1882" s="1" t="str">
        <f aca="false">IF(H1882=M1882,"Home",IF(H1882=N1882,"Away",IF(H1882="PICK","Pick","N/A")))</f>
        <v>Home</v>
      </c>
      <c r="S1882" s="1" t="n">
        <f aca="false">IF(R1882="Home",P1882,IF(R1882="Away",-P1882,""))</f>
        <v>-10</v>
      </c>
      <c r="T1882" s="1" t="str">
        <f aca="false">IF(R1882="Pick","No Line",IF(S1882="","N/A",IF(S1882+I1882&gt;0,"Favorite Covered",IF(S1882+I1882&lt;0,"Underdog Covered","Push"))))</f>
        <v>Underdog Covered</v>
      </c>
      <c r="U1882" s="1" t="str">
        <f aca="false">IF(Q1882&gt;J1882,"Over",IF(Q1882&lt;J1882,"Under","Push"))</f>
        <v>Under</v>
      </c>
    </row>
    <row r="1883" customFormat="false" ht="15" hidden="false" customHeight="false" outlineLevel="0" collapsed="false">
      <c r="A1883" s="1" t="s">
        <v>582</v>
      </c>
      <c r="B1883" s="1" t="n">
        <v>2017</v>
      </c>
      <c r="C1883" s="1" t="s">
        <v>141</v>
      </c>
      <c r="D1883" s="1" t="s">
        <v>117</v>
      </c>
      <c r="E1883" s="1" t="s">
        <v>103</v>
      </c>
      <c r="F1883" s="1" t="n">
        <v>17</v>
      </c>
      <c r="G1883" s="1" t="n">
        <v>30</v>
      </c>
      <c r="H1883" s="1" t="s">
        <v>104</v>
      </c>
      <c r="I1883" s="1" t="n">
        <v>-1</v>
      </c>
      <c r="J1883" s="1" t="n">
        <v>47.5</v>
      </c>
      <c r="K1883" s="1" t="s">
        <v>156</v>
      </c>
      <c r="L1883" s="1" t="b">
        <f aca="false">FALSE()</f>
        <v>0</v>
      </c>
      <c r="M1883" s="1" t="str">
        <f aca="false">VLOOKUP(D1883,'Team Reference'!$A:$B,2,FALSE())</f>
        <v>WAS</v>
      </c>
      <c r="N1883" s="1" t="str">
        <f aca="false">VLOOKUP(E1883,'Team Reference'!$A:$B,2,FALSE())</f>
        <v>PHI</v>
      </c>
      <c r="O1883" s="1" t="str">
        <f aca="false">IF(F1883&gt;G1883,M1883,IF(G1883&gt;F1883,N1883,"Tie"))</f>
        <v>PHI</v>
      </c>
      <c r="P1883" s="1" t="n">
        <f aca="false">F1883-G1883</f>
        <v>-13</v>
      </c>
      <c r="Q1883" s="1" t="n">
        <f aca="false">F1883+G1883</f>
        <v>47</v>
      </c>
      <c r="R1883" s="1" t="str">
        <f aca="false">IF(H1883=M1883,"Home",IF(H1883=N1883,"Away",IF(H1883="PICK","Pick","N/A")))</f>
        <v>Away</v>
      </c>
      <c r="S1883" s="1" t="n">
        <f aca="false">IF(R1883="Home",P1883,IF(R1883="Away",-P1883,""))</f>
        <v>13</v>
      </c>
      <c r="T1883" s="1" t="str">
        <f aca="false">IF(R1883="Pick","No Line",IF(S1883="","N/A",IF(S1883+I1883&gt;0,"Favorite Covered",IF(S1883+I1883&lt;0,"Underdog Covered","Push"))))</f>
        <v>Favorite Covered</v>
      </c>
      <c r="U1883" s="1" t="str">
        <f aca="false">IF(Q1883&gt;J1883,"Over",IF(Q1883&lt;J1883,"Under","Push"))</f>
        <v>Under</v>
      </c>
    </row>
    <row r="1884" customFormat="false" ht="15" hidden="false" customHeight="false" outlineLevel="0" collapsed="false">
      <c r="A1884" s="1" t="s">
        <v>585</v>
      </c>
      <c r="B1884" s="1" t="n">
        <v>2017</v>
      </c>
      <c r="C1884" s="1" t="s">
        <v>141</v>
      </c>
      <c r="D1884" s="1" t="s">
        <v>71</v>
      </c>
      <c r="E1884" s="1" t="s">
        <v>85</v>
      </c>
      <c r="F1884" s="1" t="n">
        <v>24</v>
      </c>
      <c r="G1884" s="1" t="n">
        <v>21</v>
      </c>
      <c r="H1884" s="1" t="s">
        <v>72</v>
      </c>
      <c r="I1884" s="1" t="n">
        <v>-3.5</v>
      </c>
      <c r="J1884" s="1" t="n">
        <v>43.5</v>
      </c>
      <c r="K1884" s="1" t="s">
        <v>166</v>
      </c>
      <c r="L1884" s="1" t="b">
        <f aca="false">FALSE()</f>
        <v>0</v>
      </c>
      <c r="M1884" s="1" t="str">
        <f aca="false">VLOOKUP(D1884,'Team Reference'!$A:$B,2,FALSE())</f>
        <v>DEN</v>
      </c>
      <c r="N1884" s="1" t="str">
        <f aca="false">VLOOKUP(E1884,'Team Reference'!$A:$B,2,FALSE())</f>
        <v>LAC</v>
      </c>
      <c r="O1884" s="1" t="str">
        <f aca="false">IF(F1884&gt;G1884,M1884,IF(G1884&gt;F1884,N1884,"Tie"))</f>
        <v>DEN</v>
      </c>
      <c r="P1884" s="1" t="n">
        <f aca="false">F1884-G1884</f>
        <v>3</v>
      </c>
      <c r="Q1884" s="1" t="n">
        <f aca="false">F1884+G1884</f>
        <v>45</v>
      </c>
      <c r="R1884" s="1" t="str">
        <f aca="false">IF(H1884=M1884,"Home",IF(H1884=N1884,"Away",IF(H1884="PICK","Pick","N/A")))</f>
        <v>Home</v>
      </c>
      <c r="S1884" s="1" t="n">
        <f aca="false">IF(R1884="Home",P1884,IF(R1884="Away",-P1884,""))</f>
        <v>3</v>
      </c>
      <c r="T1884" s="1" t="str">
        <f aca="false">IF(R1884="Pick","No Line",IF(S1884="","N/A",IF(S1884+I1884&gt;0,"Favorite Covered",IF(S1884+I1884&lt;0,"Underdog Covered","Push"))))</f>
        <v>Underdog Covered</v>
      </c>
      <c r="U1884" s="1" t="str">
        <f aca="false">IF(Q1884&gt;J1884,"Over",IF(Q1884&lt;J1884,"Under","Push"))</f>
        <v>Over</v>
      </c>
    </row>
    <row r="1885" customFormat="false" ht="15" hidden="false" customHeight="false" outlineLevel="0" collapsed="false">
      <c r="A1885" s="1" t="s">
        <v>585</v>
      </c>
      <c r="B1885" s="1" t="n">
        <v>2017</v>
      </c>
      <c r="C1885" s="1" t="s">
        <v>141</v>
      </c>
      <c r="D1885" s="1" t="s">
        <v>91</v>
      </c>
      <c r="E1885" s="1" t="s">
        <v>95</v>
      </c>
      <c r="F1885" s="1" t="n">
        <v>29</v>
      </c>
      <c r="G1885" s="1" t="n">
        <v>19</v>
      </c>
      <c r="H1885" s="1" t="s">
        <v>92</v>
      </c>
      <c r="I1885" s="1" t="n">
        <v>-3.5</v>
      </c>
      <c r="J1885" s="1" t="n">
        <v>48</v>
      </c>
      <c r="K1885" s="1" t="s">
        <v>525</v>
      </c>
      <c r="L1885" s="1" t="b">
        <f aca="false">FALSE()</f>
        <v>0</v>
      </c>
      <c r="M1885" s="1" t="str">
        <f aca="false">VLOOKUP(D1885,'Team Reference'!$A:$B,2,FALSE())</f>
        <v>MIN</v>
      </c>
      <c r="N1885" s="1" t="str">
        <f aca="false">VLOOKUP(E1885,'Team Reference'!$A:$B,2,FALSE())</f>
        <v>NO</v>
      </c>
      <c r="O1885" s="1" t="str">
        <f aca="false">IF(F1885&gt;G1885,M1885,IF(G1885&gt;F1885,N1885,"Tie"))</f>
        <v>MIN</v>
      </c>
      <c r="P1885" s="1" t="n">
        <f aca="false">F1885-G1885</f>
        <v>10</v>
      </c>
      <c r="Q1885" s="1" t="n">
        <f aca="false">F1885+G1885</f>
        <v>48</v>
      </c>
      <c r="R1885" s="1" t="str">
        <f aca="false">IF(H1885=M1885,"Home",IF(H1885=N1885,"Away",IF(H1885="PICK","Pick","N/A")))</f>
        <v>Home</v>
      </c>
      <c r="S1885" s="1" t="n">
        <f aca="false">IF(R1885="Home",P1885,IF(R1885="Away",-P1885,""))</f>
        <v>10</v>
      </c>
      <c r="T1885" s="1" t="str">
        <f aca="false">IF(R1885="Pick","No Line",IF(S1885="","N/A",IF(S1885+I1885&gt;0,"Favorite Covered",IF(S1885+I1885&lt;0,"Underdog Covered","Push"))))</f>
        <v>Favorite Covered</v>
      </c>
      <c r="U1885" s="1" t="str">
        <f aca="false">IF(Q1885&gt;J1885,"Over",IF(Q1885&lt;J1885,"Under","Push"))</f>
        <v>Push</v>
      </c>
    </row>
    <row r="1886" customFormat="false" ht="15" hidden="false" customHeight="false" outlineLevel="0" collapsed="false">
      <c r="A1886" s="1" t="s">
        <v>586</v>
      </c>
      <c r="B1886" s="1" t="n">
        <v>2017</v>
      </c>
      <c r="C1886" s="1" t="s">
        <v>160</v>
      </c>
      <c r="D1886" s="1" t="s">
        <v>65</v>
      </c>
      <c r="E1886" s="1" t="s">
        <v>77</v>
      </c>
      <c r="F1886" s="1" t="n">
        <v>9</v>
      </c>
      <c r="G1886" s="1" t="n">
        <v>13</v>
      </c>
      <c r="H1886" s="1" t="s">
        <v>66</v>
      </c>
      <c r="I1886" s="1" t="n">
        <v>-6.5</v>
      </c>
      <c r="J1886" s="1" t="n">
        <v>38</v>
      </c>
      <c r="K1886" s="1" t="s">
        <v>163</v>
      </c>
      <c r="L1886" s="1" t="b">
        <f aca="false">FALSE()</f>
        <v>0</v>
      </c>
      <c r="M1886" s="1" t="str">
        <f aca="false">VLOOKUP(D1886,'Team Reference'!$A:$B,2,FALSE())</f>
        <v>CIN</v>
      </c>
      <c r="N1886" s="1" t="str">
        <f aca="false">VLOOKUP(E1886,'Team Reference'!$A:$B,2,FALSE())</f>
        <v>HOU</v>
      </c>
      <c r="O1886" s="1" t="str">
        <f aca="false">IF(F1886&gt;G1886,M1886,IF(G1886&gt;F1886,N1886,"Tie"))</f>
        <v>HOU</v>
      </c>
      <c r="P1886" s="1" t="n">
        <f aca="false">F1886-G1886</f>
        <v>-4</v>
      </c>
      <c r="Q1886" s="1" t="n">
        <f aca="false">F1886+G1886</f>
        <v>22</v>
      </c>
      <c r="R1886" s="1" t="str">
        <f aca="false">IF(H1886=M1886,"Home",IF(H1886=N1886,"Away",IF(H1886="PICK","Pick","N/A")))</f>
        <v>Home</v>
      </c>
      <c r="S1886" s="1" t="n">
        <f aca="false">IF(R1886="Home",P1886,IF(R1886="Away",-P1886,""))</f>
        <v>-4</v>
      </c>
      <c r="T1886" s="1" t="str">
        <f aca="false">IF(R1886="Pick","No Line",IF(S1886="","N/A",IF(S1886+I1886&gt;0,"Favorite Covered",IF(S1886+I1886&lt;0,"Underdog Covered","Push"))))</f>
        <v>Underdog Covered</v>
      </c>
      <c r="U1886" s="1" t="str">
        <f aca="false">IF(Q1886&gt;J1886,"Over",IF(Q1886&lt;J1886,"Under","Push"))</f>
        <v>Under</v>
      </c>
    </row>
    <row r="1887" customFormat="false" ht="15" hidden="false" customHeight="false" outlineLevel="0" collapsed="false">
      <c r="A1887" s="1" t="s">
        <v>587</v>
      </c>
      <c r="B1887" s="1" t="n">
        <v>2017</v>
      </c>
      <c r="C1887" s="1" t="s">
        <v>160</v>
      </c>
      <c r="D1887" s="1" t="s">
        <v>55</v>
      </c>
      <c r="E1887" s="1" t="s">
        <v>75</v>
      </c>
      <c r="F1887" s="1" t="n">
        <v>34</v>
      </c>
      <c r="G1887" s="1" t="n">
        <v>23</v>
      </c>
      <c r="H1887" s="1" t="s">
        <v>56</v>
      </c>
      <c r="I1887" s="1" t="n">
        <v>-2.5</v>
      </c>
      <c r="J1887" s="1" t="n">
        <v>41</v>
      </c>
      <c r="K1887" s="1" t="s">
        <v>161</v>
      </c>
      <c r="L1887" s="1" t="b">
        <f aca="false">FALSE()</f>
        <v>0</v>
      </c>
      <c r="M1887" s="1" t="str">
        <f aca="false">VLOOKUP(D1887,'Team Reference'!$A:$B,2,FALSE())</f>
        <v>ATL</v>
      </c>
      <c r="N1887" s="1" t="str">
        <f aca="false">VLOOKUP(E1887,'Team Reference'!$A:$B,2,FALSE())</f>
        <v>GB</v>
      </c>
      <c r="O1887" s="1" t="str">
        <f aca="false">IF(F1887&gt;G1887,M1887,IF(G1887&gt;F1887,N1887,"Tie"))</f>
        <v>ATL</v>
      </c>
      <c r="P1887" s="1" t="n">
        <f aca="false">F1887-G1887</f>
        <v>11</v>
      </c>
      <c r="Q1887" s="1" t="n">
        <f aca="false">F1887+G1887</f>
        <v>57</v>
      </c>
      <c r="R1887" s="1" t="str">
        <f aca="false">IF(H1887=M1887,"Home",IF(H1887=N1887,"Away",IF(H1887="PICK","Pick","N/A")))</f>
        <v>Home</v>
      </c>
      <c r="S1887" s="1" t="n">
        <f aca="false">IF(R1887="Home",P1887,IF(R1887="Away",-P1887,""))</f>
        <v>11</v>
      </c>
      <c r="T1887" s="1" t="str">
        <f aca="false">IF(R1887="Pick","No Line",IF(S1887="","N/A",IF(S1887+I1887&gt;0,"Favorite Covered",IF(S1887+I1887&lt;0,"Underdog Covered","Push"))))</f>
        <v>Favorite Covered</v>
      </c>
      <c r="U1887" s="1" t="str">
        <f aca="false">IF(Q1887&gt;J1887,"Over",IF(Q1887&lt;J1887,"Under","Push"))</f>
        <v>Over</v>
      </c>
    </row>
    <row r="1888" customFormat="false" ht="15" hidden="false" customHeight="false" outlineLevel="0" collapsed="false">
      <c r="A1888" s="1" t="s">
        <v>587</v>
      </c>
      <c r="B1888" s="1" t="n">
        <v>2017</v>
      </c>
      <c r="C1888" s="1" t="s">
        <v>160</v>
      </c>
      <c r="D1888" s="1" t="s">
        <v>57</v>
      </c>
      <c r="E1888" s="1" t="s">
        <v>67</v>
      </c>
      <c r="F1888" s="1" t="n">
        <v>24</v>
      </c>
      <c r="G1888" s="1" t="n">
        <v>10</v>
      </c>
      <c r="H1888" s="1" t="s">
        <v>58</v>
      </c>
      <c r="I1888" s="1" t="n">
        <v>-7.5</v>
      </c>
      <c r="J1888" s="1" t="n">
        <v>40</v>
      </c>
      <c r="K1888" s="1" t="s">
        <v>178</v>
      </c>
      <c r="L1888" s="1" t="b">
        <f aca="false">FALSE()</f>
        <v>0</v>
      </c>
      <c r="M1888" s="1" t="str">
        <f aca="false">VLOOKUP(D1888,'Team Reference'!$A:$B,2,FALSE())</f>
        <v>BAL</v>
      </c>
      <c r="N1888" s="1" t="str">
        <f aca="false">VLOOKUP(E1888,'Team Reference'!$A:$B,2,FALSE())</f>
        <v>CLE</v>
      </c>
      <c r="O1888" s="1" t="str">
        <f aca="false">IF(F1888&gt;G1888,M1888,IF(G1888&gt;F1888,N1888,"Tie"))</f>
        <v>BAL</v>
      </c>
      <c r="P1888" s="1" t="n">
        <f aca="false">F1888-G1888</f>
        <v>14</v>
      </c>
      <c r="Q1888" s="1" t="n">
        <f aca="false">F1888+G1888</f>
        <v>34</v>
      </c>
      <c r="R1888" s="1" t="str">
        <f aca="false">IF(H1888=M1888,"Home",IF(H1888=N1888,"Away",IF(H1888="PICK","Pick","N/A")))</f>
        <v>Home</v>
      </c>
      <c r="S1888" s="1" t="n">
        <f aca="false">IF(R1888="Home",P1888,IF(R1888="Away",-P1888,""))</f>
        <v>14</v>
      </c>
      <c r="T1888" s="1" t="str">
        <f aca="false">IF(R1888="Pick","No Line",IF(S1888="","N/A",IF(S1888+I1888&gt;0,"Favorite Covered",IF(S1888+I1888&lt;0,"Underdog Covered","Push"))))</f>
        <v>Favorite Covered</v>
      </c>
      <c r="U1888" s="1" t="str">
        <f aca="false">IF(Q1888&gt;J1888,"Over",IF(Q1888&lt;J1888,"Under","Push"))</f>
        <v>Under</v>
      </c>
    </row>
    <row r="1889" customFormat="false" ht="15" hidden="false" customHeight="false" outlineLevel="0" collapsed="false">
      <c r="A1889" s="1" t="s">
        <v>587</v>
      </c>
      <c r="B1889" s="1" t="n">
        <v>2017</v>
      </c>
      <c r="C1889" s="1" t="s">
        <v>160</v>
      </c>
      <c r="D1889" s="1" t="s">
        <v>61</v>
      </c>
      <c r="E1889" s="1" t="s">
        <v>59</v>
      </c>
      <c r="F1889" s="1" t="n">
        <v>9</v>
      </c>
      <c r="G1889" s="1" t="n">
        <v>3</v>
      </c>
      <c r="H1889" s="1" t="s">
        <v>62</v>
      </c>
      <c r="I1889" s="1" t="n">
        <v>-7</v>
      </c>
      <c r="J1889" s="1" t="n">
        <v>42.5</v>
      </c>
      <c r="K1889" s="1" t="s">
        <v>162</v>
      </c>
      <c r="L1889" s="1" t="b">
        <f aca="false">FALSE()</f>
        <v>0</v>
      </c>
      <c r="M1889" s="1" t="str">
        <f aca="false">VLOOKUP(D1889,'Team Reference'!$A:$B,2,FALSE())</f>
        <v>CAR</v>
      </c>
      <c r="N1889" s="1" t="str">
        <f aca="false">VLOOKUP(E1889,'Team Reference'!$A:$B,2,FALSE())</f>
        <v>BUF</v>
      </c>
      <c r="O1889" s="1" t="str">
        <f aca="false">IF(F1889&gt;G1889,M1889,IF(G1889&gt;F1889,N1889,"Tie"))</f>
        <v>CAR</v>
      </c>
      <c r="P1889" s="1" t="n">
        <f aca="false">F1889-G1889</f>
        <v>6</v>
      </c>
      <c r="Q1889" s="1" t="n">
        <f aca="false">F1889+G1889</f>
        <v>12</v>
      </c>
      <c r="R1889" s="1" t="str">
        <f aca="false">IF(H1889=M1889,"Home",IF(H1889=N1889,"Away",IF(H1889="PICK","Pick","N/A")))</f>
        <v>Home</v>
      </c>
      <c r="S1889" s="1" t="n">
        <f aca="false">IF(R1889="Home",P1889,IF(R1889="Away",-P1889,""))</f>
        <v>6</v>
      </c>
      <c r="T1889" s="1" t="str">
        <f aca="false">IF(R1889="Pick","No Line",IF(S1889="","N/A",IF(S1889+I1889&gt;0,"Favorite Covered",IF(S1889+I1889&lt;0,"Underdog Covered","Push"))))</f>
        <v>Underdog Covered</v>
      </c>
      <c r="U1889" s="1" t="str">
        <f aca="false">IF(Q1889&gt;J1889,"Over",IF(Q1889&lt;J1889,"Under","Push"))</f>
        <v>Under</v>
      </c>
    </row>
    <row r="1890" customFormat="false" ht="15" hidden="false" customHeight="false" outlineLevel="0" collapsed="false">
      <c r="A1890" s="1" t="s">
        <v>587</v>
      </c>
      <c r="B1890" s="1" t="n">
        <v>2017</v>
      </c>
      <c r="C1890" s="1" t="s">
        <v>160</v>
      </c>
      <c r="D1890" s="1" t="s">
        <v>71</v>
      </c>
      <c r="E1890" s="1" t="s">
        <v>69</v>
      </c>
      <c r="F1890" s="1" t="n">
        <v>42</v>
      </c>
      <c r="G1890" s="1" t="n">
        <v>17</v>
      </c>
      <c r="H1890" s="1" t="s">
        <v>70</v>
      </c>
      <c r="I1890" s="1" t="n">
        <v>-2</v>
      </c>
      <c r="J1890" s="1" t="n">
        <v>42</v>
      </c>
      <c r="K1890" s="1" t="s">
        <v>166</v>
      </c>
      <c r="L1890" s="1" t="b">
        <f aca="false">FALSE()</f>
        <v>0</v>
      </c>
      <c r="M1890" s="1" t="str">
        <f aca="false">VLOOKUP(D1890,'Team Reference'!$A:$B,2,FALSE())</f>
        <v>DEN</v>
      </c>
      <c r="N1890" s="1" t="str">
        <f aca="false">VLOOKUP(E1890,'Team Reference'!$A:$B,2,FALSE())</f>
        <v>DAL</v>
      </c>
      <c r="O1890" s="1" t="str">
        <f aca="false">IF(F1890&gt;G1890,M1890,IF(G1890&gt;F1890,N1890,"Tie"))</f>
        <v>DEN</v>
      </c>
      <c r="P1890" s="1" t="n">
        <f aca="false">F1890-G1890</f>
        <v>25</v>
      </c>
      <c r="Q1890" s="1" t="n">
        <f aca="false">F1890+G1890</f>
        <v>59</v>
      </c>
      <c r="R1890" s="1" t="str">
        <f aca="false">IF(H1890=M1890,"Home",IF(H1890=N1890,"Away",IF(H1890="PICK","Pick","N/A")))</f>
        <v>Away</v>
      </c>
      <c r="S1890" s="1" t="n">
        <f aca="false">IF(R1890="Home",P1890,IF(R1890="Away",-P1890,""))</f>
        <v>-25</v>
      </c>
      <c r="T1890" s="1" t="str">
        <f aca="false">IF(R1890="Pick","No Line",IF(S1890="","N/A",IF(S1890+I1890&gt;0,"Favorite Covered",IF(S1890+I1890&lt;0,"Underdog Covered","Push"))))</f>
        <v>Underdog Covered</v>
      </c>
      <c r="U1890" s="1" t="str">
        <f aca="false">IF(Q1890&gt;J1890,"Over",IF(Q1890&lt;J1890,"Under","Push"))</f>
        <v>Over</v>
      </c>
    </row>
    <row r="1891" customFormat="false" ht="15" hidden="false" customHeight="false" outlineLevel="0" collapsed="false">
      <c r="A1891" s="1" t="s">
        <v>587</v>
      </c>
      <c r="B1891" s="1" t="n">
        <v>2017</v>
      </c>
      <c r="C1891" s="1" t="s">
        <v>160</v>
      </c>
      <c r="D1891" s="1" t="s">
        <v>79</v>
      </c>
      <c r="E1891" s="1" t="s">
        <v>53</v>
      </c>
      <c r="F1891" s="1" t="n">
        <v>13</v>
      </c>
      <c r="G1891" s="1" t="n">
        <v>16</v>
      </c>
      <c r="H1891" s="1" t="s">
        <v>54</v>
      </c>
      <c r="I1891" s="1" t="n">
        <v>-7.5</v>
      </c>
      <c r="J1891" s="1" t="n">
        <v>44.5</v>
      </c>
      <c r="K1891" s="1" t="s">
        <v>169</v>
      </c>
      <c r="L1891" s="1" t="b">
        <f aca="false">FALSE()</f>
        <v>0</v>
      </c>
      <c r="M1891" s="1" t="str">
        <f aca="false">VLOOKUP(D1891,'Team Reference'!$A:$B,2,FALSE())</f>
        <v>IND</v>
      </c>
      <c r="N1891" s="1" t="str">
        <f aca="false">VLOOKUP(E1891,'Team Reference'!$A:$B,2,FALSE())</f>
        <v>ARI</v>
      </c>
      <c r="O1891" s="1" t="str">
        <f aca="false">IF(F1891&gt;G1891,M1891,IF(G1891&gt;F1891,N1891,"Tie"))</f>
        <v>ARI</v>
      </c>
      <c r="P1891" s="1" t="n">
        <f aca="false">F1891-G1891</f>
        <v>-3</v>
      </c>
      <c r="Q1891" s="1" t="n">
        <f aca="false">F1891+G1891</f>
        <v>29</v>
      </c>
      <c r="R1891" s="1" t="str">
        <f aca="false">IF(H1891=M1891,"Home",IF(H1891=N1891,"Away",IF(H1891="PICK","Pick","N/A")))</f>
        <v>Away</v>
      </c>
      <c r="S1891" s="1" t="n">
        <f aca="false">IF(R1891="Home",P1891,IF(R1891="Away",-P1891,""))</f>
        <v>3</v>
      </c>
      <c r="T1891" s="1" t="str">
        <f aca="false">IF(R1891="Pick","No Line",IF(S1891="","N/A",IF(S1891+I1891&gt;0,"Favorite Covered",IF(S1891+I1891&lt;0,"Underdog Covered","Push"))))</f>
        <v>Underdog Covered</v>
      </c>
      <c r="U1891" s="1" t="str">
        <f aca="false">IF(Q1891&gt;J1891,"Over",IF(Q1891&lt;J1891,"Under","Push"))</f>
        <v>Under</v>
      </c>
    </row>
    <row r="1892" customFormat="false" ht="15" hidden="false" customHeight="false" outlineLevel="0" collapsed="false">
      <c r="A1892" s="1" t="s">
        <v>587</v>
      </c>
      <c r="B1892" s="1" t="n">
        <v>2017</v>
      </c>
      <c r="C1892" s="1" t="s">
        <v>160</v>
      </c>
      <c r="D1892" s="1" t="s">
        <v>81</v>
      </c>
      <c r="E1892" s="1" t="s">
        <v>115</v>
      </c>
      <c r="F1892" s="1" t="n">
        <v>16</v>
      </c>
      <c r="G1892" s="1" t="n">
        <v>37</v>
      </c>
      <c r="H1892" s="1" t="s">
        <v>116</v>
      </c>
      <c r="I1892" s="1" t="n">
        <v>-1.5</v>
      </c>
      <c r="J1892" s="1" t="n">
        <v>43.5</v>
      </c>
      <c r="K1892" s="1" t="s">
        <v>147</v>
      </c>
      <c r="L1892" s="1" t="b">
        <f aca="false">FALSE()</f>
        <v>0</v>
      </c>
      <c r="M1892" s="1" t="str">
        <f aca="false">VLOOKUP(D1892,'Team Reference'!$A:$B,2,FALSE())</f>
        <v>JAX</v>
      </c>
      <c r="N1892" s="1" t="str">
        <f aca="false">VLOOKUP(E1892,'Team Reference'!$A:$B,2,FALSE())</f>
        <v>TEN</v>
      </c>
      <c r="O1892" s="1" t="str">
        <f aca="false">IF(F1892&gt;G1892,M1892,IF(G1892&gt;F1892,N1892,"Tie"))</f>
        <v>TEN</v>
      </c>
      <c r="P1892" s="1" t="n">
        <f aca="false">F1892-G1892</f>
        <v>-21</v>
      </c>
      <c r="Q1892" s="1" t="n">
        <f aca="false">F1892+G1892</f>
        <v>53</v>
      </c>
      <c r="R1892" s="1" t="str">
        <f aca="false">IF(H1892=M1892,"Home",IF(H1892=N1892,"Away",IF(H1892="PICK","Pick","N/A")))</f>
        <v>Away</v>
      </c>
      <c r="S1892" s="1" t="n">
        <f aca="false">IF(R1892="Home",P1892,IF(R1892="Away",-P1892,""))</f>
        <v>21</v>
      </c>
      <c r="T1892" s="1" t="str">
        <f aca="false">IF(R1892="Pick","No Line",IF(S1892="","N/A",IF(S1892+I1892&gt;0,"Favorite Covered",IF(S1892+I1892&lt;0,"Underdog Covered","Push"))))</f>
        <v>Favorite Covered</v>
      </c>
      <c r="U1892" s="1" t="str">
        <f aca="false">IF(Q1892&gt;J1892,"Over",IF(Q1892&lt;J1892,"Under","Push"))</f>
        <v>Over</v>
      </c>
    </row>
    <row r="1893" customFormat="false" ht="15" hidden="false" customHeight="false" outlineLevel="0" collapsed="false">
      <c r="A1893" s="1" t="s">
        <v>587</v>
      </c>
      <c r="B1893" s="1" t="n">
        <v>2017</v>
      </c>
      <c r="C1893" s="1" t="s">
        <v>160</v>
      </c>
      <c r="D1893" s="1" t="s">
        <v>83</v>
      </c>
      <c r="E1893" s="1" t="s">
        <v>103</v>
      </c>
      <c r="F1893" s="1" t="n">
        <v>27</v>
      </c>
      <c r="G1893" s="1" t="n">
        <v>20</v>
      </c>
      <c r="H1893" s="1" t="s">
        <v>84</v>
      </c>
      <c r="I1893" s="1" t="n">
        <v>-4.5</v>
      </c>
      <c r="J1893" s="1" t="n">
        <v>47.5</v>
      </c>
      <c r="K1893" s="1" t="s">
        <v>158</v>
      </c>
      <c r="L1893" s="1" t="b">
        <f aca="false">FALSE()</f>
        <v>0</v>
      </c>
      <c r="M1893" s="1" t="str">
        <f aca="false">VLOOKUP(D1893,'Team Reference'!$A:$B,2,FALSE())</f>
        <v>KC</v>
      </c>
      <c r="N1893" s="1" t="str">
        <f aca="false">VLOOKUP(E1893,'Team Reference'!$A:$B,2,FALSE())</f>
        <v>PHI</v>
      </c>
      <c r="O1893" s="1" t="str">
        <f aca="false">IF(F1893&gt;G1893,M1893,IF(G1893&gt;F1893,N1893,"Tie"))</f>
        <v>KC</v>
      </c>
      <c r="P1893" s="1" t="n">
        <f aca="false">F1893-G1893</f>
        <v>7</v>
      </c>
      <c r="Q1893" s="1" t="n">
        <f aca="false">F1893+G1893</f>
        <v>47</v>
      </c>
      <c r="R1893" s="1" t="str">
        <f aca="false">IF(H1893=M1893,"Home",IF(H1893=N1893,"Away",IF(H1893="PICK","Pick","N/A")))</f>
        <v>Home</v>
      </c>
      <c r="S1893" s="1" t="n">
        <f aca="false">IF(R1893="Home",P1893,IF(R1893="Away",-P1893,""))</f>
        <v>7</v>
      </c>
      <c r="T1893" s="1" t="str">
        <f aca="false">IF(R1893="Pick","No Line",IF(S1893="","N/A",IF(S1893+I1893&gt;0,"Favorite Covered",IF(S1893+I1893&lt;0,"Underdog Covered","Push"))))</f>
        <v>Favorite Covered</v>
      </c>
      <c r="U1893" s="1" t="str">
        <f aca="false">IF(Q1893&gt;J1893,"Over",IF(Q1893&lt;J1893,"Under","Push"))</f>
        <v>Under</v>
      </c>
    </row>
    <row r="1894" customFormat="false" ht="15" hidden="false" customHeight="false" outlineLevel="0" collapsed="false">
      <c r="A1894" s="1" t="s">
        <v>587</v>
      </c>
      <c r="B1894" s="1" t="n">
        <v>2017</v>
      </c>
      <c r="C1894" s="1" t="s">
        <v>160</v>
      </c>
      <c r="D1894" s="1" t="s">
        <v>85</v>
      </c>
      <c r="E1894" s="1" t="s">
        <v>89</v>
      </c>
      <c r="F1894" s="1" t="n">
        <v>17</v>
      </c>
      <c r="G1894" s="1" t="n">
        <v>19</v>
      </c>
      <c r="H1894" s="1" t="s">
        <v>86</v>
      </c>
      <c r="I1894" s="1" t="n">
        <v>-4.5</v>
      </c>
      <c r="J1894" s="1" t="n">
        <v>45</v>
      </c>
      <c r="K1894" s="1" t="s">
        <v>588</v>
      </c>
      <c r="L1894" s="1" t="b">
        <f aca="false">FALSE()</f>
        <v>0</v>
      </c>
      <c r="M1894" s="1" t="str">
        <f aca="false">VLOOKUP(D1894,'Team Reference'!$A:$B,2,FALSE())</f>
        <v>LAC</v>
      </c>
      <c r="N1894" s="1" t="str">
        <f aca="false">VLOOKUP(E1894,'Team Reference'!$A:$B,2,FALSE())</f>
        <v>MIA</v>
      </c>
      <c r="O1894" s="1" t="str">
        <f aca="false">IF(F1894&gt;G1894,M1894,IF(G1894&gt;F1894,N1894,"Tie"))</f>
        <v>MIA</v>
      </c>
      <c r="P1894" s="1" t="n">
        <f aca="false">F1894-G1894</f>
        <v>-2</v>
      </c>
      <c r="Q1894" s="1" t="n">
        <f aca="false">F1894+G1894</f>
        <v>36</v>
      </c>
      <c r="R1894" s="1" t="str">
        <f aca="false">IF(H1894=M1894,"Home",IF(H1894=N1894,"Away",IF(H1894="PICK","Pick","N/A")))</f>
        <v>Home</v>
      </c>
      <c r="S1894" s="1" t="n">
        <f aca="false">IF(R1894="Home",P1894,IF(R1894="Away",-P1894,""))</f>
        <v>-2</v>
      </c>
      <c r="T1894" s="1" t="str">
        <f aca="false">IF(R1894="Pick","No Line",IF(S1894="","N/A",IF(S1894+I1894&gt;0,"Favorite Covered",IF(S1894+I1894&lt;0,"Underdog Covered","Push"))))</f>
        <v>Underdog Covered</v>
      </c>
      <c r="U1894" s="1" t="str">
        <f aca="false">IF(Q1894&gt;J1894,"Over",IF(Q1894&lt;J1894,"Under","Push"))</f>
        <v>Under</v>
      </c>
    </row>
    <row r="1895" customFormat="false" ht="15" hidden="false" customHeight="false" outlineLevel="0" collapsed="false">
      <c r="A1895" s="1" t="s">
        <v>587</v>
      </c>
      <c r="B1895" s="1" t="n">
        <v>2017</v>
      </c>
      <c r="C1895" s="1" t="s">
        <v>160</v>
      </c>
      <c r="D1895" s="1" t="s">
        <v>87</v>
      </c>
      <c r="E1895" s="1" t="s">
        <v>117</v>
      </c>
      <c r="F1895" s="1" t="n">
        <v>20</v>
      </c>
      <c r="G1895" s="1" t="n">
        <v>27</v>
      </c>
      <c r="H1895" s="1" t="s">
        <v>88</v>
      </c>
      <c r="I1895" s="1" t="n">
        <v>-2.5</v>
      </c>
      <c r="J1895" s="1" t="n">
        <v>46</v>
      </c>
      <c r="K1895" s="1" t="s">
        <v>520</v>
      </c>
      <c r="L1895" s="1" t="b">
        <f aca="false">FALSE()</f>
        <v>0</v>
      </c>
      <c r="M1895" s="1" t="str">
        <f aca="false">VLOOKUP(D1895,'Team Reference'!$A:$B,2,FALSE())</f>
        <v>LAR</v>
      </c>
      <c r="N1895" s="1" t="str">
        <f aca="false">VLOOKUP(E1895,'Team Reference'!$A:$B,2,FALSE())</f>
        <v>WAS</v>
      </c>
      <c r="O1895" s="1" t="str">
        <f aca="false">IF(F1895&gt;G1895,M1895,IF(G1895&gt;F1895,N1895,"Tie"))</f>
        <v>WAS</v>
      </c>
      <c r="P1895" s="1" t="n">
        <f aca="false">F1895-G1895</f>
        <v>-7</v>
      </c>
      <c r="Q1895" s="1" t="n">
        <f aca="false">F1895+G1895</f>
        <v>47</v>
      </c>
      <c r="R1895" s="1" t="str">
        <f aca="false">IF(H1895=M1895,"Home",IF(H1895=N1895,"Away",IF(H1895="PICK","Pick","N/A")))</f>
        <v>Home</v>
      </c>
      <c r="S1895" s="1" t="n">
        <f aca="false">IF(R1895="Home",P1895,IF(R1895="Away",-P1895,""))</f>
        <v>-7</v>
      </c>
      <c r="T1895" s="1" t="str">
        <f aca="false">IF(R1895="Pick","No Line",IF(S1895="","N/A",IF(S1895+I1895&gt;0,"Favorite Covered",IF(S1895+I1895&lt;0,"Underdog Covered","Push"))))</f>
        <v>Underdog Covered</v>
      </c>
      <c r="U1895" s="1" t="str">
        <f aca="false">IF(Q1895&gt;J1895,"Over",IF(Q1895&lt;J1895,"Under","Push"))</f>
        <v>Over</v>
      </c>
    </row>
    <row r="1896" customFormat="false" ht="15" hidden="false" customHeight="false" outlineLevel="0" collapsed="false">
      <c r="A1896" s="1" t="s">
        <v>587</v>
      </c>
      <c r="B1896" s="1" t="n">
        <v>2017</v>
      </c>
      <c r="C1896" s="1" t="s">
        <v>160</v>
      </c>
      <c r="D1896" s="1" t="s">
        <v>95</v>
      </c>
      <c r="E1896" s="1" t="s">
        <v>93</v>
      </c>
      <c r="F1896" s="1" t="n">
        <v>20</v>
      </c>
      <c r="G1896" s="1" t="n">
        <v>36</v>
      </c>
      <c r="H1896" s="1" t="s">
        <v>94</v>
      </c>
      <c r="I1896" s="1" t="n">
        <v>-7</v>
      </c>
      <c r="J1896" s="1" t="n">
        <v>55</v>
      </c>
      <c r="K1896" s="1" t="s">
        <v>347</v>
      </c>
      <c r="L1896" s="1" t="b">
        <f aca="false">FALSE()</f>
        <v>0</v>
      </c>
      <c r="M1896" s="1" t="str">
        <f aca="false">VLOOKUP(D1896,'Team Reference'!$A:$B,2,FALSE())</f>
        <v>NO</v>
      </c>
      <c r="N1896" s="1" t="str">
        <f aca="false">VLOOKUP(E1896,'Team Reference'!$A:$B,2,FALSE())</f>
        <v>NE</v>
      </c>
      <c r="O1896" s="1" t="str">
        <f aca="false">IF(F1896&gt;G1896,M1896,IF(G1896&gt;F1896,N1896,"Tie"))</f>
        <v>NE</v>
      </c>
      <c r="P1896" s="1" t="n">
        <f aca="false">F1896-G1896</f>
        <v>-16</v>
      </c>
      <c r="Q1896" s="1" t="n">
        <f aca="false">F1896+G1896</f>
        <v>56</v>
      </c>
      <c r="R1896" s="1" t="str">
        <f aca="false">IF(H1896=M1896,"Home",IF(H1896=N1896,"Away",IF(H1896="PICK","Pick","N/A")))</f>
        <v>Away</v>
      </c>
      <c r="S1896" s="1" t="n">
        <f aca="false">IF(R1896="Home",P1896,IF(R1896="Away",-P1896,""))</f>
        <v>16</v>
      </c>
      <c r="T1896" s="1" t="str">
        <f aca="false">IF(R1896="Pick","No Line",IF(S1896="","N/A",IF(S1896+I1896&gt;0,"Favorite Covered",IF(S1896+I1896&lt;0,"Underdog Covered","Push"))))</f>
        <v>Favorite Covered</v>
      </c>
      <c r="U1896" s="1" t="str">
        <f aca="false">IF(Q1896&gt;J1896,"Over",IF(Q1896&lt;J1896,"Under","Push"))</f>
        <v>Over</v>
      </c>
    </row>
    <row r="1897" customFormat="false" ht="15" hidden="false" customHeight="false" outlineLevel="0" collapsed="false">
      <c r="A1897" s="1" t="s">
        <v>587</v>
      </c>
      <c r="B1897" s="1" t="n">
        <v>2017</v>
      </c>
      <c r="C1897" s="1" t="s">
        <v>160</v>
      </c>
      <c r="D1897" s="1" t="s">
        <v>101</v>
      </c>
      <c r="E1897" s="1" t="s">
        <v>99</v>
      </c>
      <c r="F1897" s="1" t="n">
        <v>45</v>
      </c>
      <c r="G1897" s="1" t="n">
        <v>20</v>
      </c>
      <c r="H1897" s="1" t="s">
        <v>102</v>
      </c>
      <c r="I1897" s="1" t="n">
        <v>-14</v>
      </c>
      <c r="J1897" s="1" t="n">
        <v>43.5</v>
      </c>
      <c r="K1897" s="1" t="s">
        <v>171</v>
      </c>
      <c r="L1897" s="1" t="b">
        <f aca="false">FALSE()</f>
        <v>0</v>
      </c>
      <c r="M1897" s="1" t="str">
        <f aca="false">VLOOKUP(D1897,'Team Reference'!$A:$B,2,FALSE())</f>
        <v>OAK</v>
      </c>
      <c r="N1897" s="1" t="str">
        <f aca="false">VLOOKUP(E1897,'Team Reference'!$A:$B,2,FALSE())</f>
        <v>NYJ</v>
      </c>
      <c r="O1897" s="1" t="str">
        <f aca="false">IF(F1897&gt;G1897,M1897,IF(G1897&gt;F1897,N1897,"Tie"))</f>
        <v>OAK</v>
      </c>
      <c r="P1897" s="1" t="n">
        <f aca="false">F1897-G1897</f>
        <v>25</v>
      </c>
      <c r="Q1897" s="1" t="n">
        <f aca="false">F1897+G1897</f>
        <v>65</v>
      </c>
      <c r="R1897" s="1" t="str">
        <f aca="false">IF(H1897=M1897,"Home",IF(H1897=N1897,"Away",IF(H1897="PICK","Pick","N/A")))</f>
        <v>Home</v>
      </c>
      <c r="S1897" s="1" t="n">
        <f aca="false">IF(R1897="Home",P1897,IF(R1897="Away",-P1897,""))</f>
        <v>25</v>
      </c>
      <c r="T1897" s="1" t="str">
        <f aca="false">IF(R1897="Pick","No Line",IF(S1897="","N/A",IF(S1897+I1897&gt;0,"Favorite Covered",IF(S1897+I1897&lt;0,"Underdog Covered","Push"))))</f>
        <v>Favorite Covered</v>
      </c>
      <c r="U1897" s="1" t="str">
        <f aca="false">IF(Q1897&gt;J1897,"Over",IF(Q1897&lt;J1897,"Under","Push"))</f>
        <v>Over</v>
      </c>
    </row>
    <row r="1898" customFormat="false" ht="15" hidden="false" customHeight="false" outlineLevel="0" collapsed="false">
      <c r="A1898" s="1" t="s">
        <v>587</v>
      </c>
      <c r="B1898" s="1" t="n">
        <v>2017</v>
      </c>
      <c r="C1898" s="1" t="s">
        <v>160</v>
      </c>
      <c r="D1898" s="1" t="s">
        <v>105</v>
      </c>
      <c r="E1898" s="1" t="s">
        <v>91</v>
      </c>
      <c r="F1898" s="1" t="n">
        <v>26</v>
      </c>
      <c r="G1898" s="1" t="n">
        <v>9</v>
      </c>
      <c r="H1898" s="1" t="s">
        <v>106</v>
      </c>
      <c r="I1898" s="1" t="n">
        <v>-6</v>
      </c>
      <c r="J1898" s="1" t="n">
        <v>45.5</v>
      </c>
      <c r="K1898" s="1" t="s">
        <v>151</v>
      </c>
      <c r="L1898" s="1" t="b">
        <f aca="false">FALSE()</f>
        <v>0</v>
      </c>
      <c r="M1898" s="1" t="str">
        <f aca="false">VLOOKUP(D1898,'Team Reference'!$A:$B,2,FALSE())</f>
        <v>PIT</v>
      </c>
      <c r="N1898" s="1" t="str">
        <f aca="false">VLOOKUP(E1898,'Team Reference'!$A:$B,2,FALSE())</f>
        <v>MIN</v>
      </c>
      <c r="O1898" s="1" t="str">
        <f aca="false">IF(F1898&gt;G1898,M1898,IF(G1898&gt;F1898,N1898,"Tie"))</f>
        <v>PIT</v>
      </c>
      <c r="P1898" s="1" t="n">
        <f aca="false">F1898-G1898</f>
        <v>17</v>
      </c>
      <c r="Q1898" s="1" t="n">
        <f aca="false">F1898+G1898</f>
        <v>35</v>
      </c>
      <c r="R1898" s="1" t="str">
        <f aca="false">IF(H1898=M1898,"Home",IF(H1898=N1898,"Away",IF(H1898="PICK","Pick","N/A")))</f>
        <v>Home</v>
      </c>
      <c r="S1898" s="1" t="n">
        <f aca="false">IF(R1898="Home",P1898,IF(R1898="Away",-P1898,""))</f>
        <v>17</v>
      </c>
      <c r="T1898" s="1" t="str">
        <f aca="false">IF(R1898="Pick","No Line",IF(S1898="","N/A",IF(S1898+I1898&gt;0,"Favorite Covered",IF(S1898+I1898&lt;0,"Underdog Covered","Push"))))</f>
        <v>Favorite Covered</v>
      </c>
      <c r="U1898" s="1" t="str">
        <f aca="false">IF(Q1898&gt;J1898,"Over",IF(Q1898&lt;J1898,"Under","Push"))</f>
        <v>Under</v>
      </c>
    </row>
    <row r="1899" customFormat="false" ht="15" hidden="false" customHeight="false" outlineLevel="0" collapsed="false">
      <c r="A1899" s="1" t="s">
        <v>587</v>
      </c>
      <c r="B1899" s="1" t="n">
        <v>2017</v>
      </c>
      <c r="C1899" s="1" t="s">
        <v>160</v>
      </c>
      <c r="D1899" s="1" t="s">
        <v>110</v>
      </c>
      <c r="E1899" s="1" t="s">
        <v>108</v>
      </c>
      <c r="F1899" s="1" t="n">
        <v>12</v>
      </c>
      <c r="G1899" s="1" t="n">
        <v>9</v>
      </c>
      <c r="H1899" s="1" t="s">
        <v>111</v>
      </c>
      <c r="I1899" s="1" t="n">
        <v>-13.5</v>
      </c>
      <c r="J1899" s="1" t="n">
        <v>42.5</v>
      </c>
      <c r="K1899" s="1" t="s">
        <v>152</v>
      </c>
      <c r="L1899" s="1" t="b">
        <f aca="false">FALSE()</f>
        <v>0</v>
      </c>
      <c r="M1899" s="1" t="str">
        <f aca="false">VLOOKUP(D1899,'Team Reference'!$A:$B,2,FALSE())</f>
        <v>SEA</v>
      </c>
      <c r="N1899" s="1" t="str">
        <f aca="false">VLOOKUP(E1899,'Team Reference'!$A:$B,2,FALSE())</f>
        <v>SF</v>
      </c>
      <c r="O1899" s="1" t="str">
        <f aca="false">IF(F1899&gt;G1899,M1899,IF(G1899&gt;F1899,N1899,"Tie"))</f>
        <v>SEA</v>
      </c>
      <c r="P1899" s="1" t="n">
        <f aca="false">F1899-G1899</f>
        <v>3</v>
      </c>
      <c r="Q1899" s="1" t="n">
        <f aca="false">F1899+G1899</f>
        <v>21</v>
      </c>
      <c r="R1899" s="1" t="str">
        <f aca="false">IF(H1899=M1899,"Home",IF(H1899=N1899,"Away",IF(H1899="PICK","Pick","N/A")))</f>
        <v>Home</v>
      </c>
      <c r="S1899" s="1" t="n">
        <f aca="false">IF(R1899="Home",P1899,IF(R1899="Away",-P1899,""))</f>
        <v>3</v>
      </c>
      <c r="T1899" s="1" t="str">
        <f aca="false">IF(R1899="Pick","No Line",IF(S1899="","N/A",IF(S1899+I1899&gt;0,"Favorite Covered",IF(S1899+I1899&lt;0,"Underdog Covered","Push"))))</f>
        <v>Underdog Covered</v>
      </c>
      <c r="U1899" s="1" t="str">
        <f aca="false">IF(Q1899&gt;J1899,"Over",IF(Q1899&lt;J1899,"Under","Push"))</f>
        <v>Under</v>
      </c>
    </row>
    <row r="1900" customFormat="false" ht="15" hidden="false" customHeight="false" outlineLevel="0" collapsed="false">
      <c r="A1900" s="1" t="s">
        <v>587</v>
      </c>
      <c r="B1900" s="1" t="n">
        <v>2017</v>
      </c>
      <c r="C1900" s="1" t="s">
        <v>160</v>
      </c>
      <c r="D1900" s="1" t="s">
        <v>113</v>
      </c>
      <c r="E1900" s="1" t="s">
        <v>63</v>
      </c>
      <c r="F1900" s="1" t="n">
        <v>29</v>
      </c>
      <c r="G1900" s="1" t="n">
        <v>7</v>
      </c>
      <c r="H1900" s="1" t="s">
        <v>114</v>
      </c>
      <c r="I1900" s="1" t="n">
        <v>-7</v>
      </c>
      <c r="J1900" s="1" t="n">
        <v>43</v>
      </c>
      <c r="K1900" s="1" t="s">
        <v>154</v>
      </c>
      <c r="L1900" s="1" t="b">
        <f aca="false">FALSE()</f>
        <v>0</v>
      </c>
      <c r="M1900" s="1" t="str">
        <f aca="false">VLOOKUP(D1900,'Team Reference'!$A:$B,2,FALSE())</f>
        <v>TB</v>
      </c>
      <c r="N1900" s="1" t="str">
        <f aca="false">VLOOKUP(E1900,'Team Reference'!$A:$B,2,FALSE())</f>
        <v>CHI</v>
      </c>
      <c r="O1900" s="1" t="str">
        <f aca="false">IF(F1900&gt;G1900,M1900,IF(G1900&gt;F1900,N1900,"Tie"))</f>
        <v>TB</v>
      </c>
      <c r="P1900" s="1" t="n">
        <f aca="false">F1900-G1900</f>
        <v>22</v>
      </c>
      <c r="Q1900" s="1" t="n">
        <f aca="false">F1900+G1900</f>
        <v>36</v>
      </c>
      <c r="R1900" s="1" t="str">
        <f aca="false">IF(H1900=M1900,"Home",IF(H1900=N1900,"Away",IF(H1900="PICK","Pick","N/A")))</f>
        <v>Home</v>
      </c>
      <c r="S1900" s="1" t="n">
        <f aca="false">IF(R1900="Home",P1900,IF(R1900="Away",-P1900,""))</f>
        <v>22</v>
      </c>
      <c r="T1900" s="1" t="str">
        <f aca="false">IF(R1900="Pick","No Line",IF(S1900="","N/A",IF(S1900+I1900&gt;0,"Favorite Covered",IF(S1900+I1900&lt;0,"Underdog Covered","Push"))))</f>
        <v>Favorite Covered</v>
      </c>
      <c r="U1900" s="1" t="str">
        <f aca="false">IF(Q1900&gt;J1900,"Over",IF(Q1900&lt;J1900,"Under","Push"))</f>
        <v>Under</v>
      </c>
    </row>
    <row r="1901" customFormat="false" ht="15" hidden="false" customHeight="false" outlineLevel="0" collapsed="false">
      <c r="A1901" s="1" t="s">
        <v>589</v>
      </c>
      <c r="B1901" s="1" t="n">
        <v>2017</v>
      </c>
      <c r="C1901" s="1" t="s">
        <v>160</v>
      </c>
      <c r="D1901" s="1" t="s">
        <v>97</v>
      </c>
      <c r="E1901" s="1" t="s">
        <v>73</v>
      </c>
      <c r="F1901" s="1" t="n">
        <v>10</v>
      </c>
      <c r="G1901" s="1" t="n">
        <v>24</v>
      </c>
      <c r="H1901" s="1" t="s">
        <v>98</v>
      </c>
      <c r="I1901" s="1" t="n">
        <v>-3.5</v>
      </c>
      <c r="J1901" s="1" t="n">
        <v>43.5</v>
      </c>
      <c r="K1901" s="1" t="s">
        <v>149</v>
      </c>
      <c r="L1901" s="1" t="b">
        <f aca="false">FALSE()</f>
        <v>0</v>
      </c>
      <c r="M1901" s="1" t="str">
        <f aca="false">VLOOKUP(D1901,'Team Reference'!$A:$B,2,FALSE())</f>
        <v>NYG</v>
      </c>
      <c r="N1901" s="1" t="str">
        <f aca="false">VLOOKUP(E1901,'Team Reference'!$A:$B,2,FALSE())</f>
        <v>DET</v>
      </c>
      <c r="O1901" s="1" t="str">
        <f aca="false">IF(F1901&gt;G1901,M1901,IF(G1901&gt;F1901,N1901,"Tie"))</f>
        <v>DET</v>
      </c>
      <c r="P1901" s="1" t="n">
        <f aca="false">F1901-G1901</f>
        <v>-14</v>
      </c>
      <c r="Q1901" s="1" t="n">
        <f aca="false">F1901+G1901</f>
        <v>34</v>
      </c>
      <c r="R1901" s="1" t="str">
        <f aca="false">IF(H1901=M1901,"Home",IF(H1901=N1901,"Away",IF(H1901="PICK","Pick","N/A")))</f>
        <v>Home</v>
      </c>
      <c r="S1901" s="1" t="n">
        <f aca="false">IF(R1901="Home",P1901,IF(R1901="Away",-P1901,""))</f>
        <v>-14</v>
      </c>
      <c r="T1901" s="1" t="str">
        <f aca="false">IF(R1901="Pick","No Line",IF(S1901="","N/A",IF(S1901+I1901&gt;0,"Favorite Covered",IF(S1901+I1901&lt;0,"Underdog Covered","Push"))))</f>
        <v>Underdog Covered</v>
      </c>
      <c r="U1901" s="1" t="str">
        <f aca="false">IF(Q1901&gt;J1901,"Over",IF(Q1901&lt;J1901,"Under","Push"))</f>
        <v>Under</v>
      </c>
    </row>
    <row r="1902" customFormat="false" ht="15" hidden="false" customHeight="false" outlineLevel="0" collapsed="false">
      <c r="A1902" s="1" t="s">
        <v>590</v>
      </c>
      <c r="B1902" s="1" t="n">
        <v>2017</v>
      </c>
      <c r="C1902" s="1" t="s">
        <v>176</v>
      </c>
      <c r="D1902" s="1" t="s">
        <v>108</v>
      </c>
      <c r="E1902" s="1" t="s">
        <v>87</v>
      </c>
      <c r="F1902" s="1" t="n">
        <v>39</v>
      </c>
      <c r="G1902" s="1" t="n">
        <v>41</v>
      </c>
      <c r="H1902" s="1" t="s">
        <v>88</v>
      </c>
      <c r="I1902" s="1" t="n">
        <v>-2</v>
      </c>
      <c r="J1902" s="1" t="n">
        <v>40.5</v>
      </c>
      <c r="K1902" s="1" t="s">
        <v>408</v>
      </c>
      <c r="L1902" s="1" t="b">
        <f aca="false">FALSE()</f>
        <v>0</v>
      </c>
      <c r="M1902" s="1" t="str">
        <f aca="false">VLOOKUP(D1902,'Team Reference'!$A:$B,2,FALSE())</f>
        <v>SF</v>
      </c>
      <c r="N1902" s="1" t="str">
        <f aca="false">VLOOKUP(E1902,'Team Reference'!$A:$B,2,FALSE())</f>
        <v>LAR</v>
      </c>
      <c r="O1902" s="1" t="str">
        <f aca="false">IF(F1902&gt;G1902,M1902,IF(G1902&gt;F1902,N1902,"Tie"))</f>
        <v>LAR</v>
      </c>
      <c r="P1902" s="1" t="n">
        <f aca="false">F1902-G1902</f>
        <v>-2</v>
      </c>
      <c r="Q1902" s="1" t="n">
        <f aca="false">F1902+G1902</f>
        <v>80</v>
      </c>
      <c r="R1902" s="1" t="str">
        <f aca="false">IF(H1902=M1902,"Home",IF(H1902=N1902,"Away",IF(H1902="PICK","Pick","N/A")))</f>
        <v>Away</v>
      </c>
      <c r="S1902" s="1" t="n">
        <f aca="false">IF(R1902="Home",P1902,IF(R1902="Away",-P1902,""))</f>
        <v>2</v>
      </c>
      <c r="T1902" s="1" t="str">
        <f aca="false">IF(R1902="Pick","No Line",IF(S1902="","N/A",IF(S1902+I1902&gt;0,"Favorite Covered",IF(S1902+I1902&lt;0,"Underdog Covered","Push"))))</f>
        <v>Push</v>
      </c>
      <c r="U1902" s="1" t="str">
        <f aca="false">IF(Q1902&gt;J1902,"Over",IF(Q1902&lt;J1902,"Under","Push"))</f>
        <v>Over</v>
      </c>
    </row>
    <row r="1903" customFormat="false" ht="15" hidden="false" customHeight="false" outlineLevel="0" collapsed="false">
      <c r="A1903" s="1" t="s">
        <v>591</v>
      </c>
      <c r="B1903" s="1" t="n">
        <v>2017</v>
      </c>
      <c r="C1903" s="1" t="s">
        <v>176</v>
      </c>
      <c r="D1903" s="1" t="s">
        <v>59</v>
      </c>
      <c r="E1903" s="1" t="s">
        <v>71</v>
      </c>
      <c r="F1903" s="1" t="n">
        <v>26</v>
      </c>
      <c r="G1903" s="1" t="n">
        <v>16</v>
      </c>
      <c r="H1903" s="1" t="s">
        <v>72</v>
      </c>
      <c r="I1903" s="1" t="n">
        <v>-3</v>
      </c>
      <c r="J1903" s="1" t="n">
        <v>40</v>
      </c>
      <c r="K1903" s="1" t="s">
        <v>522</v>
      </c>
      <c r="L1903" s="1" t="b">
        <f aca="false">FALSE()</f>
        <v>0</v>
      </c>
      <c r="M1903" s="1" t="str">
        <f aca="false">VLOOKUP(D1903,'Team Reference'!$A:$B,2,FALSE())</f>
        <v>BUF</v>
      </c>
      <c r="N1903" s="1" t="str">
        <f aca="false">VLOOKUP(E1903,'Team Reference'!$A:$B,2,FALSE())</f>
        <v>DEN</v>
      </c>
      <c r="O1903" s="1" t="str">
        <f aca="false">IF(F1903&gt;G1903,M1903,IF(G1903&gt;F1903,N1903,"Tie"))</f>
        <v>BUF</v>
      </c>
      <c r="P1903" s="1" t="n">
        <f aca="false">F1903-G1903</f>
        <v>10</v>
      </c>
      <c r="Q1903" s="1" t="n">
        <f aca="false">F1903+G1903</f>
        <v>42</v>
      </c>
      <c r="R1903" s="1" t="str">
        <f aca="false">IF(H1903=M1903,"Home",IF(H1903=N1903,"Away",IF(H1903="PICK","Pick","N/A")))</f>
        <v>Away</v>
      </c>
      <c r="S1903" s="1" t="n">
        <f aca="false">IF(R1903="Home",P1903,IF(R1903="Away",-P1903,""))</f>
        <v>-10</v>
      </c>
      <c r="T1903" s="1" t="str">
        <f aca="false">IF(R1903="Pick","No Line",IF(S1903="","N/A",IF(S1903+I1903&gt;0,"Favorite Covered",IF(S1903+I1903&lt;0,"Underdog Covered","Push"))))</f>
        <v>Underdog Covered</v>
      </c>
      <c r="U1903" s="1" t="str">
        <f aca="false">IF(Q1903&gt;J1903,"Over",IF(Q1903&lt;J1903,"Under","Push"))</f>
        <v>Over</v>
      </c>
    </row>
    <row r="1904" customFormat="false" ht="15" hidden="false" customHeight="false" outlineLevel="0" collapsed="false">
      <c r="A1904" s="1" t="s">
        <v>591</v>
      </c>
      <c r="B1904" s="1" t="n">
        <v>2017</v>
      </c>
      <c r="C1904" s="1" t="s">
        <v>176</v>
      </c>
      <c r="D1904" s="1" t="s">
        <v>61</v>
      </c>
      <c r="E1904" s="1" t="s">
        <v>95</v>
      </c>
      <c r="F1904" s="1" t="n">
        <v>13</v>
      </c>
      <c r="G1904" s="1" t="n">
        <v>34</v>
      </c>
      <c r="H1904" s="1" t="s">
        <v>62</v>
      </c>
      <c r="I1904" s="1" t="n">
        <v>-5</v>
      </c>
      <c r="J1904" s="1" t="n">
        <v>46.5</v>
      </c>
      <c r="K1904" s="1" t="s">
        <v>162</v>
      </c>
      <c r="L1904" s="1" t="b">
        <f aca="false">FALSE()</f>
        <v>0</v>
      </c>
      <c r="M1904" s="1" t="str">
        <f aca="false">VLOOKUP(D1904,'Team Reference'!$A:$B,2,FALSE())</f>
        <v>CAR</v>
      </c>
      <c r="N1904" s="1" t="str">
        <f aca="false">VLOOKUP(E1904,'Team Reference'!$A:$B,2,FALSE())</f>
        <v>NO</v>
      </c>
      <c r="O1904" s="1" t="str">
        <f aca="false">IF(F1904&gt;G1904,M1904,IF(G1904&gt;F1904,N1904,"Tie"))</f>
        <v>NO</v>
      </c>
      <c r="P1904" s="1" t="n">
        <f aca="false">F1904-G1904</f>
        <v>-21</v>
      </c>
      <c r="Q1904" s="1" t="n">
        <f aca="false">F1904+G1904</f>
        <v>47</v>
      </c>
      <c r="R1904" s="1" t="str">
        <f aca="false">IF(H1904=M1904,"Home",IF(H1904=N1904,"Away",IF(H1904="PICK","Pick","N/A")))</f>
        <v>Home</v>
      </c>
      <c r="S1904" s="1" t="n">
        <f aca="false">IF(R1904="Home",P1904,IF(R1904="Away",-P1904,""))</f>
        <v>-21</v>
      </c>
      <c r="T1904" s="1" t="str">
        <f aca="false">IF(R1904="Pick","No Line",IF(S1904="","N/A",IF(S1904+I1904&gt;0,"Favorite Covered",IF(S1904+I1904&lt;0,"Underdog Covered","Push"))))</f>
        <v>Underdog Covered</v>
      </c>
      <c r="U1904" s="1" t="str">
        <f aca="false">IF(Q1904&gt;J1904,"Over",IF(Q1904&lt;J1904,"Under","Push"))</f>
        <v>Over</v>
      </c>
    </row>
    <row r="1905" customFormat="false" ht="15" hidden="false" customHeight="false" outlineLevel="0" collapsed="false">
      <c r="A1905" s="1" t="s">
        <v>591</v>
      </c>
      <c r="B1905" s="1" t="n">
        <v>2017</v>
      </c>
      <c r="C1905" s="1" t="s">
        <v>176</v>
      </c>
      <c r="D1905" s="1" t="s">
        <v>63</v>
      </c>
      <c r="E1905" s="1" t="s">
        <v>105</v>
      </c>
      <c r="F1905" s="1" t="n">
        <v>23</v>
      </c>
      <c r="G1905" s="1" t="n">
        <v>17</v>
      </c>
      <c r="H1905" s="1" t="s">
        <v>106</v>
      </c>
      <c r="I1905" s="1" t="n">
        <v>-7</v>
      </c>
      <c r="J1905" s="1" t="n">
        <v>43.5</v>
      </c>
      <c r="K1905" s="1" t="s">
        <v>145</v>
      </c>
      <c r="L1905" s="1" t="b">
        <f aca="false">FALSE()</f>
        <v>0</v>
      </c>
      <c r="M1905" s="1" t="str">
        <f aca="false">VLOOKUP(D1905,'Team Reference'!$A:$B,2,FALSE())</f>
        <v>CHI</v>
      </c>
      <c r="N1905" s="1" t="str">
        <f aca="false">VLOOKUP(E1905,'Team Reference'!$A:$B,2,FALSE())</f>
        <v>PIT</v>
      </c>
      <c r="O1905" s="1" t="str">
        <f aca="false">IF(F1905&gt;G1905,M1905,IF(G1905&gt;F1905,N1905,"Tie"))</f>
        <v>CHI</v>
      </c>
      <c r="P1905" s="1" t="n">
        <f aca="false">F1905-G1905</f>
        <v>6</v>
      </c>
      <c r="Q1905" s="1" t="n">
        <f aca="false">F1905+G1905</f>
        <v>40</v>
      </c>
      <c r="R1905" s="1" t="str">
        <f aca="false">IF(H1905=M1905,"Home",IF(H1905=N1905,"Away",IF(H1905="PICK","Pick","N/A")))</f>
        <v>Away</v>
      </c>
      <c r="S1905" s="1" t="n">
        <f aca="false">IF(R1905="Home",P1905,IF(R1905="Away",-P1905,""))</f>
        <v>-6</v>
      </c>
      <c r="T1905" s="1" t="str">
        <f aca="false">IF(R1905="Pick","No Line",IF(S1905="","N/A",IF(S1905+I1905&gt;0,"Favorite Covered",IF(S1905+I1905&lt;0,"Underdog Covered","Push"))))</f>
        <v>Underdog Covered</v>
      </c>
      <c r="U1905" s="1" t="str">
        <f aca="false">IF(Q1905&gt;J1905,"Over",IF(Q1905&lt;J1905,"Under","Push"))</f>
        <v>Under</v>
      </c>
    </row>
    <row r="1906" customFormat="false" ht="15" hidden="false" customHeight="false" outlineLevel="0" collapsed="false">
      <c r="A1906" s="1" t="s">
        <v>591</v>
      </c>
      <c r="B1906" s="1" t="n">
        <v>2017</v>
      </c>
      <c r="C1906" s="1" t="s">
        <v>176</v>
      </c>
      <c r="D1906" s="1" t="s">
        <v>73</v>
      </c>
      <c r="E1906" s="1" t="s">
        <v>55</v>
      </c>
      <c r="F1906" s="1" t="n">
        <v>26</v>
      </c>
      <c r="G1906" s="1" t="n">
        <v>30</v>
      </c>
      <c r="H1906" s="1" t="s">
        <v>56</v>
      </c>
      <c r="I1906" s="1" t="n">
        <v>-3</v>
      </c>
      <c r="J1906" s="1" t="n">
        <v>51</v>
      </c>
      <c r="K1906" s="1" t="s">
        <v>167</v>
      </c>
      <c r="L1906" s="1" t="b">
        <f aca="false">FALSE()</f>
        <v>0</v>
      </c>
      <c r="M1906" s="1" t="str">
        <f aca="false">VLOOKUP(D1906,'Team Reference'!$A:$B,2,FALSE())</f>
        <v>DET</v>
      </c>
      <c r="N1906" s="1" t="str">
        <f aca="false">VLOOKUP(E1906,'Team Reference'!$A:$B,2,FALSE())</f>
        <v>ATL</v>
      </c>
      <c r="O1906" s="1" t="str">
        <f aca="false">IF(F1906&gt;G1906,M1906,IF(G1906&gt;F1906,N1906,"Tie"))</f>
        <v>ATL</v>
      </c>
      <c r="P1906" s="1" t="n">
        <f aca="false">F1906-G1906</f>
        <v>-4</v>
      </c>
      <c r="Q1906" s="1" t="n">
        <f aca="false">F1906+G1906</f>
        <v>56</v>
      </c>
      <c r="R1906" s="1" t="str">
        <f aca="false">IF(H1906=M1906,"Home",IF(H1906=N1906,"Away",IF(H1906="PICK","Pick","N/A")))</f>
        <v>Away</v>
      </c>
      <c r="S1906" s="1" t="n">
        <f aca="false">IF(R1906="Home",P1906,IF(R1906="Away",-P1906,""))</f>
        <v>4</v>
      </c>
      <c r="T1906" s="1" t="str">
        <f aca="false">IF(R1906="Pick","No Line",IF(S1906="","N/A",IF(S1906+I1906&gt;0,"Favorite Covered",IF(S1906+I1906&lt;0,"Underdog Covered","Push"))))</f>
        <v>Favorite Covered</v>
      </c>
      <c r="U1906" s="1" t="str">
        <f aca="false">IF(Q1906&gt;J1906,"Over",IF(Q1906&lt;J1906,"Under","Push"))</f>
        <v>Over</v>
      </c>
    </row>
    <row r="1907" customFormat="false" ht="15" hidden="false" customHeight="false" outlineLevel="0" collapsed="false">
      <c r="A1907" s="1" t="s">
        <v>591</v>
      </c>
      <c r="B1907" s="1" t="n">
        <v>2017</v>
      </c>
      <c r="C1907" s="1" t="s">
        <v>176</v>
      </c>
      <c r="D1907" s="1" t="s">
        <v>75</v>
      </c>
      <c r="E1907" s="1" t="s">
        <v>65</v>
      </c>
      <c r="F1907" s="1" t="n">
        <v>27</v>
      </c>
      <c r="G1907" s="1" t="n">
        <v>24</v>
      </c>
      <c r="H1907" s="1" t="s">
        <v>76</v>
      </c>
      <c r="I1907" s="1" t="n">
        <v>-9</v>
      </c>
      <c r="J1907" s="1" t="n">
        <v>47.5</v>
      </c>
      <c r="K1907" s="1" t="s">
        <v>168</v>
      </c>
      <c r="L1907" s="1" t="b">
        <f aca="false">FALSE()</f>
        <v>0</v>
      </c>
      <c r="M1907" s="1" t="str">
        <f aca="false">VLOOKUP(D1907,'Team Reference'!$A:$B,2,FALSE())</f>
        <v>GB</v>
      </c>
      <c r="N1907" s="1" t="str">
        <f aca="false">VLOOKUP(E1907,'Team Reference'!$A:$B,2,FALSE())</f>
        <v>CIN</v>
      </c>
      <c r="O1907" s="1" t="str">
        <f aca="false">IF(F1907&gt;G1907,M1907,IF(G1907&gt;F1907,N1907,"Tie"))</f>
        <v>GB</v>
      </c>
      <c r="P1907" s="1" t="n">
        <f aca="false">F1907-G1907</f>
        <v>3</v>
      </c>
      <c r="Q1907" s="1" t="n">
        <f aca="false">F1907+G1907</f>
        <v>51</v>
      </c>
      <c r="R1907" s="1" t="str">
        <f aca="false">IF(H1907=M1907,"Home",IF(H1907=N1907,"Away",IF(H1907="PICK","Pick","N/A")))</f>
        <v>Home</v>
      </c>
      <c r="S1907" s="1" t="n">
        <f aca="false">IF(R1907="Home",P1907,IF(R1907="Away",-P1907,""))</f>
        <v>3</v>
      </c>
      <c r="T1907" s="1" t="str">
        <f aca="false">IF(R1907="Pick","No Line",IF(S1907="","N/A",IF(S1907+I1907&gt;0,"Favorite Covered",IF(S1907+I1907&lt;0,"Underdog Covered","Push"))))</f>
        <v>Underdog Covered</v>
      </c>
      <c r="U1907" s="1" t="str">
        <f aca="false">IF(Q1907&gt;J1907,"Over",IF(Q1907&lt;J1907,"Under","Push"))</f>
        <v>Over</v>
      </c>
    </row>
    <row r="1908" customFormat="false" ht="15" hidden="false" customHeight="false" outlineLevel="0" collapsed="false">
      <c r="A1908" s="1" t="s">
        <v>591</v>
      </c>
      <c r="B1908" s="1" t="n">
        <v>2017</v>
      </c>
      <c r="C1908" s="1" t="s">
        <v>176</v>
      </c>
      <c r="D1908" s="1" t="s">
        <v>79</v>
      </c>
      <c r="E1908" s="1" t="s">
        <v>67</v>
      </c>
      <c r="F1908" s="1" t="n">
        <v>31</v>
      </c>
      <c r="G1908" s="1" t="n">
        <v>28</v>
      </c>
      <c r="H1908" s="1" t="s">
        <v>68</v>
      </c>
      <c r="I1908" s="1" t="n">
        <v>-1</v>
      </c>
      <c r="J1908" s="1" t="n">
        <v>42</v>
      </c>
      <c r="K1908" s="1" t="s">
        <v>169</v>
      </c>
      <c r="L1908" s="1" t="b">
        <f aca="false">FALSE()</f>
        <v>0</v>
      </c>
      <c r="M1908" s="1" t="str">
        <f aca="false">VLOOKUP(D1908,'Team Reference'!$A:$B,2,FALSE())</f>
        <v>IND</v>
      </c>
      <c r="N1908" s="1" t="str">
        <f aca="false">VLOOKUP(E1908,'Team Reference'!$A:$B,2,FALSE())</f>
        <v>CLE</v>
      </c>
      <c r="O1908" s="1" t="str">
        <f aca="false">IF(F1908&gt;G1908,M1908,IF(G1908&gt;F1908,N1908,"Tie"))</f>
        <v>IND</v>
      </c>
      <c r="P1908" s="1" t="n">
        <f aca="false">F1908-G1908</f>
        <v>3</v>
      </c>
      <c r="Q1908" s="1" t="n">
        <f aca="false">F1908+G1908</f>
        <v>59</v>
      </c>
      <c r="R1908" s="1" t="str">
        <f aca="false">IF(H1908=M1908,"Home",IF(H1908=N1908,"Away",IF(H1908="PICK","Pick","N/A")))</f>
        <v>Away</v>
      </c>
      <c r="S1908" s="1" t="n">
        <f aca="false">IF(R1908="Home",P1908,IF(R1908="Away",-P1908,""))</f>
        <v>-3</v>
      </c>
      <c r="T1908" s="1" t="str">
        <f aca="false">IF(R1908="Pick","No Line",IF(S1908="","N/A",IF(S1908+I1908&gt;0,"Favorite Covered",IF(S1908+I1908&lt;0,"Underdog Covered","Push"))))</f>
        <v>Underdog Covered</v>
      </c>
      <c r="U1908" s="1" t="str">
        <f aca="false">IF(Q1908&gt;J1908,"Over",IF(Q1908&lt;J1908,"Under","Push"))</f>
        <v>Over</v>
      </c>
    </row>
    <row r="1909" customFormat="false" ht="15" hidden="false" customHeight="false" outlineLevel="0" collapsed="false">
      <c r="A1909" s="1" t="s">
        <v>591</v>
      </c>
      <c r="B1909" s="1" t="n">
        <v>2017</v>
      </c>
      <c r="C1909" s="1" t="s">
        <v>176</v>
      </c>
      <c r="D1909" s="1" t="s">
        <v>81</v>
      </c>
      <c r="E1909" s="1" t="s">
        <v>57</v>
      </c>
      <c r="F1909" s="1" t="n">
        <v>44</v>
      </c>
      <c r="G1909" s="1" t="n">
        <v>7</v>
      </c>
      <c r="H1909" s="1" t="s">
        <v>58</v>
      </c>
      <c r="I1909" s="1" t="n">
        <v>-4</v>
      </c>
      <c r="J1909" s="1" t="n">
        <v>38</v>
      </c>
      <c r="K1909" s="1" t="s">
        <v>195</v>
      </c>
      <c r="L1909" s="1" t="b">
        <f aca="false">FALSE()</f>
        <v>0</v>
      </c>
      <c r="M1909" s="1" t="str">
        <f aca="false">VLOOKUP(D1909,'Team Reference'!$A:$B,2,FALSE())</f>
        <v>JAX</v>
      </c>
      <c r="N1909" s="1" t="str">
        <f aca="false">VLOOKUP(E1909,'Team Reference'!$A:$B,2,FALSE())</f>
        <v>BAL</v>
      </c>
      <c r="O1909" s="1" t="str">
        <f aca="false">IF(F1909&gt;G1909,M1909,IF(G1909&gt;F1909,N1909,"Tie"))</f>
        <v>JAX</v>
      </c>
      <c r="P1909" s="1" t="n">
        <f aca="false">F1909-G1909</f>
        <v>37</v>
      </c>
      <c r="Q1909" s="1" t="n">
        <f aca="false">F1909+G1909</f>
        <v>51</v>
      </c>
      <c r="R1909" s="1" t="str">
        <f aca="false">IF(H1909=M1909,"Home",IF(H1909=N1909,"Away",IF(H1909="PICK","Pick","N/A")))</f>
        <v>Away</v>
      </c>
      <c r="S1909" s="1" t="n">
        <f aca="false">IF(R1909="Home",P1909,IF(R1909="Away",-P1909,""))</f>
        <v>-37</v>
      </c>
      <c r="T1909" s="1" t="str">
        <f aca="false">IF(R1909="Pick","No Line",IF(S1909="","N/A",IF(S1909+I1909&gt;0,"Favorite Covered",IF(S1909+I1909&lt;0,"Underdog Covered","Push"))))</f>
        <v>Underdog Covered</v>
      </c>
      <c r="U1909" s="1" t="str">
        <f aca="false">IF(Q1909&gt;J1909,"Over",IF(Q1909&lt;J1909,"Under","Push"))</f>
        <v>Over</v>
      </c>
    </row>
    <row r="1910" customFormat="false" ht="15" hidden="false" customHeight="false" outlineLevel="0" collapsed="false">
      <c r="A1910" s="1" t="s">
        <v>591</v>
      </c>
      <c r="B1910" s="1" t="n">
        <v>2017</v>
      </c>
      <c r="C1910" s="1" t="s">
        <v>176</v>
      </c>
      <c r="D1910" s="1" t="s">
        <v>85</v>
      </c>
      <c r="E1910" s="1" t="s">
        <v>83</v>
      </c>
      <c r="F1910" s="1" t="n">
        <v>10</v>
      </c>
      <c r="G1910" s="1" t="n">
        <v>24</v>
      </c>
      <c r="H1910" s="1" t="s">
        <v>84</v>
      </c>
      <c r="I1910" s="1" t="n">
        <v>-3</v>
      </c>
      <c r="J1910" s="1" t="n">
        <v>47.5</v>
      </c>
      <c r="K1910" s="1" t="s">
        <v>588</v>
      </c>
      <c r="L1910" s="1" t="b">
        <f aca="false">FALSE()</f>
        <v>0</v>
      </c>
      <c r="M1910" s="1" t="str">
        <f aca="false">VLOOKUP(D1910,'Team Reference'!$A:$B,2,FALSE())</f>
        <v>LAC</v>
      </c>
      <c r="N1910" s="1" t="str">
        <f aca="false">VLOOKUP(E1910,'Team Reference'!$A:$B,2,FALSE())</f>
        <v>KC</v>
      </c>
      <c r="O1910" s="1" t="str">
        <f aca="false">IF(F1910&gt;G1910,M1910,IF(G1910&gt;F1910,N1910,"Tie"))</f>
        <v>KC</v>
      </c>
      <c r="P1910" s="1" t="n">
        <f aca="false">F1910-G1910</f>
        <v>-14</v>
      </c>
      <c r="Q1910" s="1" t="n">
        <f aca="false">F1910+G1910</f>
        <v>34</v>
      </c>
      <c r="R1910" s="1" t="str">
        <f aca="false">IF(H1910=M1910,"Home",IF(H1910=N1910,"Away",IF(H1910="PICK","Pick","N/A")))</f>
        <v>Away</v>
      </c>
      <c r="S1910" s="1" t="n">
        <f aca="false">IF(R1910="Home",P1910,IF(R1910="Away",-P1910,""))</f>
        <v>14</v>
      </c>
      <c r="T1910" s="1" t="str">
        <f aca="false">IF(R1910="Pick","No Line",IF(S1910="","N/A",IF(S1910+I1910&gt;0,"Favorite Covered",IF(S1910+I1910&lt;0,"Underdog Covered","Push"))))</f>
        <v>Favorite Covered</v>
      </c>
      <c r="U1910" s="1" t="str">
        <f aca="false">IF(Q1910&gt;J1910,"Over",IF(Q1910&lt;J1910,"Under","Push"))</f>
        <v>Under</v>
      </c>
    </row>
    <row r="1911" customFormat="false" ht="15" hidden="false" customHeight="false" outlineLevel="0" collapsed="false">
      <c r="A1911" s="1" t="s">
        <v>591</v>
      </c>
      <c r="B1911" s="1" t="n">
        <v>2017</v>
      </c>
      <c r="C1911" s="1" t="s">
        <v>176</v>
      </c>
      <c r="D1911" s="1" t="s">
        <v>91</v>
      </c>
      <c r="E1911" s="1" t="s">
        <v>113</v>
      </c>
      <c r="F1911" s="1" t="n">
        <v>34</v>
      </c>
      <c r="G1911" s="1" t="n">
        <v>17</v>
      </c>
      <c r="H1911" s="1" t="s">
        <v>114</v>
      </c>
      <c r="I1911" s="1" t="n">
        <v>-1.5</v>
      </c>
      <c r="J1911" s="1" t="n">
        <v>41</v>
      </c>
      <c r="K1911" s="1" t="s">
        <v>525</v>
      </c>
      <c r="L1911" s="1" t="b">
        <f aca="false">FALSE()</f>
        <v>0</v>
      </c>
      <c r="M1911" s="1" t="str">
        <f aca="false">VLOOKUP(D1911,'Team Reference'!$A:$B,2,FALSE())</f>
        <v>MIN</v>
      </c>
      <c r="N1911" s="1" t="str">
        <f aca="false">VLOOKUP(E1911,'Team Reference'!$A:$B,2,FALSE())</f>
        <v>TB</v>
      </c>
      <c r="O1911" s="1" t="str">
        <f aca="false">IF(F1911&gt;G1911,M1911,IF(G1911&gt;F1911,N1911,"Tie"))</f>
        <v>MIN</v>
      </c>
      <c r="P1911" s="1" t="n">
        <f aca="false">F1911-G1911</f>
        <v>17</v>
      </c>
      <c r="Q1911" s="1" t="n">
        <f aca="false">F1911+G1911</f>
        <v>51</v>
      </c>
      <c r="R1911" s="1" t="str">
        <f aca="false">IF(H1911=M1911,"Home",IF(H1911=N1911,"Away",IF(H1911="PICK","Pick","N/A")))</f>
        <v>Away</v>
      </c>
      <c r="S1911" s="1" t="n">
        <f aca="false">IF(R1911="Home",P1911,IF(R1911="Away",-P1911,""))</f>
        <v>-17</v>
      </c>
      <c r="T1911" s="1" t="str">
        <f aca="false">IF(R1911="Pick","No Line",IF(S1911="","N/A",IF(S1911+I1911&gt;0,"Favorite Covered",IF(S1911+I1911&lt;0,"Underdog Covered","Push"))))</f>
        <v>Underdog Covered</v>
      </c>
      <c r="U1911" s="1" t="str">
        <f aca="false">IF(Q1911&gt;J1911,"Over",IF(Q1911&lt;J1911,"Under","Push"))</f>
        <v>Over</v>
      </c>
    </row>
    <row r="1912" customFormat="false" ht="15" hidden="false" customHeight="false" outlineLevel="0" collapsed="false">
      <c r="A1912" s="1" t="s">
        <v>591</v>
      </c>
      <c r="B1912" s="1" t="n">
        <v>2017</v>
      </c>
      <c r="C1912" s="1" t="s">
        <v>176</v>
      </c>
      <c r="D1912" s="1" t="s">
        <v>93</v>
      </c>
      <c r="E1912" s="1" t="s">
        <v>77</v>
      </c>
      <c r="F1912" s="1" t="n">
        <v>36</v>
      </c>
      <c r="G1912" s="1" t="n">
        <v>33</v>
      </c>
      <c r="H1912" s="1" t="s">
        <v>94</v>
      </c>
      <c r="I1912" s="1" t="n">
        <v>-13</v>
      </c>
      <c r="J1912" s="1" t="n">
        <v>44.5</v>
      </c>
      <c r="K1912" s="1" t="s">
        <v>148</v>
      </c>
      <c r="L1912" s="1" t="b">
        <f aca="false">FALSE()</f>
        <v>0</v>
      </c>
      <c r="M1912" s="1" t="str">
        <f aca="false">VLOOKUP(D1912,'Team Reference'!$A:$B,2,FALSE())</f>
        <v>NE</v>
      </c>
      <c r="N1912" s="1" t="str">
        <f aca="false">VLOOKUP(E1912,'Team Reference'!$A:$B,2,FALSE())</f>
        <v>HOU</v>
      </c>
      <c r="O1912" s="1" t="str">
        <f aca="false">IF(F1912&gt;G1912,M1912,IF(G1912&gt;F1912,N1912,"Tie"))</f>
        <v>NE</v>
      </c>
      <c r="P1912" s="1" t="n">
        <f aca="false">F1912-G1912</f>
        <v>3</v>
      </c>
      <c r="Q1912" s="1" t="n">
        <f aca="false">F1912+G1912</f>
        <v>69</v>
      </c>
      <c r="R1912" s="1" t="str">
        <f aca="false">IF(H1912=M1912,"Home",IF(H1912=N1912,"Away",IF(H1912="PICK","Pick","N/A")))</f>
        <v>Home</v>
      </c>
      <c r="S1912" s="1" t="n">
        <f aca="false">IF(R1912="Home",P1912,IF(R1912="Away",-P1912,""))</f>
        <v>3</v>
      </c>
      <c r="T1912" s="1" t="str">
        <f aca="false">IF(R1912="Pick","No Line",IF(S1912="","N/A",IF(S1912+I1912&gt;0,"Favorite Covered",IF(S1912+I1912&lt;0,"Underdog Covered","Push"))))</f>
        <v>Underdog Covered</v>
      </c>
      <c r="U1912" s="1" t="str">
        <f aca="false">IF(Q1912&gt;J1912,"Over",IF(Q1912&lt;J1912,"Under","Push"))</f>
        <v>Over</v>
      </c>
    </row>
    <row r="1913" customFormat="false" ht="15" hidden="false" customHeight="false" outlineLevel="0" collapsed="false">
      <c r="A1913" s="1" t="s">
        <v>591</v>
      </c>
      <c r="B1913" s="1" t="n">
        <v>2017</v>
      </c>
      <c r="C1913" s="1" t="s">
        <v>176</v>
      </c>
      <c r="D1913" s="1" t="s">
        <v>99</v>
      </c>
      <c r="E1913" s="1" t="s">
        <v>89</v>
      </c>
      <c r="F1913" s="1" t="n">
        <v>20</v>
      </c>
      <c r="G1913" s="1" t="n">
        <v>6</v>
      </c>
      <c r="H1913" s="1" t="s">
        <v>90</v>
      </c>
      <c r="I1913" s="1" t="n">
        <v>-5.5</v>
      </c>
      <c r="J1913" s="1" t="n">
        <v>43</v>
      </c>
      <c r="K1913" s="1" t="s">
        <v>149</v>
      </c>
      <c r="L1913" s="1" t="b">
        <f aca="false">FALSE()</f>
        <v>0</v>
      </c>
      <c r="M1913" s="1" t="str">
        <f aca="false">VLOOKUP(D1913,'Team Reference'!$A:$B,2,FALSE())</f>
        <v>NYJ</v>
      </c>
      <c r="N1913" s="1" t="str">
        <f aca="false">VLOOKUP(E1913,'Team Reference'!$A:$B,2,FALSE())</f>
        <v>MIA</v>
      </c>
      <c r="O1913" s="1" t="str">
        <f aca="false">IF(F1913&gt;G1913,M1913,IF(G1913&gt;F1913,N1913,"Tie"))</f>
        <v>NYJ</v>
      </c>
      <c r="P1913" s="1" t="n">
        <f aca="false">F1913-G1913</f>
        <v>14</v>
      </c>
      <c r="Q1913" s="1" t="n">
        <f aca="false">F1913+G1913</f>
        <v>26</v>
      </c>
      <c r="R1913" s="1" t="str">
        <f aca="false">IF(H1913=M1913,"Home",IF(H1913=N1913,"Away",IF(H1913="PICK","Pick","N/A")))</f>
        <v>Away</v>
      </c>
      <c r="S1913" s="1" t="n">
        <f aca="false">IF(R1913="Home",P1913,IF(R1913="Away",-P1913,""))</f>
        <v>-14</v>
      </c>
      <c r="T1913" s="1" t="str">
        <f aca="false">IF(R1913="Pick","No Line",IF(S1913="","N/A",IF(S1913+I1913&gt;0,"Favorite Covered",IF(S1913+I1913&lt;0,"Underdog Covered","Push"))))</f>
        <v>Underdog Covered</v>
      </c>
      <c r="U1913" s="1" t="str">
        <f aca="false">IF(Q1913&gt;J1913,"Over",IF(Q1913&lt;J1913,"Under","Push"))</f>
        <v>Under</v>
      </c>
    </row>
    <row r="1914" customFormat="false" ht="15" hidden="false" customHeight="false" outlineLevel="0" collapsed="false">
      <c r="A1914" s="1" t="s">
        <v>591</v>
      </c>
      <c r="B1914" s="1" t="n">
        <v>2017</v>
      </c>
      <c r="C1914" s="1" t="s">
        <v>176</v>
      </c>
      <c r="D1914" s="1" t="s">
        <v>103</v>
      </c>
      <c r="E1914" s="1" t="s">
        <v>97</v>
      </c>
      <c r="F1914" s="1" t="n">
        <v>27</v>
      </c>
      <c r="G1914" s="1" t="n">
        <v>24</v>
      </c>
      <c r="H1914" s="1" t="s">
        <v>104</v>
      </c>
      <c r="I1914" s="1" t="n">
        <v>-6</v>
      </c>
      <c r="J1914" s="1" t="n">
        <v>43</v>
      </c>
      <c r="K1914" s="1" t="s">
        <v>150</v>
      </c>
      <c r="L1914" s="1" t="b">
        <f aca="false">FALSE()</f>
        <v>0</v>
      </c>
      <c r="M1914" s="1" t="str">
        <f aca="false">VLOOKUP(D1914,'Team Reference'!$A:$B,2,FALSE())</f>
        <v>PHI</v>
      </c>
      <c r="N1914" s="1" t="str">
        <f aca="false">VLOOKUP(E1914,'Team Reference'!$A:$B,2,FALSE())</f>
        <v>NYG</v>
      </c>
      <c r="O1914" s="1" t="str">
        <f aca="false">IF(F1914&gt;G1914,M1914,IF(G1914&gt;F1914,N1914,"Tie"))</f>
        <v>PHI</v>
      </c>
      <c r="P1914" s="1" t="n">
        <f aca="false">F1914-G1914</f>
        <v>3</v>
      </c>
      <c r="Q1914" s="1" t="n">
        <f aca="false">F1914+G1914</f>
        <v>51</v>
      </c>
      <c r="R1914" s="1" t="str">
        <f aca="false">IF(H1914=M1914,"Home",IF(H1914=N1914,"Away",IF(H1914="PICK","Pick","N/A")))</f>
        <v>Home</v>
      </c>
      <c r="S1914" s="1" t="n">
        <f aca="false">IF(R1914="Home",P1914,IF(R1914="Away",-P1914,""))</f>
        <v>3</v>
      </c>
      <c r="T1914" s="1" t="str">
        <f aca="false">IF(R1914="Pick","No Line",IF(S1914="","N/A",IF(S1914+I1914&gt;0,"Favorite Covered",IF(S1914+I1914&lt;0,"Underdog Covered","Push"))))</f>
        <v>Underdog Covered</v>
      </c>
      <c r="U1914" s="1" t="str">
        <f aca="false">IF(Q1914&gt;J1914,"Over",IF(Q1914&lt;J1914,"Under","Push"))</f>
        <v>Over</v>
      </c>
    </row>
    <row r="1915" customFormat="false" ht="15" hidden="false" customHeight="false" outlineLevel="0" collapsed="false">
      <c r="A1915" s="1" t="s">
        <v>591</v>
      </c>
      <c r="B1915" s="1" t="n">
        <v>2017</v>
      </c>
      <c r="C1915" s="1" t="s">
        <v>176</v>
      </c>
      <c r="D1915" s="1" t="s">
        <v>115</v>
      </c>
      <c r="E1915" s="1" t="s">
        <v>110</v>
      </c>
      <c r="F1915" s="1" t="n">
        <v>33</v>
      </c>
      <c r="G1915" s="1" t="n">
        <v>27</v>
      </c>
      <c r="H1915" s="1" t="s">
        <v>116</v>
      </c>
      <c r="I1915" s="1" t="n">
        <v>-3</v>
      </c>
      <c r="J1915" s="1" t="n">
        <v>42</v>
      </c>
      <c r="K1915" s="1" t="s">
        <v>584</v>
      </c>
      <c r="L1915" s="1" t="b">
        <f aca="false">FALSE()</f>
        <v>0</v>
      </c>
      <c r="M1915" s="1" t="str">
        <f aca="false">VLOOKUP(D1915,'Team Reference'!$A:$B,2,FALSE())</f>
        <v>TEN</v>
      </c>
      <c r="N1915" s="1" t="str">
        <f aca="false">VLOOKUP(E1915,'Team Reference'!$A:$B,2,FALSE())</f>
        <v>SEA</v>
      </c>
      <c r="O1915" s="1" t="str">
        <f aca="false">IF(F1915&gt;G1915,M1915,IF(G1915&gt;F1915,N1915,"Tie"))</f>
        <v>TEN</v>
      </c>
      <c r="P1915" s="1" t="n">
        <f aca="false">F1915-G1915</f>
        <v>6</v>
      </c>
      <c r="Q1915" s="1" t="n">
        <f aca="false">F1915+G1915</f>
        <v>60</v>
      </c>
      <c r="R1915" s="1" t="str">
        <f aca="false">IF(H1915=M1915,"Home",IF(H1915=N1915,"Away",IF(H1915="PICK","Pick","N/A")))</f>
        <v>Home</v>
      </c>
      <c r="S1915" s="1" t="n">
        <f aca="false">IF(R1915="Home",P1915,IF(R1915="Away",-P1915,""))</f>
        <v>6</v>
      </c>
      <c r="T1915" s="1" t="str">
        <f aca="false">IF(R1915="Pick","No Line",IF(S1915="","N/A",IF(S1915+I1915&gt;0,"Favorite Covered",IF(S1915+I1915&lt;0,"Underdog Covered","Push"))))</f>
        <v>Favorite Covered</v>
      </c>
      <c r="U1915" s="1" t="str">
        <f aca="false">IF(Q1915&gt;J1915,"Over",IF(Q1915&lt;J1915,"Under","Push"))</f>
        <v>Over</v>
      </c>
    </row>
    <row r="1916" customFormat="false" ht="15" hidden="false" customHeight="false" outlineLevel="0" collapsed="false">
      <c r="A1916" s="1" t="s">
        <v>591</v>
      </c>
      <c r="B1916" s="1" t="n">
        <v>2017</v>
      </c>
      <c r="C1916" s="1" t="s">
        <v>176</v>
      </c>
      <c r="D1916" s="1" t="s">
        <v>117</v>
      </c>
      <c r="E1916" s="1" t="s">
        <v>101</v>
      </c>
      <c r="F1916" s="1" t="n">
        <v>27</v>
      </c>
      <c r="G1916" s="1" t="n">
        <v>10</v>
      </c>
      <c r="H1916" s="1" t="s">
        <v>102</v>
      </c>
      <c r="I1916" s="1" t="n">
        <v>-3</v>
      </c>
      <c r="J1916" s="1" t="n">
        <v>53.5</v>
      </c>
      <c r="K1916" s="1" t="s">
        <v>156</v>
      </c>
      <c r="L1916" s="1" t="b">
        <f aca="false">FALSE()</f>
        <v>0</v>
      </c>
      <c r="M1916" s="1" t="str">
        <f aca="false">VLOOKUP(D1916,'Team Reference'!$A:$B,2,FALSE())</f>
        <v>WAS</v>
      </c>
      <c r="N1916" s="1" t="str">
        <f aca="false">VLOOKUP(E1916,'Team Reference'!$A:$B,2,FALSE())</f>
        <v>OAK</v>
      </c>
      <c r="O1916" s="1" t="str">
        <f aca="false">IF(F1916&gt;G1916,M1916,IF(G1916&gt;F1916,N1916,"Tie"))</f>
        <v>WAS</v>
      </c>
      <c r="P1916" s="1" t="n">
        <f aca="false">F1916-G1916</f>
        <v>17</v>
      </c>
      <c r="Q1916" s="1" t="n">
        <f aca="false">F1916+G1916</f>
        <v>37</v>
      </c>
      <c r="R1916" s="1" t="str">
        <f aca="false">IF(H1916=M1916,"Home",IF(H1916=N1916,"Away",IF(H1916="PICK","Pick","N/A")))</f>
        <v>Away</v>
      </c>
      <c r="S1916" s="1" t="n">
        <f aca="false">IF(R1916="Home",P1916,IF(R1916="Away",-P1916,""))</f>
        <v>-17</v>
      </c>
      <c r="T1916" s="1" t="str">
        <f aca="false">IF(R1916="Pick","No Line",IF(S1916="","N/A",IF(S1916+I1916&gt;0,"Favorite Covered",IF(S1916+I1916&lt;0,"Underdog Covered","Push"))))</f>
        <v>Underdog Covered</v>
      </c>
      <c r="U1916" s="1" t="str">
        <f aca="false">IF(Q1916&gt;J1916,"Over",IF(Q1916&lt;J1916,"Under","Push"))</f>
        <v>Under</v>
      </c>
    </row>
    <row r="1917" customFormat="false" ht="15" hidden="false" customHeight="false" outlineLevel="0" collapsed="false">
      <c r="A1917" s="1" t="s">
        <v>592</v>
      </c>
      <c r="B1917" s="1" t="n">
        <v>2017</v>
      </c>
      <c r="C1917" s="1" t="s">
        <v>176</v>
      </c>
      <c r="D1917" s="1" t="s">
        <v>53</v>
      </c>
      <c r="E1917" s="1" t="s">
        <v>69</v>
      </c>
      <c r="F1917" s="1" t="n">
        <v>17</v>
      </c>
      <c r="G1917" s="1" t="n">
        <v>28</v>
      </c>
      <c r="H1917" s="1" t="s">
        <v>70</v>
      </c>
      <c r="I1917" s="1" t="n">
        <v>-3</v>
      </c>
      <c r="J1917" s="1" t="n">
        <v>46.5</v>
      </c>
      <c r="K1917" s="1" t="s">
        <v>177</v>
      </c>
      <c r="L1917" s="1" t="b">
        <f aca="false">FALSE()</f>
        <v>0</v>
      </c>
      <c r="M1917" s="1" t="str">
        <f aca="false">VLOOKUP(D1917,'Team Reference'!$A:$B,2,FALSE())</f>
        <v>ARI</v>
      </c>
      <c r="N1917" s="1" t="str">
        <f aca="false">VLOOKUP(E1917,'Team Reference'!$A:$B,2,FALSE())</f>
        <v>DAL</v>
      </c>
      <c r="O1917" s="1" t="str">
        <f aca="false">IF(F1917&gt;G1917,M1917,IF(G1917&gt;F1917,N1917,"Tie"))</f>
        <v>DAL</v>
      </c>
      <c r="P1917" s="1" t="n">
        <f aca="false">F1917-G1917</f>
        <v>-11</v>
      </c>
      <c r="Q1917" s="1" t="n">
        <f aca="false">F1917+G1917</f>
        <v>45</v>
      </c>
      <c r="R1917" s="1" t="str">
        <f aca="false">IF(H1917=M1917,"Home",IF(H1917=N1917,"Away",IF(H1917="PICK","Pick","N/A")))</f>
        <v>Away</v>
      </c>
      <c r="S1917" s="1" t="n">
        <f aca="false">IF(R1917="Home",P1917,IF(R1917="Away",-P1917,""))</f>
        <v>11</v>
      </c>
      <c r="T1917" s="1" t="str">
        <f aca="false">IF(R1917="Pick","No Line",IF(S1917="","N/A",IF(S1917+I1917&gt;0,"Favorite Covered",IF(S1917+I1917&lt;0,"Underdog Covered","Push"))))</f>
        <v>Favorite Covered</v>
      </c>
      <c r="U1917" s="1" t="str">
        <f aca="false">IF(Q1917&gt;J1917,"Over",IF(Q1917&lt;J1917,"Under","Push"))</f>
        <v>Under</v>
      </c>
    </row>
    <row r="1918" customFormat="false" ht="15" hidden="false" customHeight="false" outlineLevel="0" collapsed="false">
      <c r="A1918" s="1" t="s">
        <v>593</v>
      </c>
      <c r="B1918" s="1" t="n">
        <v>2017</v>
      </c>
      <c r="C1918" s="1" t="s">
        <v>182</v>
      </c>
      <c r="D1918" s="1" t="s">
        <v>75</v>
      </c>
      <c r="E1918" s="1" t="s">
        <v>63</v>
      </c>
      <c r="F1918" s="1" t="n">
        <v>35</v>
      </c>
      <c r="G1918" s="1" t="n">
        <v>14</v>
      </c>
      <c r="H1918" s="1" t="s">
        <v>76</v>
      </c>
      <c r="I1918" s="1" t="n">
        <v>-7.5</v>
      </c>
      <c r="J1918" s="1" t="n">
        <v>44.5</v>
      </c>
      <c r="K1918" s="1" t="s">
        <v>168</v>
      </c>
      <c r="L1918" s="1" t="b">
        <f aca="false">FALSE()</f>
        <v>0</v>
      </c>
      <c r="M1918" s="1" t="str">
        <f aca="false">VLOOKUP(D1918,'Team Reference'!$A:$B,2,FALSE())</f>
        <v>GB</v>
      </c>
      <c r="N1918" s="1" t="str">
        <f aca="false">VLOOKUP(E1918,'Team Reference'!$A:$B,2,FALSE())</f>
        <v>CHI</v>
      </c>
      <c r="O1918" s="1" t="str">
        <f aca="false">IF(F1918&gt;G1918,M1918,IF(G1918&gt;F1918,N1918,"Tie"))</f>
        <v>GB</v>
      </c>
      <c r="P1918" s="1" t="n">
        <f aca="false">F1918-G1918</f>
        <v>21</v>
      </c>
      <c r="Q1918" s="1" t="n">
        <f aca="false">F1918+G1918</f>
        <v>49</v>
      </c>
      <c r="R1918" s="1" t="str">
        <f aca="false">IF(H1918=M1918,"Home",IF(H1918=N1918,"Away",IF(H1918="PICK","Pick","N/A")))</f>
        <v>Home</v>
      </c>
      <c r="S1918" s="1" t="n">
        <f aca="false">IF(R1918="Home",P1918,IF(R1918="Away",-P1918,""))</f>
        <v>21</v>
      </c>
      <c r="T1918" s="1" t="str">
        <f aca="false">IF(R1918="Pick","No Line",IF(S1918="","N/A",IF(S1918+I1918&gt;0,"Favorite Covered",IF(S1918+I1918&lt;0,"Underdog Covered","Push"))))</f>
        <v>Favorite Covered</v>
      </c>
      <c r="U1918" s="1" t="str">
        <f aca="false">IF(Q1918&gt;J1918,"Over",IF(Q1918&lt;J1918,"Under","Push"))</f>
        <v>Over</v>
      </c>
    </row>
    <row r="1919" customFormat="false" ht="15" hidden="false" customHeight="false" outlineLevel="0" collapsed="false">
      <c r="A1919" s="1" t="s">
        <v>594</v>
      </c>
      <c r="B1919" s="1" t="n">
        <v>2017</v>
      </c>
      <c r="C1919" s="1" t="s">
        <v>182</v>
      </c>
      <c r="D1919" s="1" t="s">
        <v>53</v>
      </c>
      <c r="E1919" s="1" t="s">
        <v>108</v>
      </c>
      <c r="F1919" s="1" t="n">
        <v>18</v>
      </c>
      <c r="G1919" s="1" t="n">
        <v>15</v>
      </c>
      <c r="H1919" s="1" t="s">
        <v>54</v>
      </c>
      <c r="I1919" s="1" t="n">
        <v>-6.5</v>
      </c>
      <c r="J1919" s="1" t="n">
        <v>44.5</v>
      </c>
      <c r="K1919" s="1" t="s">
        <v>177</v>
      </c>
      <c r="L1919" s="1" t="b">
        <f aca="false">FALSE()</f>
        <v>0</v>
      </c>
      <c r="M1919" s="1" t="str">
        <f aca="false">VLOOKUP(D1919,'Team Reference'!$A:$B,2,FALSE())</f>
        <v>ARI</v>
      </c>
      <c r="N1919" s="1" t="str">
        <f aca="false">VLOOKUP(E1919,'Team Reference'!$A:$B,2,FALSE())</f>
        <v>SF</v>
      </c>
      <c r="O1919" s="1" t="str">
        <f aca="false">IF(F1919&gt;G1919,M1919,IF(G1919&gt;F1919,N1919,"Tie"))</f>
        <v>ARI</v>
      </c>
      <c r="P1919" s="1" t="n">
        <f aca="false">F1919-G1919</f>
        <v>3</v>
      </c>
      <c r="Q1919" s="1" t="n">
        <f aca="false">F1919+G1919</f>
        <v>33</v>
      </c>
      <c r="R1919" s="1" t="str">
        <f aca="false">IF(H1919=M1919,"Home",IF(H1919=N1919,"Away",IF(H1919="PICK","Pick","N/A")))</f>
        <v>Home</v>
      </c>
      <c r="S1919" s="1" t="n">
        <f aca="false">IF(R1919="Home",P1919,IF(R1919="Away",-P1919,""))</f>
        <v>3</v>
      </c>
      <c r="T1919" s="1" t="str">
        <f aca="false">IF(R1919="Pick","No Line",IF(S1919="","N/A",IF(S1919+I1919&gt;0,"Favorite Covered",IF(S1919+I1919&lt;0,"Underdog Covered","Push"))))</f>
        <v>Underdog Covered</v>
      </c>
      <c r="U1919" s="1" t="str">
        <f aca="false">IF(Q1919&gt;J1919,"Over",IF(Q1919&lt;J1919,"Under","Push"))</f>
        <v>Under</v>
      </c>
    </row>
    <row r="1920" customFormat="false" ht="15" hidden="false" customHeight="false" outlineLevel="0" collapsed="false">
      <c r="A1920" s="1" t="s">
        <v>594</v>
      </c>
      <c r="B1920" s="1" t="n">
        <v>2017</v>
      </c>
      <c r="C1920" s="1" t="s">
        <v>182</v>
      </c>
      <c r="D1920" s="1" t="s">
        <v>55</v>
      </c>
      <c r="E1920" s="1" t="s">
        <v>59</v>
      </c>
      <c r="F1920" s="1" t="n">
        <v>17</v>
      </c>
      <c r="G1920" s="1" t="n">
        <v>23</v>
      </c>
      <c r="H1920" s="1" t="s">
        <v>56</v>
      </c>
      <c r="I1920" s="1" t="n">
        <v>-8</v>
      </c>
      <c r="J1920" s="1" t="n">
        <v>48.5</v>
      </c>
      <c r="K1920" s="1" t="s">
        <v>161</v>
      </c>
      <c r="L1920" s="1" t="b">
        <f aca="false">FALSE()</f>
        <v>0</v>
      </c>
      <c r="M1920" s="1" t="str">
        <f aca="false">VLOOKUP(D1920,'Team Reference'!$A:$B,2,FALSE())</f>
        <v>ATL</v>
      </c>
      <c r="N1920" s="1" t="str">
        <f aca="false">VLOOKUP(E1920,'Team Reference'!$A:$B,2,FALSE())</f>
        <v>BUF</v>
      </c>
      <c r="O1920" s="1" t="str">
        <f aca="false">IF(F1920&gt;G1920,M1920,IF(G1920&gt;F1920,N1920,"Tie"))</f>
        <v>BUF</v>
      </c>
      <c r="P1920" s="1" t="n">
        <f aca="false">F1920-G1920</f>
        <v>-6</v>
      </c>
      <c r="Q1920" s="1" t="n">
        <f aca="false">F1920+G1920</f>
        <v>40</v>
      </c>
      <c r="R1920" s="1" t="str">
        <f aca="false">IF(H1920=M1920,"Home",IF(H1920=N1920,"Away",IF(H1920="PICK","Pick","N/A")))</f>
        <v>Home</v>
      </c>
      <c r="S1920" s="1" t="n">
        <f aca="false">IF(R1920="Home",P1920,IF(R1920="Away",-P1920,""))</f>
        <v>-6</v>
      </c>
      <c r="T1920" s="1" t="str">
        <f aca="false">IF(R1920="Pick","No Line",IF(S1920="","N/A",IF(S1920+I1920&gt;0,"Favorite Covered",IF(S1920+I1920&lt;0,"Underdog Covered","Push"))))</f>
        <v>Underdog Covered</v>
      </c>
      <c r="U1920" s="1" t="str">
        <f aca="false">IF(Q1920&gt;J1920,"Over",IF(Q1920&lt;J1920,"Under","Push"))</f>
        <v>Under</v>
      </c>
    </row>
    <row r="1921" customFormat="false" ht="15" hidden="false" customHeight="false" outlineLevel="0" collapsed="false">
      <c r="A1921" s="1" t="s">
        <v>594</v>
      </c>
      <c r="B1921" s="1" t="n">
        <v>2017</v>
      </c>
      <c r="C1921" s="1" t="s">
        <v>182</v>
      </c>
      <c r="D1921" s="1" t="s">
        <v>57</v>
      </c>
      <c r="E1921" s="1" t="s">
        <v>105</v>
      </c>
      <c r="F1921" s="1" t="n">
        <v>9</v>
      </c>
      <c r="G1921" s="1" t="n">
        <v>26</v>
      </c>
      <c r="H1921" s="1" t="s">
        <v>106</v>
      </c>
      <c r="I1921" s="1" t="n">
        <v>-3</v>
      </c>
      <c r="J1921" s="1" t="n">
        <v>42</v>
      </c>
      <c r="K1921" s="1" t="s">
        <v>178</v>
      </c>
      <c r="L1921" s="1" t="b">
        <f aca="false">FALSE()</f>
        <v>0</v>
      </c>
      <c r="M1921" s="1" t="str">
        <f aca="false">VLOOKUP(D1921,'Team Reference'!$A:$B,2,FALSE())</f>
        <v>BAL</v>
      </c>
      <c r="N1921" s="1" t="str">
        <f aca="false">VLOOKUP(E1921,'Team Reference'!$A:$B,2,FALSE())</f>
        <v>PIT</v>
      </c>
      <c r="O1921" s="1" t="str">
        <f aca="false">IF(F1921&gt;G1921,M1921,IF(G1921&gt;F1921,N1921,"Tie"))</f>
        <v>PIT</v>
      </c>
      <c r="P1921" s="1" t="n">
        <f aca="false">F1921-G1921</f>
        <v>-17</v>
      </c>
      <c r="Q1921" s="1" t="n">
        <f aca="false">F1921+G1921</f>
        <v>35</v>
      </c>
      <c r="R1921" s="1" t="str">
        <f aca="false">IF(H1921=M1921,"Home",IF(H1921=N1921,"Away",IF(H1921="PICK","Pick","N/A")))</f>
        <v>Away</v>
      </c>
      <c r="S1921" s="1" t="n">
        <f aca="false">IF(R1921="Home",P1921,IF(R1921="Away",-P1921,""))</f>
        <v>17</v>
      </c>
      <c r="T1921" s="1" t="str">
        <f aca="false">IF(R1921="Pick","No Line",IF(S1921="","N/A",IF(S1921+I1921&gt;0,"Favorite Covered",IF(S1921+I1921&lt;0,"Underdog Covered","Push"))))</f>
        <v>Favorite Covered</v>
      </c>
      <c r="U1921" s="1" t="str">
        <f aca="false">IF(Q1921&gt;J1921,"Over",IF(Q1921&lt;J1921,"Under","Push"))</f>
        <v>Under</v>
      </c>
    </row>
    <row r="1922" customFormat="false" ht="15" hidden="false" customHeight="false" outlineLevel="0" collapsed="false">
      <c r="A1922" s="1" t="s">
        <v>594</v>
      </c>
      <c r="B1922" s="1" t="n">
        <v>2017</v>
      </c>
      <c r="C1922" s="1" t="s">
        <v>182</v>
      </c>
      <c r="D1922" s="1" t="s">
        <v>67</v>
      </c>
      <c r="E1922" s="1" t="s">
        <v>65</v>
      </c>
      <c r="F1922" s="1" t="n">
        <v>7</v>
      </c>
      <c r="G1922" s="1" t="n">
        <v>31</v>
      </c>
      <c r="H1922" s="1" t="s">
        <v>66</v>
      </c>
      <c r="I1922" s="1" t="n">
        <v>-3</v>
      </c>
      <c r="J1922" s="1" t="n">
        <v>41.5</v>
      </c>
      <c r="K1922" s="1" t="s">
        <v>164</v>
      </c>
      <c r="L1922" s="1" t="b">
        <f aca="false">FALSE()</f>
        <v>0</v>
      </c>
      <c r="M1922" s="1" t="str">
        <f aca="false">VLOOKUP(D1922,'Team Reference'!$A:$B,2,FALSE())</f>
        <v>CLE</v>
      </c>
      <c r="N1922" s="1" t="str">
        <f aca="false">VLOOKUP(E1922,'Team Reference'!$A:$B,2,FALSE())</f>
        <v>CIN</v>
      </c>
      <c r="O1922" s="1" t="str">
        <f aca="false">IF(F1922&gt;G1922,M1922,IF(G1922&gt;F1922,N1922,"Tie"))</f>
        <v>CIN</v>
      </c>
      <c r="P1922" s="1" t="n">
        <f aca="false">F1922-G1922</f>
        <v>-24</v>
      </c>
      <c r="Q1922" s="1" t="n">
        <f aca="false">F1922+G1922</f>
        <v>38</v>
      </c>
      <c r="R1922" s="1" t="str">
        <f aca="false">IF(H1922=M1922,"Home",IF(H1922=N1922,"Away",IF(H1922="PICK","Pick","N/A")))</f>
        <v>Away</v>
      </c>
      <c r="S1922" s="1" t="n">
        <f aca="false">IF(R1922="Home",P1922,IF(R1922="Away",-P1922,""))</f>
        <v>24</v>
      </c>
      <c r="T1922" s="1" t="str">
        <f aca="false">IF(R1922="Pick","No Line",IF(S1922="","N/A",IF(S1922+I1922&gt;0,"Favorite Covered",IF(S1922+I1922&lt;0,"Underdog Covered","Push"))))</f>
        <v>Favorite Covered</v>
      </c>
      <c r="U1922" s="1" t="str">
        <f aca="false">IF(Q1922&gt;J1922,"Over",IF(Q1922&lt;J1922,"Under","Push"))</f>
        <v>Under</v>
      </c>
    </row>
    <row r="1923" customFormat="false" ht="15" hidden="false" customHeight="false" outlineLevel="0" collapsed="false">
      <c r="A1923" s="1" t="s">
        <v>594</v>
      </c>
      <c r="B1923" s="1" t="n">
        <v>2017</v>
      </c>
      <c r="C1923" s="1" t="s">
        <v>182</v>
      </c>
      <c r="D1923" s="1" t="s">
        <v>69</v>
      </c>
      <c r="E1923" s="1" t="s">
        <v>87</v>
      </c>
      <c r="F1923" s="1" t="n">
        <v>30</v>
      </c>
      <c r="G1923" s="1" t="n">
        <v>35</v>
      </c>
      <c r="H1923" s="1" t="s">
        <v>70</v>
      </c>
      <c r="I1923" s="1" t="n">
        <v>-6</v>
      </c>
      <c r="J1923" s="1" t="n">
        <v>48.5</v>
      </c>
      <c r="K1923" s="1" t="s">
        <v>583</v>
      </c>
      <c r="L1923" s="1" t="b">
        <f aca="false">FALSE()</f>
        <v>0</v>
      </c>
      <c r="M1923" s="1" t="str">
        <f aca="false">VLOOKUP(D1923,'Team Reference'!$A:$B,2,FALSE())</f>
        <v>DAL</v>
      </c>
      <c r="N1923" s="1" t="str">
        <f aca="false">VLOOKUP(E1923,'Team Reference'!$A:$B,2,FALSE())</f>
        <v>LAR</v>
      </c>
      <c r="O1923" s="1" t="str">
        <f aca="false">IF(F1923&gt;G1923,M1923,IF(G1923&gt;F1923,N1923,"Tie"))</f>
        <v>LAR</v>
      </c>
      <c r="P1923" s="1" t="n">
        <f aca="false">F1923-G1923</f>
        <v>-5</v>
      </c>
      <c r="Q1923" s="1" t="n">
        <f aca="false">F1923+G1923</f>
        <v>65</v>
      </c>
      <c r="R1923" s="1" t="str">
        <f aca="false">IF(H1923=M1923,"Home",IF(H1923=N1923,"Away",IF(H1923="PICK","Pick","N/A")))</f>
        <v>Home</v>
      </c>
      <c r="S1923" s="1" t="n">
        <f aca="false">IF(R1923="Home",P1923,IF(R1923="Away",-P1923,""))</f>
        <v>-5</v>
      </c>
      <c r="T1923" s="1" t="str">
        <f aca="false">IF(R1923="Pick","No Line",IF(S1923="","N/A",IF(S1923+I1923&gt;0,"Favorite Covered",IF(S1923+I1923&lt;0,"Underdog Covered","Push"))))</f>
        <v>Underdog Covered</v>
      </c>
      <c r="U1923" s="1" t="str">
        <f aca="false">IF(Q1923&gt;J1923,"Over",IF(Q1923&lt;J1923,"Under","Push"))</f>
        <v>Over</v>
      </c>
    </row>
    <row r="1924" customFormat="false" ht="15" hidden="false" customHeight="false" outlineLevel="0" collapsed="false">
      <c r="A1924" s="1" t="s">
        <v>594</v>
      </c>
      <c r="B1924" s="1" t="n">
        <v>2017</v>
      </c>
      <c r="C1924" s="1" t="s">
        <v>182</v>
      </c>
      <c r="D1924" s="1" t="s">
        <v>71</v>
      </c>
      <c r="E1924" s="1" t="s">
        <v>101</v>
      </c>
      <c r="F1924" s="1" t="n">
        <v>16</v>
      </c>
      <c r="G1924" s="1" t="n">
        <v>10</v>
      </c>
      <c r="H1924" s="1" t="s">
        <v>72</v>
      </c>
      <c r="I1924" s="1" t="n">
        <v>-3</v>
      </c>
      <c r="J1924" s="1" t="n">
        <v>46</v>
      </c>
      <c r="K1924" s="1" t="s">
        <v>166</v>
      </c>
      <c r="L1924" s="1" t="b">
        <f aca="false">FALSE()</f>
        <v>0</v>
      </c>
      <c r="M1924" s="1" t="str">
        <f aca="false">VLOOKUP(D1924,'Team Reference'!$A:$B,2,FALSE())</f>
        <v>DEN</v>
      </c>
      <c r="N1924" s="1" t="str">
        <f aca="false">VLOOKUP(E1924,'Team Reference'!$A:$B,2,FALSE())</f>
        <v>OAK</v>
      </c>
      <c r="O1924" s="1" t="str">
        <f aca="false">IF(F1924&gt;G1924,M1924,IF(G1924&gt;F1924,N1924,"Tie"))</f>
        <v>DEN</v>
      </c>
      <c r="P1924" s="1" t="n">
        <f aca="false">F1924-G1924</f>
        <v>6</v>
      </c>
      <c r="Q1924" s="1" t="n">
        <f aca="false">F1924+G1924</f>
        <v>26</v>
      </c>
      <c r="R1924" s="1" t="str">
        <f aca="false">IF(H1924=M1924,"Home",IF(H1924=N1924,"Away",IF(H1924="PICK","Pick","N/A")))</f>
        <v>Home</v>
      </c>
      <c r="S1924" s="1" t="n">
        <f aca="false">IF(R1924="Home",P1924,IF(R1924="Away",-P1924,""))</f>
        <v>6</v>
      </c>
      <c r="T1924" s="1" t="str">
        <f aca="false">IF(R1924="Pick","No Line",IF(S1924="","N/A",IF(S1924+I1924&gt;0,"Favorite Covered",IF(S1924+I1924&lt;0,"Underdog Covered","Push"))))</f>
        <v>Favorite Covered</v>
      </c>
      <c r="U1924" s="1" t="str">
        <f aca="false">IF(Q1924&gt;J1924,"Over",IF(Q1924&lt;J1924,"Under","Push"))</f>
        <v>Under</v>
      </c>
    </row>
    <row r="1925" customFormat="false" ht="15" hidden="false" customHeight="false" outlineLevel="0" collapsed="false">
      <c r="A1925" s="1" t="s">
        <v>594</v>
      </c>
      <c r="B1925" s="1" t="n">
        <v>2017</v>
      </c>
      <c r="C1925" s="1" t="s">
        <v>182</v>
      </c>
      <c r="D1925" s="1" t="s">
        <v>77</v>
      </c>
      <c r="E1925" s="1" t="s">
        <v>115</v>
      </c>
      <c r="F1925" s="1" t="n">
        <v>57</v>
      </c>
      <c r="G1925" s="1" t="n">
        <v>14</v>
      </c>
      <c r="H1925" s="1" t="s">
        <v>116</v>
      </c>
      <c r="I1925" s="1" t="n">
        <v>-2</v>
      </c>
      <c r="J1925" s="1" t="n">
        <v>43.5</v>
      </c>
      <c r="K1925" s="1" t="s">
        <v>580</v>
      </c>
      <c r="L1925" s="1" t="b">
        <f aca="false">FALSE()</f>
        <v>0</v>
      </c>
      <c r="M1925" s="1" t="str">
        <f aca="false">VLOOKUP(D1925,'Team Reference'!$A:$B,2,FALSE())</f>
        <v>HOU</v>
      </c>
      <c r="N1925" s="1" t="str">
        <f aca="false">VLOOKUP(E1925,'Team Reference'!$A:$B,2,FALSE())</f>
        <v>TEN</v>
      </c>
      <c r="O1925" s="1" t="str">
        <f aca="false">IF(F1925&gt;G1925,M1925,IF(G1925&gt;F1925,N1925,"Tie"))</f>
        <v>HOU</v>
      </c>
      <c r="P1925" s="1" t="n">
        <f aca="false">F1925-G1925</f>
        <v>43</v>
      </c>
      <c r="Q1925" s="1" t="n">
        <f aca="false">F1925+G1925</f>
        <v>71</v>
      </c>
      <c r="R1925" s="1" t="str">
        <f aca="false">IF(H1925=M1925,"Home",IF(H1925=N1925,"Away",IF(H1925="PICK","Pick","N/A")))</f>
        <v>Away</v>
      </c>
      <c r="S1925" s="1" t="n">
        <f aca="false">IF(R1925="Home",P1925,IF(R1925="Away",-P1925,""))</f>
        <v>-43</v>
      </c>
      <c r="T1925" s="1" t="str">
        <f aca="false">IF(R1925="Pick","No Line",IF(S1925="","N/A",IF(S1925+I1925&gt;0,"Favorite Covered",IF(S1925+I1925&lt;0,"Underdog Covered","Push"))))</f>
        <v>Underdog Covered</v>
      </c>
      <c r="U1925" s="1" t="str">
        <f aca="false">IF(Q1925&gt;J1925,"Over",IF(Q1925&lt;J1925,"Under","Push"))</f>
        <v>Over</v>
      </c>
    </row>
    <row r="1926" customFormat="false" ht="15" hidden="false" customHeight="false" outlineLevel="0" collapsed="false">
      <c r="A1926" s="1" t="s">
        <v>594</v>
      </c>
      <c r="B1926" s="1" t="n">
        <v>2017</v>
      </c>
      <c r="C1926" s="1" t="s">
        <v>182</v>
      </c>
      <c r="D1926" s="1" t="s">
        <v>85</v>
      </c>
      <c r="E1926" s="1" t="s">
        <v>103</v>
      </c>
      <c r="F1926" s="1" t="n">
        <v>24</v>
      </c>
      <c r="G1926" s="1" t="n">
        <v>26</v>
      </c>
      <c r="H1926" s="1" t="s">
        <v>86</v>
      </c>
      <c r="I1926" s="1" t="n">
        <v>-1</v>
      </c>
      <c r="J1926" s="1" t="n">
        <v>47.5</v>
      </c>
      <c r="K1926" s="1" t="s">
        <v>588</v>
      </c>
      <c r="L1926" s="1" t="b">
        <f aca="false">FALSE()</f>
        <v>0</v>
      </c>
      <c r="M1926" s="1" t="str">
        <f aca="false">VLOOKUP(D1926,'Team Reference'!$A:$B,2,FALSE())</f>
        <v>LAC</v>
      </c>
      <c r="N1926" s="1" t="str">
        <f aca="false">VLOOKUP(E1926,'Team Reference'!$A:$B,2,FALSE())</f>
        <v>PHI</v>
      </c>
      <c r="O1926" s="1" t="str">
        <f aca="false">IF(F1926&gt;G1926,M1926,IF(G1926&gt;F1926,N1926,"Tie"))</f>
        <v>PHI</v>
      </c>
      <c r="P1926" s="1" t="n">
        <f aca="false">F1926-G1926</f>
        <v>-2</v>
      </c>
      <c r="Q1926" s="1" t="n">
        <f aca="false">F1926+G1926</f>
        <v>50</v>
      </c>
      <c r="R1926" s="1" t="str">
        <f aca="false">IF(H1926=M1926,"Home",IF(H1926=N1926,"Away",IF(H1926="PICK","Pick","N/A")))</f>
        <v>Home</v>
      </c>
      <c r="S1926" s="1" t="n">
        <f aca="false">IF(R1926="Home",P1926,IF(R1926="Away",-P1926,""))</f>
        <v>-2</v>
      </c>
      <c r="T1926" s="1" t="str">
        <f aca="false">IF(R1926="Pick","No Line",IF(S1926="","N/A",IF(S1926+I1926&gt;0,"Favorite Covered",IF(S1926+I1926&lt;0,"Underdog Covered","Push"))))</f>
        <v>Underdog Covered</v>
      </c>
      <c r="U1926" s="1" t="str">
        <f aca="false">IF(Q1926&gt;J1926,"Over",IF(Q1926&lt;J1926,"Under","Push"))</f>
        <v>Over</v>
      </c>
    </row>
    <row r="1927" customFormat="false" ht="15" hidden="false" customHeight="false" outlineLevel="0" collapsed="false">
      <c r="A1927" s="1" t="s">
        <v>594</v>
      </c>
      <c r="B1927" s="1" t="n">
        <v>2017</v>
      </c>
      <c r="C1927" s="1" t="s">
        <v>182</v>
      </c>
      <c r="D1927" s="1" t="s">
        <v>89</v>
      </c>
      <c r="E1927" s="1" t="s">
        <v>95</v>
      </c>
      <c r="F1927" s="1" t="n">
        <v>0</v>
      </c>
      <c r="G1927" s="1" t="n">
        <v>20</v>
      </c>
      <c r="H1927" s="1" t="s">
        <v>96</v>
      </c>
      <c r="I1927" s="1" t="n">
        <v>-3</v>
      </c>
      <c r="J1927" s="1" t="n">
        <v>50.5</v>
      </c>
      <c r="K1927" s="1" t="s">
        <v>195</v>
      </c>
      <c r="L1927" s="1" t="b">
        <f aca="false">FALSE()</f>
        <v>0</v>
      </c>
      <c r="M1927" s="1" t="str">
        <f aca="false">VLOOKUP(D1927,'Team Reference'!$A:$B,2,FALSE())</f>
        <v>MIA</v>
      </c>
      <c r="N1927" s="1" t="str">
        <f aca="false">VLOOKUP(E1927,'Team Reference'!$A:$B,2,FALSE())</f>
        <v>NO</v>
      </c>
      <c r="O1927" s="1" t="str">
        <f aca="false">IF(F1927&gt;G1927,M1927,IF(G1927&gt;F1927,N1927,"Tie"))</f>
        <v>NO</v>
      </c>
      <c r="P1927" s="1" t="n">
        <f aca="false">F1927-G1927</f>
        <v>-20</v>
      </c>
      <c r="Q1927" s="1" t="n">
        <f aca="false">F1927+G1927</f>
        <v>20</v>
      </c>
      <c r="R1927" s="1" t="str">
        <f aca="false">IF(H1927=M1927,"Home",IF(H1927=N1927,"Away",IF(H1927="PICK","Pick","N/A")))</f>
        <v>Away</v>
      </c>
      <c r="S1927" s="1" t="n">
        <f aca="false">IF(R1927="Home",P1927,IF(R1927="Away",-P1927,""))</f>
        <v>20</v>
      </c>
      <c r="T1927" s="1" t="str">
        <f aca="false">IF(R1927="Pick","No Line",IF(S1927="","N/A",IF(S1927+I1927&gt;0,"Favorite Covered",IF(S1927+I1927&lt;0,"Underdog Covered","Push"))))</f>
        <v>Favorite Covered</v>
      </c>
      <c r="U1927" s="1" t="str">
        <f aca="false">IF(Q1927&gt;J1927,"Over",IF(Q1927&lt;J1927,"Under","Push"))</f>
        <v>Under</v>
      </c>
    </row>
    <row r="1928" customFormat="false" ht="15" hidden="false" customHeight="false" outlineLevel="0" collapsed="false">
      <c r="A1928" s="1" t="s">
        <v>594</v>
      </c>
      <c r="B1928" s="1" t="n">
        <v>2017</v>
      </c>
      <c r="C1928" s="1" t="s">
        <v>182</v>
      </c>
      <c r="D1928" s="1" t="s">
        <v>91</v>
      </c>
      <c r="E1928" s="1" t="s">
        <v>73</v>
      </c>
      <c r="F1928" s="1" t="n">
        <v>7</v>
      </c>
      <c r="G1928" s="1" t="n">
        <v>14</v>
      </c>
      <c r="H1928" s="1" t="s">
        <v>92</v>
      </c>
      <c r="I1928" s="1" t="n">
        <v>-2</v>
      </c>
      <c r="J1928" s="1" t="n">
        <v>42.5</v>
      </c>
      <c r="K1928" s="1" t="s">
        <v>525</v>
      </c>
      <c r="L1928" s="1" t="b">
        <f aca="false">FALSE()</f>
        <v>0</v>
      </c>
      <c r="M1928" s="1" t="str">
        <f aca="false">VLOOKUP(D1928,'Team Reference'!$A:$B,2,FALSE())</f>
        <v>MIN</v>
      </c>
      <c r="N1928" s="1" t="str">
        <f aca="false">VLOOKUP(E1928,'Team Reference'!$A:$B,2,FALSE())</f>
        <v>DET</v>
      </c>
      <c r="O1928" s="1" t="str">
        <f aca="false">IF(F1928&gt;G1928,M1928,IF(G1928&gt;F1928,N1928,"Tie"))</f>
        <v>DET</v>
      </c>
      <c r="P1928" s="1" t="n">
        <f aca="false">F1928-G1928</f>
        <v>-7</v>
      </c>
      <c r="Q1928" s="1" t="n">
        <f aca="false">F1928+G1928</f>
        <v>21</v>
      </c>
      <c r="R1928" s="1" t="str">
        <f aca="false">IF(H1928=M1928,"Home",IF(H1928=N1928,"Away",IF(H1928="PICK","Pick","N/A")))</f>
        <v>Home</v>
      </c>
      <c r="S1928" s="1" t="n">
        <f aca="false">IF(R1928="Home",P1928,IF(R1928="Away",-P1928,""))</f>
        <v>-7</v>
      </c>
      <c r="T1928" s="1" t="str">
        <f aca="false">IF(R1928="Pick","No Line",IF(S1928="","N/A",IF(S1928+I1928&gt;0,"Favorite Covered",IF(S1928+I1928&lt;0,"Underdog Covered","Push"))))</f>
        <v>Underdog Covered</v>
      </c>
      <c r="U1928" s="1" t="str">
        <f aca="false">IF(Q1928&gt;J1928,"Over",IF(Q1928&lt;J1928,"Under","Push"))</f>
        <v>Under</v>
      </c>
    </row>
    <row r="1929" customFormat="false" ht="15" hidden="false" customHeight="false" outlineLevel="0" collapsed="false">
      <c r="A1929" s="1" t="s">
        <v>594</v>
      </c>
      <c r="B1929" s="1" t="n">
        <v>2017</v>
      </c>
      <c r="C1929" s="1" t="s">
        <v>182</v>
      </c>
      <c r="D1929" s="1" t="s">
        <v>93</v>
      </c>
      <c r="E1929" s="1" t="s">
        <v>61</v>
      </c>
      <c r="F1929" s="1" t="n">
        <v>30</v>
      </c>
      <c r="G1929" s="1" t="n">
        <v>33</v>
      </c>
      <c r="H1929" s="1" t="s">
        <v>94</v>
      </c>
      <c r="I1929" s="1" t="n">
        <v>-9</v>
      </c>
      <c r="J1929" s="1" t="n">
        <v>49</v>
      </c>
      <c r="K1929" s="1" t="s">
        <v>148</v>
      </c>
      <c r="L1929" s="1" t="b">
        <f aca="false">FALSE()</f>
        <v>0</v>
      </c>
      <c r="M1929" s="1" t="str">
        <f aca="false">VLOOKUP(D1929,'Team Reference'!$A:$B,2,FALSE())</f>
        <v>NE</v>
      </c>
      <c r="N1929" s="1" t="str">
        <f aca="false">VLOOKUP(E1929,'Team Reference'!$A:$B,2,FALSE())</f>
        <v>CAR</v>
      </c>
      <c r="O1929" s="1" t="str">
        <f aca="false">IF(F1929&gt;G1929,M1929,IF(G1929&gt;F1929,N1929,"Tie"))</f>
        <v>CAR</v>
      </c>
      <c r="P1929" s="1" t="n">
        <f aca="false">F1929-G1929</f>
        <v>-3</v>
      </c>
      <c r="Q1929" s="1" t="n">
        <f aca="false">F1929+G1929</f>
        <v>63</v>
      </c>
      <c r="R1929" s="1" t="str">
        <f aca="false">IF(H1929=M1929,"Home",IF(H1929=N1929,"Away",IF(H1929="PICK","Pick","N/A")))</f>
        <v>Home</v>
      </c>
      <c r="S1929" s="1" t="n">
        <f aca="false">IF(R1929="Home",P1929,IF(R1929="Away",-P1929,""))</f>
        <v>-3</v>
      </c>
      <c r="T1929" s="1" t="str">
        <f aca="false">IF(R1929="Pick","No Line",IF(S1929="","N/A",IF(S1929+I1929&gt;0,"Favorite Covered",IF(S1929+I1929&lt;0,"Underdog Covered","Push"))))</f>
        <v>Underdog Covered</v>
      </c>
      <c r="U1929" s="1" t="str">
        <f aca="false">IF(Q1929&gt;J1929,"Over",IF(Q1929&lt;J1929,"Under","Push"))</f>
        <v>Over</v>
      </c>
    </row>
    <row r="1930" customFormat="false" ht="15" hidden="false" customHeight="false" outlineLevel="0" collapsed="false">
      <c r="A1930" s="1" t="s">
        <v>594</v>
      </c>
      <c r="B1930" s="1" t="n">
        <v>2017</v>
      </c>
      <c r="C1930" s="1" t="s">
        <v>182</v>
      </c>
      <c r="D1930" s="1" t="s">
        <v>99</v>
      </c>
      <c r="E1930" s="1" t="s">
        <v>81</v>
      </c>
      <c r="F1930" s="1" t="n">
        <v>23</v>
      </c>
      <c r="G1930" s="1" t="n">
        <v>20</v>
      </c>
      <c r="H1930" s="1" t="s">
        <v>82</v>
      </c>
      <c r="I1930" s="1" t="n">
        <v>-3</v>
      </c>
      <c r="J1930" s="1" t="n">
        <v>38</v>
      </c>
      <c r="K1930" s="1" t="s">
        <v>149</v>
      </c>
      <c r="L1930" s="1" t="b">
        <f aca="false">FALSE()</f>
        <v>0</v>
      </c>
      <c r="M1930" s="1" t="str">
        <f aca="false">VLOOKUP(D1930,'Team Reference'!$A:$B,2,FALSE())</f>
        <v>NYJ</v>
      </c>
      <c r="N1930" s="1" t="str">
        <f aca="false">VLOOKUP(E1930,'Team Reference'!$A:$B,2,FALSE())</f>
        <v>JAX</v>
      </c>
      <c r="O1930" s="1" t="str">
        <f aca="false">IF(F1930&gt;G1930,M1930,IF(G1930&gt;F1930,N1930,"Tie"))</f>
        <v>NYJ</v>
      </c>
      <c r="P1930" s="1" t="n">
        <f aca="false">F1930-G1930</f>
        <v>3</v>
      </c>
      <c r="Q1930" s="1" t="n">
        <f aca="false">F1930+G1930</f>
        <v>43</v>
      </c>
      <c r="R1930" s="1" t="str">
        <f aca="false">IF(H1930=M1930,"Home",IF(H1930=N1930,"Away",IF(H1930="PICK","Pick","N/A")))</f>
        <v>Away</v>
      </c>
      <c r="S1930" s="1" t="n">
        <f aca="false">IF(R1930="Home",P1930,IF(R1930="Away",-P1930,""))</f>
        <v>-3</v>
      </c>
      <c r="T1930" s="1" t="str">
        <f aca="false">IF(R1930="Pick","No Line",IF(S1930="","N/A",IF(S1930+I1930&gt;0,"Favorite Covered",IF(S1930+I1930&lt;0,"Underdog Covered","Push"))))</f>
        <v>Underdog Covered</v>
      </c>
      <c r="U1930" s="1" t="str">
        <f aca="false">IF(Q1930&gt;J1930,"Over",IF(Q1930&lt;J1930,"Under","Push"))</f>
        <v>Over</v>
      </c>
    </row>
    <row r="1931" customFormat="false" ht="15" hidden="false" customHeight="false" outlineLevel="0" collapsed="false">
      <c r="A1931" s="1" t="s">
        <v>594</v>
      </c>
      <c r="B1931" s="1" t="n">
        <v>2017</v>
      </c>
      <c r="C1931" s="1" t="s">
        <v>182</v>
      </c>
      <c r="D1931" s="1" t="s">
        <v>110</v>
      </c>
      <c r="E1931" s="1" t="s">
        <v>79</v>
      </c>
      <c r="F1931" s="1" t="n">
        <v>46</v>
      </c>
      <c r="G1931" s="1" t="n">
        <v>17</v>
      </c>
      <c r="H1931" s="1" t="s">
        <v>111</v>
      </c>
      <c r="I1931" s="1" t="n">
        <v>-13</v>
      </c>
      <c r="J1931" s="1" t="n">
        <v>41.5</v>
      </c>
      <c r="K1931" s="1" t="s">
        <v>152</v>
      </c>
      <c r="L1931" s="1" t="b">
        <f aca="false">FALSE()</f>
        <v>0</v>
      </c>
      <c r="M1931" s="1" t="str">
        <f aca="false">VLOOKUP(D1931,'Team Reference'!$A:$B,2,FALSE())</f>
        <v>SEA</v>
      </c>
      <c r="N1931" s="1" t="str">
        <f aca="false">VLOOKUP(E1931,'Team Reference'!$A:$B,2,FALSE())</f>
        <v>IND</v>
      </c>
      <c r="O1931" s="1" t="str">
        <f aca="false">IF(F1931&gt;G1931,M1931,IF(G1931&gt;F1931,N1931,"Tie"))</f>
        <v>SEA</v>
      </c>
      <c r="P1931" s="1" t="n">
        <f aca="false">F1931-G1931</f>
        <v>29</v>
      </c>
      <c r="Q1931" s="1" t="n">
        <f aca="false">F1931+G1931</f>
        <v>63</v>
      </c>
      <c r="R1931" s="1" t="str">
        <f aca="false">IF(H1931=M1931,"Home",IF(H1931=N1931,"Away",IF(H1931="PICK","Pick","N/A")))</f>
        <v>Home</v>
      </c>
      <c r="S1931" s="1" t="n">
        <f aca="false">IF(R1931="Home",P1931,IF(R1931="Away",-P1931,""))</f>
        <v>29</v>
      </c>
      <c r="T1931" s="1" t="str">
        <f aca="false">IF(R1931="Pick","No Line",IF(S1931="","N/A",IF(S1931+I1931&gt;0,"Favorite Covered",IF(S1931+I1931&lt;0,"Underdog Covered","Push"))))</f>
        <v>Favorite Covered</v>
      </c>
      <c r="U1931" s="1" t="str">
        <f aca="false">IF(Q1931&gt;J1931,"Over",IF(Q1931&lt;J1931,"Under","Push"))</f>
        <v>Over</v>
      </c>
    </row>
    <row r="1932" customFormat="false" ht="15" hidden="false" customHeight="false" outlineLevel="0" collapsed="false">
      <c r="A1932" s="1" t="s">
        <v>594</v>
      </c>
      <c r="B1932" s="1" t="n">
        <v>2017</v>
      </c>
      <c r="C1932" s="1" t="s">
        <v>182</v>
      </c>
      <c r="D1932" s="1" t="s">
        <v>113</v>
      </c>
      <c r="E1932" s="1" t="s">
        <v>97</v>
      </c>
      <c r="F1932" s="1" t="n">
        <v>25</v>
      </c>
      <c r="G1932" s="1" t="n">
        <v>23</v>
      </c>
      <c r="H1932" s="1" t="s">
        <v>114</v>
      </c>
      <c r="I1932" s="1" t="n">
        <v>-3</v>
      </c>
      <c r="J1932" s="1" t="n">
        <v>44.5</v>
      </c>
      <c r="K1932" s="1" t="s">
        <v>154</v>
      </c>
      <c r="L1932" s="1" t="b">
        <f aca="false">FALSE()</f>
        <v>0</v>
      </c>
      <c r="M1932" s="1" t="str">
        <f aca="false">VLOOKUP(D1932,'Team Reference'!$A:$B,2,FALSE())</f>
        <v>TB</v>
      </c>
      <c r="N1932" s="1" t="str">
        <f aca="false">VLOOKUP(E1932,'Team Reference'!$A:$B,2,FALSE())</f>
        <v>NYG</v>
      </c>
      <c r="O1932" s="1" t="str">
        <f aca="false">IF(F1932&gt;G1932,M1932,IF(G1932&gt;F1932,N1932,"Tie"))</f>
        <v>TB</v>
      </c>
      <c r="P1932" s="1" t="n">
        <f aca="false">F1932-G1932</f>
        <v>2</v>
      </c>
      <c r="Q1932" s="1" t="n">
        <f aca="false">F1932+G1932</f>
        <v>48</v>
      </c>
      <c r="R1932" s="1" t="str">
        <f aca="false">IF(H1932=M1932,"Home",IF(H1932=N1932,"Away",IF(H1932="PICK","Pick","N/A")))</f>
        <v>Home</v>
      </c>
      <c r="S1932" s="1" t="n">
        <f aca="false">IF(R1932="Home",P1932,IF(R1932="Away",-P1932,""))</f>
        <v>2</v>
      </c>
      <c r="T1932" s="1" t="str">
        <f aca="false">IF(R1932="Pick","No Line",IF(S1932="","N/A",IF(S1932+I1932&gt;0,"Favorite Covered",IF(S1932+I1932&lt;0,"Underdog Covered","Push"))))</f>
        <v>Underdog Covered</v>
      </c>
      <c r="U1932" s="1" t="str">
        <f aca="false">IF(Q1932&gt;J1932,"Over",IF(Q1932&lt;J1932,"Under","Push"))</f>
        <v>Over</v>
      </c>
    </row>
    <row r="1933" customFormat="false" ht="15" hidden="false" customHeight="false" outlineLevel="0" collapsed="false">
      <c r="A1933" s="1" t="s">
        <v>595</v>
      </c>
      <c r="B1933" s="1" t="n">
        <v>2017</v>
      </c>
      <c r="C1933" s="1" t="s">
        <v>182</v>
      </c>
      <c r="D1933" s="1" t="s">
        <v>83</v>
      </c>
      <c r="E1933" s="1" t="s">
        <v>117</v>
      </c>
      <c r="F1933" s="1" t="n">
        <v>29</v>
      </c>
      <c r="G1933" s="1" t="n">
        <v>20</v>
      </c>
      <c r="H1933" s="1" t="s">
        <v>84</v>
      </c>
      <c r="I1933" s="1" t="n">
        <v>-7</v>
      </c>
      <c r="J1933" s="1" t="n">
        <v>49.5</v>
      </c>
      <c r="K1933" s="1" t="s">
        <v>158</v>
      </c>
      <c r="L1933" s="1" t="b">
        <f aca="false">FALSE()</f>
        <v>0</v>
      </c>
      <c r="M1933" s="1" t="str">
        <f aca="false">VLOOKUP(D1933,'Team Reference'!$A:$B,2,FALSE())</f>
        <v>KC</v>
      </c>
      <c r="N1933" s="1" t="str">
        <f aca="false">VLOOKUP(E1933,'Team Reference'!$A:$B,2,FALSE())</f>
        <v>WAS</v>
      </c>
      <c r="O1933" s="1" t="str">
        <f aca="false">IF(F1933&gt;G1933,M1933,IF(G1933&gt;F1933,N1933,"Tie"))</f>
        <v>KC</v>
      </c>
      <c r="P1933" s="1" t="n">
        <f aca="false">F1933-G1933</f>
        <v>9</v>
      </c>
      <c r="Q1933" s="1" t="n">
        <f aca="false">F1933+G1933</f>
        <v>49</v>
      </c>
      <c r="R1933" s="1" t="str">
        <f aca="false">IF(H1933=M1933,"Home",IF(H1933=N1933,"Away",IF(H1933="PICK","Pick","N/A")))</f>
        <v>Home</v>
      </c>
      <c r="S1933" s="1" t="n">
        <f aca="false">IF(R1933="Home",P1933,IF(R1933="Away",-P1933,""))</f>
        <v>9</v>
      </c>
      <c r="T1933" s="1" t="str">
        <f aca="false">IF(R1933="Pick","No Line",IF(S1933="","N/A",IF(S1933+I1933&gt;0,"Favorite Covered",IF(S1933+I1933&lt;0,"Underdog Covered","Push"))))</f>
        <v>Favorite Covered</v>
      </c>
      <c r="U1933" s="1" t="str">
        <f aca="false">IF(Q1933&gt;J1933,"Over",IF(Q1933&lt;J1933,"Under","Push"))</f>
        <v>Under</v>
      </c>
    </row>
    <row r="1934" customFormat="false" ht="15" hidden="false" customHeight="false" outlineLevel="0" collapsed="false">
      <c r="A1934" s="1" t="s">
        <v>596</v>
      </c>
      <c r="B1934" s="1" t="n">
        <v>2017</v>
      </c>
      <c r="C1934" s="1" t="s">
        <v>185</v>
      </c>
      <c r="D1934" s="1" t="s">
        <v>113</v>
      </c>
      <c r="E1934" s="1" t="s">
        <v>93</v>
      </c>
      <c r="F1934" s="1" t="n">
        <v>14</v>
      </c>
      <c r="G1934" s="1" t="n">
        <v>19</v>
      </c>
      <c r="H1934" s="1" t="s">
        <v>94</v>
      </c>
      <c r="I1934" s="1" t="n">
        <v>-5</v>
      </c>
      <c r="J1934" s="1" t="n">
        <v>55.5</v>
      </c>
      <c r="K1934" s="1" t="s">
        <v>154</v>
      </c>
      <c r="L1934" s="1" t="b">
        <f aca="false">FALSE()</f>
        <v>0</v>
      </c>
      <c r="M1934" s="1" t="str">
        <f aca="false">VLOOKUP(D1934,'Team Reference'!$A:$B,2,FALSE())</f>
        <v>TB</v>
      </c>
      <c r="N1934" s="1" t="str">
        <f aca="false">VLOOKUP(E1934,'Team Reference'!$A:$B,2,FALSE())</f>
        <v>NE</v>
      </c>
      <c r="O1934" s="1" t="str">
        <f aca="false">IF(F1934&gt;G1934,M1934,IF(G1934&gt;F1934,N1934,"Tie"))</f>
        <v>NE</v>
      </c>
      <c r="P1934" s="1" t="n">
        <f aca="false">F1934-G1934</f>
        <v>-5</v>
      </c>
      <c r="Q1934" s="1" t="n">
        <f aca="false">F1934+G1934</f>
        <v>33</v>
      </c>
      <c r="R1934" s="1" t="str">
        <f aca="false">IF(H1934=M1934,"Home",IF(H1934=N1934,"Away",IF(H1934="PICK","Pick","N/A")))</f>
        <v>Away</v>
      </c>
      <c r="S1934" s="1" t="n">
        <f aca="false">IF(R1934="Home",P1934,IF(R1934="Away",-P1934,""))</f>
        <v>5</v>
      </c>
      <c r="T1934" s="1" t="str">
        <f aca="false">IF(R1934="Pick","No Line",IF(S1934="","N/A",IF(S1934+I1934&gt;0,"Favorite Covered",IF(S1934+I1934&lt;0,"Underdog Covered","Push"))))</f>
        <v>Push</v>
      </c>
      <c r="U1934" s="1" t="str">
        <f aca="false">IF(Q1934&gt;J1934,"Over",IF(Q1934&lt;J1934,"Under","Push"))</f>
        <v>Under</v>
      </c>
    </row>
    <row r="1935" customFormat="false" ht="15" hidden="false" customHeight="false" outlineLevel="0" collapsed="false">
      <c r="A1935" s="1" t="s">
        <v>597</v>
      </c>
      <c r="B1935" s="1" t="n">
        <v>2017</v>
      </c>
      <c r="C1935" s="1" t="s">
        <v>185</v>
      </c>
      <c r="D1935" s="1" t="s">
        <v>65</v>
      </c>
      <c r="E1935" s="1" t="s">
        <v>59</v>
      </c>
      <c r="F1935" s="1" t="n">
        <v>20</v>
      </c>
      <c r="G1935" s="1" t="n">
        <v>16</v>
      </c>
      <c r="H1935" s="1" t="s">
        <v>66</v>
      </c>
      <c r="I1935" s="1" t="n">
        <v>-3</v>
      </c>
      <c r="J1935" s="1" t="n">
        <v>39</v>
      </c>
      <c r="K1935" s="1" t="s">
        <v>163</v>
      </c>
      <c r="L1935" s="1" t="b">
        <f aca="false">FALSE()</f>
        <v>0</v>
      </c>
      <c r="M1935" s="1" t="str">
        <f aca="false">VLOOKUP(D1935,'Team Reference'!$A:$B,2,FALSE())</f>
        <v>CIN</v>
      </c>
      <c r="N1935" s="1" t="str">
        <f aca="false">VLOOKUP(E1935,'Team Reference'!$A:$B,2,FALSE())</f>
        <v>BUF</v>
      </c>
      <c r="O1935" s="1" t="str">
        <f aca="false">IF(F1935&gt;G1935,M1935,IF(G1935&gt;F1935,N1935,"Tie"))</f>
        <v>CIN</v>
      </c>
      <c r="P1935" s="1" t="n">
        <f aca="false">F1935-G1935</f>
        <v>4</v>
      </c>
      <c r="Q1935" s="1" t="n">
        <f aca="false">F1935+G1935</f>
        <v>36</v>
      </c>
      <c r="R1935" s="1" t="str">
        <f aca="false">IF(H1935=M1935,"Home",IF(H1935=N1935,"Away",IF(H1935="PICK","Pick","N/A")))</f>
        <v>Home</v>
      </c>
      <c r="S1935" s="1" t="n">
        <f aca="false">IF(R1935="Home",P1935,IF(R1935="Away",-P1935,""))</f>
        <v>4</v>
      </c>
      <c r="T1935" s="1" t="str">
        <f aca="false">IF(R1935="Pick","No Line",IF(S1935="","N/A",IF(S1935+I1935&gt;0,"Favorite Covered",IF(S1935+I1935&lt;0,"Underdog Covered","Push"))))</f>
        <v>Favorite Covered</v>
      </c>
      <c r="U1935" s="1" t="str">
        <f aca="false">IF(Q1935&gt;J1935,"Over",IF(Q1935&lt;J1935,"Under","Push"))</f>
        <v>Under</v>
      </c>
    </row>
    <row r="1936" customFormat="false" ht="15" hidden="false" customHeight="false" outlineLevel="0" collapsed="false">
      <c r="A1936" s="1" t="s">
        <v>597</v>
      </c>
      <c r="B1936" s="1" t="n">
        <v>2017</v>
      </c>
      <c r="C1936" s="1" t="s">
        <v>185</v>
      </c>
      <c r="D1936" s="1" t="s">
        <v>67</v>
      </c>
      <c r="E1936" s="1" t="s">
        <v>99</v>
      </c>
      <c r="F1936" s="1" t="n">
        <v>14</v>
      </c>
      <c r="G1936" s="1" t="n">
        <v>17</v>
      </c>
      <c r="H1936" s="1" t="s">
        <v>100</v>
      </c>
      <c r="I1936" s="1" t="n">
        <v>-1.5</v>
      </c>
      <c r="J1936" s="1" t="n">
        <v>41.5</v>
      </c>
      <c r="K1936" s="1" t="s">
        <v>164</v>
      </c>
      <c r="L1936" s="1" t="b">
        <f aca="false">FALSE()</f>
        <v>0</v>
      </c>
      <c r="M1936" s="1" t="str">
        <f aca="false">VLOOKUP(D1936,'Team Reference'!$A:$B,2,FALSE())</f>
        <v>CLE</v>
      </c>
      <c r="N1936" s="1" t="str">
        <f aca="false">VLOOKUP(E1936,'Team Reference'!$A:$B,2,FALSE())</f>
        <v>NYJ</v>
      </c>
      <c r="O1936" s="1" t="str">
        <f aca="false">IF(F1936&gt;G1936,M1936,IF(G1936&gt;F1936,N1936,"Tie"))</f>
        <v>NYJ</v>
      </c>
      <c r="P1936" s="1" t="n">
        <f aca="false">F1936-G1936</f>
        <v>-3</v>
      </c>
      <c r="Q1936" s="1" t="n">
        <f aca="false">F1936+G1936</f>
        <v>31</v>
      </c>
      <c r="R1936" s="1" t="str">
        <f aca="false">IF(H1936=M1936,"Home",IF(H1936=N1936,"Away",IF(H1936="PICK","Pick","N/A")))</f>
        <v>Away</v>
      </c>
      <c r="S1936" s="1" t="n">
        <f aca="false">IF(R1936="Home",P1936,IF(R1936="Away",-P1936,""))</f>
        <v>3</v>
      </c>
      <c r="T1936" s="1" t="str">
        <f aca="false">IF(R1936="Pick","No Line",IF(S1936="","N/A",IF(S1936+I1936&gt;0,"Favorite Covered",IF(S1936+I1936&lt;0,"Underdog Covered","Push"))))</f>
        <v>Favorite Covered</v>
      </c>
      <c r="U1936" s="1" t="str">
        <f aca="false">IF(Q1936&gt;J1936,"Over",IF(Q1936&lt;J1936,"Under","Push"))</f>
        <v>Under</v>
      </c>
    </row>
    <row r="1937" customFormat="false" ht="15" hidden="false" customHeight="false" outlineLevel="0" collapsed="false">
      <c r="A1937" s="1" t="s">
        <v>597</v>
      </c>
      <c r="B1937" s="1" t="n">
        <v>2017</v>
      </c>
      <c r="C1937" s="1" t="s">
        <v>185</v>
      </c>
      <c r="D1937" s="1" t="s">
        <v>69</v>
      </c>
      <c r="E1937" s="1" t="s">
        <v>75</v>
      </c>
      <c r="F1937" s="1" t="n">
        <v>31</v>
      </c>
      <c r="G1937" s="1" t="n">
        <v>35</v>
      </c>
      <c r="H1937" s="1" t="s">
        <v>70</v>
      </c>
      <c r="I1937" s="1" t="n">
        <v>-2</v>
      </c>
      <c r="J1937" s="1" t="n">
        <v>52.5</v>
      </c>
      <c r="K1937" s="1" t="s">
        <v>583</v>
      </c>
      <c r="L1937" s="1" t="b">
        <f aca="false">FALSE()</f>
        <v>0</v>
      </c>
      <c r="M1937" s="1" t="str">
        <f aca="false">VLOOKUP(D1937,'Team Reference'!$A:$B,2,FALSE())</f>
        <v>DAL</v>
      </c>
      <c r="N1937" s="1" t="str">
        <f aca="false">VLOOKUP(E1937,'Team Reference'!$A:$B,2,FALSE())</f>
        <v>GB</v>
      </c>
      <c r="O1937" s="1" t="str">
        <f aca="false">IF(F1937&gt;G1937,M1937,IF(G1937&gt;F1937,N1937,"Tie"))</f>
        <v>GB</v>
      </c>
      <c r="P1937" s="1" t="n">
        <f aca="false">F1937-G1937</f>
        <v>-4</v>
      </c>
      <c r="Q1937" s="1" t="n">
        <f aca="false">F1937+G1937</f>
        <v>66</v>
      </c>
      <c r="R1937" s="1" t="str">
        <f aca="false">IF(H1937=M1937,"Home",IF(H1937=N1937,"Away",IF(H1937="PICK","Pick","N/A")))</f>
        <v>Home</v>
      </c>
      <c r="S1937" s="1" t="n">
        <f aca="false">IF(R1937="Home",P1937,IF(R1937="Away",-P1937,""))</f>
        <v>-4</v>
      </c>
      <c r="T1937" s="1" t="str">
        <f aca="false">IF(R1937="Pick","No Line",IF(S1937="","N/A",IF(S1937+I1937&gt;0,"Favorite Covered",IF(S1937+I1937&lt;0,"Underdog Covered","Push"))))</f>
        <v>Underdog Covered</v>
      </c>
      <c r="U1937" s="1" t="str">
        <f aca="false">IF(Q1937&gt;J1937,"Over",IF(Q1937&lt;J1937,"Under","Push"))</f>
        <v>Over</v>
      </c>
    </row>
    <row r="1938" customFormat="false" ht="15" hidden="false" customHeight="false" outlineLevel="0" collapsed="false">
      <c r="A1938" s="1" t="s">
        <v>597</v>
      </c>
      <c r="B1938" s="1" t="n">
        <v>2017</v>
      </c>
      <c r="C1938" s="1" t="s">
        <v>185</v>
      </c>
      <c r="D1938" s="1" t="s">
        <v>73</v>
      </c>
      <c r="E1938" s="1" t="s">
        <v>61</v>
      </c>
      <c r="F1938" s="1" t="n">
        <v>24</v>
      </c>
      <c r="G1938" s="1" t="n">
        <v>27</v>
      </c>
      <c r="H1938" s="1" t="s">
        <v>74</v>
      </c>
      <c r="I1938" s="1" t="n">
        <v>-2.5</v>
      </c>
      <c r="J1938" s="1" t="n">
        <v>43.5</v>
      </c>
      <c r="K1938" s="1" t="s">
        <v>167</v>
      </c>
      <c r="L1938" s="1" t="b">
        <f aca="false">FALSE()</f>
        <v>0</v>
      </c>
      <c r="M1938" s="1" t="str">
        <f aca="false">VLOOKUP(D1938,'Team Reference'!$A:$B,2,FALSE())</f>
        <v>DET</v>
      </c>
      <c r="N1938" s="1" t="str">
        <f aca="false">VLOOKUP(E1938,'Team Reference'!$A:$B,2,FALSE())</f>
        <v>CAR</v>
      </c>
      <c r="O1938" s="1" t="str">
        <f aca="false">IF(F1938&gt;G1938,M1938,IF(G1938&gt;F1938,N1938,"Tie"))</f>
        <v>CAR</v>
      </c>
      <c r="P1938" s="1" t="n">
        <f aca="false">F1938-G1938</f>
        <v>-3</v>
      </c>
      <c r="Q1938" s="1" t="n">
        <f aca="false">F1938+G1938</f>
        <v>51</v>
      </c>
      <c r="R1938" s="1" t="str">
        <f aca="false">IF(H1938=M1938,"Home",IF(H1938=N1938,"Away",IF(H1938="PICK","Pick","N/A")))</f>
        <v>Home</v>
      </c>
      <c r="S1938" s="1" t="n">
        <f aca="false">IF(R1938="Home",P1938,IF(R1938="Away",-P1938,""))</f>
        <v>-3</v>
      </c>
      <c r="T1938" s="1" t="str">
        <f aca="false">IF(R1938="Pick","No Line",IF(S1938="","N/A",IF(S1938+I1938&gt;0,"Favorite Covered",IF(S1938+I1938&lt;0,"Underdog Covered","Push"))))</f>
        <v>Underdog Covered</v>
      </c>
      <c r="U1938" s="1" t="str">
        <f aca="false">IF(Q1938&gt;J1938,"Over",IF(Q1938&lt;J1938,"Under","Push"))</f>
        <v>Over</v>
      </c>
    </row>
    <row r="1939" customFormat="false" ht="15" hidden="false" customHeight="false" outlineLevel="0" collapsed="false">
      <c r="A1939" s="1" t="s">
        <v>597</v>
      </c>
      <c r="B1939" s="1" t="n">
        <v>2017</v>
      </c>
      <c r="C1939" s="1" t="s">
        <v>185</v>
      </c>
      <c r="D1939" s="1" t="s">
        <v>77</v>
      </c>
      <c r="E1939" s="1" t="s">
        <v>83</v>
      </c>
      <c r="F1939" s="1" t="n">
        <v>34</v>
      </c>
      <c r="G1939" s="1" t="n">
        <v>42</v>
      </c>
      <c r="H1939" s="1" t="s">
        <v>84</v>
      </c>
      <c r="I1939" s="1" t="n">
        <v>-1</v>
      </c>
      <c r="J1939" s="1" t="n">
        <v>46.5</v>
      </c>
      <c r="K1939" s="1" t="s">
        <v>580</v>
      </c>
      <c r="L1939" s="1" t="b">
        <f aca="false">FALSE()</f>
        <v>0</v>
      </c>
      <c r="M1939" s="1" t="str">
        <f aca="false">VLOOKUP(D1939,'Team Reference'!$A:$B,2,FALSE())</f>
        <v>HOU</v>
      </c>
      <c r="N1939" s="1" t="str">
        <f aca="false">VLOOKUP(E1939,'Team Reference'!$A:$B,2,FALSE())</f>
        <v>KC</v>
      </c>
      <c r="O1939" s="1" t="str">
        <f aca="false">IF(F1939&gt;G1939,M1939,IF(G1939&gt;F1939,N1939,"Tie"))</f>
        <v>KC</v>
      </c>
      <c r="P1939" s="1" t="n">
        <f aca="false">F1939-G1939</f>
        <v>-8</v>
      </c>
      <c r="Q1939" s="1" t="n">
        <f aca="false">F1939+G1939</f>
        <v>76</v>
      </c>
      <c r="R1939" s="1" t="str">
        <f aca="false">IF(H1939=M1939,"Home",IF(H1939=N1939,"Away",IF(H1939="PICK","Pick","N/A")))</f>
        <v>Away</v>
      </c>
      <c r="S1939" s="1" t="n">
        <f aca="false">IF(R1939="Home",P1939,IF(R1939="Away",-P1939,""))</f>
        <v>8</v>
      </c>
      <c r="T1939" s="1" t="str">
        <f aca="false">IF(R1939="Pick","No Line",IF(S1939="","N/A",IF(S1939+I1939&gt;0,"Favorite Covered",IF(S1939+I1939&lt;0,"Underdog Covered","Push"))))</f>
        <v>Favorite Covered</v>
      </c>
      <c r="U1939" s="1" t="str">
        <f aca="false">IF(Q1939&gt;J1939,"Over",IF(Q1939&lt;J1939,"Under","Push"))</f>
        <v>Over</v>
      </c>
    </row>
    <row r="1940" customFormat="false" ht="15" hidden="false" customHeight="false" outlineLevel="0" collapsed="false">
      <c r="A1940" s="1" t="s">
        <v>597</v>
      </c>
      <c r="B1940" s="1" t="n">
        <v>2017</v>
      </c>
      <c r="C1940" s="1" t="s">
        <v>185</v>
      </c>
      <c r="D1940" s="1" t="s">
        <v>79</v>
      </c>
      <c r="E1940" s="1" t="s">
        <v>108</v>
      </c>
      <c r="F1940" s="1" t="n">
        <v>26</v>
      </c>
      <c r="G1940" s="1" t="n">
        <v>23</v>
      </c>
      <c r="H1940" s="1" t="s">
        <v>80</v>
      </c>
      <c r="I1940" s="1" t="n">
        <v>-1.5</v>
      </c>
      <c r="J1940" s="1" t="n">
        <v>44</v>
      </c>
      <c r="K1940" s="1" t="s">
        <v>169</v>
      </c>
      <c r="L1940" s="1" t="b">
        <f aca="false">FALSE()</f>
        <v>0</v>
      </c>
      <c r="M1940" s="1" t="str">
        <f aca="false">VLOOKUP(D1940,'Team Reference'!$A:$B,2,FALSE())</f>
        <v>IND</v>
      </c>
      <c r="N1940" s="1" t="str">
        <f aca="false">VLOOKUP(E1940,'Team Reference'!$A:$B,2,FALSE())</f>
        <v>SF</v>
      </c>
      <c r="O1940" s="1" t="str">
        <f aca="false">IF(F1940&gt;G1940,M1940,IF(G1940&gt;F1940,N1940,"Tie"))</f>
        <v>IND</v>
      </c>
      <c r="P1940" s="1" t="n">
        <f aca="false">F1940-G1940</f>
        <v>3</v>
      </c>
      <c r="Q1940" s="1" t="n">
        <f aca="false">F1940+G1940</f>
        <v>49</v>
      </c>
      <c r="R1940" s="1" t="str">
        <f aca="false">IF(H1940=M1940,"Home",IF(H1940=N1940,"Away",IF(H1940="PICK","Pick","N/A")))</f>
        <v>Home</v>
      </c>
      <c r="S1940" s="1" t="n">
        <f aca="false">IF(R1940="Home",P1940,IF(R1940="Away",-P1940,""))</f>
        <v>3</v>
      </c>
      <c r="T1940" s="1" t="str">
        <f aca="false">IF(R1940="Pick","No Line",IF(S1940="","N/A",IF(S1940+I1940&gt;0,"Favorite Covered",IF(S1940+I1940&lt;0,"Underdog Covered","Push"))))</f>
        <v>Favorite Covered</v>
      </c>
      <c r="U1940" s="1" t="str">
        <f aca="false">IF(Q1940&gt;J1940,"Over",IF(Q1940&lt;J1940,"Under","Push"))</f>
        <v>Over</v>
      </c>
    </row>
    <row r="1941" customFormat="false" ht="15" hidden="false" customHeight="false" outlineLevel="0" collapsed="false">
      <c r="A1941" s="1" t="s">
        <v>597</v>
      </c>
      <c r="B1941" s="1" t="n">
        <v>2017</v>
      </c>
      <c r="C1941" s="1" t="s">
        <v>185</v>
      </c>
      <c r="D1941" s="1" t="s">
        <v>87</v>
      </c>
      <c r="E1941" s="1" t="s">
        <v>110</v>
      </c>
      <c r="F1941" s="1" t="n">
        <v>10</v>
      </c>
      <c r="G1941" s="1" t="n">
        <v>16</v>
      </c>
      <c r="H1941" s="1" t="s">
        <v>88</v>
      </c>
      <c r="I1941" s="1" t="n">
        <v>-1</v>
      </c>
      <c r="J1941" s="1" t="n">
        <v>47.5</v>
      </c>
      <c r="K1941" s="1" t="s">
        <v>520</v>
      </c>
      <c r="L1941" s="1" t="b">
        <f aca="false">FALSE()</f>
        <v>0</v>
      </c>
      <c r="M1941" s="1" t="str">
        <f aca="false">VLOOKUP(D1941,'Team Reference'!$A:$B,2,FALSE())</f>
        <v>LAR</v>
      </c>
      <c r="N1941" s="1" t="str">
        <f aca="false">VLOOKUP(E1941,'Team Reference'!$A:$B,2,FALSE())</f>
        <v>SEA</v>
      </c>
      <c r="O1941" s="1" t="str">
        <f aca="false">IF(F1941&gt;G1941,M1941,IF(G1941&gt;F1941,N1941,"Tie"))</f>
        <v>SEA</v>
      </c>
      <c r="P1941" s="1" t="n">
        <f aca="false">F1941-G1941</f>
        <v>-6</v>
      </c>
      <c r="Q1941" s="1" t="n">
        <f aca="false">F1941+G1941</f>
        <v>26</v>
      </c>
      <c r="R1941" s="1" t="str">
        <f aca="false">IF(H1941=M1941,"Home",IF(H1941=N1941,"Away",IF(H1941="PICK","Pick","N/A")))</f>
        <v>Home</v>
      </c>
      <c r="S1941" s="1" t="n">
        <f aca="false">IF(R1941="Home",P1941,IF(R1941="Away",-P1941,""))</f>
        <v>-6</v>
      </c>
      <c r="T1941" s="1" t="str">
        <f aca="false">IF(R1941="Pick","No Line",IF(S1941="","N/A",IF(S1941+I1941&gt;0,"Favorite Covered",IF(S1941+I1941&lt;0,"Underdog Covered","Push"))))</f>
        <v>Underdog Covered</v>
      </c>
      <c r="U1941" s="1" t="str">
        <f aca="false">IF(Q1941&gt;J1941,"Over",IF(Q1941&lt;J1941,"Under","Push"))</f>
        <v>Under</v>
      </c>
    </row>
    <row r="1942" customFormat="false" ht="15" hidden="false" customHeight="false" outlineLevel="0" collapsed="false">
      <c r="A1942" s="1" t="s">
        <v>597</v>
      </c>
      <c r="B1942" s="1" t="n">
        <v>2017</v>
      </c>
      <c r="C1942" s="1" t="s">
        <v>185</v>
      </c>
      <c r="D1942" s="1" t="s">
        <v>89</v>
      </c>
      <c r="E1942" s="1" t="s">
        <v>115</v>
      </c>
      <c r="F1942" s="1" t="n">
        <v>16</v>
      </c>
      <c r="G1942" s="1" t="n">
        <v>10</v>
      </c>
      <c r="H1942" s="1" t="s">
        <v>116</v>
      </c>
      <c r="I1942" s="1" t="n">
        <v>-3</v>
      </c>
      <c r="J1942" s="1" t="n">
        <v>43.5</v>
      </c>
      <c r="K1942" s="1" t="s">
        <v>598</v>
      </c>
      <c r="L1942" s="1" t="b">
        <f aca="false">FALSE()</f>
        <v>0</v>
      </c>
      <c r="M1942" s="1" t="str">
        <f aca="false">VLOOKUP(D1942,'Team Reference'!$A:$B,2,FALSE())</f>
        <v>MIA</v>
      </c>
      <c r="N1942" s="1" t="str">
        <f aca="false">VLOOKUP(E1942,'Team Reference'!$A:$B,2,FALSE())</f>
        <v>TEN</v>
      </c>
      <c r="O1942" s="1" t="str">
        <f aca="false">IF(F1942&gt;G1942,M1942,IF(G1942&gt;F1942,N1942,"Tie"))</f>
        <v>MIA</v>
      </c>
      <c r="P1942" s="1" t="n">
        <f aca="false">F1942-G1942</f>
        <v>6</v>
      </c>
      <c r="Q1942" s="1" t="n">
        <f aca="false">F1942+G1942</f>
        <v>26</v>
      </c>
      <c r="R1942" s="1" t="str">
        <f aca="false">IF(H1942=M1942,"Home",IF(H1942=N1942,"Away",IF(H1942="PICK","Pick","N/A")))</f>
        <v>Away</v>
      </c>
      <c r="S1942" s="1" t="n">
        <f aca="false">IF(R1942="Home",P1942,IF(R1942="Away",-P1942,""))</f>
        <v>-6</v>
      </c>
      <c r="T1942" s="1" t="str">
        <f aca="false">IF(R1942="Pick","No Line",IF(S1942="","N/A",IF(S1942+I1942&gt;0,"Favorite Covered",IF(S1942+I1942&lt;0,"Underdog Covered","Push"))))</f>
        <v>Underdog Covered</v>
      </c>
      <c r="U1942" s="1" t="str">
        <f aca="false">IF(Q1942&gt;J1942,"Over",IF(Q1942&lt;J1942,"Under","Push"))</f>
        <v>Under</v>
      </c>
    </row>
    <row r="1943" customFormat="false" ht="15" hidden="false" customHeight="false" outlineLevel="0" collapsed="false">
      <c r="A1943" s="1" t="s">
        <v>597</v>
      </c>
      <c r="B1943" s="1" t="n">
        <v>2017</v>
      </c>
      <c r="C1943" s="1" t="s">
        <v>185</v>
      </c>
      <c r="D1943" s="1" t="s">
        <v>97</v>
      </c>
      <c r="E1943" s="1" t="s">
        <v>85</v>
      </c>
      <c r="F1943" s="1" t="n">
        <v>22</v>
      </c>
      <c r="G1943" s="1" t="n">
        <v>27</v>
      </c>
      <c r="H1943" s="1" t="s">
        <v>98</v>
      </c>
      <c r="I1943" s="1" t="n">
        <v>-3.5</v>
      </c>
      <c r="J1943" s="1" t="n">
        <v>44.5</v>
      </c>
      <c r="K1943" s="1" t="s">
        <v>149</v>
      </c>
      <c r="L1943" s="1" t="b">
        <f aca="false">FALSE()</f>
        <v>0</v>
      </c>
      <c r="M1943" s="1" t="str">
        <f aca="false">VLOOKUP(D1943,'Team Reference'!$A:$B,2,FALSE())</f>
        <v>NYG</v>
      </c>
      <c r="N1943" s="1" t="str">
        <f aca="false">VLOOKUP(E1943,'Team Reference'!$A:$B,2,FALSE())</f>
        <v>LAC</v>
      </c>
      <c r="O1943" s="1" t="str">
        <f aca="false">IF(F1943&gt;G1943,M1943,IF(G1943&gt;F1943,N1943,"Tie"))</f>
        <v>LAC</v>
      </c>
      <c r="P1943" s="1" t="n">
        <f aca="false">F1943-G1943</f>
        <v>-5</v>
      </c>
      <c r="Q1943" s="1" t="n">
        <f aca="false">F1943+G1943</f>
        <v>49</v>
      </c>
      <c r="R1943" s="1" t="str">
        <f aca="false">IF(H1943=M1943,"Home",IF(H1943=N1943,"Away",IF(H1943="PICK","Pick","N/A")))</f>
        <v>Home</v>
      </c>
      <c r="S1943" s="1" t="n">
        <f aca="false">IF(R1943="Home",P1943,IF(R1943="Away",-P1943,""))</f>
        <v>-5</v>
      </c>
      <c r="T1943" s="1" t="str">
        <f aca="false">IF(R1943="Pick","No Line",IF(S1943="","N/A",IF(S1943+I1943&gt;0,"Favorite Covered",IF(S1943+I1943&lt;0,"Underdog Covered","Push"))))</f>
        <v>Underdog Covered</v>
      </c>
      <c r="U1943" s="1" t="str">
        <f aca="false">IF(Q1943&gt;J1943,"Over",IF(Q1943&lt;J1943,"Under","Push"))</f>
        <v>Over</v>
      </c>
    </row>
    <row r="1944" customFormat="false" ht="15" hidden="false" customHeight="false" outlineLevel="0" collapsed="false">
      <c r="A1944" s="1" t="s">
        <v>597</v>
      </c>
      <c r="B1944" s="1" t="n">
        <v>2017</v>
      </c>
      <c r="C1944" s="1" t="s">
        <v>185</v>
      </c>
      <c r="D1944" s="1" t="s">
        <v>101</v>
      </c>
      <c r="E1944" s="1" t="s">
        <v>57</v>
      </c>
      <c r="F1944" s="1" t="n">
        <v>17</v>
      </c>
      <c r="G1944" s="1" t="n">
        <v>30</v>
      </c>
      <c r="H1944" s="1" t="s">
        <v>102</v>
      </c>
      <c r="I1944" s="1" t="n">
        <v>-2.5</v>
      </c>
      <c r="J1944" s="1" t="n">
        <v>39</v>
      </c>
      <c r="K1944" s="1" t="s">
        <v>171</v>
      </c>
      <c r="L1944" s="1" t="b">
        <f aca="false">FALSE()</f>
        <v>0</v>
      </c>
      <c r="M1944" s="1" t="str">
        <f aca="false">VLOOKUP(D1944,'Team Reference'!$A:$B,2,FALSE())</f>
        <v>OAK</v>
      </c>
      <c r="N1944" s="1" t="str">
        <f aca="false">VLOOKUP(E1944,'Team Reference'!$A:$B,2,FALSE())</f>
        <v>BAL</v>
      </c>
      <c r="O1944" s="1" t="str">
        <f aca="false">IF(F1944&gt;G1944,M1944,IF(G1944&gt;F1944,N1944,"Tie"))</f>
        <v>BAL</v>
      </c>
      <c r="P1944" s="1" t="n">
        <f aca="false">F1944-G1944</f>
        <v>-13</v>
      </c>
      <c r="Q1944" s="1" t="n">
        <f aca="false">F1944+G1944</f>
        <v>47</v>
      </c>
      <c r="R1944" s="1" t="str">
        <f aca="false">IF(H1944=M1944,"Home",IF(H1944=N1944,"Away",IF(H1944="PICK","Pick","N/A")))</f>
        <v>Home</v>
      </c>
      <c r="S1944" s="1" t="n">
        <f aca="false">IF(R1944="Home",P1944,IF(R1944="Away",-P1944,""))</f>
        <v>-13</v>
      </c>
      <c r="T1944" s="1" t="str">
        <f aca="false">IF(R1944="Pick","No Line",IF(S1944="","N/A",IF(S1944+I1944&gt;0,"Favorite Covered",IF(S1944+I1944&lt;0,"Underdog Covered","Push"))))</f>
        <v>Underdog Covered</v>
      </c>
      <c r="U1944" s="1" t="str">
        <f aca="false">IF(Q1944&gt;J1944,"Over",IF(Q1944&lt;J1944,"Under","Push"))</f>
        <v>Over</v>
      </c>
    </row>
    <row r="1945" customFormat="false" ht="15" hidden="false" customHeight="false" outlineLevel="0" collapsed="false">
      <c r="A1945" s="1" t="s">
        <v>597</v>
      </c>
      <c r="B1945" s="1" t="n">
        <v>2017</v>
      </c>
      <c r="C1945" s="1" t="s">
        <v>185</v>
      </c>
      <c r="D1945" s="1" t="s">
        <v>103</v>
      </c>
      <c r="E1945" s="1" t="s">
        <v>53</v>
      </c>
      <c r="F1945" s="1" t="n">
        <v>34</v>
      </c>
      <c r="G1945" s="1" t="n">
        <v>7</v>
      </c>
      <c r="H1945" s="1" t="s">
        <v>104</v>
      </c>
      <c r="I1945" s="1" t="n">
        <v>-6.5</v>
      </c>
      <c r="J1945" s="1" t="n">
        <v>45</v>
      </c>
      <c r="K1945" s="1" t="s">
        <v>150</v>
      </c>
      <c r="L1945" s="1" t="b">
        <f aca="false">FALSE()</f>
        <v>0</v>
      </c>
      <c r="M1945" s="1" t="str">
        <f aca="false">VLOOKUP(D1945,'Team Reference'!$A:$B,2,FALSE())</f>
        <v>PHI</v>
      </c>
      <c r="N1945" s="1" t="str">
        <f aca="false">VLOOKUP(E1945,'Team Reference'!$A:$B,2,FALSE())</f>
        <v>ARI</v>
      </c>
      <c r="O1945" s="1" t="str">
        <f aca="false">IF(F1945&gt;G1945,M1945,IF(G1945&gt;F1945,N1945,"Tie"))</f>
        <v>PHI</v>
      </c>
      <c r="P1945" s="1" t="n">
        <f aca="false">F1945-G1945</f>
        <v>27</v>
      </c>
      <c r="Q1945" s="1" t="n">
        <f aca="false">F1945+G1945</f>
        <v>41</v>
      </c>
      <c r="R1945" s="1" t="str">
        <f aca="false">IF(H1945=M1945,"Home",IF(H1945=N1945,"Away",IF(H1945="PICK","Pick","N/A")))</f>
        <v>Home</v>
      </c>
      <c r="S1945" s="1" t="n">
        <f aca="false">IF(R1945="Home",P1945,IF(R1945="Away",-P1945,""))</f>
        <v>27</v>
      </c>
      <c r="T1945" s="1" t="str">
        <f aca="false">IF(R1945="Pick","No Line",IF(S1945="","N/A",IF(S1945+I1945&gt;0,"Favorite Covered",IF(S1945+I1945&lt;0,"Underdog Covered","Push"))))</f>
        <v>Favorite Covered</v>
      </c>
      <c r="U1945" s="1" t="str">
        <f aca="false">IF(Q1945&gt;J1945,"Over",IF(Q1945&lt;J1945,"Under","Push"))</f>
        <v>Under</v>
      </c>
    </row>
    <row r="1946" customFormat="false" ht="15" hidden="false" customHeight="false" outlineLevel="0" collapsed="false">
      <c r="A1946" s="1" t="s">
        <v>597</v>
      </c>
      <c r="B1946" s="1" t="n">
        <v>2017</v>
      </c>
      <c r="C1946" s="1" t="s">
        <v>185</v>
      </c>
      <c r="D1946" s="1" t="s">
        <v>105</v>
      </c>
      <c r="E1946" s="1" t="s">
        <v>81</v>
      </c>
      <c r="F1946" s="1" t="n">
        <v>9</v>
      </c>
      <c r="G1946" s="1" t="n">
        <v>30</v>
      </c>
      <c r="H1946" s="1" t="s">
        <v>106</v>
      </c>
      <c r="I1946" s="1" t="n">
        <v>-8.5</v>
      </c>
      <c r="J1946" s="1" t="n">
        <v>43.5</v>
      </c>
      <c r="K1946" s="1" t="s">
        <v>151</v>
      </c>
      <c r="L1946" s="1" t="b">
        <f aca="false">FALSE()</f>
        <v>0</v>
      </c>
      <c r="M1946" s="1" t="str">
        <f aca="false">VLOOKUP(D1946,'Team Reference'!$A:$B,2,FALSE())</f>
        <v>PIT</v>
      </c>
      <c r="N1946" s="1" t="str">
        <f aca="false">VLOOKUP(E1946,'Team Reference'!$A:$B,2,FALSE())</f>
        <v>JAX</v>
      </c>
      <c r="O1946" s="1" t="str">
        <f aca="false">IF(F1946&gt;G1946,M1946,IF(G1946&gt;F1946,N1946,"Tie"))</f>
        <v>JAX</v>
      </c>
      <c r="P1946" s="1" t="n">
        <f aca="false">F1946-G1946</f>
        <v>-21</v>
      </c>
      <c r="Q1946" s="1" t="n">
        <f aca="false">F1946+G1946</f>
        <v>39</v>
      </c>
      <c r="R1946" s="1" t="str">
        <f aca="false">IF(H1946=M1946,"Home",IF(H1946=N1946,"Away",IF(H1946="PICK","Pick","N/A")))</f>
        <v>Home</v>
      </c>
      <c r="S1946" s="1" t="n">
        <f aca="false">IF(R1946="Home",P1946,IF(R1946="Away",-P1946,""))</f>
        <v>-21</v>
      </c>
      <c r="T1946" s="1" t="str">
        <f aca="false">IF(R1946="Pick","No Line",IF(S1946="","N/A",IF(S1946+I1946&gt;0,"Favorite Covered",IF(S1946+I1946&lt;0,"Underdog Covered","Push"))))</f>
        <v>Underdog Covered</v>
      </c>
      <c r="U1946" s="1" t="str">
        <f aca="false">IF(Q1946&gt;J1946,"Over",IF(Q1946&lt;J1946,"Under","Push"))</f>
        <v>Under</v>
      </c>
    </row>
    <row r="1947" customFormat="false" ht="15" hidden="false" customHeight="false" outlineLevel="0" collapsed="false">
      <c r="A1947" s="1" t="s">
        <v>599</v>
      </c>
      <c r="B1947" s="1" t="n">
        <v>2017</v>
      </c>
      <c r="C1947" s="1" t="s">
        <v>185</v>
      </c>
      <c r="D1947" s="1" t="s">
        <v>63</v>
      </c>
      <c r="E1947" s="1" t="s">
        <v>91</v>
      </c>
      <c r="F1947" s="1" t="n">
        <v>17</v>
      </c>
      <c r="G1947" s="1" t="n">
        <v>20</v>
      </c>
      <c r="H1947" s="1" t="s">
        <v>92</v>
      </c>
      <c r="I1947" s="1" t="n">
        <v>-3</v>
      </c>
      <c r="J1947" s="1" t="n">
        <v>40</v>
      </c>
      <c r="K1947" s="1" t="s">
        <v>145</v>
      </c>
      <c r="L1947" s="1" t="b">
        <f aca="false">FALSE()</f>
        <v>0</v>
      </c>
      <c r="M1947" s="1" t="str">
        <f aca="false">VLOOKUP(D1947,'Team Reference'!$A:$B,2,FALSE())</f>
        <v>CHI</v>
      </c>
      <c r="N1947" s="1" t="str">
        <f aca="false">VLOOKUP(E1947,'Team Reference'!$A:$B,2,FALSE())</f>
        <v>MIN</v>
      </c>
      <c r="O1947" s="1" t="str">
        <f aca="false">IF(F1947&gt;G1947,M1947,IF(G1947&gt;F1947,N1947,"Tie"))</f>
        <v>MIN</v>
      </c>
      <c r="P1947" s="1" t="n">
        <f aca="false">F1947-G1947</f>
        <v>-3</v>
      </c>
      <c r="Q1947" s="1" t="n">
        <f aca="false">F1947+G1947</f>
        <v>37</v>
      </c>
      <c r="R1947" s="1" t="str">
        <f aca="false">IF(H1947=M1947,"Home",IF(H1947=N1947,"Away",IF(H1947="PICK","Pick","N/A")))</f>
        <v>Away</v>
      </c>
      <c r="S1947" s="1" t="n">
        <f aca="false">IF(R1947="Home",P1947,IF(R1947="Away",-P1947,""))</f>
        <v>3</v>
      </c>
      <c r="T1947" s="1" t="str">
        <f aca="false">IF(R1947="Pick","No Line",IF(S1947="","N/A",IF(S1947+I1947&gt;0,"Favorite Covered",IF(S1947+I1947&lt;0,"Underdog Covered","Push"))))</f>
        <v>Push</v>
      </c>
      <c r="U1947" s="1" t="str">
        <f aca="false">IF(Q1947&gt;J1947,"Over",IF(Q1947&lt;J1947,"Under","Push"))</f>
        <v>Under</v>
      </c>
    </row>
    <row r="1948" customFormat="false" ht="15" hidden="false" customHeight="false" outlineLevel="0" collapsed="false">
      <c r="A1948" s="1" t="s">
        <v>600</v>
      </c>
      <c r="B1948" s="1" t="n">
        <v>2017</v>
      </c>
      <c r="C1948" s="1" t="s">
        <v>188</v>
      </c>
      <c r="D1948" s="1" t="s">
        <v>61</v>
      </c>
      <c r="E1948" s="1" t="s">
        <v>103</v>
      </c>
      <c r="F1948" s="1" t="n">
        <v>23</v>
      </c>
      <c r="G1948" s="1" t="n">
        <v>28</v>
      </c>
      <c r="H1948" s="1" t="s">
        <v>62</v>
      </c>
      <c r="I1948" s="1" t="n">
        <v>-3</v>
      </c>
      <c r="J1948" s="1" t="n">
        <v>45.5</v>
      </c>
      <c r="K1948" s="1" t="s">
        <v>162</v>
      </c>
      <c r="L1948" s="1" t="b">
        <f aca="false">FALSE()</f>
        <v>0</v>
      </c>
      <c r="M1948" s="1" t="str">
        <f aca="false">VLOOKUP(D1948,'Team Reference'!$A:$B,2,FALSE())</f>
        <v>CAR</v>
      </c>
      <c r="N1948" s="1" t="str">
        <f aca="false">VLOOKUP(E1948,'Team Reference'!$A:$B,2,FALSE())</f>
        <v>PHI</v>
      </c>
      <c r="O1948" s="1" t="str">
        <f aca="false">IF(F1948&gt;G1948,M1948,IF(G1948&gt;F1948,N1948,"Tie"))</f>
        <v>PHI</v>
      </c>
      <c r="P1948" s="1" t="n">
        <f aca="false">F1948-G1948</f>
        <v>-5</v>
      </c>
      <c r="Q1948" s="1" t="n">
        <f aca="false">F1948+G1948</f>
        <v>51</v>
      </c>
      <c r="R1948" s="1" t="str">
        <f aca="false">IF(H1948=M1948,"Home",IF(H1948=N1948,"Away",IF(H1948="PICK","Pick","N/A")))</f>
        <v>Home</v>
      </c>
      <c r="S1948" s="1" t="n">
        <f aca="false">IF(R1948="Home",P1948,IF(R1948="Away",-P1948,""))</f>
        <v>-5</v>
      </c>
      <c r="T1948" s="1" t="str">
        <f aca="false">IF(R1948="Pick","No Line",IF(S1948="","N/A",IF(S1948+I1948&gt;0,"Favorite Covered",IF(S1948+I1948&lt;0,"Underdog Covered","Push"))))</f>
        <v>Underdog Covered</v>
      </c>
      <c r="U1948" s="1" t="str">
        <f aca="false">IF(Q1948&gt;J1948,"Over",IF(Q1948&lt;J1948,"Under","Push"))</f>
        <v>Over</v>
      </c>
    </row>
    <row r="1949" customFormat="false" ht="15" hidden="false" customHeight="false" outlineLevel="0" collapsed="false">
      <c r="A1949" s="1" t="s">
        <v>601</v>
      </c>
      <c r="B1949" s="1" t="n">
        <v>2017</v>
      </c>
      <c r="C1949" s="1" t="s">
        <v>188</v>
      </c>
      <c r="D1949" s="1" t="s">
        <v>53</v>
      </c>
      <c r="E1949" s="1" t="s">
        <v>113</v>
      </c>
      <c r="F1949" s="1" t="n">
        <v>38</v>
      </c>
      <c r="G1949" s="1" t="n">
        <v>33</v>
      </c>
      <c r="H1949" s="1" t="s">
        <v>114</v>
      </c>
      <c r="I1949" s="1" t="n">
        <v>-1.5</v>
      </c>
      <c r="J1949" s="1" t="n">
        <v>46</v>
      </c>
      <c r="K1949" s="1" t="s">
        <v>177</v>
      </c>
      <c r="L1949" s="1" t="b">
        <f aca="false">FALSE()</f>
        <v>0</v>
      </c>
      <c r="M1949" s="1" t="str">
        <f aca="false">VLOOKUP(D1949,'Team Reference'!$A:$B,2,FALSE())</f>
        <v>ARI</v>
      </c>
      <c r="N1949" s="1" t="str">
        <f aca="false">VLOOKUP(E1949,'Team Reference'!$A:$B,2,FALSE())</f>
        <v>TB</v>
      </c>
      <c r="O1949" s="1" t="str">
        <f aca="false">IF(F1949&gt;G1949,M1949,IF(G1949&gt;F1949,N1949,"Tie"))</f>
        <v>ARI</v>
      </c>
      <c r="P1949" s="1" t="n">
        <f aca="false">F1949-G1949</f>
        <v>5</v>
      </c>
      <c r="Q1949" s="1" t="n">
        <f aca="false">F1949+G1949</f>
        <v>71</v>
      </c>
      <c r="R1949" s="1" t="str">
        <f aca="false">IF(H1949=M1949,"Home",IF(H1949=N1949,"Away",IF(H1949="PICK","Pick","N/A")))</f>
        <v>Away</v>
      </c>
      <c r="S1949" s="1" t="n">
        <f aca="false">IF(R1949="Home",P1949,IF(R1949="Away",-P1949,""))</f>
        <v>-5</v>
      </c>
      <c r="T1949" s="1" t="str">
        <f aca="false">IF(R1949="Pick","No Line",IF(S1949="","N/A",IF(S1949+I1949&gt;0,"Favorite Covered",IF(S1949+I1949&lt;0,"Underdog Covered","Push"))))</f>
        <v>Underdog Covered</v>
      </c>
      <c r="U1949" s="1" t="str">
        <f aca="false">IF(Q1949&gt;J1949,"Over",IF(Q1949&lt;J1949,"Under","Push"))</f>
        <v>Over</v>
      </c>
    </row>
    <row r="1950" customFormat="false" ht="15" hidden="false" customHeight="false" outlineLevel="0" collapsed="false">
      <c r="A1950" s="1" t="s">
        <v>601</v>
      </c>
      <c r="B1950" s="1" t="n">
        <v>2017</v>
      </c>
      <c r="C1950" s="1" t="s">
        <v>188</v>
      </c>
      <c r="D1950" s="1" t="s">
        <v>55</v>
      </c>
      <c r="E1950" s="1" t="s">
        <v>89</v>
      </c>
      <c r="F1950" s="1" t="n">
        <v>17</v>
      </c>
      <c r="G1950" s="1" t="n">
        <v>20</v>
      </c>
      <c r="H1950" s="1" t="s">
        <v>56</v>
      </c>
      <c r="I1950" s="1" t="n">
        <v>-13.5</v>
      </c>
      <c r="J1950" s="1" t="n">
        <v>45.5</v>
      </c>
      <c r="K1950" s="1" t="s">
        <v>161</v>
      </c>
      <c r="L1950" s="1" t="b">
        <f aca="false">FALSE()</f>
        <v>0</v>
      </c>
      <c r="M1950" s="1" t="str">
        <f aca="false">VLOOKUP(D1950,'Team Reference'!$A:$B,2,FALSE())</f>
        <v>ATL</v>
      </c>
      <c r="N1950" s="1" t="str">
        <f aca="false">VLOOKUP(E1950,'Team Reference'!$A:$B,2,FALSE())</f>
        <v>MIA</v>
      </c>
      <c r="O1950" s="1" t="str">
        <f aca="false">IF(F1950&gt;G1950,M1950,IF(G1950&gt;F1950,N1950,"Tie"))</f>
        <v>MIA</v>
      </c>
      <c r="P1950" s="1" t="n">
        <f aca="false">F1950-G1950</f>
        <v>-3</v>
      </c>
      <c r="Q1950" s="1" t="n">
        <f aca="false">F1950+G1950</f>
        <v>37</v>
      </c>
      <c r="R1950" s="1" t="str">
        <f aca="false">IF(H1950=M1950,"Home",IF(H1950=N1950,"Away",IF(H1950="PICK","Pick","N/A")))</f>
        <v>Home</v>
      </c>
      <c r="S1950" s="1" t="n">
        <f aca="false">IF(R1950="Home",P1950,IF(R1950="Away",-P1950,""))</f>
        <v>-3</v>
      </c>
      <c r="T1950" s="1" t="str">
        <f aca="false">IF(R1950="Pick","No Line",IF(S1950="","N/A",IF(S1950+I1950&gt;0,"Favorite Covered",IF(S1950+I1950&lt;0,"Underdog Covered","Push"))))</f>
        <v>Underdog Covered</v>
      </c>
      <c r="U1950" s="1" t="str">
        <f aca="false">IF(Q1950&gt;J1950,"Over",IF(Q1950&lt;J1950,"Under","Push"))</f>
        <v>Under</v>
      </c>
    </row>
    <row r="1951" customFormat="false" ht="15" hidden="false" customHeight="false" outlineLevel="0" collapsed="false">
      <c r="A1951" s="1" t="s">
        <v>601</v>
      </c>
      <c r="B1951" s="1" t="n">
        <v>2017</v>
      </c>
      <c r="C1951" s="1" t="s">
        <v>188</v>
      </c>
      <c r="D1951" s="1" t="s">
        <v>57</v>
      </c>
      <c r="E1951" s="1" t="s">
        <v>63</v>
      </c>
      <c r="F1951" s="1" t="n">
        <v>24</v>
      </c>
      <c r="G1951" s="1" t="n">
        <v>27</v>
      </c>
      <c r="H1951" s="1" t="s">
        <v>58</v>
      </c>
      <c r="I1951" s="1" t="n">
        <v>-6.5</v>
      </c>
      <c r="J1951" s="1" t="n">
        <v>38.5</v>
      </c>
      <c r="K1951" s="1" t="s">
        <v>178</v>
      </c>
      <c r="L1951" s="1" t="b">
        <f aca="false">FALSE()</f>
        <v>0</v>
      </c>
      <c r="M1951" s="1" t="str">
        <f aca="false">VLOOKUP(D1951,'Team Reference'!$A:$B,2,FALSE())</f>
        <v>BAL</v>
      </c>
      <c r="N1951" s="1" t="str">
        <f aca="false">VLOOKUP(E1951,'Team Reference'!$A:$B,2,FALSE())</f>
        <v>CHI</v>
      </c>
      <c r="O1951" s="1" t="str">
        <f aca="false">IF(F1951&gt;G1951,M1951,IF(G1951&gt;F1951,N1951,"Tie"))</f>
        <v>CHI</v>
      </c>
      <c r="P1951" s="1" t="n">
        <f aca="false">F1951-G1951</f>
        <v>-3</v>
      </c>
      <c r="Q1951" s="1" t="n">
        <f aca="false">F1951+G1951</f>
        <v>51</v>
      </c>
      <c r="R1951" s="1" t="str">
        <f aca="false">IF(H1951=M1951,"Home",IF(H1951=N1951,"Away",IF(H1951="PICK","Pick","N/A")))</f>
        <v>Home</v>
      </c>
      <c r="S1951" s="1" t="n">
        <f aca="false">IF(R1951="Home",P1951,IF(R1951="Away",-P1951,""))</f>
        <v>-3</v>
      </c>
      <c r="T1951" s="1" t="str">
        <f aca="false">IF(R1951="Pick","No Line",IF(S1951="","N/A",IF(S1951+I1951&gt;0,"Favorite Covered",IF(S1951+I1951&lt;0,"Underdog Covered","Push"))))</f>
        <v>Underdog Covered</v>
      </c>
      <c r="U1951" s="1" t="str">
        <f aca="false">IF(Q1951&gt;J1951,"Over",IF(Q1951&lt;J1951,"Under","Push"))</f>
        <v>Over</v>
      </c>
    </row>
    <row r="1952" customFormat="false" ht="15" hidden="false" customHeight="false" outlineLevel="0" collapsed="false">
      <c r="A1952" s="1" t="s">
        <v>601</v>
      </c>
      <c r="B1952" s="1" t="n">
        <v>2017</v>
      </c>
      <c r="C1952" s="1" t="s">
        <v>188</v>
      </c>
      <c r="D1952" s="1" t="s">
        <v>71</v>
      </c>
      <c r="E1952" s="1" t="s">
        <v>97</v>
      </c>
      <c r="F1952" s="1" t="n">
        <v>10</v>
      </c>
      <c r="G1952" s="1" t="n">
        <v>23</v>
      </c>
      <c r="H1952" s="1" t="s">
        <v>72</v>
      </c>
      <c r="I1952" s="1" t="n">
        <v>-12</v>
      </c>
      <c r="J1952" s="1" t="n">
        <v>39</v>
      </c>
      <c r="K1952" s="1" t="s">
        <v>166</v>
      </c>
      <c r="L1952" s="1" t="b">
        <f aca="false">FALSE()</f>
        <v>0</v>
      </c>
      <c r="M1952" s="1" t="str">
        <f aca="false">VLOOKUP(D1952,'Team Reference'!$A:$B,2,FALSE())</f>
        <v>DEN</v>
      </c>
      <c r="N1952" s="1" t="str">
        <f aca="false">VLOOKUP(E1952,'Team Reference'!$A:$B,2,FALSE())</f>
        <v>NYG</v>
      </c>
      <c r="O1952" s="1" t="str">
        <f aca="false">IF(F1952&gt;G1952,M1952,IF(G1952&gt;F1952,N1952,"Tie"))</f>
        <v>NYG</v>
      </c>
      <c r="P1952" s="1" t="n">
        <f aca="false">F1952-G1952</f>
        <v>-13</v>
      </c>
      <c r="Q1952" s="1" t="n">
        <f aca="false">F1952+G1952</f>
        <v>33</v>
      </c>
      <c r="R1952" s="1" t="str">
        <f aca="false">IF(H1952=M1952,"Home",IF(H1952=N1952,"Away",IF(H1952="PICK","Pick","N/A")))</f>
        <v>Home</v>
      </c>
      <c r="S1952" s="1" t="n">
        <f aca="false">IF(R1952="Home",P1952,IF(R1952="Away",-P1952,""))</f>
        <v>-13</v>
      </c>
      <c r="T1952" s="1" t="str">
        <f aca="false">IF(R1952="Pick","No Line",IF(S1952="","N/A",IF(S1952+I1952&gt;0,"Favorite Covered",IF(S1952+I1952&lt;0,"Underdog Covered","Push"))))</f>
        <v>Underdog Covered</v>
      </c>
      <c r="U1952" s="1" t="str">
        <f aca="false">IF(Q1952&gt;J1952,"Over",IF(Q1952&lt;J1952,"Under","Push"))</f>
        <v>Under</v>
      </c>
    </row>
    <row r="1953" customFormat="false" ht="15" hidden="false" customHeight="false" outlineLevel="0" collapsed="false">
      <c r="A1953" s="1" t="s">
        <v>601</v>
      </c>
      <c r="B1953" s="1" t="n">
        <v>2017</v>
      </c>
      <c r="C1953" s="1" t="s">
        <v>188</v>
      </c>
      <c r="D1953" s="1" t="s">
        <v>77</v>
      </c>
      <c r="E1953" s="1" t="s">
        <v>67</v>
      </c>
      <c r="F1953" s="1" t="n">
        <v>33</v>
      </c>
      <c r="G1953" s="1" t="n">
        <v>17</v>
      </c>
      <c r="H1953" s="1" t="s">
        <v>78</v>
      </c>
      <c r="I1953" s="1" t="n">
        <v>-9.5</v>
      </c>
      <c r="J1953" s="1" t="n">
        <v>47</v>
      </c>
      <c r="K1953" s="1" t="s">
        <v>580</v>
      </c>
      <c r="L1953" s="1" t="b">
        <f aca="false">FALSE()</f>
        <v>0</v>
      </c>
      <c r="M1953" s="1" t="str">
        <f aca="false">VLOOKUP(D1953,'Team Reference'!$A:$B,2,FALSE())</f>
        <v>HOU</v>
      </c>
      <c r="N1953" s="1" t="str">
        <f aca="false">VLOOKUP(E1953,'Team Reference'!$A:$B,2,FALSE())</f>
        <v>CLE</v>
      </c>
      <c r="O1953" s="1" t="str">
        <f aca="false">IF(F1953&gt;G1953,M1953,IF(G1953&gt;F1953,N1953,"Tie"))</f>
        <v>HOU</v>
      </c>
      <c r="P1953" s="1" t="n">
        <f aca="false">F1953-G1953</f>
        <v>16</v>
      </c>
      <c r="Q1953" s="1" t="n">
        <f aca="false">F1953+G1953</f>
        <v>50</v>
      </c>
      <c r="R1953" s="1" t="str">
        <f aca="false">IF(H1953=M1953,"Home",IF(H1953=N1953,"Away",IF(H1953="PICK","Pick","N/A")))</f>
        <v>Home</v>
      </c>
      <c r="S1953" s="1" t="n">
        <f aca="false">IF(R1953="Home",P1953,IF(R1953="Away",-P1953,""))</f>
        <v>16</v>
      </c>
      <c r="T1953" s="1" t="str">
        <f aca="false">IF(R1953="Pick","No Line",IF(S1953="","N/A",IF(S1953+I1953&gt;0,"Favorite Covered",IF(S1953+I1953&lt;0,"Underdog Covered","Push"))))</f>
        <v>Favorite Covered</v>
      </c>
      <c r="U1953" s="1" t="str">
        <f aca="false">IF(Q1953&gt;J1953,"Over",IF(Q1953&lt;J1953,"Under","Push"))</f>
        <v>Over</v>
      </c>
    </row>
    <row r="1954" customFormat="false" ht="15" hidden="false" customHeight="false" outlineLevel="0" collapsed="false">
      <c r="A1954" s="1" t="s">
        <v>601</v>
      </c>
      <c r="B1954" s="1" t="n">
        <v>2017</v>
      </c>
      <c r="C1954" s="1" t="s">
        <v>188</v>
      </c>
      <c r="D1954" s="1" t="s">
        <v>81</v>
      </c>
      <c r="E1954" s="1" t="s">
        <v>87</v>
      </c>
      <c r="F1954" s="1" t="n">
        <v>17</v>
      </c>
      <c r="G1954" s="1" t="n">
        <v>27</v>
      </c>
      <c r="H1954" s="1" t="s">
        <v>82</v>
      </c>
      <c r="I1954" s="1" t="n">
        <v>-2.5</v>
      </c>
      <c r="J1954" s="1" t="n">
        <v>42.5</v>
      </c>
      <c r="K1954" s="1" t="s">
        <v>147</v>
      </c>
      <c r="L1954" s="1" t="b">
        <f aca="false">FALSE()</f>
        <v>0</v>
      </c>
      <c r="M1954" s="1" t="str">
        <f aca="false">VLOOKUP(D1954,'Team Reference'!$A:$B,2,FALSE())</f>
        <v>JAX</v>
      </c>
      <c r="N1954" s="1" t="str">
        <f aca="false">VLOOKUP(E1954,'Team Reference'!$A:$B,2,FALSE())</f>
        <v>LAR</v>
      </c>
      <c r="O1954" s="1" t="str">
        <f aca="false">IF(F1954&gt;G1954,M1954,IF(G1954&gt;F1954,N1954,"Tie"))</f>
        <v>LAR</v>
      </c>
      <c r="P1954" s="1" t="n">
        <f aca="false">F1954-G1954</f>
        <v>-10</v>
      </c>
      <c r="Q1954" s="1" t="n">
        <f aca="false">F1954+G1954</f>
        <v>44</v>
      </c>
      <c r="R1954" s="1" t="str">
        <f aca="false">IF(H1954=M1954,"Home",IF(H1954=N1954,"Away",IF(H1954="PICK","Pick","N/A")))</f>
        <v>Home</v>
      </c>
      <c r="S1954" s="1" t="n">
        <f aca="false">IF(R1954="Home",P1954,IF(R1954="Away",-P1954,""))</f>
        <v>-10</v>
      </c>
      <c r="T1954" s="1" t="str">
        <f aca="false">IF(R1954="Pick","No Line",IF(S1954="","N/A",IF(S1954+I1954&gt;0,"Favorite Covered",IF(S1954+I1954&lt;0,"Underdog Covered","Push"))))</f>
        <v>Underdog Covered</v>
      </c>
      <c r="U1954" s="1" t="str">
        <f aca="false">IF(Q1954&gt;J1954,"Over",IF(Q1954&lt;J1954,"Under","Push"))</f>
        <v>Over</v>
      </c>
    </row>
    <row r="1955" customFormat="false" ht="15" hidden="false" customHeight="false" outlineLevel="0" collapsed="false">
      <c r="A1955" s="1" t="s">
        <v>601</v>
      </c>
      <c r="B1955" s="1" t="n">
        <v>2017</v>
      </c>
      <c r="C1955" s="1" t="s">
        <v>188</v>
      </c>
      <c r="D1955" s="1" t="s">
        <v>83</v>
      </c>
      <c r="E1955" s="1" t="s">
        <v>105</v>
      </c>
      <c r="F1955" s="1" t="n">
        <v>13</v>
      </c>
      <c r="G1955" s="1" t="n">
        <v>19</v>
      </c>
      <c r="H1955" s="1" t="s">
        <v>84</v>
      </c>
      <c r="I1955" s="1" t="n">
        <v>-3.5</v>
      </c>
      <c r="J1955" s="1" t="n">
        <v>47</v>
      </c>
      <c r="K1955" s="1" t="s">
        <v>158</v>
      </c>
      <c r="L1955" s="1" t="b">
        <f aca="false">FALSE()</f>
        <v>0</v>
      </c>
      <c r="M1955" s="1" t="str">
        <f aca="false">VLOOKUP(D1955,'Team Reference'!$A:$B,2,FALSE())</f>
        <v>KC</v>
      </c>
      <c r="N1955" s="1" t="str">
        <f aca="false">VLOOKUP(E1955,'Team Reference'!$A:$B,2,FALSE())</f>
        <v>PIT</v>
      </c>
      <c r="O1955" s="1" t="str">
        <f aca="false">IF(F1955&gt;G1955,M1955,IF(G1955&gt;F1955,N1955,"Tie"))</f>
        <v>PIT</v>
      </c>
      <c r="P1955" s="1" t="n">
        <f aca="false">F1955-G1955</f>
        <v>-6</v>
      </c>
      <c r="Q1955" s="1" t="n">
        <f aca="false">F1955+G1955</f>
        <v>32</v>
      </c>
      <c r="R1955" s="1" t="str">
        <f aca="false">IF(H1955=M1955,"Home",IF(H1955=N1955,"Away",IF(H1955="PICK","Pick","N/A")))</f>
        <v>Home</v>
      </c>
      <c r="S1955" s="1" t="n">
        <f aca="false">IF(R1955="Home",P1955,IF(R1955="Away",-P1955,""))</f>
        <v>-6</v>
      </c>
      <c r="T1955" s="1" t="str">
        <f aca="false">IF(R1955="Pick","No Line",IF(S1955="","N/A",IF(S1955+I1955&gt;0,"Favorite Covered",IF(S1955+I1955&lt;0,"Underdog Covered","Push"))))</f>
        <v>Underdog Covered</v>
      </c>
      <c r="U1955" s="1" t="str">
        <f aca="false">IF(Q1955&gt;J1955,"Over",IF(Q1955&lt;J1955,"Under","Push"))</f>
        <v>Under</v>
      </c>
    </row>
    <row r="1956" customFormat="false" ht="15" hidden="false" customHeight="false" outlineLevel="0" collapsed="false">
      <c r="A1956" s="1" t="s">
        <v>601</v>
      </c>
      <c r="B1956" s="1" t="n">
        <v>2017</v>
      </c>
      <c r="C1956" s="1" t="s">
        <v>188</v>
      </c>
      <c r="D1956" s="1" t="s">
        <v>91</v>
      </c>
      <c r="E1956" s="1" t="s">
        <v>75</v>
      </c>
      <c r="F1956" s="1" t="n">
        <v>23</v>
      </c>
      <c r="G1956" s="1" t="n">
        <v>10</v>
      </c>
      <c r="H1956" s="1" t="s">
        <v>76</v>
      </c>
      <c r="I1956" s="1" t="n">
        <v>-3</v>
      </c>
      <c r="J1956" s="1" t="n">
        <v>44.5</v>
      </c>
      <c r="K1956" s="1" t="s">
        <v>525</v>
      </c>
      <c r="L1956" s="1" t="b">
        <f aca="false">FALSE()</f>
        <v>0</v>
      </c>
      <c r="M1956" s="1" t="str">
        <f aca="false">VLOOKUP(D1956,'Team Reference'!$A:$B,2,FALSE())</f>
        <v>MIN</v>
      </c>
      <c r="N1956" s="1" t="str">
        <f aca="false">VLOOKUP(E1956,'Team Reference'!$A:$B,2,FALSE())</f>
        <v>GB</v>
      </c>
      <c r="O1956" s="1" t="str">
        <f aca="false">IF(F1956&gt;G1956,M1956,IF(G1956&gt;F1956,N1956,"Tie"))</f>
        <v>MIN</v>
      </c>
      <c r="P1956" s="1" t="n">
        <f aca="false">F1956-G1956</f>
        <v>13</v>
      </c>
      <c r="Q1956" s="1" t="n">
        <f aca="false">F1956+G1956</f>
        <v>33</v>
      </c>
      <c r="R1956" s="1" t="str">
        <f aca="false">IF(H1956=M1956,"Home",IF(H1956=N1956,"Away",IF(H1956="PICK","Pick","N/A")))</f>
        <v>Away</v>
      </c>
      <c r="S1956" s="1" t="n">
        <f aca="false">IF(R1956="Home",P1956,IF(R1956="Away",-P1956,""))</f>
        <v>-13</v>
      </c>
      <c r="T1956" s="1" t="str">
        <f aca="false">IF(R1956="Pick","No Line",IF(S1956="","N/A",IF(S1956+I1956&gt;0,"Favorite Covered",IF(S1956+I1956&lt;0,"Underdog Covered","Push"))))</f>
        <v>Underdog Covered</v>
      </c>
      <c r="U1956" s="1" t="str">
        <f aca="false">IF(Q1956&gt;J1956,"Over",IF(Q1956&lt;J1956,"Under","Push"))</f>
        <v>Under</v>
      </c>
    </row>
    <row r="1957" customFormat="false" ht="15" hidden="false" customHeight="false" outlineLevel="0" collapsed="false">
      <c r="A1957" s="1" t="s">
        <v>601</v>
      </c>
      <c r="B1957" s="1" t="n">
        <v>2017</v>
      </c>
      <c r="C1957" s="1" t="s">
        <v>188</v>
      </c>
      <c r="D1957" s="1" t="s">
        <v>95</v>
      </c>
      <c r="E1957" s="1" t="s">
        <v>73</v>
      </c>
      <c r="F1957" s="1" t="n">
        <v>52</v>
      </c>
      <c r="G1957" s="1" t="n">
        <v>38</v>
      </c>
      <c r="H1957" s="1" t="s">
        <v>96</v>
      </c>
      <c r="I1957" s="1" t="n">
        <v>-4</v>
      </c>
      <c r="J1957" s="1" t="n">
        <v>49.5</v>
      </c>
      <c r="K1957" s="1" t="s">
        <v>347</v>
      </c>
      <c r="L1957" s="1" t="b">
        <f aca="false">FALSE()</f>
        <v>0</v>
      </c>
      <c r="M1957" s="1" t="str">
        <f aca="false">VLOOKUP(D1957,'Team Reference'!$A:$B,2,FALSE())</f>
        <v>NO</v>
      </c>
      <c r="N1957" s="1" t="str">
        <f aca="false">VLOOKUP(E1957,'Team Reference'!$A:$B,2,FALSE())</f>
        <v>DET</v>
      </c>
      <c r="O1957" s="1" t="str">
        <f aca="false">IF(F1957&gt;G1957,M1957,IF(G1957&gt;F1957,N1957,"Tie"))</f>
        <v>NO</v>
      </c>
      <c r="P1957" s="1" t="n">
        <f aca="false">F1957-G1957</f>
        <v>14</v>
      </c>
      <c r="Q1957" s="1" t="n">
        <f aca="false">F1957+G1957</f>
        <v>90</v>
      </c>
      <c r="R1957" s="1" t="str">
        <f aca="false">IF(H1957=M1957,"Home",IF(H1957=N1957,"Away",IF(H1957="PICK","Pick","N/A")))</f>
        <v>Home</v>
      </c>
      <c r="S1957" s="1" t="n">
        <f aca="false">IF(R1957="Home",P1957,IF(R1957="Away",-P1957,""))</f>
        <v>14</v>
      </c>
      <c r="T1957" s="1" t="str">
        <f aca="false">IF(R1957="Pick","No Line",IF(S1957="","N/A",IF(S1957+I1957&gt;0,"Favorite Covered",IF(S1957+I1957&lt;0,"Underdog Covered","Push"))))</f>
        <v>Favorite Covered</v>
      </c>
      <c r="U1957" s="1" t="str">
        <f aca="false">IF(Q1957&gt;J1957,"Over",IF(Q1957&lt;J1957,"Under","Push"))</f>
        <v>Over</v>
      </c>
    </row>
    <row r="1958" customFormat="false" ht="15" hidden="false" customHeight="false" outlineLevel="0" collapsed="false">
      <c r="A1958" s="1" t="s">
        <v>601</v>
      </c>
      <c r="B1958" s="1" t="n">
        <v>2017</v>
      </c>
      <c r="C1958" s="1" t="s">
        <v>188</v>
      </c>
      <c r="D1958" s="1" t="s">
        <v>99</v>
      </c>
      <c r="E1958" s="1" t="s">
        <v>93</v>
      </c>
      <c r="F1958" s="1" t="n">
        <v>17</v>
      </c>
      <c r="G1958" s="1" t="n">
        <v>24</v>
      </c>
      <c r="H1958" s="1" t="s">
        <v>94</v>
      </c>
      <c r="I1958" s="1" t="n">
        <v>-9</v>
      </c>
      <c r="J1958" s="1" t="n">
        <v>47.5</v>
      </c>
      <c r="K1958" s="1" t="s">
        <v>149</v>
      </c>
      <c r="L1958" s="1" t="b">
        <f aca="false">FALSE()</f>
        <v>0</v>
      </c>
      <c r="M1958" s="1" t="str">
        <f aca="false">VLOOKUP(D1958,'Team Reference'!$A:$B,2,FALSE())</f>
        <v>NYJ</v>
      </c>
      <c r="N1958" s="1" t="str">
        <f aca="false">VLOOKUP(E1958,'Team Reference'!$A:$B,2,FALSE())</f>
        <v>NE</v>
      </c>
      <c r="O1958" s="1" t="str">
        <f aca="false">IF(F1958&gt;G1958,M1958,IF(G1958&gt;F1958,N1958,"Tie"))</f>
        <v>NE</v>
      </c>
      <c r="P1958" s="1" t="n">
        <f aca="false">F1958-G1958</f>
        <v>-7</v>
      </c>
      <c r="Q1958" s="1" t="n">
        <f aca="false">F1958+G1958</f>
        <v>41</v>
      </c>
      <c r="R1958" s="1" t="str">
        <f aca="false">IF(H1958=M1958,"Home",IF(H1958=N1958,"Away",IF(H1958="PICK","Pick","N/A")))</f>
        <v>Away</v>
      </c>
      <c r="S1958" s="1" t="n">
        <f aca="false">IF(R1958="Home",P1958,IF(R1958="Away",-P1958,""))</f>
        <v>7</v>
      </c>
      <c r="T1958" s="1" t="str">
        <f aca="false">IF(R1958="Pick","No Line",IF(S1958="","N/A",IF(S1958+I1958&gt;0,"Favorite Covered",IF(S1958+I1958&lt;0,"Underdog Covered","Push"))))</f>
        <v>Underdog Covered</v>
      </c>
      <c r="U1958" s="1" t="str">
        <f aca="false">IF(Q1958&gt;J1958,"Over",IF(Q1958&lt;J1958,"Under","Push"))</f>
        <v>Under</v>
      </c>
    </row>
    <row r="1959" customFormat="false" ht="15" hidden="false" customHeight="false" outlineLevel="0" collapsed="false">
      <c r="A1959" s="1" t="s">
        <v>601</v>
      </c>
      <c r="B1959" s="1" t="n">
        <v>2017</v>
      </c>
      <c r="C1959" s="1" t="s">
        <v>188</v>
      </c>
      <c r="D1959" s="1" t="s">
        <v>101</v>
      </c>
      <c r="E1959" s="1" t="s">
        <v>85</v>
      </c>
      <c r="F1959" s="1" t="n">
        <v>16</v>
      </c>
      <c r="G1959" s="1" t="n">
        <v>17</v>
      </c>
      <c r="H1959" s="1" t="s">
        <v>200</v>
      </c>
      <c r="I1959" s="1" t="n">
        <v>-3.5</v>
      </c>
      <c r="J1959" s="1" t="n">
        <v>49</v>
      </c>
      <c r="K1959" s="1" t="s">
        <v>171</v>
      </c>
      <c r="L1959" s="1" t="b">
        <f aca="false">FALSE()</f>
        <v>0</v>
      </c>
      <c r="M1959" s="1" t="str">
        <f aca="false">VLOOKUP(D1959,'Team Reference'!$A:$B,2,FALSE())</f>
        <v>OAK</v>
      </c>
      <c r="N1959" s="1" t="str">
        <f aca="false">VLOOKUP(E1959,'Team Reference'!$A:$B,2,FALSE())</f>
        <v>LAC</v>
      </c>
      <c r="O1959" s="1" t="str">
        <f aca="false">IF(F1959&gt;G1959,M1959,IF(G1959&gt;F1959,N1959,"Tie"))</f>
        <v>LAC</v>
      </c>
      <c r="P1959" s="1" t="n">
        <f aca="false">F1959-G1959</f>
        <v>-1</v>
      </c>
      <c r="Q1959" s="1" t="n">
        <f aca="false">F1959+G1959</f>
        <v>33</v>
      </c>
      <c r="R1959" s="1" t="str">
        <f aca="false">IF(H1959=M1959,"Home",IF(H1959=N1959,"Away",IF(H1959="PICK","Pick","N/A")))</f>
        <v>Pick</v>
      </c>
      <c r="S1959" s="1" t="str">
        <f aca="false">IF(R1959="Home",P1959,IF(R1959="Away",-P1959,""))</f>
        <v/>
      </c>
      <c r="T1959" s="1" t="str">
        <f aca="false">IF(R1959="Pick","No Line",IF(S1959="","N/A",IF(S1959+I1959&gt;0,"Favorite Covered",IF(S1959+I1959&lt;0,"Underdog Covered","Push"))))</f>
        <v>No Line</v>
      </c>
      <c r="U1959" s="1" t="str">
        <f aca="false">IF(Q1959&gt;J1959,"Over",IF(Q1959&lt;J1959,"Under","Push"))</f>
        <v>Under</v>
      </c>
    </row>
    <row r="1960" customFormat="false" ht="15" hidden="false" customHeight="false" outlineLevel="0" collapsed="false">
      <c r="A1960" s="1" t="s">
        <v>601</v>
      </c>
      <c r="B1960" s="1" t="n">
        <v>2017</v>
      </c>
      <c r="C1960" s="1" t="s">
        <v>188</v>
      </c>
      <c r="D1960" s="1" t="s">
        <v>117</v>
      </c>
      <c r="E1960" s="1" t="s">
        <v>108</v>
      </c>
      <c r="F1960" s="1" t="n">
        <v>26</v>
      </c>
      <c r="G1960" s="1" t="n">
        <v>24</v>
      </c>
      <c r="H1960" s="1" t="s">
        <v>118</v>
      </c>
      <c r="I1960" s="1" t="n">
        <v>-11</v>
      </c>
      <c r="J1960" s="1" t="n">
        <v>46</v>
      </c>
      <c r="K1960" s="1" t="s">
        <v>156</v>
      </c>
      <c r="L1960" s="1" t="b">
        <f aca="false">FALSE()</f>
        <v>0</v>
      </c>
      <c r="M1960" s="1" t="str">
        <f aca="false">VLOOKUP(D1960,'Team Reference'!$A:$B,2,FALSE())</f>
        <v>WAS</v>
      </c>
      <c r="N1960" s="1" t="str">
        <f aca="false">VLOOKUP(E1960,'Team Reference'!$A:$B,2,FALSE())</f>
        <v>SF</v>
      </c>
      <c r="O1960" s="1" t="str">
        <f aca="false">IF(F1960&gt;G1960,M1960,IF(G1960&gt;F1960,N1960,"Tie"))</f>
        <v>WAS</v>
      </c>
      <c r="P1960" s="1" t="n">
        <f aca="false">F1960-G1960</f>
        <v>2</v>
      </c>
      <c r="Q1960" s="1" t="n">
        <f aca="false">F1960+G1960</f>
        <v>50</v>
      </c>
      <c r="R1960" s="1" t="str">
        <f aca="false">IF(H1960=M1960,"Home",IF(H1960=N1960,"Away",IF(H1960="PICK","Pick","N/A")))</f>
        <v>Home</v>
      </c>
      <c r="S1960" s="1" t="n">
        <f aca="false">IF(R1960="Home",P1960,IF(R1960="Away",-P1960,""))</f>
        <v>2</v>
      </c>
      <c r="T1960" s="1" t="str">
        <f aca="false">IF(R1960="Pick","No Line",IF(S1960="","N/A",IF(S1960+I1960&gt;0,"Favorite Covered",IF(S1960+I1960&lt;0,"Underdog Covered","Push"))))</f>
        <v>Underdog Covered</v>
      </c>
      <c r="U1960" s="1" t="str">
        <f aca="false">IF(Q1960&gt;J1960,"Over",IF(Q1960&lt;J1960,"Under","Push"))</f>
        <v>Over</v>
      </c>
    </row>
    <row r="1961" customFormat="false" ht="15" hidden="false" customHeight="false" outlineLevel="0" collapsed="false">
      <c r="A1961" s="1" t="s">
        <v>602</v>
      </c>
      <c r="B1961" s="1" t="n">
        <v>2017</v>
      </c>
      <c r="C1961" s="1" t="s">
        <v>188</v>
      </c>
      <c r="D1961" s="1" t="s">
        <v>115</v>
      </c>
      <c r="E1961" s="1" t="s">
        <v>79</v>
      </c>
      <c r="F1961" s="1" t="n">
        <v>36</v>
      </c>
      <c r="G1961" s="1" t="n">
        <v>22</v>
      </c>
      <c r="H1961" s="1" t="s">
        <v>116</v>
      </c>
      <c r="I1961" s="1" t="n">
        <v>-7</v>
      </c>
      <c r="J1961" s="1" t="n">
        <v>46</v>
      </c>
      <c r="K1961" s="1" t="s">
        <v>584</v>
      </c>
      <c r="L1961" s="1" t="b">
        <f aca="false">FALSE()</f>
        <v>0</v>
      </c>
      <c r="M1961" s="1" t="str">
        <f aca="false">VLOOKUP(D1961,'Team Reference'!$A:$B,2,FALSE())</f>
        <v>TEN</v>
      </c>
      <c r="N1961" s="1" t="str">
        <f aca="false">VLOOKUP(E1961,'Team Reference'!$A:$B,2,FALSE())</f>
        <v>IND</v>
      </c>
      <c r="O1961" s="1" t="str">
        <f aca="false">IF(F1961&gt;G1961,M1961,IF(G1961&gt;F1961,N1961,"Tie"))</f>
        <v>TEN</v>
      </c>
      <c r="P1961" s="1" t="n">
        <f aca="false">F1961-G1961</f>
        <v>14</v>
      </c>
      <c r="Q1961" s="1" t="n">
        <f aca="false">F1961+G1961</f>
        <v>58</v>
      </c>
      <c r="R1961" s="1" t="str">
        <f aca="false">IF(H1961=M1961,"Home",IF(H1961=N1961,"Away",IF(H1961="PICK","Pick","N/A")))</f>
        <v>Home</v>
      </c>
      <c r="S1961" s="1" t="n">
        <f aca="false">IF(R1961="Home",P1961,IF(R1961="Away",-P1961,""))</f>
        <v>14</v>
      </c>
      <c r="T1961" s="1" t="str">
        <f aca="false">IF(R1961="Pick","No Line",IF(S1961="","N/A",IF(S1961+I1961&gt;0,"Favorite Covered",IF(S1961+I1961&lt;0,"Underdog Covered","Push"))))</f>
        <v>Favorite Covered</v>
      </c>
      <c r="U1961" s="1" t="str">
        <f aca="false">IF(Q1961&gt;J1961,"Over",IF(Q1961&lt;J1961,"Under","Push"))</f>
        <v>Over</v>
      </c>
    </row>
    <row r="1962" customFormat="false" ht="15" hidden="false" customHeight="false" outlineLevel="0" collapsed="false">
      <c r="A1962" s="1" t="s">
        <v>603</v>
      </c>
      <c r="B1962" s="1" t="n">
        <v>2017</v>
      </c>
      <c r="C1962" s="1" t="s">
        <v>191</v>
      </c>
      <c r="D1962" s="1" t="s">
        <v>101</v>
      </c>
      <c r="E1962" s="1" t="s">
        <v>83</v>
      </c>
      <c r="F1962" s="1" t="n">
        <v>31</v>
      </c>
      <c r="G1962" s="1" t="n">
        <v>30</v>
      </c>
      <c r="H1962" s="1" t="s">
        <v>84</v>
      </c>
      <c r="I1962" s="1" t="n">
        <v>-3</v>
      </c>
      <c r="J1962" s="1" t="n">
        <v>46.5</v>
      </c>
      <c r="K1962" s="1" t="s">
        <v>171</v>
      </c>
      <c r="L1962" s="1" t="b">
        <f aca="false">FALSE()</f>
        <v>0</v>
      </c>
      <c r="M1962" s="1" t="str">
        <f aca="false">VLOOKUP(D1962,'Team Reference'!$A:$B,2,FALSE())</f>
        <v>OAK</v>
      </c>
      <c r="N1962" s="1" t="str">
        <f aca="false">VLOOKUP(E1962,'Team Reference'!$A:$B,2,FALSE())</f>
        <v>KC</v>
      </c>
      <c r="O1962" s="1" t="str">
        <f aca="false">IF(F1962&gt;G1962,M1962,IF(G1962&gt;F1962,N1962,"Tie"))</f>
        <v>OAK</v>
      </c>
      <c r="P1962" s="1" t="n">
        <f aca="false">F1962-G1962</f>
        <v>1</v>
      </c>
      <c r="Q1962" s="1" t="n">
        <f aca="false">F1962+G1962</f>
        <v>61</v>
      </c>
      <c r="R1962" s="1" t="str">
        <f aca="false">IF(H1962=M1962,"Home",IF(H1962=N1962,"Away",IF(H1962="PICK","Pick","N/A")))</f>
        <v>Away</v>
      </c>
      <c r="S1962" s="1" t="n">
        <f aca="false">IF(R1962="Home",P1962,IF(R1962="Away",-P1962,""))</f>
        <v>-1</v>
      </c>
      <c r="T1962" s="1" t="str">
        <f aca="false">IF(R1962="Pick","No Line",IF(S1962="","N/A",IF(S1962+I1962&gt;0,"Favorite Covered",IF(S1962+I1962&lt;0,"Underdog Covered","Push"))))</f>
        <v>Underdog Covered</v>
      </c>
      <c r="U1962" s="1" t="str">
        <f aca="false">IF(Q1962&gt;J1962,"Over",IF(Q1962&lt;J1962,"Under","Push"))</f>
        <v>Over</v>
      </c>
    </row>
    <row r="1963" customFormat="false" ht="15" hidden="false" customHeight="false" outlineLevel="0" collapsed="false">
      <c r="A1963" s="1" t="s">
        <v>604</v>
      </c>
      <c r="B1963" s="1" t="n">
        <v>2017</v>
      </c>
      <c r="C1963" s="1" t="s">
        <v>191</v>
      </c>
      <c r="D1963" s="1" t="s">
        <v>59</v>
      </c>
      <c r="E1963" s="1" t="s">
        <v>113</v>
      </c>
      <c r="F1963" s="1" t="n">
        <v>30</v>
      </c>
      <c r="G1963" s="1" t="n">
        <v>27</v>
      </c>
      <c r="H1963" s="1" t="s">
        <v>60</v>
      </c>
      <c r="I1963" s="1" t="n">
        <v>-3</v>
      </c>
      <c r="J1963" s="1" t="n">
        <v>45.5</v>
      </c>
      <c r="K1963" s="1" t="s">
        <v>522</v>
      </c>
      <c r="L1963" s="1" t="b">
        <f aca="false">FALSE()</f>
        <v>0</v>
      </c>
      <c r="M1963" s="1" t="str">
        <f aca="false">VLOOKUP(D1963,'Team Reference'!$A:$B,2,FALSE())</f>
        <v>BUF</v>
      </c>
      <c r="N1963" s="1" t="str">
        <f aca="false">VLOOKUP(E1963,'Team Reference'!$A:$B,2,FALSE())</f>
        <v>TB</v>
      </c>
      <c r="O1963" s="1" t="str">
        <f aca="false">IF(F1963&gt;G1963,M1963,IF(G1963&gt;F1963,N1963,"Tie"))</f>
        <v>BUF</v>
      </c>
      <c r="P1963" s="1" t="n">
        <f aca="false">F1963-G1963</f>
        <v>3</v>
      </c>
      <c r="Q1963" s="1" t="n">
        <f aca="false">F1963+G1963</f>
        <v>57</v>
      </c>
      <c r="R1963" s="1" t="str">
        <f aca="false">IF(H1963=M1963,"Home",IF(H1963=N1963,"Away",IF(H1963="PICK","Pick","N/A")))</f>
        <v>Home</v>
      </c>
      <c r="S1963" s="1" t="n">
        <f aca="false">IF(R1963="Home",P1963,IF(R1963="Away",-P1963,""))</f>
        <v>3</v>
      </c>
      <c r="T1963" s="1" t="str">
        <f aca="false">IF(R1963="Pick","No Line",IF(S1963="","N/A",IF(S1963+I1963&gt;0,"Favorite Covered",IF(S1963+I1963&lt;0,"Underdog Covered","Push"))))</f>
        <v>Push</v>
      </c>
      <c r="U1963" s="1" t="str">
        <f aca="false">IF(Q1963&gt;J1963,"Over",IF(Q1963&lt;J1963,"Under","Push"))</f>
        <v>Over</v>
      </c>
    </row>
    <row r="1964" customFormat="false" ht="15" hidden="false" customHeight="false" outlineLevel="0" collapsed="false">
      <c r="A1964" s="1" t="s">
        <v>604</v>
      </c>
      <c r="B1964" s="1" t="n">
        <v>2017</v>
      </c>
      <c r="C1964" s="1" t="s">
        <v>191</v>
      </c>
      <c r="D1964" s="1" t="s">
        <v>63</v>
      </c>
      <c r="E1964" s="1" t="s">
        <v>61</v>
      </c>
      <c r="F1964" s="1" t="n">
        <v>17</v>
      </c>
      <c r="G1964" s="1" t="n">
        <v>3</v>
      </c>
      <c r="H1964" s="1" t="s">
        <v>62</v>
      </c>
      <c r="I1964" s="1" t="n">
        <v>-3</v>
      </c>
      <c r="J1964" s="1" t="n">
        <v>40</v>
      </c>
      <c r="K1964" s="1" t="s">
        <v>145</v>
      </c>
      <c r="L1964" s="1" t="b">
        <f aca="false">FALSE()</f>
        <v>0</v>
      </c>
      <c r="M1964" s="1" t="str">
        <f aca="false">VLOOKUP(D1964,'Team Reference'!$A:$B,2,FALSE())</f>
        <v>CHI</v>
      </c>
      <c r="N1964" s="1" t="str">
        <f aca="false">VLOOKUP(E1964,'Team Reference'!$A:$B,2,FALSE())</f>
        <v>CAR</v>
      </c>
      <c r="O1964" s="1" t="str">
        <f aca="false">IF(F1964&gt;G1964,M1964,IF(G1964&gt;F1964,N1964,"Tie"))</f>
        <v>CHI</v>
      </c>
      <c r="P1964" s="1" t="n">
        <f aca="false">F1964-G1964</f>
        <v>14</v>
      </c>
      <c r="Q1964" s="1" t="n">
        <f aca="false">F1964+G1964</f>
        <v>20</v>
      </c>
      <c r="R1964" s="1" t="str">
        <f aca="false">IF(H1964=M1964,"Home",IF(H1964=N1964,"Away",IF(H1964="PICK","Pick","N/A")))</f>
        <v>Away</v>
      </c>
      <c r="S1964" s="1" t="n">
        <f aca="false">IF(R1964="Home",P1964,IF(R1964="Away",-P1964,""))</f>
        <v>-14</v>
      </c>
      <c r="T1964" s="1" t="str">
        <f aca="false">IF(R1964="Pick","No Line",IF(S1964="","N/A",IF(S1964+I1964&gt;0,"Favorite Covered",IF(S1964+I1964&lt;0,"Underdog Covered","Push"))))</f>
        <v>Underdog Covered</v>
      </c>
      <c r="U1964" s="1" t="str">
        <f aca="false">IF(Q1964&gt;J1964,"Over",IF(Q1964&lt;J1964,"Under","Push"))</f>
        <v>Under</v>
      </c>
    </row>
    <row r="1965" customFormat="false" ht="15" hidden="false" customHeight="false" outlineLevel="0" collapsed="false">
      <c r="A1965" s="1" t="s">
        <v>604</v>
      </c>
      <c r="B1965" s="1" t="n">
        <v>2017</v>
      </c>
      <c r="C1965" s="1" t="s">
        <v>191</v>
      </c>
      <c r="D1965" s="1" t="s">
        <v>67</v>
      </c>
      <c r="E1965" s="1" t="s">
        <v>115</v>
      </c>
      <c r="F1965" s="1" t="n">
        <v>9</v>
      </c>
      <c r="G1965" s="1" t="n">
        <v>12</v>
      </c>
      <c r="H1965" s="1" t="s">
        <v>116</v>
      </c>
      <c r="I1965" s="1" t="n">
        <v>-5.5</v>
      </c>
      <c r="J1965" s="1" t="n">
        <v>42.5</v>
      </c>
      <c r="K1965" s="1" t="s">
        <v>164</v>
      </c>
      <c r="L1965" s="1" t="b">
        <f aca="false">FALSE()</f>
        <v>0</v>
      </c>
      <c r="M1965" s="1" t="str">
        <f aca="false">VLOOKUP(D1965,'Team Reference'!$A:$B,2,FALSE())</f>
        <v>CLE</v>
      </c>
      <c r="N1965" s="1" t="str">
        <f aca="false">VLOOKUP(E1965,'Team Reference'!$A:$B,2,FALSE())</f>
        <v>TEN</v>
      </c>
      <c r="O1965" s="1" t="str">
        <f aca="false">IF(F1965&gt;G1965,M1965,IF(G1965&gt;F1965,N1965,"Tie"))</f>
        <v>TEN</v>
      </c>
      <c r="P1965" s="1" t="n">
        <f aca="false">F1965-G1965</f>
        <v>-3</v>
      </c>
      <c r="Q1965" s="1" t="n">
        <f aca="false">F1965+G1965</f>
        <v>21</v>
      </c>
      <c r="R1965" s="1" t="str">
        <f aca="false">IF(H1965=M1965,"Home",IF(H1965=N1965,"Away",IF(H1965="PICK","Pick","N/A")))</f>
        <v>Away</v>
      </c>
      <c r="S1965" s="1" t="n">
        <f aca="false">IF(R1965="Home",P1965,IF(R1965="Away",-P1965,""))</f>
        <v>3</v>
      </c>
      <c r="T1965" s="1" t="str">
        <f aca="false">IF(R1965="Pick","No Line",IF(S1965="","N/A",IF(S1965+I1965&gt;0,"Favorite Covered",IF(S1965+I1965&lt;0,"Underdog Covered","Push"))))</f>
        <v>Underdog Covered</v>
      </c>
      <c r="U1965" s="1" t="str">
        <f aca="false">IF(Q1965&gt;J1965,"Over",IF(Q1965&lt;J1965,"Under","Push"))</f>
        <v>Under</v>
      </c>
    </row>
    <row r="1966" customFormat="false" ht="15" hidden="false" customHeight="false" outlineLevel="0" collapsed="false">
      <c r="A1966" s="1" t="s">
        <v>604</v>
      </c>
      <c r="B1966" s="1" t="n">
        <v>2017</v>
      </c>
      <c r="C1966" s="1" t="s">
        <v>191</v>
      </c>
      <c r="D1966" s="1" t="s">
        <v>75</v>
      </c>
      <c r="E1966" s="1" t="s">
        <v>95</v>
      </c>
      <c r="F1966" s="1" t="n">
        <v>17</v>
      </c>
      <c r="G1966" s="1" t="n">
        <v>26</v>
      </c>
      <c r="H1966" s="1" t="s">
        <v>96</v>
      </c>
      <c r="I1966" s="1" t="n">
        <v>-3.5</v>
      </c>
      <c r="J1966" s="1" t="n">
        <v>46</v>
      </c>
      <c r="K1966" s="1" t="s">
        <v>168</v>
      </c>
      <c r="L1966" s="1" t="b">
        <f aca="false">FALSE()</f>
        <v>0</v>
      </c>
      <c r="M1966" s="1" t="str">
        <f aca="false">VLOOKUP(D1966,'Team Reference'!$A:$B,2,FALSE())</f>
        <v>GB</v>
      </c>
      <c r="N1966" s="1" t="str">
        <f aca="false">VLOOKUP(E1966,'Team Reference'!$A:$B,2,FALSE())</f>
        <v>NO</v>
      </c>
      <c r="O1966" s="1" t="str">
        <f aca="false">IF(F1966&gt;G1966,M1966,IF(G1966&gt;F1966,N1966,"Tie"))</f>
        <v>NO</v>
      </c>
      <c r="P1966" s="1" t="n">
        <f aca="false">F1966-G1966</f>
        <v>-9</v>
      </c>
      <c r="Q1966" s="1" t="n">
        <f aca="false">F1966+G1966</f>
        <v>43</v>
      </c>
      <c r="R1966" s="1" t="str">
        <f aca="false">IF(H1966=M1966,"Home",IF(H1966=N1966,"Away",IF(H1966="PICK","Pick","N/A")))</f>
        <v>Away</v>
      </c>
      <c r="S1966" s="1" t="n">
        <f aca="false">IF(R1966="Home",P1966,IF(R1966="Away",-P1966,""))</f>
        <v>9</v>
      </c>
      <c r="T1966" s="1" t="str">
        <f aca="false">IF(R1966="Pick","No Line",IF(S1966="","N/A",IF(S1966+I1966&gt;0,"Favorite Covered",IF(S1966+I1966&lt;0,"Underdog Covered","Push"))))</f>
        <v>Favorite Covered</v>
      </c>
      <c r="U1966" s="1" t="str">
        <f aca="false">IF(Q1966&gt;J1966,"Over",IF(Q1966&lt;J1966,"Under","Push"))</f>
        <v>Under</v>
      </c>
    </row>
    <row r="1967" customFormat="false" ht="15" hidden="false" customHeight="false" outlineLevel="0" collapsed="false">
      <c r="A1967" s="1" t="s">
        <v>604</v>
      </c>
      <c r="B1967" s="1" t="n">
        <v>2017</v>
      </c>
      <c r="C1967" s="1" t="s">
        <v>191</v>
      </c>
      <c r="D1967" s="1" t="s">
        <v>79</v>
      </c>
      <c r="E1967" s="1" t="s">
        <v>81</v>
      </c>
      <c r="F1967" s="1" t="n">
        <v>0</v>
      </c>
      <c r="G1967" s="1" t="n">
        <v>27</v>
      </c>
      <c r="H1967" s="1" t="s">
        <v>82</v>
      </c>
      <c r="I1967" s="1" t="n">
        <v>-3</v>
      </c>
      <c r="J1967" s="1" t="n">
        <v>41.5</v>
      </c>
      <c r="K1967" s="1" t="s">
        <v>169</v>
      </c>
      <c r="L1967" s="1" t="b">
        <f aca="false">FALSE()</f>
        <v>0</v>
      </c>
      <c r="M1967" s="1" t="str">
        <f aca="false">VLOOKUP(D1967,'Team Reference'!$A:$B,2,FALSE())</f>
        <v>IND</v>
      </c>
      <c r="N1967" s="1" t="str">
        <f aca="false">VLOOKUP(E1967,'Team Reference'!$A:$B,2,FALSE())</f>
        <v>JAX</v>
      </c>
      <c r="O1967" s="1" t="str">
        <f aca="false">IF(F1967&gt;G1967,M1967,IF(G1967&gt;F1967,N1967,"Tie"))</f>
        <v>JAX</v>
      </c>
      <c r="P1967" s="1" t="n">
        <f aca="false">F1967-G1967</f>
        <v>-27</v>
      </c>
      <c r="Q1967" s="1" t="n">
        <f aca="false">F1967+G1967</f>
        <v>27</v>
      </c>
      <c r="R1967" s="1" t="str">
        <f aca="false">IF(H1967=M1967,"Home",IF(H1967=N1967,"Away",IF(H1967="PICK","Pick","N/A")))</f>
        <v>Away</v>
      </c>
      <c r="S1967" s="1" t="n">
        <f aca="false">IF(R1967="Home",P1967,IF(R1967="Away",-P1967,""))</f>
        <v>27</v>
      </c>
      <c r="T1967" s="1" t="str">
        <f aca="false">IF(R1967="Pick","No Line",IF(S1967="","N/A",IF(S1967+I1967&gt;0,"Favorite Covered",IF(S1967+I1967&lt;0,"Underdog Covered","Push"))))</f>
        <v>Favorite Covered</v>
      </c>
      <c r="U1967" s="1" t="str">
        <f aca="false">IF(Q1967&gt;J1967,"Over",IF(Q1967&lt;J1967,"Under","Push"))</f>
        <v>Under</v>
      </c>
    </row>
    <row r="1968" customFormat="false" ht="15" hidden="false" customHeight="false" outlineLevel="0" collapsed="false">
      <c r="A1968" s="1" t="s">
        <v>604</v>
      </c>
      <c r="B1968" s="1" t="n">
        <v>2017</v>
      </c>
      <c r="C1968" s="1" t="s">
        <v>191</v>
      </c>
      <c r="D1968" s="1" t="s">
        <v>85</v>
      </c>
      <c r="E1968" s="1" t="s">
        <v>71</v>
      </c>
      <c r="F1968" s="1" t="n">
        <v>21</v>
      </c>
      <c r="G1968" s="1" t="n">
        <v>0</v>
      </c>
      <c r="H1968" s="1" t="s">
        <v>72</v>
      </c>
      <c r="I1968" s="1" t="n">
        <v>-1.5</v>
      </c>
      <c r="J1968" s="1" t="n">
        <v>41</v>
      </c>
      <c r="K1968" s="1" t="s">
        <v>588</v>
      </c>
      <c r="L1968" s="1" t="b">
        <f aca="false">FALSE()</f>
        <v>0</v>
      </c>
      <c r="M1968" s="1" t="str">
        <f aca="false">VLOOKUP(D1968,'Team Reference'!$A:$B,2,FALSE())</f>
        <v>LAC</v>
      </c>
      <c r="N1968" s="1" t="str">
        <f aca="false">VLOOKUP(E1968,'Team Reference'!$A:$B,2,FALSE())</f>
        <v>DEN</v>
      </c>
      <c r="O1968" s="1" t="str">
        <f aca="false">IF(F1968&gt;G1968,M1968,IF(G1968&gt;F1968,N1968,"Tie"))</f>
        <v>LAC</v>
      </c>
      <c r="P1968" s="1" t="n">
        <f aca="false">F1968-G1968</f>
        <v>21</v>
      </c>
      <c r="Q1968" s="1" t="n">
        <f aca="false">F1968+G1968</f>
        <v>21</v>
      </c>
      <c r="R1968" s="1" t="str">
        <f aca="false">IF(H1968=M1968,"Home",IF(H1968=N1968,"Away",IF(H1968="PICK","Pick","N/A")))</f>
        <v>Away</v>
      </c>
      <c r="S1968" s="1" t="n">
        <f aca="false">IF(R1968="Home",P1968,IF(R1968="Away",-P1968,""))</f>
        <v>-21</v>
      </c>
      <c r="T1968" s="1" t="str">
        <f aca="false">IF(R1968="Pick","No Line",IF(S1968="","N/A",IF(S1968+I1968&gt;0,"Favorite Covered",IF(S1968+I1968&lt;0,"Underdog Covered","Push"))))</f>
        <v>Underdog Covered</v>
      </c>
      <c r="U1968" s="1" t="str">
        <f aca="false">IF(Q1968&gt;J1968,"Over",IF(Q1968&lt;J1968,"Under","Push"))</f>
        <v>Under</v>
      </c>
    </row>
    <row r="1969" customFormat="false" ht="15" hidden="false" customHeight="false" outlineLevel="0" collapsed="false">
      <c r="A1969" s="1" t="s">
        <v>604</v>
      </c>
      <c r="B1969" s="1" t="n">
        <v>2017</v>
      </c>
      <c r="C1969" s="1" t="s">
        <v>191</v>
      </c>
      <c r="D1969" s="1" t="s">
        <v>87</v>
      </c>
      <c r="E1969" s="1" t="s">
        <v>53</v>
      </c>
      <c r="F1969" s="1" t="n">
        <v>33</v>
      </c>
      <c r="G1969" s="1" t="n">
        <v>0</v>
      </c>
      <c r="H1969" s="1" t="s">
        <v>88</v>
      </c>
      <c r="I1969" s="1" t="n">
        <v>-3</v>
      </c>
      <c r="J1969" s="1" t="n">
        <v>46</v>
      </c>
      <c r="K1969" s="1" t="s">
        <v>540</v>
      </c>
      <c r="L1969" s="1" t="b">
        <f aca="false">FALSE()</f>
        <v>0</v>
      </c>
      <c r="M1969" s="1" t="str">
        <f aca="false">VLOOKUP(D1969,'Team Reference'!$A:$B,2,FALSE())</f>
        <v>LAR</v>
      </c>
      <c r="N1969" s="1" t="str">
        <f aca="false">VLOOKUP(E1969,'Team Reference'!$A:$B,2,FALSE())</f>
        <v>ARI</v>
      </c>
      <c r="O1969" s="1" t="str">
        <f aca="false">IF(F1969&gt;G1969,M1969,IF(G1969&gt;F1969,N1969,"Tie"))</f>
        <v>LAR</v>
      </c>
      <c r="P1969" s="1" t="n">
        <f aca="false">F1969-G1969</f>
        <v>33</v>
      </c>
      <c r="Q1969" s="1" t="n">
        <f aca="false">F1969+G1969</f>
        <v>33</v>
      </c>
      <c r="R1969" s="1" t="str">
        <f aca="false">IF(H1969=M1969,"Home",IF(H1969=N1969,"Away",IF(H1969="PICK","Pick","N/A")))</f>
        <v>Home</v>
      </c>
      <c r="S1969" s="1" t="n">
        <f aca="false">IF(R1969="Home",P1969,IF(R1969="Away",-P1969,""))</f>
        <v>33</v>
      </c>
      <c r="T1969" s="1" t="str">
        <f aca="false">IF(R1969="Pick","No Line",IF(S1969="","N/A",IF(S1969+I1969&gt;0,"Favorite Covered",IF(S1969+I1969&lt;0,"Underdog Covered","Push"))))</f>
        <v>Favorite Covered</v>
      </c>
      <c r="U1969" s="1" t="str">
        <f aca="false">IF(Q1969&gt;J1969,"Over",IF(Q1969&lt;J1969,"Under","Push"))</f>
        <v>Under</v>
      </c>
    </row>
    <row r="1970" customFormat="false" ht="15" hidden="false" customHeight="false" outlineLevel="0" collapsed="false">
      <c r="A1970" s="1" t="s">
        <v>604</v>
      </c>
      <c r="B1970" s="1" t="n">
        <v>2017</v>
      </c>
      <c r="C1970" s="1" t="s">
        <v>191</v>
      </c>
      <c r="D1970" s="1" t="s">
        <v>89</v>
      </c>
      <c r="E1970" s="1" t="s">
        <v>99</v>
      </c>
      <c r="F1970" s="1" t="n">
        <v>31</v>
      </c>
      <c r="G1970" s="1" t="n">
        <v>28</v>
      </c>
      <c r="H1970" s="1" t="s">
        <v>90</v>
      </c>
      <c r="I1970" s="1" t="n">
        <v>-3</v>
      </c>
      <c r="J1970" s="1" t="n">
        <v>39.5</v>
      </c>
      <c r="K1970" s="1" t="s">
        <v>598</v>
      </c>
      <c r="L1970" s="1" t="b">
        <f aca="false">FALSE()</f>
        <v>0</v>
      </c>
      <c r="M1970" s="1" t="str">
        <f aca="false">VLOOKUP(D1970,'Team Reference'!$A:$B,2,FALSE())</f>
        <v>MIA</v>
      </c>
      <c r="N1970" s="1" t="str">
        <f aca="false">VLOOKUP(E1970,'Team Reference'!$A:$B,2,FALSE())</f>
        <v>NYJ</v>
      </c>
      <c r="O1970" s="1" t="str">
        <f aca="false">IF(F1970&gt;G1970,M1970,IF(G1970&gt;F1970,N1970,"Tie"))</f>
        <v>MIA</v>
      </c>
      <c r="P1970" s="1" t="n">
        <f aca="false">F1970-G1970</f>
        <v>3</v>
      </c>
      <c r="Q1970" s="1" t="n">
        <f aca="false">F1970+G1970</f>
        <v>59</v>
      </c>
      <c r="R1970" s="1" t="str">
        <f aca="false">IF(H1970=M1970,"Home",IF(H1970=N1970,"Away",IF(H1970="PICK","Pick","N/A")))</f>
        <v>Home</v>
      </c>
      <c r="S1970" s="1" t="n">
        <f aca="false">IF(R1970="Home",P1970,IF(R1970="Away",-P1970,""))</f>
        <v>3</v>
      </c>
      <c r="T1970" s="1" t="str">
        <f aca="false">IF(R1970="Pick","No Line",IF(S1970="","N/A",IF(S1970+I1970&gt;0,"Favorite Covered",IF(S1970+I1970&lt;0,"Underdog Covered","Push"))))</f>
        <v>Push</v>
      </c>
      <c r="U1970" s="1" t="str">
        <f aca="false">IF(Q1970&gt;J1970,"Over",IF(Q1970&lt;J1970,"Under","Push"))</f>
        <v>Over</v>
      </c>
    </row>
    <row r="1971" customFormat="false" ht="15" hidden="false" customHeight="false" outlineLevel="0" collapsed="false">
      <c r="A1971" s="1" t="s">
        <v>604</v>
      </c>
      <c r="B1971" s="1" t="n">
        <v>2017</v>
      </c>
      <c r="C1971" s="1" t="s">
        <v>191</v>
      </c>
      <c r="D1971" s="1" t="s">
        <v>91</v>
      </c>
      <c r="E1971" s="1" t="s">
        <v>57</v>
      </c>
      <c r="F1971" s="1" t="n">
        <v>24</v>
      </c>
      <c r="G1971" s="1" t="n">
        <v>16</v>
      </c>
      <c r="H1971" s="1" t="s">
        <v>92</v>
      </c>
      <c r="I1971" s="1" t="n">
        <v>-4</v>
      </c>
      <c r="J1971" s="1" t="n">
        <v>38</v>
      </c>
      <c r="K1971" s="1" t="s">
        <v>525</v>
      </c>
      <c r="L1971" s="1" t="b">
        <f aca="false">FALSE()</f>
        <v>0</v>
      </c>
      <c r="M1971" s="1" t="str">
        <f aca="false">VLOOKUP(D1971,'Team Reference'!$A:$B,2,FALSE())</f>
        <v>MIN</v>
      </c>
      <c r="N1971" s="1" t="str">
        <f aca="false">VLOOKUP(E1971,'Team Reference'!$A:$B,2,FALSE())</f>
        <v>BAL</v>
      </c>
      <c r="O1971" s="1" t="str">
        <f aca="false">IF(F1971&gt;G1971,M1971,IF(G1971&gt;F1971,N1971,"Tie"))</f>
        <v>MIN</v>
      </c>
      <c r="P1971" s="1" t="n">
        <f aca="false">F1971-G1971</f>
        <v>8</v>
      </c>
      <c r="Q1971" s="1" t="n">
        <f aca="false">F1971+G1971</f>
        <v>40</v>
      </c>
      <c r="R1971" s="1" t="str">
        <f aca="false">IF(H1971=M1971,"Home",IF(H1971=N1971,"Away",IF(H1971="PICK","Pick","N/A")))</f>
        <v>Home</v>
      </c>
      <c r="S1971" s="1" t="n">
        <f aca="false">IF(R1971="Home",P1971,IF(R1971="Away",-P1971,""))</f>
        <v>8</v>
      </c>
      <c r="T1971" s="1" t="str">
        <f aca="false">IF(R1971="Pick","No Line",IF(S1971="","N/A",IF(S1971+I1971&gt;0,"Favorite Covered",IF(S1971+I1971&lt;0,"Underdog Covered","Push"))))</f>
        <v>Favorite Covered</v>
      </c>
      <c r="U1971" s="1" t="str">
        <f aca="false">IF(Q1971&gt;J1971,"Over",IF(Q1971&lt;J1971,"Under","Push"))</f>
        <v>Over</v>
      </c>
    </row>
    <row r="1972" customFormat="false" ht="15" hidden="false" customHeight="false" outlineLevel="0" collapsed="false">
      <c r="A1972" s="1" t="s">
        <v>604</v>
      </c>
      <c r="B1972" s="1" t="n">
        <v>2017</v>
      </c>
      <c r="C1972" s="1" t="s">
        <v>191</v>
      </c>
      <c r="D1972" s="1" t="s">
        <v>93</v>
      </c>
      <c r="E1972" s="1" t="s">
        <v>55</v>
      </c>
      <c r="F1972" s="1" t="n">
        <v>23</v>
      </c>
      <c r="G1972" s="1" t="n">
        <v>7</v>
      </c>
      <c r="H1972" s="1" t="s">
        <v>94</v>
      </c>
      <c r="I1972" s="1" t="n">
        <v>-3</v>
      </c>
      <c r="J1972" s="1" t="n">
        <v>56.5</v>
      </c>
      <c r="K1972" s="1" t="s">
        <v>148</v>
      </c>
      <c r="L1972" s="1" t="b">
        <f aca="false">FALSE()</f>
        <v>0</v>
      </c>
      <c r="M1972" s="1" t="str">
        <f aca="false">VLOOKUP(D1972,'Team Reference'!$A:$B,2,FALSE())</f>
        <v>NE</v>
      </c>
      <c r="N1972" s="1" t="str">
        <f aca="false">VLOOKUP(E1972,'Team Reference'!$A:$B,2,FALSE())</f>
        <v>ATL</v>
      </c>
      <c r="O1972" s="1" t="str">
        <f aca="false">IF(F1972&gt;G1972,M1972,IF(G1972&gt;F1972,N1972,"Tie"))</f>
        <v>NE</v>
      </c>
      <c r="P1972" s="1" t="n">
        <f aca="false">F1972-G1972</f>
        <v>16</v>
      </c>
      <c r="Q1972" s="1" t="n">
        <f aca="false">F1972+G1972</f>
        <v>30</v>
      </c>
      <c r="R1972" s="1" t="str">
        <f aca="false">IF(H1972=M1972,"Home",IF(H1972=N1972,"Away",IF(H1972="PICK","Pick","N/A")))</f>
        <v>Home</v>
      </c>
      <c r="S1972" s="1" t="n">
        <f aca="false">IF(R1972="Home",P1972,IF(R1972="Away",-P1972,""))</f>
        <v>16</v>
      </c>
      <c r="T1972" s="1" t="str">
        <f aca="false">IF(R1972="Pick","No Line",IF(S1972="","N/A",IF(S1972+I1972&gt;0,"Favorite Covered",IF(S1972+I1972&lt;0,"Underdog Covered","Push"))))</f>
        <v>Favorite Covered</v>
      </c>
      <c r="U1972" s="1" t="str">
        <f aca="false">IF(Q1972&gt;J1972,"Over",IF(Q1972&lt;J1972,"Under","Push"))</f>
        <v>Under</v>
      </c>
    </row>
    <row r="1973" customFormat="false" ht="15" hidden="false" customHeight="false" outlineLevel="0" collapsed="false">
      <c r="A1973" s="1" t="s">
        <v>604</v>
      </c>
      <c r="B1973" s="1" t="n">
        <v>2017</v>
      </c>
      <c r="C1973" s="1" t="s">
        <v>191</v>
      </c>
      <c r="D1973" s="1" t="s">
        <v>97</v>
      </c>
      <c r="E1973" s="1" t="s">
        <v>110</v>
      </c>
      <c r="F1973" s="1" t="n">
        <v>7</v>
      </c>
      <c r="G1973" s="1" t="n">
        <v>24</v>
      </c>
      <c r="H1973" s="1" t="s">
        <v>111</v>
      </c>
      <c r="I1973" s="1" t="n">
        <v>-3.5</v>
      </c>
      <c r="J1973" s="1" t="n">
        <v>39</v>
      </c>
      <c r="K1973" s="1" t="s">
        <v>149</v>
      </c>
      <c r="L1973" s="1" t="b">
        <f aca="false">FALSE()</f>
        <v>0</v>
      </c>
      <c r="M1973" s="1" t="str">
        <f aca="false">VLOOKUP(D1973,'Team Reference'!$A:$B,2,FALSE())</f>
        <v>NYG</v>
      </c>
      <c r="N1973" s="1" t="str">
        <f aca="false">VLOOKUP(E1973,'Team Reference'!$A:$B,2,FALSE())</f>
        <v>SEA</v>
      </c>
      <c r="O1973" s="1" t="str">
        <f aca="false">IF(F1973&gt;G1973,M1973,IF(G1973&gt;F1973,N1973,"Tie"))</f>
        <v>SEA</v>
      </c>
      <c r="P1973" s="1" t="n">
        <f aca="false">F1973-G1973</f>
        <v>-17</v>
      </c>
      <c r="Q1973" s="1" t="n">
        <f aca="false">F1973+G1973</f>
        <v>31</v>
      </c>
      <c r="R1973" s="1" t="str">
        <f aca="false">IF(H1973=M1973,"Home",IF(H1973=N1973,"Away",IF(H1973="PICK","Pick","N/A")))</f>
        <v>Away</v>
      </c>
      <c r="S1973" s="1" t="n">
        <f aca="false">IF(R1973="Home",P1973,IF(R1973="Away",-P1973,""))</f>
        <v>17</v>
      </c>
      <c r="T1973" s="1" t="str">
        <f aca="false">IF(R1973="Pick","No Line",IF(S1973="","N/A",IF(S1973+I1973&gt;0,"Favorite Covered",IF(S1973+I1973&lt;0,"Underdog Covered","Push"))))</f>
        <v>Favorite Covered</v>
      </c>
      <c r="U1973" s="1" t="str">
        <f aca="false">IF(Q1973&gt;J1973,"Over",IF(Q1973&lt;J1973,"Under","Push"))</f>
        <v>Under</v>
      </c>
    </row>
    <row r="1974" customFormat="false" ht="15" hidden="false" customHeight="false" outlineLevel="0" collapsed="false">
      <c r="A1974" s="1" t="s">
        <v>604</v>
      </c>
      <c r="B1974" s="1" t="n">
        <v>2017</v>
      </c>
      <c r="C1974" s="1" t="s">
        <v>191</v>
      </c>
      <c r="D1974" s="1" t="s">
        <v>105</v>
      </c>
      <c r="E1974" s="1" t="s">
        <v>65</v>
      </c>
      <c r="F1974" s="1" t="n">
        <v>29</v>
      </c>
      <c r="G1974" s="1" t="n">
        <v>14</v>
      </c>
      <c r="H1974" s="1" t="s">
        <v>106</v>
      </c>
      <c r="I1974" s="1" t="n">
        <v>-4</v>
      </c>
      <c r="J1974" s="1" t="n">
        <v>40</v>
      </c>
      <c r="K1974" s="1" t="s">
        <v>151</v>
      </c>
      <c r="L1974" s="1" t="b">
        <f aca="false">FALSE()</f>
        <v>0</v>
      </c>
      <c r="M1974" s="1" t="str">
        <f aca="false">VLOOKUP(D1974,'Team Reference'!$A:$B,2,FALSE())</f>
        <v>PIT</v>
      </c>
      <c r="N1974" s="1" t="str">
        <f aca="false">VLOOKUP(E1974,'Team Reference'!$A:$B,2,FALSE())</f>
        <v>CIN</v>
      </c>
      <c r="O1974" s="1" t="str">
        <f aca="false">IF(F1974&gt;G1974,M1974,IF(G1974&gt;F1974,N1974,"Tie"))</f>
        <v>PIT</v>
      </c>
      <c r="P1974" s="1" t="n">
        <f aca="false">F1974-G1974</f>
        <v>15</v>
      </c>
      <c r="Q1974" s="1" t="n">
        <f aca="false">F1974+G1974</f>
        <v>43</v>
      </c>
      <c r="R1974" s="1" t="str">
        <f aca="false">IF(H1974=M1974,"Home",IF(H1974=N1974,"Away",IF(H1974="PICK","Pick","N/A")))</f>
        <v>Home</v>
      </c>
      <c r="S1974" s="1" t="n">
        <f aca="false">IF(R1974="Home",P1974,IF(R1974="Away",-P1974,""))</f>
        <v>15</v>
      </c>
      <c r="T1974" s="1" t="str">
        <f aca="false">IF(R1974="Pick","No Line",IF(S1974="","N/A",IF(S1974+I1974&gt;0,"Favorite Covered",IF(S1974+I1974&lt;0,"Underdog Covered","Push"))))</f>
        <v>Favorite Covered</v>
      </c>
      <c r="U1974" s="1" t="str">
        <f aca="false">IF(Q1974&gt;J1974,"Over",IF(Q1974&lt;J1974,"Under","Push"))</f>
        <v>Over</v>
      </c>
    </row>
    <row r="1975" customFormat="false" ht="15" hidden="false" customHeight="false" outlineLevel="0" collapsed="false">
      <c r="A1975" s="1" t="s">
        <v>604</v>
      </c>
      <c r="B1975" s="1" t="n">
        <v>2017</v>
      </c>
      <c r="C1975" s="1" t="s">
        <v>191</v>
      </c>
      <c r="D1975" s="1" t="s">
        <v>108</v>
      </c>
      <c r="E1975" s="1" t="s">
        <v>69</v>
      </c>
      <c r="F1975" s="1" t="n">
        <v>10</v>
      </c>
      <c r="G1975" s="1" t="n">
        <v>40</v>
      </c>
      <c r="H1975" s="1" t="s">
        <v>70</v>
      </c>
      <c r="I1975" s="1" t="n">
        <v>-6.5</v>
      </c>
      <c r="J1975" s="1" t="n">
        <v>48.5</v>
      </c>
      <c r="K1975" s="1" t="s">
        <v>408</v>
      </c>
      <c r="L1975" s="1" t="b">
        <f aca="false">FALSE()</f>
        <v>0</v>
      </c>
      <c r="M1975" s="1" t="str">
        <f aca="false">VLOOKUP(D1975,'Team Reference'!$A:$B,2,FALSE())</f>
        <v>SF</v>
      </c>
      <c r="N1975" s="1" t="str">
        <f aca="false">VLOOKUP(E1975,'Team Reference'!$A:$B,2,FALSE())</f>
        <v>DAL</v>
      </c>
      <c r="O1975" s="1" t="str">
        <f aca="false">IF(F1975&gt;G1975,M1975,IF(G1975&gt;F1975,N1975,"Tie"))</f>
        <v>DAL</v>
      </c>
      <c r="P1975" s="1" t="n">
        <f aca="false">F1975-G1975</f>
        <v>-30</v>
      </c>
      <c r="Q1975" s="1" t="n">
        <f aca="false">F1975+G1975</f>
        <v>50</v>
      </c>
      <c r="R1975" s="1" t="str">
        <f aca="false">IF(H1975=M1975,"Home",IF(H1975=N1975,"Away",IF(H1975="PICK","Pick","N/A")))</f>
        <v>Away</v>
      </c>
      <c r="S1975" s="1" t="n">
        <f aca="false">IF(R1975="Home",P1975,IF(R1975="Away",-P1975,""))</f>
        <v>30</v>
      </c>
      <c r="T1975" s="1" t="str">
        <f aca="false">IF(R1975="Pick","No Line",IF(S1975="","N/A",IF(S1975+I1975&gt;0,"Favorite Covered",IF(S1975+I1975&lt;0,"Underdog Covered","Push"))))</f>
        <v>Favorite Covered</v>
      </c>
      <c r="U1975" s="1" t="str">
        <f aca="false">IF(Q1975&gt;J1975,"Over",IF(Q1975&lt;J1975,"Under","Push"))</f>
        <v>Over</v>
      </c>
    </row>
    <row r="1976" customFormat="false" ht="15" hidden="false" customHeight="false" outlineLevel="0" collapsed="false">
      <c r="A1976" s="1" t="s">
        <v>605</v>
      </c>
      <c r="B1976" s="1" t="n">
        <v>2017</v>
      </c>
      <c r="C1976" s="1" t="s">
        <v>191</v>
      </c>
      <c r="D1976" s="1" t="s">
        <v>103</v>
      </c>
      <c r="E1976" s="1" t="s">
        <v>117</v>
      </c>
      <c r="F1976" s="1" t="n">
        <v>34</v>
      </c>
      <c r="G1976" s="1" t="n">
        <v>24</v>
      </c>
      <c r="H1976" s="1" t="s">
        <v>104</v>
      </c>
      <c r="I1976" s="1" t="n">
        <v>-4.5</v>
      </c>
      <c r="J1976" s="1" t="n">
        <v>49</v>
      </c>
      <c r="K1976" s="1" t="s">
        <v>150</v>
      </c>
      <c r="L1976" s="1" t="b">
        <f aca="false">FALSE()</f>
        <v>0</v>
      </c>
      <c r="M1976" s="1" t="str">
        <f aca="false">VLOOKUP(D1976,'Team Reference'!$A:$B,2,FALSE())</f>
        <v>PHI</v>
      </c>
      <c r="N1976" s="1" t="str">
        <f aca="false">VLOOKUP(E1976,'Team Reference'!$A:$B,2,FALSE())</f>
        <v>WAS</v>
      </c>
      <c r="O1976" s="1" t="str">
        <f aca="false">IF(F1976&gt;G1976,M1976,IF(G1976&gt;F1976,N1976,"Tie"))</f>
        <v>PHI</v>
      </c>
      <c r="P1976" s="1" t="n">
        <f aca="false">F1976-G1976</f>
        <v>10</v>
      </c>
      <c r="Q1976" s="1" t="n">
        <f aca="false">F1976+G1976</f>
        <v>58</v>
      </c>
      <c r="R1976" s="1" t="str">
        <f aca="false">IF(H1976=M1976,"Home",IF(H1976=N1976,"Away",IF(H1976="PICK","Pick","N/A")))</f>
        <v>Home</v>
      </c>
      <c r="S1976" s="1" t="n">
        <f aca="false">IF(R1976="Home",P1976,IF(R1976="Away",-P1976,""))</f>
        <v>10</v>
      </c>
      <c r="T1976" s="1" t="str">
        <f aca="false">IF(R1976="Pick","No Line",IF(S1976="","N/A",IF(S1976+I1976&gt;0,"Favorite Covered",IF(S1976+I1976&lt;0,"Underdog Covered","Push"))))</f>
        <v>Favorite Covered</v>
      </c>
      <c r="U1976" s="1" t="str">
        <f aca="false">IF(Q1976&gt;J1976,"Over",IF(Q1976&lt;J1976,"Under","Push"))</f>
        <v>Over</v>
      </c>
    </row>
    <row r="1977" customFormat="false" ht="15" hidden="false" customHeight="false" outlineLevel="0" collapsed="false">
      <c r="A1977" s="1" t="s">
        <v>606</v>
      </c>
      <c r="B1977" s="1" t="n">
        <v>2017</v>
      </c>
      <c r="C1977" s="1" t="s">
        <v>194</v>
      </c>
      <c r="D1977" s="1" t="s">
        <v>57</v>
      </c>
      <c r="E1977" s="1" t="s">
        <v>89</v>
      </c>
      <c r="F1977" s="1" t="n">
        <v>40</v>
      </c>
      <c r="G1977" s="1" t="n">
        <v>0</v>
      </c>
      <c r="H1977" s="1" t="s">
        <v>58</v>
      </c>
      <c r="I1977" s="1" t="n">
        <v>-3</v>
      </c>
      <c r="J1977" s="1" t="n">
        <v>37.5</v>
      </c>
      <c r="K1977" s="1" t="s">
        <v>178</v>
      </c>
      <c r="L1977" s="1" t="b">
        <f aca="false">FALSE()</f>
        <v>0</v>
      </c>
      <c r="M1977" s="1" t="str">
        <f aca="false">VLOOKUP(D1977,'Team Reference'!$A:$B,2,FALSE())</f>
        <v>BAL</v>
      </c>
      <c r="N1977" s="1" t="str">
        <f aca="false">VLOOKUP(E1977,'Team Reference'!$A:$B,2,FALSE())</f>
        <v>MIA</v>
      </c>
      <c r="O1977" s="1" t="str">
        <f aca="false">IF(F1977&gt;G1977,M1977,IF(G1977&gt;F1977,N1977,"Tie"))</f>
        <v>BAL</v>
      </c>
      <c r="P1977" s="1" t="n">
        <f aca="false">F1977-G1977</f>
        <v>40</v>
      </c>
      <c r="Q1977" s="1" t="n">
        <f aca="false">F1977+G1977</f>
        <v>40</v>
      </c>
      <c r="R1977" s="1" t="str">
        <f aca="false">IF(H1977=M1977,"Home",IF(H1977=N1977,"Away",IF(H1977="PICK","Pick","N/A")))</f>
        <v>Home</v>
      </c>
      <c r="S1977" s="1" t="n">
        <f aca="false">IF(R1977="Home",P1977,IF(R1977="Away",-P1977,""))</f>
        <v>40</v>
      </c>
      <c r="T1977" s="1" t="str">
        <f aca="false">IF(R1977="Pick","No Line",IF(S1977="","N/A",IF(S1977+I1977&gt;0,"Favorite Covered",IF(S1977+I1977&lt;0,"Underdog Covered","Push"))))</f>
        <v>Favorite Covered</v>
      </c>
      <c r="U1977" s="1" t="str">
        <f aca="false">IF(Q1977&gt;J1977,"Over",IF(Q1977&lt;J1977,"Under","Push"))</f>
        <v>Over</v>
      </c>
    </row>
    <row r="1978" customFormat="false" ht="15" hidden="false" customHeight="false" outlineLevel="0" collapsed="false">
      <c r="A1978" s="1" t="s">
        <v>607</v>
      </c>
      <c r="B1978" s="1" t="n">
        <v>2017</v>
      </c>
      <c r="C1978" s="1" t="s">
        <v>194</v>
      </c>
      <c r="D1978" s="1" t="s">
        <v>59</v>
      </c>
      <c r="E1978" s="1" t="s">
        <v>101</v>
      </c>
      <c r="F1978" s="1" t="n">
        <v>34</v>
      </c>
      <c r="G1978" s="1" t="n">
        <v>14</v>
      </c>
      <c r="H1978" s="1" t="s">
        <v>60</v>
      </c>
      <c r="I1978" s="1" t="n">
        <v>-2.5</v>
      </c>
      <c r="J1978" s="1" t="n">
        <v>45.5</v>
      </c>
      <c r="K1978" s="1" t="s">
        <v>522</v>
      </c>
      <c r="L1978" s="1" t="b">
        <f aca="false">FALSE()</f>
        <v>0</v>
      </c>
      <c r="M1978" s="1" t="str">
        <f aca="false">VLOOKUP(D1978,'Team Reference'!$A:$B,2,FALSE())</f>
        <v>BUF</v>
      </c>
      <c r="N1978" s="1" t="str">
        <f aca="false">VLOOKUP(E1978,'Team Reference'!$A:$B,2,FALSE())</f>
        <v>OAK</v>
      </c>
      <c r="O1978" s="1" t="str">
        <f aca="false">IF(F1978&gt;G1978,M1978,IF(G1978&gt;F1978,N1978,"Tie"))</f>
        <v>BUF</v>
      </c>
      <c r="P1978" s="1" t="n">
        <f aca="false">F1978-G1978</f>
        <v>20</v>
      </c>
      <c r="Q1978" s="1" t="n">
        <f aca="false">F1978+G1978</f>
        <v>48</v>
      </c>
      <c r="R1978" s="1" t="str">
        <f aca="false">IF(H1978=M1978,"Home",IF(H1978=N1978,"Away",IF(H1978="PICK","Pick","N/A")))</f>
        <v>Home</v>
      </c>
      <c r="S1978" s="1" t="n">
        <f aca="false">IF(R1978="Home",P1978,IF(R1978="Away",-P1978,""))</f>
        <v>20</v>
      </c>
      <c r="T1978" s="1" t="str">
        <f aca="false">IF(R1978="Pick","No Line",IF(S1978="","N/A",IF(S1978+I1978&gt;0,"Favorite Covered",IF(S1978+I1978&lt;0,"Underdog Covered","Push"))))</f>
        <v>Favorite Covered</v>
      </c>
      <c r="U1978" s="1" t="str">
        <f aca="false">IF(Q1978&gt;J1978,"Over",IF(Q1978&lt;J1978,"Under","Push"))</f>
        <v>Over</v>
      </c>
    </row>
    <row r="1979" customFormat="false" ht="15" hidden="false" customHeight="false" outlineLevel="0" collapsed="false">
      <c r="A1979" s="1" t="s">
        <v>607</v>
      </c>
      <c r="B1979" s="1" t="n">
        <v>2017</v>
      </c>
      <c r="C1979" s="1" t="s">
        <v>194</v>
      </c>
      <c r="D1979" s="1" t="s">
        <v>65</v>
      </c>
      <c r="E1979" s="1" t="s">
        <v>79</v>
      </c>
      <c r="F1979" s="1" t="n">
        <v>24</v>
      </c>
      <c r="G1979" s="1" t="n">
        <v>23</v>
      </c>
      <c r="H1979" s="1" t="s">
        <v>66</v>
      </c>
      <c r="I1979" s="1" t="n">
        <v>-11</v>
      </c>
      <c r="J1979" s="1" t="n">
        <v>41.5</v>
      </c>
      <c r="K1979" s="1" t="s">
        <v>163</v>
      </c>
      <c r="L1979" s="1" t="b">
        <f aca="false">FALSE()</f>
        <v>0</v>
      </c>
      <c r="M1979" s="1" t="str">
        <f aca="false">VLOOKUP(D1979,'Team Reference'!$A:$B,2,FALSE())</f>
        <v>CIN</v>
      </c>
      <c r="N1979" s="1" t="str">
        <f aca="false">VLOOKUP(E1979,'Team Reference'!$A:$B,2,FALSE())</f>
        <v>IND</v>
      </c>
      <c r="O1979" s="1" t="str">
        <f aca="false">IF(F1979&gt;G1979,M1979,IF(G1979&gt;F1979,N1979,"Tie"))</f>
        <v>CIN</v>
      </c>
      <c r="P1979" s="1" t="n">
        <f aca="false">F1979-G1979</f>
        <v>1</v>
      </c>
      <c r="Q1979" s="1" t="n">
        <f aca="false">F1979+G1979</f>
        <v>47</v>
      </c>
      <c r="R1979" s="1" t="str">
        <f aca="false">IF(H1979=M1979,"Home",IF(H1979=N1979,"Away",IF(H1979="PICK","Pick","N/A")))</f>
        <v>Home</v>
      </c>
      <c r="S1979" s="1" t="n">
        <f aca="false">IF(R1979="Home",P1979,IF(R1979="Away",-P1979,""))</f>
        <v>1</v>
      </c>
      <c r="T1979" s="1" t="str">
        <f aca="false">IF(R1979="Pick","No Line",IF(S1979="","N/A",IF(S1979+I1979&gt;0,"Favorite Covered",IF(S1979+I1979&lt;0,"Underdog Covered","Push"))))</f>
        <v>Underdog Covered</v>
      </c>
      <c r="U1979" s="1" t="str">
        <f aca="false">IF(Q1979&gt;J1979,"Over",IF(Q1979&lt;J1979,"Under","Push"))</f>
        <v>Over</v>
      </c>
    </row>
    <row r="1980" customFormat="false" ht="15" hidden="false" customHeight="false" outlineLevel="0" collapsed="false">
      <c r="A1980" s="1" t="s">
        <v>607</v>
      </c>
      <c r="B1980" s="1" t="n">
        <v>2017</v>
      </c>
      <c r="C1980" s="1" t="s">
        <v>194</v>
      </c>
      <c r="D1980" s="1" t="s">
        <v>67</v>
      </c>
      <c r="E1980" s="1" t="s">
        <v>91</v>
      </c>
      <c r="F1980" s="1" t="n">
        <v>16</v>
      </c>
      <c r="G1980" s="1" t="n">
        <v>33</v>
      </c>
      <c r="H1980" s="1" t="s">
        <v>92</v>
      </c>
      <c r="I1980" s="1" t="n">
        <v>-9.5</v>
      </c>
      <c r="J1980" s="1" t="n">
        <v>38</v>
      </c>
      <c r="K1980" s="1" t="s">
        <v>540</v>
      </c>
      <c r="L1980" s="1" t="b">
        <f aca="false">FALSE()</f>
        <v>0</v>
      </c>
      <c r="M1980" s="1" t="str">
        <f aca="false">VLOOKUP(D1980,'Team Reference'!$A:$B,2,FALSE())</f>
        <v>CLE</v>
      </c>
      <c r="N1980" s="1" t="str">
        <f aca="false">VLOOKUP(E1980,'Team Reference'!$A:$B,2,FALSE())</f>
        <v>MIN</v>
      </c>
      <c r="O1980" s="1" t="str">
        <f aca="false">IF(F1980&gt;G1980,M1980,IF(G1980&gt;F1980,N1980,"Tie"))</f>
        <v>MIN</v>
      </c>
      <c r="P1980" s="1" t="n">
        <f aca="false">F1980-G1980</f>
        <v>-17</v>
      </c>
      <c r="Q1980" s="1" t="n">
        <f aca="false">F1980+G1980</f>
        <v>49</v>
      </c>
      <c r="R1980" s="1" t="str">
        <f aca="false">IF(H1980=M1980,"Home",IF(H1980=N1980,"Away",IF(H1980="PICK","Pick","N/A")))</f>
        <v>Away</v>
      </c>
      <c r="S1980" s="1" t="n">
        <f aca="false">IF(R1980="Home",P1980,IF(R1980="Away",-P1980,""))</f>
        <v>17</v>
      </c>
      <c r="T1980" s="1" t="str">
        <f aca="false">IF(R1980="Pick","No Line",IF(S1980="","N/A",IF(S1980+I1980&gt;0,"Favorite Covered",IF(S1980+I1980&lt;0,"Underdog Covered","Push"))))</f>
        <v>Favorite Covered</v>
      </c>
      <c r="U1980" s="1" t="str">
        <f aca="false">IF(Q1980&gt;J1980,"Over",IF(Q1980&lt;J1980,"Under","Push"))</f>
        <v>Over</v>
      </c>
    </row>
    <row r="1981" customFormat="false" ht="15" hidden="false" customHeight="false" outlineLevel="0" collapsed="false">
      <c r="A1981" s="1" t="s">
        <v>607</v>
      </c>
      <c r="B1981" s="1" t="n">
        <v>2017</v>
      </c>
      <c r="C1981" s="1" t="s">
        <v>194</v>
      </c>
      <c r="D1981" s="1" t="s">
        <v>73</v>
      </c>
      <c r="E1981" s="1" t="s">
        <v>105</v>
      </c>
      <c r="F1981" s="1" t="n">
        <v>15</v>
      </c>
      <c r="G1981" s="1" t="n">
        <v>20</v>
      </c>
      <c r="H1981" s="1" t="s">
        <v>106</v>
      </c>
      <c r="I1981" s="1" t="n">
        <v>-3</v>
      </c>
      <c r="J1981" s="1" t="n">
        <v>45.5</v>
      </c>
      <c r="K1981" s="1" t="s">
        <v>167</v>
      </c>
      <c r="L1981" s="1" t="b">
        <f aca="false">FALSE()</f>
        <v>0</v>
      </c>
      <c r="M1981" s="1" t="str">
        <f aca="false">VLOOKUP(D1981,'Team Reference'!$A:$B,2,FALSE())</f>
        <v>DET</v>
      </c>
      <c r="N1981" s="1" t="str">
        <f aca="false">VLOOKUP(E1981,'Team Reference'!$A:$B,2,FALSE())</f>
        <v>PIT</v>
      </c>
      <c r="O1981" s="1" t="str">
        <f aca="false">IF(F1981&gt;G1981,M1981,IF(G1981&gt;F1981,N1981,"Tie"))</f>
        <v>PIT</v>
      </c>
      <c r="P1981" s="1" t="n">
        <f aca="false">F1981-G1981</f>
        <v>-5</v>
      </c>
      <c r="Q1981" s="1" t="n">
        <f aca="false">F1981+G1981</f>
        <v>35</v>
      </c>
      <c r="R1981" s="1" t="str">
        <f aca="false">IF(H1981=M1981,"Home",IF(H1981=N1981,"Away",IF(H1981="PICK","Pick","N/A")))</f>
        <v>Away</v>
      </c>
      <c r="S1981" s="1" t="n">
        <f aca="false">IF(R1981="Home",P1981,IF(R1981="Away",-P1981,""))</f>
        <v>5</v>
      </c>
      <c r="T1981" s="1" t="str">
        <f aca="false">IF(R1981="Pick","No Line",IF(S1981="","N/A",IF(S1981+I1981&gt;0,"Favorite Covered",IF(S1981+I1981&lt;0,"Underdog Covered","Push"))))</f>
        <v>Favorite Covered</v>
      </c>
      <c r="U1981" s="1" t="str">
        <f aca="false">IF(Q1981&gt;J1981,"Over",IF(Q1981&lt;J1981,"Under","Push"))</f>
        <v>Under</v>
      </c>
    </row>
    <row r="1982" customFormat="false" ht="15" hidden="false" customHeight="false" outlineLevel="0" collapsed="false">
      <c r="A1982" s="1" t="s">
        <v>607</v>
      </c>
      <c r="B1982" s="1" t="n">
        <v>2017</v>
      </c>
      <c r="C1982" s="1" t="s">
        <v>194</v>
      </c>
      <c r="D1982" s="1" t="s">
        <v>93</v>
      </c>
      <c r="E1982" s="1" t="s">
        <v>85</v>
      </c>
      <c r="F1982" s="1" t="n">
        <v>21</v>
      </c>
      <c r="G1982" s="1" t="n">
        <v>13</v>
      </c>
      <c r="H1982" s="1" t="s">
        <v>94</v>
      </c>
      <c r="I1982" s="1" t="n">
        <v>-7</v>
      </c>
      <c r="J1982" s="1" t="n">
        <v>48.5</v>
      </c>
      <c r="K1982" s="1" t="s">
        <v>148</v>
      </c>
      <c r="L1982" s="1" t="b">
        <f aca="false">FALSE()</f>
        <v>0</v>
      </c>
      <c r="M1982" s="1" t="str">
        <f aca="false">VLOOKUP(D1982,'Team Reference'!$A:$B,2,FALSE())</f>
        <v>NE</v>
      </c>
      <c r="N1982" s="1" t="str">
        <f aca="false">VLOOKUP(E1982,'Team Reference'!$A:$B,2,FALSE())</f>
        <v>LAC</v>
      </c>
      <c r="O1982" s="1" t="str">
        <f aca="false">IF(F1982&gt;G1982,M1982,IF(G1982&gt;F1982,N1982,"Tie"))</f>
        <v>NE</v>
      </c>
      <c r="P1982" s="1" t="n">
        <f aca="false">F1982-G1982</f>
        <v>8</v>
      </c>
      <c r="Q1982" s="1" t="n">
        <f aca="false">F1982+G1982</f>
        <v>34</v>
      </c>
      <c r="R1982" s="1" t="str">
        <f aca="false">IF(H1982=M1982,"Home",IF(H1982=N1982,"Away",IF(H1982="PICK","Pick","N/A")))</f>
        <v>Home</v>
      </c>
      <c r="S1982" s="1" t="n">
        <f aca="false">IF(R1982="Home",P1982,IF(R1982="Away",-P1982,""))</f>
        <v>8</v>
      </c>
      <c r="T1982" s="1" t="str">
        <f aca="false">IF(R1982="Pick","No Line",IF(S1982="","N/A",IF(S1982+I1982&gt;0,"Favorite Covered",IF(S1982+I1982&lt;0,"Underdog Covered","Push"))))</f>
        <v>Favorite Covered</v>
      </c>
      <c r="U1982" s="1" t="str">
        <f aca="false">IF(Q1982&gt;J1982,"Over",IF(Q1982&lt;J1982,"Under","Push"))</f>
        <v>Under</v>
      </c>
    </row>
    <row r="1983" customFormat="false" ht="15" hidden="false" customHeight="false" outlineLevel="0" collapsed="false">
      <c r="A1983" s="1" t="s">
        <v>607</v>
      </c>
      <c r="B1983" s="1" t="n">
        <v>2017</v>
      </c>
      <c r="C1983" s="1" t="s">
        <v>194</v>
      </c>
      <c r="D1983" s="1" t="s">
        <v>95</v>
      </c>
      <c r="E1983" s="1" t="s">
        <v>63</v>
      </c>
      <c r="F1983" s="1" t="n">
        <v>20</v>
      </c>
      <c r="G1983" s="1" t="n">
        <v>12</v>
      </c>
      <c r="H1983" s="1" t="s">
        <v>96</v>
      </c>
      <c r="I1983" s="1" t="n">
        <v>-9</v>
      </c>
      <c r="J1983" s="1" t="n">
        <v>47.5</v>
      </c>
      <c r="K1983" s="1" t="s">
        <v>347</v>
      </c>
      <c r="L1983" s="1" t="b">
        <f aca="false">FALSE()</f>
        <v>0</v>
      </c>
      <c r="M1983" s="1" t="str">
        <f aca="false">VLOOKUP(D1983,'Team Reference'!$A:$B,2,FALSE())</f>
        <v>NO</v>
      </c>
      <c r="N1983" s="1" t="str">
        <f aca="false">VLOOKUP(E1983,'Team Reference'!$A:$B,2,FALSE())</f>
        <v>CHI</v>
      </c>
      <c r="O1983" s="1" t="str">
        <f aca="false">IF(F1983&gt;G1983,M1983,IF(G1983&gt;F1983,N1983,"Tie"))</f>
        <v>NO</v>
      </c>
      <c r="P1983" s="1" t="n">
        <f aca="false">F1983-G1983</f>
        <v>8</v>
      </c>
      <c r="Q1983" s="1" t="n">
        <f aca="false">F1983+G1983</f>
        <v>32</v>
      </c>
      <c r="R1983" s="1" t="str">
        <f aca="false">IF(H1983=M1983,"Home",IF(H1983=N1983,"Away",IF(H1983="PICK","Pick","N/A")))</f>
        <v>Home</v>
      </c>
      <c r="S1983" s="1" t="n">
        <f aca="false">IF(R1983="Home",P1983,IF(R1983="Away",-P1983,""))</f>
        <v>8</v>
      </c>
      <c r="T1983" s="1" t="str">
        <f aca="false">IF(R1983="Pick","No Line",IF(S1983="","N/A",IF(S1983+I1983&gt;0,"Favorite Covered",IF(S1983+I1983&lt;0,"Underdog Covered","Push"))))</f>
        <v>Underdog Covered</v>
      </c>
      <c r="U1983" s="1" t="str">
        <f aca="false">IF(Q1983&gt;J1983,"Over",IF(Q1983&lt;J1983,"Under","Push"))</f>
        <v>Under</v>
      </c>
    </row>
    <row r="1984" customFormat="false" ht="15" hidden="false" customHeight="false" outlineLevel="0" collapsed="false">
      <c r="A1984" s="1" t="s">
        <v>607</v>
      </c>
      <c r="B1984" s="1" t="n">
        <v>2017</v>
      </c>
      <c r="C1984" s="1" t="s">
        <v>194</v>
      </c>
      <c r="D1984" s="1" t="s">
        <v>99</v>
      </c>
      <c r="E1984" s="1" t="s">
        <v>55</v>
      </c>
      <c r="F1984" s="1" t="n">
        <v>20</v>
      </c>
      <c r="G1984" s="1" t="n">
        <v>25</v>
      </c>
      <c r="H1984" s="1" t="s">
        <v>56</v>
      </c>
      <c r="I1984" s="1" t="n">
        <v>-4.5</v>
      </c>
      <c r="J1984" s="1" t="n">
        <v>46</v>
      </c>
      <c r="K1984" s="1" t="s">
        <v>149</v>
      </c>
      <c r="L1984" s="1" t="b">
        <f aca="false">FALSE()</f>
        <v>0</v>
      </c>
      <c r="M1984" s="1" t="str">
        <f aca="false">VLOOKUP(D1984,'Team Reference'!$A:$B,2,FALSE())</f>
        <v>NYJ</v>
      </c>
      <c r="N1984" s="1" t="str">
        <f aca="false">VLOOKUP(E1984,'Team Reference'!$A:$B,2,FALSE())</f>
        <v>ATL</v>
      </c>
      <c r="O1984" s="1" t="str">
        <f aca="false">IF(F1984&gt;G1984,M1984,IF(G1984&gt;F1984,N1984,"Tie"))</f>
        <v>ATL</v>
      </c>
      <c r="P1984" s="1" t="n">
        <f aca="false">F1984-G1984</f>
        <v>-5</v>
      </c>
      <c r="Q1984" s="1" t="n">
        <f aca="false">F1984+G1984</f>
        <v>45</v>
      </c>
      <c r="R1984" s="1" t="str">
        <f aca="false">IF(H1984=M1984,"Home",IF(H1984=N1984,"Away",IF(H1984="PICK","Pick","N/A")))</f>
        <v>Away</v>
      </c>
      <c r="S1984" s="1" t="n">
        <f aca="false">IF(R1984="Home",P1984,IF(R1984="Away",-P1984,""))</f>
        <v>5</v>
      </c>
      <c r="T1984" s="1" t="str">
        <f aca="false">IF(R1984="Pick","No Line",IF(S1984="","N/A",IF(S1984+I1984&gt;0,"Favorite Covered",IF(S1984+I1984&lt;0,"Underdog Covered","Push"))))</f>
        <v>Favorite Covered</v>
      </c>
      <c r="U1984" s="1" t="str">
        <f aca="false">IF(Q1984&gt;J1984,"Over",IF(Q1984&lt;J1984,"Under","Push"))</f>
        <v>Under</v>
      </c>
    </row>
    <row r="1985" customFormat="false" ht="15" hidden="false" customHeight="false" outlineLevel="0" collapsed="false">
      <c r="A1985" s="1" t="s">
        <v>607</v>
      </c>
      <c r="B1985" s="1" t="n">
        <v>2017</v>
      </c>
      <c r="C1985" s="1" t="s">
        <v>194</v>
      </c>
      <c r="D1985" s="1" t="s">
        <v>103</v>
      </c>
      <c r="E1985" s="1" t="s">
        <v>108</v>
      </c>
      <c r="F1985" s="1" t="n">
        <v>33</v>
      </c>
      <c r="G1985" s="1" t="n">
        <v>10</v>
      </c>
      <c r="H1985" s="1" t="s">
        <v>104</v>
      </c>
      <c r="I1985" s="1" t="n">
        <v>-13</v>
      </c>
      <c r="J1985" s="1" t="n">
        <v>46</v>
      </c>
      <c r="K1985" s="1" t="s">
        <v>150</v>
      </c>
      <c r="L1985" s="1" t="b">
        <f aca="false">FALSE()</f>
        <v>0</v>
      </c>
      <c r="M1985" s="1" t="str">
        <f aca="false">VLOOKUP(D1985,'Team Reference'!$A:$B,2,FALSE())</f>
        <v>PHI</v>
      </c>
      <c r="N1985" s="1" t="str">
        <f aca="false">VLOOKUP(E1985,'Team Reference'!$A:$B,2,FALSE())</f>
        <v>SF</v>
      </c>
      <c r="O1985" s="1" t="str">
        <f aca="false">IF(F1985&gt;G1985,M1985,IF(G1985&gt;F1985,N1985,"Tie"))</f>
        <v>PHI</v>
      </c>
      <c r="P1985" s="1" t="n">
        <f aca="false">F1985-G1985</f>
        <v>23</v>
      </c>
      <c r="Q1985" s="1" t="n">
        <f aca="false">F1985+G1985</f>
        <v>43</v>
      </c>
      <c r="R1985" s="1" t="str">
        <f aca="false">IF(H1985=M1985,"Home",IF(H1985=N1985,"Away",IF(H1985="PICK","Pick","N/A")))</f>
        <v>Home</v>
      </c>
      <c r="S1985" s="1" t="n">
        <f aca="false">IF(R1985="Home",P1985,IF(R1985="Away",-P1985,""))</f>
        <v>23</v>
      </c>
      <c r="T1985" s="1" t="str">
        <f aca="false">IF(R1985="Pick","No Line",IF(S1985="","N/A",IF(S1985+I1985&gt;0,"Favorite Covered",IF(S1985+I1985&lt;0,"Underdog Covered","Push"))))</f>
        <v>Favorite Covered</v>
      </c>
      <c r="U1985" s="1" t="str">
        <f aca="false">IF(Q1985&gt;J1985,"Over",IF(Q1985&lt;J1985,"Under","Push"))</f>
        <v>Under</v>
      </c>
    </row>
    <row r="1986" customFormat="false" ht="15" hidden="false" customHeight="false" outlineLevel="0" collapsed="false">
      <c r="A1986" s="1" t="s">
        <v>607</v>
      </c>
      <c r="B1986" s="1" t="n">
        <v>2017</v>
      </c>
      <c r="C1986" s="1" t="s">
        <v>194</v>
      </c>
      <c r="D1986" s="1" t="s">
        <v>110</v>
      </c>
      <c r="E1986" s="1" t="s">
        <v>77</v>
      </c>
      <c r="F1986" s="1" t="n">
        <v>41</v>
      </c>
      <c r="G1986" s="1" t="n">
        <v>38</v>
      </c>
      <c r="H1986" s="1" t="s">
        <v>111</v>
      </c>
      <c r="I1986" s="1" t="n">
        <v>-5.5</v>
      </c>
      <c r="J1986" s="1" t="n">
        <v>46</v>
      </c>
      <c r="K1986" s="1" t="s">
        <v>152</v>
      </c>
      <c r="L1986" s="1" t="b">
        <f aca="false">FALSE()</f>
        <v>0</v>
      </c>
      <c r="M1986" s="1" t="str">
        <f aca="false">VLOOKUP(D1986,'Team Reference'!$A:$B,2,FALSE())</f>
        <v>SEA</v>
      </c>
      <c r="N1986" s="1" t="str">
        <f aca="false">VLOOKUP(E1986,'Team Reference'!$A:$B,2,FALSE())</f>
        <v>HOU</v>
      </c>
      <c r="O1986" s="1" t="str">
        <f aca="false">IF(F1986&gt;G1986,M1986,IF(G1986&gt;F1986,N1986,"Tie"))</f>
        <v>SEA</v>
      </c>
      <c r="P1986" s="1" t="n">
        <f aca="false">F1986-G1986</f>
        <v>3</v>
      </c>
      <c r="Q1986" s="1" t="n">
        <f aca="false">F1986+G1986</f>
        <v>79</v>
      </c>
      <c r="R1986" s="1" t="str">
        <f aca="false">IF(H1986=M1986,"Home",IF(H1986=N1986,"Away",IF(H1986="PICK","Pick","N/A")))</f>
        <v>Home</v>
      </c>
      <c r="S1986" s="1" t="n">
        <f aca="false">IF(R1986="Home",P1986,IF(R1986="Away",-P1986,""))</f>
        <v>3</v>
      </c>
      <c r="T1986" s="1" t="str">
        <f aca="false">IF(R1986="Pick","No Line",IF(S1986="","N/A",IF(S1986+I1986&gt;0,"Favorite Covered",IF(S1986+I1986&lt;0,"Underdog Covered","Push"))))</f>
        <v>Underdog Covered</v>
      </c>
      <c r="U1986" s="1" t="str">
        <f aca="false">IF(Q1986&gt;J1986,"Over",IF(Q1986&lt;J1986,"Under","Push"))</f>
        <v>Over</v>
      </c>
    </row>
    <row r="1987" customFormat="false" ht="15" hidden="false" customHeight="false" outlineLevel="0" collapsed="false">
      <c r="A1987" s="1" t="s">
        <v>607</v>
      </c>
      <c r="B1987" s="1" t="n">
        <v>2017</v>
      </c>
      <c r="C1987" s="1" t="s">
        <v>194</v>
      </c>
      <c r="D1987" s="1" t="s">
        <v>113</v>
      </c>
      <c r="E1987" s="1" t="s">
        <v>61</v>
      </c>
      <c r="F1987" s="1" t="n">
        <v>3</v>
      </c>
      <c r="G1987" s="1" t="n">
        <v>17</v>
      </c>
      <c r="H1987" s="1" t="s">
        <v>114</v>
      </c>
      <c r="I1987" s="1" t="n">
        <v>-2</v>
      </c>
      <c r="J1987" s="1" t="n">
        <v>46</v>
      </c>
      <c r="K1987" s="1" t="s">
        <v>154</v>
      </c>
      <c r="L1987" s="1" t="b">
        <f aca="false">FALSE()</f>
        <v>0</v>
      </c>
      <c r="M1987" s="1" t="str">
        <f aca="false">VLOOKUP(D1987,'Team Reference'!$A:$B,2,FALSE())</f>
        <v>TB</v>
      </c>
      <c r="N1987" s="1" t="str">
        <f aca="false">VLOOKUP(E1987,'Team Reference'!$A:$B,2,FALSE())</f>
        <v>CAR</v>
      </c>
      <c r="O1987" s="1" t="str">
        <f aca="false">IF(F1987&gt;G1987,M1987,IF(G1987&gt;F1987,N1987,"Tie"))</f>
        <v>CAR</v>
      </c>
      <c r="P1987" s="1" t="n">
        <f aca="false">F1987-G1987</f>
        <v>-14</v>
      </c>
      <c r="Q1987" s="1" t="n">
        <f aca="false">F1987+G1987</f>
        <v>20</v>
      </c>
      <c r="R1987" s="1" t="str">
        <f aca="false">IF(H1987=M1987,"Home",IF(H1987=N1987,"Away",IF(H1987="PICK","Pick","N/A")))</f>
        <v>Home</v>
      </c>
      <c r="S1987" s="1" t="n">
        <f aca="false">IF(R1987="Home",P1987,IF(R1987="Away",-P1987,""))</f>
        <v>-14</v>
      </c>
      <c r="T1987" s="1" t="str">
        <f aca="false">IF(R1987="Pick","No Line",IF(S1987="","N/A",IF(S1987+I1987&gt;0,"Favorite Covered",IF(S1987+I1987&lt;0,"Underdog Covered","Push"))))</f>
        <v>Underdog Covered</v>
      </c>
      <c r="U1987" s="1" t="str">
        <f aca="false">IF(Q1987&gt;J1987,"Over",IF(Q1987&lt;J1987,"Under","Push"))</f>
        <v>Under</v>
      </c>
    </row>
    <row r="1988" customFormat="false" ht="15" hidden="false" customHeight="false" outlineLevel="0" collapsed="false">
      <c r="A1988" s="1" t="s">
        <v>607</v>
      </c>
      <c r="B1988" s="1" t="n">
        <v>2017</v>
      </c>
      <c r="C1988" s="1" t="s">
        <v>194</v>
      </c>
      <c r="D1988" s="1" t="s">
        <v>117</v>
      </c>
      <c r="E1988" s="1" t="s">
        <v>69</v>
      </c>
      <c r="F1988" s="1" t="n">
        <v>19</v>
      </c>
      <c r="G1988" s="1" t="n">
        <v>33</v>
      </c>
      <c r="H1988" s="1" t="s">
        <v>70</v>
      </c>
      <c r="I1988" s="1" t="n">
        <v>-2</v>
      </c>
      <c r="J1988" s="1" t="n">
        <v>50</v>
      </c>
      <c r="K1988" s="1" t="s">
        <v>156</v>
      </c>
      <c r="L1988" s="1" t="b">
        <f aca="false">FALSE()</f>
        <v>0</v>
      </c>
      <c r="M1988" s="1" t="str">
        <f aca="false">VLOOKUP(D1988,'Team Reference'!$A:$B,2,FALSE())</f>
        <v>WAS</v>
      </c>
      <c r="N1988" s="1" t="str">
        <f aca="false">VLOOKUP(E1988,'Team Reference'!$A:$B,2,FALSE())</f>
        <v>DAL</v>
      </c>
      <c r="O1988" s="1" t="str">
        <f aca="false">IF(F1988&gt;G1988,M1988,IF(G1988&gt;F1988,N1988,"Tie"))</f>
        <v>DAL</v>
      </c>
      <c r="P1988" s="1" t="n">
        <f aca="false">F1988-G1988</f>
        <v>-14</v>
      </c>
      <c r="Q1988" s="1" t="n">
        <f aca="false">F1988+G1988</f>
        <v>52</v>
      </c>
      <c r="R1988" s="1" t="str">
        <f aca="false">IF(H1988=M1988,"Home",IF(H1988=N1988,"Away",IF(H1988="PICK","Pick","N/A")))</f>
        <v>Away</v>
      </c>
      <c r="S1988" s="1" t="n">
        <f aca="false">IF(R1988="Home",P1988,IF(R1988="Away",-P1988,""))</f>
        <v>14</v>
      </c>
      <c r="T1988" s="1" t="str">
        <f aca="false">IF(R1988="Pick","No Line",IF(S1988="","N/A",IF(S1988+I1988&gt;0,"Favorite Covered",IF(S1988+I1988&lt;0,"Underdog Covered","Push"))))</f>
        <v>Favorite Covered</v>
      </c>
      <c r="U1988" s="1" t="str">
        <f aca="false">IF(Q1988&gt;J1988,"Over",IF(Q1988&lt;J1988,"Under","Push"))</f>
        <v>Over</v>
      </c>
    </row>
    <row r="1989" customFormat="false" ht="15" hidden="false" customHeight="false" outlineLevel="0" collapsed="false">
      <c r="A1989" s="1" t="s">
        <v>608</v>
      </c>
      <c r="B1989" s="1" t="n">
        <v>2017</v>
      </c>
      <c r="C1989" s="1" t="s">
        <v>194</v>
      </c>
      <c r="D1989" s="1" t="s">
        <v>83</v>
      </c>
      <c r="E1989" s="1" t="s">
        <v>71</v>
      </c>
      <c r="F1989" s="1" t="n">
        <v>29</v>
      </c>
      <c r="G1989" s="1" t="n">
        <v>19</v>
      </c>
      <c r="H1989" s="1" t="s">
        <v>84</v>
      </c>
      <c r="I1989" s="1" t="n">
        <v>-7</v>
      </c>
      <c r="J1989" s="1" t="n">
        <v>43</v>
      </c>
      <c r="K1989" s="1" t="s">
        <v>158</v>
      </c>
      <c r="L1989" s="1" t="b">
        <f aca="false">FALSE()</f>
        <v>0</v>
      </c>
      <c r="M1989" s="1" t="str">
        <f aca="false">VLOOKUP(D1989,'Team Reference'!$A:$B,2,FALSE())</f>
        <v>KC</v>
      </c>
      <c r="N1989" s="1" t="str">
        <f aca="false">VLOOKUP(E1989,'Team Reference'!$A:$B,2,FALSE())</f>
        <v>DEN</v>
      </c>
      <c r="O1989" s="1" t="str">
        <f aca="false">IF(F1989&gt;G1989,M1989,IF(G1989&gt;F1989,N1989,"Tie"))</f>
        <v>KC</v>
      </c>
      <c r="P1989" s="1" t="n">
        <f aca="false">F1989-G1989</f>
        <v>10</v>
      </c>
      <c r="Q1989" s="1" t="n">
        <f aca="false">F1989+G1989</f>
        <v>48</v>
      </c>
      <c r="R1989" s="1" t="str">
        <f aca="false">IF(H1989=M1989,"Home",IF(H1989=N1989,"Away",IF(H1989="PICK","Pick","N/A")))</f>
        <v>Home</v>
      </c>
      <c r="S1989" s="1" t="n">
        <f aca="false">IF(R1989="Home",P1989,IF(R1989="Away",-P1989,""))</f>
        <v>10</v>
      </c>
      <c r="T1989" s="1" t="str">
        <f aca="false">IF(R1989="Pick","No Line",IF(S1989="","N/A",IF(S1989+I1989&gt;0,"Favorite Covered",IF(S1989+I1989&lt;0,"Underdog Covered","Push"))))</f>
        <v>Favorite Covered</v>
      </c>
      <c r="U1989" s="1" t="str">
        <f aca="false">IF(Q1989&gt;J1989,"Over",IF(Q1989&lt;J1989,"Under","Push"))</f>
        <v>Over</v>
      </c>
    </row>
    <row r="1990" customFormat="false" ht="15" hidden="false" customHeight="false" outlineLevel="0" collapsed="false">
      <c r="A1990" s="1" t="s">
        <v>609</v>
      </c>
      <c r="B1990" s="1" t="n">
        <v>2017</v>
      </c>
      <c r="C1990" s="1" t="s">
        <v>198</v>
      </c>
      <c r="D1990" s="1" t="s">
        <v>99</v>
      </c>
      <c r="E1990" s="1" t="s">
        <v>59</v>
      </c>
      <c r="F1990" s="1" t="n">
        <v>34</v>
      </c>
      <c r="G1990" s="1" t="n">
        <v>21</v>
      </c>
      <c r="H1990" s="1" t="s">
        <v>60</v>
      </c>
      <c r="I1990" s="1" t="n">
        <v>-3</v>
      </c>
      <c r="J1990" s="1" t="n">
        <v>43</v>
      </c>
      <c r="K1990" s="1" t="s">
        <v>149</v>
      </c>
      <c r="L1990" s="1" t="b">
        <f aca="false">FALSE()</f>
        <v>0</v>
      </c>
      <c r="M1990" s="1" t="str">
        <f aca="false">VLOOKUP(D1990,'Team Reference'!$A:$B,2,FALSE())</f>
        <v>NYJ</v>
      </c>
      <c r="N1990" s="1" t="str">
        <f aca="false">VLOOKUP(E1990,'Team Reference'!$A:$B,2,FALSE())</f>
        <v>BUF</v>
      </c>
      <c r="O1990" s="1" t="str">
        <f aca="false">IF(F1990&gt;G1990,M1990,IF(G1990&gt;F1990,N1990,"Tie"))</f>
        <v>NYJ</v>
      </c>
      <c r="P1990" s="1" t="n">
        <f aca="false">F1990-G1990</f>
        <v>13</v>
      </c>
      <c r="Q1990" s="1" t="n">
        <f aca="false">F1990+G1990</f>
        <v>55</v>
      </c>
      <c r="R1990" s="1" t="str">
        <f aca="false">IF(H1990=M1990,"Home",IF(H1990=N1990,"Away",IF(H1990="PICK","Pick","N/A")))</f>
        <v>Away</v>
      </c>
      <c r="S1990" s="1" t="n">
        <f aca="false">IF(R1990="Home",P1990,IF(R1990="Away",-P1990,""))</f>
        <v>-13</v>
      </c>
      <c r="T1990" s="1" t="str">
        <f aca="false">IF(R1990="Pick","No Line",IF(S1990="","N/A",IF(S1990+I1990&gt;0,"Favorite Covered",IF(S1990+I1990&lt;0,"Underdog Covered","Push"))))</f>
        <v>Underdog Covered</v>
      </c>
      <c r="U1990" s="1" t="str">
        <f aca="false">IF(Q1990&gt;J1990,"Over",IF(Q1990&lt;J1990,"Under","Push"))</f>
        <v>Over</v>
      </c>
    </row>
    <row r="1991" customFormat="false" ht="15" hidden="false" customHeight="false" outlineLevel="0" collapsed="false">
      <c r="A1991" s="1" t="s">
        <v>610</v>
      </c>
      <c r="B1991" s="1" t="n">
        <v>2017</v>
      </c>
      <c r="C1991" s="1" t="s">
        <v>198</v>
      </c>
      <c r="D1991" s="1" t="s">
        <v>61</v>
      </c>
      <c r="E1991" s="1" t="s">
        <v>55</v>
      </c>
      <c r="F1991" s="1" t="n">
        <v>20</v>
      </c>
      <c r="G1991" s="1" t="n">
        <v>17</v>
      </c>
      <c r="H1991" s="1" t="s">
        <v>56</v>
      </c>
      <c r="I1991" s="1" t="n">
        <v>-3</v>
      </c>
      <c r="J1991" s="1" t="n">
        <v>42</v>
      </c>
      <c r="K1991" s="1" t="s">
        <v>162</v>
      </c>
      <c r="L1991" s="1" t="b">
        <f aca="false">FALSE()</f>
        <v>0</v>
      </c>
      <c r="M1991" s="1" t="str">
        <f aca="false">VLOOKUP(D1991,'Team Reference'!$A:$B,2,FALSE())</f>
        <v>CAR</v>
      </c>
      <c r="N1991" s="1" t="str">
        <f aca="false">VLOOKUP(E1991,'Team Reference'!$A:$B,2,FALSE())</f>
        <v>ATL</v>
      </c>
      <c r="O1991" s="1" t="str">
        <f aca="false">IF(F1991&gt;G1991,M1991,IF(G1991&gt;F1991,N1991,"Tie"))</f>
        <v>CAR</v>
      </c>
      <c r="P1991" s="1" t="n">
        <f aca="false">F1991-G1991</f>
        <v>3</v>
      </c>
      <c r="Q1991" s="1" t="n">
        <f aca="false">F1991+G1991</f>
        <v>37</v>
      </c>
      <c r="R1991" s="1" t="str">
        <f aca="false">IF(H1991=M1991,"Home",IF(H1991=N1991,"Away",IF(H1991="PICK","Pick","N/A")))</f>
        <v>Away</v>
      </c>
      <c r="S1991" s="1" t="n">
        <f aca="false">IF(R1991="Home",P1991,IF(R1991="Away",-P1991,""))</f>
        <v>-3</v>
      </c>
      <c r="T1991" s="1" t="str">
        <f aca="false">IF(R1991="Pick","No Line",IF(S1991="","N/A",IF(S1991+I1991&gt;0,"Favorite Covered",IF(S1991+I1991&lt;0,"Underdog Covered","Push"))))</f>
        <v>Underdog Covered</v>
      </c>
      <c r="U1991" s="1" t="str">
        <f aca="false">IF(Q1991&gt;J1991,"Over",IF(Q1991&lt;J1991,"Under","Push"))</f>
        <v>Under</v>
      </c>
    </row>
    <row r="1992" customFormat="false" ht="15" hidden="false" customHeight="false" outlineLevel="0" collapsed="false">
      <c r="A1992" s="1" t="s">
        <v>610</v>
      </c>
      <c r="B1992" s="1" t="n">
        <v>2017</v>
      </c>
      <c r="C1992" s="1" t="s">
        <v>198</v>
      </c>
      <c r="D1992" s="1" t="s">
        <v>69</v>
      </c>
      <c r="E1992" s="1" t="s">
        <v>83</v>
      </c>
      <c r="F1992" s="1" t="n">
        <v>28</v>
      </c>
      <c r="G1992" s="1" t="n">
        <v>17</v>
      </c>
      <c r="H1992" s="1" t="s">
        <v>70</v>
      </c>
      <c r="I1992" s="1" t="n">
        <v>-2.5</v>
      </c>
      <c r="J1992" s="1" t="n">
        <v>53</v>
      </c>
      <c r="K1992" s="1" t="s">
        <v>583</v>
      </c>
      <c r="L1992" s="1" t="b">
        <f aca="false">FALSE()</f>
        <v>0</v>
      </c>
      <c r="M1992" s="1" t="str">
        <f aca="false">VLOOKUP(D1992,'Team Reference'!$A:$B,2,FALSE())</f>
        <v>DAL</v>
      </c>
      <c r="N1992" s="1" t="str">
        <f aca="false">VLOOKUP(E1992,'Team Reference'!$A:$B,2,FALSE())</f>
        <v>KC</v>
      </c>
      <c r="O1992" s="1" t="str">
        <f aca="false">IF(F1992&gt;G1992,M1992,IF(G1992&gt;F1992,N1992,"Tie"))</f>
        <v>DAL</v>
      </c>
      <c r="P1992" s="1" t="n">
        <f aca="false">F1992-G1992</f>
        <v>11</v>
      </c>
      <c r="Q1992" s="1" t="n">
        <f aca="false">F1992+G1992</f>
        <v>45</v>
      </c>
      <c r="R1992" s="1" t="str">
        <f aca="false">IF(H1992=M1992,"Home",IF(H1992=N1992,"Away",IF(H1992="PICK","Pick","N/A")))</f>
        <v>Home</v>
      </c>
      <c r="S1992" s="1" t="n">
        <f aca="false">IF(R1992="Home",P1992,IF(R1992="Away",-P1992,""))</f>
        <v>11</v>
      </c>
      <c r="T1992" s="1" t="str">
        <f aca="false">IF(R1992="Pick","No Line",IF(S1992="","N/A",IF(S1992+I1992&gt;0,"Favorite Covered",IF(S1992+I1992&lt;0,"Underdog Covered","Push"))))</f>
        <v>Favorite Covered</v>
      </c>
      <c r="U1992" s="1" t="str">
        <f aca="false">IF(Q1992&gt;J1992,"Over",IF(Q1992&lt;J1992,"Under","Push"))</f>
        <v>Under</v>
      </c>
    </row>
    <row r="1993" customFormat="false" ht="15" hidden="false" customHeight="false" outlineLevel="0" collapsed="false">
      <c r="A1993" s="1" t="s">
        <v>610</v>
      </c>
      <c r="B1993" s="1" t="n">
        <v>2017</v>
      </c>
      <c r="C1993" s="1" t="s">
        <v>198</v>
      </c>
      <c r="D1993" s="1" t="s">
        <v>77</v>
      </c>
      <c r="E1993" s="1" t="s">
        <v>79</v>
      </c>
      <c r="F1993" s="1" t="n">
        <v>14</v>
      </c>
      <c r="G1993" s="1" t="n">
        <v>20</v>
      </c>
      <c r="H1993" s="1" t="s">
        <v>78</v>
      </c>
      <c r="I1993" s="1" t="n">
        <v>-6</v>
      </c>
      <c r="J1993" s="1" t="n">
        <v>45</v>
      </c>
      <c r="K1993" s="1" t="s">
        <v>580</v>
      </c>
      <c r="L1993" s="1" t="b">
        <f aca="false">FALSE()</f>
        <v>0</v>
      </c>
      <c r="M1993" s="1" t="str">
        <f aca="false">VLOOKUP(D1993,'Team Reference'!$A:$B,2,FALSE())</f>
        <v>HOU</v>
      </c>
      <c r="N1993" s="1" t="str">
        <f aca="false">VLOOKUP(E1993,'Team Reference'!$A:$B,2,FALSE())</f>
        <v>IND</v>
      </c>
      <c r="O1993" s="1" t="str">
        <f aca="false">IF(F1993&gt;G1993,M1993,IF(G1993&gt;F1993,N1993,"Tie"))</f>
        <v>IND</v>
      </c>
      <c r="P1993" s="1" t="n">
        <f aca="false">F1993-G1993</f>
        <v>-6</v>
      </c>
      <c r="Q1993" s="1" t="n">
        <f aca="false">F1993+G1993</f>
        <v>34</v>
      </c>
      <c r="R1993" s="1" t="str">
        <f aca="false">IF(H1993=M1993,"Home",IF(H1993=N1993,"Away",IF(H1993="PICK","Pick","N/A")))</f>
        <v>Home</v>
      </c>
      <c r="S1993" s="1" t="n">
        <f aca="false">IF(R1993="Home",P1993,IF(R1993="Away",-P1993,""))</f>
        <v>-6</v>
      </c>
      <c r="T1993" s="1" t="str">
        <f aca="false">IF(R1993="Pick","No Line",IF(S1993="","N/A",IF(S1993+I1993&gt;0,"Favorite Covered",IF(S1993+I1993&lt;0,"Underdog Covered","Push"))))</f>
        <v>Underdog Covered</v>
      </c>
      <c r="U1993" s="1" t="str">
        <f aca="false">IF(Q1993&gt;J1993,"Over",IF(Q1993&lt;J1993,"Under","Push"))</f>
        <v>Under</v>
      </c>
    </row>
    <row r="1994" customFormat="false" ht="15" hidden="false" customHeight="false" outlineLevel="0" collapsed="false">
      <c r="A1994" s="1" t="s">
        <v>610</v>
      </c>
      <c r="B1994" s="1" t="n">
        <v>2017</v>
      </c>
      <c r="C1994" s="1" t="s">
        <v>198</v>
      </c>
      <c r="D1994" s="1" t="s">
        <v>81</v>
      </c>
      <c r="E1994" s="1" t="s">
        <v>65</v>
      </c>
      <c r="F1994" s="1" t="n">
        <v>23</v>
      </c>
      <c r="G1994" s="1" t="n">
        <v>7</v>
      </c>
      <c r="H1994" s="1" t="s">
        <v>82</v>
      </c>
      <c r="I1994" s="1" t="n">
        <v>-6</v>
      </c>
      <c r="J1994" s="1" t="n">
        <v>38</v>
      </c>
      <c r="K1994" s="1" t="s">
        <v>147</v>
      </c>
      <c r="L1994" s="1" t="b">
        <f aca="false">FALSE()</f>
        <v>0</v>
      </c>
      <c r="M1994" s="1" t="str">
        <f aca="false">VLOOKUP(D1994,'Team Reference'!$A:$B,2,FALSE())</f>
        <v>JAX</v>
      </c>
      <c r="N1994" s="1" t="str">
        <f aca="false">VLOOKUP(E1994,'Team Reference'!$A:$B,2,FALSE())</f>
        <v>CIN</v>
      </c>
      <c r="O1994" s="1" t="str">
        <f aca="false">IF(F1994&gt;G1994,M1994,IF(G1994&gt;F1994,N1994,"Tie"))</f>
        <v>JAX</v>
      </c>
      <c r="P1994" s="1" t="n">
        <f aca="false">F1994-G1994</f>
        <v>16</v>
      </c>
      <c r="Q1994" s="1" t="n">
        <f aca="false">F1994+G1994</f>
        <v>30</v>
      </c>
      <c r="R1994" s="1" t="str">
        <f aca="false">IF(H1994=M1994,"Home",IF(H1994=N1994,"Away",IF(H1994="PICK","Pick","N/A")))</f>
        <v>Home</v>
      </c>
      <c r="S1994" s="1" t="n">
        <f aca="false">IF(R1994="Home",P1994,IF(R1994="Away",-P1994,""))</f>
        <v>16</v>
      </c>
      <c r="T1994" s="1" t="str">
        <f aca="false">IF(R1994="Pick","No Line",IF(S1994="","N/A",IF(S1994+I1994&gt;0,"Favorite Covered",IF(S1994+I1994&lt;0,"Underdog Covered","Push"))))</f>
        <v>Favorite Covered</v>
      </c>
      <c r="U1994" s="1" t="str">
        <f aca="false">IF(Q1994&gt;J1994,"Over",IF(Q1994&lt;J1994,"Under","Push"))</f>
        <v>Under</v>
      </c>
    </row>
    <row r="1995" customFormat="false" ht="15" hidden="false" customHeight="false" outlineLevel="0" collapsed="false">
      <c r="A1995" s="1" t="s">
        <v>610</v>
      </c>
      <c r="B1995" s="1" t="n">
        <v>2017</v>
      </c>
      <c r="C1995" s="1" t="s">
        <v>198</v>
      </c>
      <c r="D1995" s="1" t="s">
        <v>89</v>
      </c>
      <c r="E1995" s="1" t="s">
        <v>101</v>
      </c>
      <c r="F1995" s="1" t="n">
        <v>24</v>
      </c>
      <c r="G1995" s="1" t="n">
        <v>27</v>
      </c>
      <c r="H1995" s="1" t="s">
        <v>102</v>
      </c>
      <c r="I1995" s="1" t="n">
        <v>-3</v>
      </c>
      <c r="J1995" s="1" t="n">
        <v>44.5</v>
      </c>
      <c r="K1995" s="1" t="s">
        <v>598</v>
      </c>
      <c r="L1995" s="1" t="b">
        <f aca="false">FALSE()</f>
        <v>0</v>
      </c>
      <c r="M1995" s="1" t="str">
        <f aca="false">VLOOKUP(D1995,'Team Reference'!$A:$B,2,FALSE())</f>
        <v>MIA</v>
      </c>
      <c r="N1995" s="1" t="str">
        <f aca="false">VLOOKUP(E1995,'Team Reference'!$A:$B,2,FALSE())</f>
        <v>OAK</v>
      </c>
      <c r="O1995" s="1" t="str">
        <f aca="false">IF(F1995&gt;G1995,M1995,IF(G1995&gt;F1995,N1995,"Tie"))</f>
        <v>OAK</v>
      </c>
      <c r="P1995" s="1" t="n">
        <f aca="false">F1995-G1995</f>
        <v>-3</v>
      </c>
      <c r="Q1995" s="1" t="n">
        <f aca="false">F1995+G1995</f>
        <v>51</v>
      </c>
      <c r="R1995" s="1" t="str">
        <f aca="false">IF(H1995=M1995,"Home",IF(H1995=N1995,"Away",IF(H1995="PICK","Pick","N/A")))</f>
        <v>Away</v>
      </c>
      <c r="S1995" s="1" t="n">
        <f aca="false">IF(R1995="Home",P1995,IF(R1995="Away",-P1995,""))</f>
        <v>3</v>
      </c>
      <c r="T1995" s="1" t="str">
        <f aca="false">IF(R1995="Pick","No Line",IF(S1995="","N/A",IF(S1995+I1995&gt;0,"Favorite Covered",IF(S1995+I1995&lt;0,"Underdog Covered","Push"))))</f>
        <v>Push</v>
      </c>
      <c r="U1995" s="1" t="str">
        <f aca="false">IF(Q1995&gt;J1995,"Over",IF(Q1995&lt;J1995,"Under","Push"))</f>
        <v>Over</v>
      </c>
    </row>
    <row r="1996" customFormat="false" ht="15" hidden="false" customHeight="false" outlineLevel="0" collapsed="false">
      <c r="A1996" s="1" t="s">
        <v>610</v>
      </c>
      <c r="B1996" s="1" t="n">
        <v>2017</v>
      </c>
      <c r="C1996" s="1" t="s">
        <v>198</v>
      </c>
      <c r="D1996" s="1" t="s">
        <v>95</v>
      </c>
      <c r="E1996" s="1" t="s">
        <v>113</v>
      </c>
      <c r="F1996" s="1" t="n">
        <v>30</v>
      </c>
      <c r="G1996" s="1" t="n">
        <v>10</v>
      </c>
      <c r="H1996" s="1" t="s">
        <v>96</v>
      </c>
      <c r="I1996" s="1" t="n">
        <v>-7</v>
      </c>
      <c r="J1996" s="1" t="n">
        <v>54</v>
      </c>
      <c r="K1996" s="1" t="s">
        <v>347</v>
      </c>
      <c r="L1996" s="1" t="b">
        <f aca="false">FALSE()</f>
        <v>0</v>
      </c>
      <c r="M1996" s="1" t="str">
        <f aca="false">VLOOKUP(D1996,'Team Reference'!$A:$B,2,FALSE())</f>
        <v>NO</v>
      </c>
      <c r="N1996" s="1" t="str">
        <f aca="false">VLOOKUP(E1996,'Team Reference'!$A:$B,2,FALSE())</f>
        <v>TB</v>
      </c>
      <c r="O1996" s="1" t="str">
        <f aca="false">IF(F1996&gt;G1996,M1996,IF(G1996&gt;F1996,N1996,"Tie"))</f>
        <v>NO</v>
      </c>
      <c r="P1996" s="1" t="n">
        <f aca="false">F1996-G1996</f>
        <v>20</v>
      </c>
      <c r="Q1996" s="1" t="n">
        <f aca="false">F1996+G1996</f>
        <v>40</v>
      </c>
      <c r="R1996" s="1" t="str">
        <f aca="false">IF(H1996=M1996,"Home",IF(H1996=N1996,"Away",IF(H1996="PICK","Pick","N/A")))</f>
        <v>Home</v>
      </c>
      <c r="S1996" s="1" t="n">
        <f aca="false">IF(R1996="Home",P1996,IF(R1996="Away",-P1996,""))</f>
        <v>20</v>
      </c>
      <c r="T1996" s="1" t="str">
        <f aca="false">IF(R1996="Pick","No Line",IF(S1996="","N/A",IF(S1996+I1996&gt;0,"Favorite Covered",IF(S1996+I1996&lt;0,"Underdog Covered","Push"))))</f>
        <v>Favorite Covered</v>
      </c>
      <c r="U1996" s="1" t="str">
        <f aca="false">IF(Q1996&gt;J1996,"Over",IF(Q1996&lt;J1996,"Under","Push"))</f>
        <v>Under</v>
      </c>
    </row>
    <row r="1997" customFormat="false" ht="15" hidden="false" customHeight="false" outlineLevel="0" collapsed="false">
      <c r="A1997" s="1" t="s">
        <v>610</v>
      </c>
      <c r="B1997" s="1" t="n">
        <v>2017</v>
      </c>
      <c r="C1997" s="1" t="s">
        <v>198</v>
      </c>
      <c r="D1997" s="1" t="s">
        <v>97</v>
      </c>
      <c r="E1997" s="1" t="s">
        <v>87</v>
      </c>
      <c r="F1997" s="1" t="n">
        <v>17</v>
      </c>
      <c r="G1997" s="1" t="n">
        <v>51</v>
      </c>
      <c r="H1997" s="1" t="s">
        <v>88</v>
      </c>
      <c r="I1997" s="1" t="n">
        <v>-5.5</v>
      </c>
      <c r="J1997" s="1" t="n">
        <v>42.5</v>
      </c>
      <c r="K1997" s="1" t="s">
        <v>149</v>
      </c>
      <c r="L1997" s="1" t="b">
        <f aca="false">FALSE()</f>
        <v>0</v>
      </c>
      <c r="M1997" s="1" t="str">
        <f aca="false">VLOOKUP(D1997,'Team Reference'!$A:$B,2,FALSE())</f>
        <v>NYG</v>
      </c>
      <c r="N1997" s="1" t="str">
        <f aca="false">VLOOKUP(E1997,'Team Reference'!$A:$B,2,FALSE())</f>
        <v>LAR</v>
      </c>
      <c r="O1997" s="1" t="str">
        <f aca="false">IF(F1997&gt;G1997,M1997,IF(G1997&gt;F1997,N1997,"Tie"))</f>
        <v>LAR</v>
      </c>
      <c r="P1997" s="1" t="n">
        <f aca="false">F1997-G1997</f>
        <v>-34</v>
      </c>
      <c r="Q1997" s="1" t="n">
        <f aca="false">F1997+G1997</f>
        <v>68</v>
      </c>
      <c r="R1997" s="1" t="str">
        <f aca="false">IF(H1997=M1997,"Home",IF(H1997=N1997,"Away",IF(H1997="PICK","Pick","N/A")))</f>
        <v>Away</v>
      </c>
      <c r="S1997" s="1" t="n">
        <f aca="false">IF(R1997="Home",P1997,IF(R1997="Away",-P1997,""))</f>
        <v>34</v>
      </c>
      <c r="T1997" s="1" t="str">
        <f aca="false">IF(R1997="Pick","No Line",IF(S1997="","N/A",IF(S1997+I1997&gt;0,"Favorite Covered",IF(S1997+I1997&lt;0,"Underdog Covered","Push"))))</f>
        <v>Favorite Covered</v>
      </c>
      <c r="U1997" s="1" t="str">
        <f aca="false">IF(Q1997&gt;J1997,"Over",IF(Q1997&lt;J1997,"Under","Push"))</f>
        <v>Over</v>
      </c>
    </row>
    <row r="1998" customFormat="false" ht="15" hidden="false" customHeight="false" outlineLevel="0" collapsed="false">
      <c r="A1998" s="1" t="s">
        <v>610</v>
      </c>
      <c r="B1998" s="1" t="n">
        <v>2017</v>
      </c>
      <c r="C1998" s="1" t="s">
        <v>198</v>
      </c>
      <c r="D1998" s="1" t="s">
        <v>103</v>
      </c>
      <c r="E1998" s="1" t="s">
        <v>71</v>
      </c>
      <c r="F1998" s="1" t="n">
        <v>51</v>
      </c>
      <c r="G1998" s="1" t="n">
        <v>23</v>
      </c>
      <c r="H1998" s="1" t="s">
        <v>104</v>
      </c>
      <c r="I1998" s="1" t="n">
        <v>-7</v>
      </c>
      <c r="J1998" s="1" t="n">
        <v>41</v>
      </c>
      <c r="K1998" s="1" t="s">
        <v>150</v>
      </c>
      <c r="L1998" s="1" t="b">
        <f aca="false">FALSE()</f>
        <v>0</v>
      </c>
      <c r="M1998" s="1" t="str">
        <f aca="false">VLOOKUP(D1998,'Team Reference'!$A:$B,2,FALSE())</f>
        <v>PHI</v>
      </c>
      <c r="N1998" s="1" t="str">
        <f aca="false">VLOOKUP(E1998,'Team Reference'!$A:$B,2,FALSE())</f>
        <v>DEN</v>
      </c>
      <c r="O1998" s="1" t="str">
        <f aca="false">IF(F1998&gt;G1998,M1998,IF(G1998&gt;F1998,N1998,"Tie"))</f>
        <v>PHI</v>
      </c>
      <c r="P1998" s="1" t="n">
        <f aca="false">F1998-G1998</f>
        <v>28</v>
      </c>
      <c r="Q1998" s="1" t="n">
        <f aca="false">F1998+G1998</f>
        <v>74</v>
      </c>
      <c r="R1998" s="1" t="str">
        <f aca="false">IF(H1998=M1998,"Home",IF(H1998=N1998,"Away",IF(H1998="PICK","Pick","N/A")))</f>
        <v>Home</v>
      </c>
      <c r="S1998" s="1" t="n">
        <f aca="false">IF(R1998="Home",P1998,IF(R1998="Away",-P1998,""))</f>
        <v>28</v>
      </c>
      <c r="T1998" s="1" t="str">
        <f aca="false">IF(R1998="Pick","No Line",IF(S1998="","N/A",IF(S1998+I1998&gt;0,"Favorite Covered",IF(S1998+I1998&lt;0,"Underdog Covered","Push"))))</f>
        <v>Favorite Covered</v>
      </c>
      <c r="U1998" s="1" t="str">
        <f aca="false">IF(Q1998&gt;J1998,"Over",IF(Q1998&lt;J1998,"Under","Push"))</f>
        <v>Over</v>
      </c>
    </row>
    <row r="1999" customFormat="false" ht="15" hidden="false" customHeight="false" outlineLevel="0" collapsed="false">
      <c r="A1999" s="1" t="s">
        <v>610</v>
      </c>
      <c r="B1999" s="1" t="n">
        <v>2017</v>
      </c>
      <c r="C1999" s="1" t="s">
        <v>198</v>
      </c>
      <c r="D1999" s="1" t="s">
        <v>108</v>
      </c>
      <c r="E1999" s="1" t="s">
        <v>53</v>
      </c>
      <c r="F1999" s="1" t="n">
        <v>10</v>
      </c>
      <c r="G1999" s="1" t="n">
        <v>20</v>
      </c>
      <c r="H1999" s="1" t="s">
        <v>54</v>
      </c>
      <c r="I1999" s="1" t="n">
        <v>-2</v>
      </c>
      <c r="J1999" s="1" t="n">
        <v>39</v>
      </c>
      <c r="K1999" s="1" t="s">
        <v>408</v>
      </c>
      <c r="L1999" s="1" t="b">
        <f aca="false">FALSE()</f>
        <v>0</v>
      </c>
      <c r="M1999" s="1" t="str">
        <f aca="false">VLOOKUP(D1999,'Team Reference'!$A:$B,2,FALSE())</f>
        <v>SF</v>
      </c>
      <c r="N1999" s="1" t="str">
        <f aca="false">VLOOKUP(E1999,'Team Reference'!$A:$B,2,FALSE())</f>
        <v>ARI</v>
      </c>
      <c r="O1999" s="1" t="str">
        <f aca="false">IF(F1999&gt;G1999,M1999,IF(G1999&gt;F1999,N1999,"Tie"))</f>
        <v>ARI</v>
      </c>
      <c r="P1999" s="1" t="n">
        <f aca="false">F1999-G1999</f>
        <v>-10</v>
      </c>
      <c r="Q1999" s="1" t="n">
        <f aca="false">F1999+G1999</f>
        <v>30</v>
      </c>
      <c r="R1999" s="1" t="str">
        <f aca="false">IF(H1999=M1999,"Home",IF(H1999=N1999,"Away",IF(H1999="PICK","Pick","N/A")))</f>
        <v>Away</v>
      </c>
      <c r="S1999" s="1" t="n">
        <f aca="false">IF(R1999="Home",P1999,IF(R1999="Away",-P1999,""))</f>
        <v>10</v>
      </c>
      <c r="T1999" s="1" t="str">
        <f aca="false">IF(R1999="Pick","No Line",IF(S1999="","N/A",IF(S1999+I1999&gt;0,"Favorite Covered",IF(S1999+I1999&lt;0,"Underdog Covered","Push"))))</f>
        <v>Favorite Covered</v>
      </c>
      <c r="U1999" s="1" t="str">
        <f aca="false">IF(Q1999&gt;J1999,"Over",IF(Q1999&lt;J1999,"Under","Push"))</f>
        <v>Under</v>
      </c>
    </row>
    <row r="2000" customFormat="false" ht="15" hidden="false" customHeight="false" outlineLevel="0" collapsed="false">
      <c r="A2000" s="1" t="s">
        <v>610</v>
      </c>
      <c r="B2000" s="1" t="n">
        <v>2017</v>
      </c>
      <c r="C2000" s="1" t="s">
        <v>198</v>
      </c>
      <c r="D2000" s="1" t="s">
        <v>110</v>
      </c>
      <c r="E2000" s="1" t="s">
        <v>117</v>
      </c>
      <c r="F2000" s="1" t="n">
        <v>14</v>
      </c>
      <c r="G2000" s="1" t="n">
        <v>17</v>
      </c>
      <c r="H2000" s="1" t="s">
        <v>111</v>
      </c>
      <c r="I2000" s="1" t="n">
        <v>-8</v>
      </c>
      <c r="J2000" s="1" t="n">
        <v>44.5</v>
      </c>
      <c r="K2000" s="1" t="s">
        <v>152</v>
      </c>
      <c r="L2000" s="1" t="b">
        <f aca="false">FALSE()</f>
        <v>0</v>
      </c>
      <c r="M2000" s="1" t="str">
        <f aca="false">VLOOKUP(D2000,'Team Reference'!$A:$B,2,FALSE())</f>
        <v>SEA</v>
      </c>
      <c r="N2000" s="1" t="str">
        <f aca="false">VLOOKUP(E2000,'Team Reference'!$A:$B,2,FALSE())</f>
        <v>WAS</v>
      </c>
      <c r="O2000" s="1" t="str">
        <f aca="false">IF(F2000&gt;G2000,M2000,IF(G2000&gt;F2000,N2000,"Tie"))</f>
        <v>WAS</v>
      </c>
      <c r="P2000" s="1" t="n">
        <f aca="false">F2000-G2000</f>
        <v>-3</v>
      </c>
      <c r="Q2000" s="1" t="n">
        <f aca="false">F2000+G2000</f>
        <v>31</v>
      </c>
      <c r="R2000" s="1" t="str">
        <f aca="false">IF(H2000=M2000,"Home",IF(H2000=N2000,"Away",IF(H2000="PICK","Pick","N/A")))</f>
        <v>Home</v>
      </c>
      <c r="S2000" s="1" t="n">
        <f aca="false">IF(R2000="Home",P2000,IF(R2000="Away",-P2000,""))</f>
        <v>-3</v>
      </c>
      <c r="T2000" s="1" t="str">
        <f aca="false">IF(R2000="Pick","No Line",IF(S2000="","N/A",IF(S2000+I2000&gt;0,"Favorite Covered",IF(S2000+I2000&lt;0,"Underdog Covered","Push"))))</f>
        <v>Underdog Covered</v>
      </c>
      <c r="U2000" s="1" t="str">
        <f aca="false">IF(Q2000&gt;J2000,"Over",IF(Q2000&lt;J2000,"Under","Push"))</f>
        <v>Under</v>
      </c>
    </row>
    <row r="2001" customFormat="false" ht="15" hidden="false" customHeight="false" outlineLevel="0" collapsed="false">
      <c r="A2001" s="1" t="s">
        <v>610</v>
      </c>
      <c r="B2001" s="1" t="n">
        <v>2017</v>
      </c>
      <c r="C2001" s="1" t="s">
        <v>198</v>
      </c>
      <c r="D2001" s="1" t="s">
        <v>115</v>
      </c>
      <c r="E2001" s="1" t="s">
        <v>57</v>
      </c>
      <c r="F2001" s="1" t="n">
        <v>23</v>
      </c>
      <c r="G2001" s="1" t="n">
        <v>20</v>
      </c>
      <c r="H2001" s="1" t="s">
        <v>116</v>
      </c>
      <c r="I2001" s="1" t="n">
        <v>-3</v>
      </c>
      <c r="J2001" s="1" t="n">
        <v>41</v>
      </c>
      <c r="K2001" s="1" t="s">
        <v>584</v>
      </c>
      <c r="L2001" s="1" t="b">
        <f aca="false">FALSE()</f>
        <v>0</v>
      </c>
      <c r="M2001" s="1" t="str">
        <f aca="false">VLOOKUP(D2001,'Team Reference'!$A:$B,2,FALSE())</f>
        <v>TEN</v>
      </c>
      <c r="N2001" s="1" t="str">
        <f aca="false">VLOOKUP(E2001,'Team Reference'!$A:$B,2,FALSE())</f>
        <v>BAL</v>
      </c>
      <c r="O2001" s="1" t="str">
        <f aca="false">IF(F2001&gt;G2001,M2001,IF(G2001&gt;F2001,N2001,"Tie"))</f>
        <v>TEN</v>
      </c>
      <c r="P2001" s="1" t="n">
        <f aca="false">F2001-G2001</f>
        <v>3</v>
      </c>
      <c r="Q2001" s="1" t="n">
        <f aca="false">F2001+G2001</f>
        <v>43</v>
      </c>
      <c r="R2001" s="1" t="str">
        <f aca="false">IF(H2001=M2001,"Home",IF(H2001=N2001,"Away",IF(H2001="PICK","Pick","N/A")))</f>
        <v>Home</v>
      </c>
      <c r="S2001" s="1" t="n">
        <f aca="false">IF(R2001="Home",P2001,IF(R2001="Away",-P2001,""))</f>
        <v>3</v>
      </c>
      <c r="T2001" s="1" t="str">
        <f aca="false">IF(R2001="Pick","No Line",IF(S2001="","N/A",IF(S2001+I2001&gt;0,"Favorite Covered",IF(S2001+I2001&lt;0,"Underdog Covered","Push"))))</f>
        <v>Push</v>
      </c>
      <c r="U2001" s="1" t="str">
        <f aca="false">IF(Q2001&gt;J2001,"Over",IF(Q2001&lt;J2001,"Under","Push"))</f>
        <v>Over</v>
      </c>
    </row>
    <row r="2002" customFormat="false" ht="15" hidden="false" customHeight="false" outlineLevel="0" collapsed="false">
      <c r="A2002" s="1" t="s">
        <v>611</v>
      </c>
      <c r="B2002" s="1" t="n">
        <v>2017</v>
      </c>
      <c r="C2002" s="1" t="s">
        <v>198</v>
      </c>
      <c r="D2002" s="1" t="s">
        <v>75</v>
      </c>
      <c r="E2002" s="1" t="s">
        <v>73</v>
      </c>
      <c r="F2002" s="1" t="n">
        <v>17</v>
      </c>
      <c r="G2002" s="1" t="n">
        <v>30</v>
      </c>
      <c r="H2002" s="1" t="s">
        <v>74</v>
      </c>
      <c r="I2002" s="1" t="n">
        <v>-2.5</v>
      </c>
      <c r="J2002" s="1" t="n">
        <v>42.5</v>
      </c>
      <c r="K2002" s="1" t="s">
        <v>168</v>
      </c>
      <c r="L2002" s="1" t="b">
        <f aca="false">FALSE()</f>
        <v>0</v>
      </c>
      <c r="M2002" s="1" t="str">
        <f aca="false">VLOOKUP(D2002,'Team Reference'!$A:$B,2,FALSE())</f>
        <v>GB</v>
      </c>
      <c r="N2002" s="1" t="str">
        <f aca="false">VLOOKUP(E2002,'Team Reference'!$A:$B,2,FALSE())</f>
        <v>DET</v>
      </c>
      <c r="O2002" s="1" t="str">
        <f aca="false">IF(F2002&gt;G2002,M2002,IF(G2002&gt;F2002,N2002,"Tie"))</f>
        <v>DET</v>
      </c>
      <c r="P2002" s="1" t="n">
        <f aca="false">F2002-G2002</f>
        <v>-13</v>
      </c>
      <c r="Q2002" s="1" t="n">
        <f aca="false">F2002+G2002</f>
        <v>47</v>
      </c>
      <c r="R2002" s="1" t="str">
        <f aca="false">IF(H2002=M2002,"Home",IF(H2002=N2002,"Away",IF(H2002="PICK","Pick","N/A")))</f>
        <v>Away</v>
      </c>
      <c r="S2002" s="1" t="n">
        <f aca="false">IF(R2002="Home",P2002,IF(R2002="Away",-P2002,""))</f>
        <v>13</v>
      </c>
      <c r="T2002" s="1" t="str">
        <f aca="false">IF(R2002="Pick","No Line",IF(S2002="","N/A",IF(S2002+I2002&gt;0,"Favorite Covered",IF(S2002+I2002&lt;0,"Underdog Covered","Push"))))</f>
        <v>Favorite Covered</v>
      </c>
      <c r="U2002" s="1" t="str">
        <f aca="false">IF(Q2002&gt;J2002,"Over",IF(Q2002&lt;J2002,"Under","Push"))</f>
        <v>Over</v>
      </c>
    </row>
    <row r="2003" customFormat="false" ht="15" hidden="false" customHeight="false" outlineLevel="0" collapsed="false">
      <c r="A2003" s="1" t="s">
        <v>612</v>
      </c>
      <c r="B2003" s="1" t="n">
        <v>2017</v>
      </c>
      <c r="C2003" s="1" t="s">
        <v>203</v>
      </c>
      <c r="D2003" s="1" t="s">
        <v>53</v>
      </c>
      <c r="E2003" s="1" t="s">
        <v>110</v>
      </c>
      <c r="F2003" s="1" t="n">
        <v>16</v>
      </c>
      <c r="G2003" s="1" t="n">
        <v>22</v>
      </c>
      <c r="H2003" s="1" t="s">
        <v>111</v>
      </c>
      <c r="I2003" s="1" t="n">
        <v>-6</v>
      </c>
      <c r="J2003" s="1" t="n">
        <v>40</v>
      </c>
      <c r="K2003" s="1" t="s">
        <v>177</v>
      </c>
      <c r="L2003" s="1" t="b">
        <f aca="false">FALSE()</f>
        <v>0</v>
      </c>
      <c r="M2003" s="1" t="str">
        <f aca="false">VLOOKUP(D2003,'Team Reference'!$A:$B,2,FALSE())</f>
        <v>ARI</v>
      </c>
      <c r="N2003" s="1" t="str">
        <f aca="false">VLOOKUP(E2003,'Team Reference'!$A:$B,2,FALSE())</f>
        <v>SEA</v>
      </c>
      <c r="O2003" s="1" t="str">
        <f aca="false">IF(F2003&gt;G2003,M2003,IF(G2003&gt;F2003,N2003,"Tie"))</f>
        <v>SEA</v>
      </c>
      <c r="P2003" s="1" t="n">
        <f aca="false">F2003-G2003</f>
        <v>-6</v>
      </c>
      <c r="Q2003" s="1" t="n">
        <f aca="false">F2003+G2003</f>
        <v>38</v>
      </c>
      <c r="R2003" s="1" t="str">
        <f aca="false">IF(H2003=M2003,"Home",IF(H2003=N2003,"Away",IF(H2003="PICK","Pick","N/A")))</f>
        <v>Away</v>
      </c>
      <c r="S2003" s="1" t="n">
        <f aca="false">IF(R2003="Home",P2003,IF(R2003="Away",-P2003,""))</f>
        <v>6</v>
      </c>
      <c r="T2003" s="1" t="str">
        <f aca="false">IF(R2003="Pick","No Line",IF(S2003="","N/A",IF(S2003+I2003&gt;0,"Favorite Covered",IF(S2003+I2003&lt;0,"Underdog Covered","Push"))))</f>
        <v>Push</v>
      </c>
      <c r="U2003" s="1" t="str">
        <f aca="false">IF(Q2003&gt;J2003,"Over",IF(Q2003&lt;J2003,"Under","Push"))</f>
        <v>Under</v>
      </c>
    </row>
    <row r="2004" customFormat="false" ht="15" hidden="false" customHeight="false" outlineLevel="0" collapsed="false">
      <c r="A2004" s="1" t="s">
        <v>613</v>
      </c>
      <c r="B2004" s="1" t="n">
        <v>2017</v>
      </c>
      <c r="C2004" s="1" t="s">
        <v>203</v>
      </c>
      <c r="D2004" s="1" t="s">
        <v>55</v>
      </c>
      <c r="E2004" s="1" t="s">
        <v>69</v>
      </c>
      <c r="F2004" s="1" t="n">
        <v>27</v>
      </c>
      <c r="G2004" s="1" t="n">
        <v>7</v>
      </c>
      <c r="H2004" s="1" t="s">
        <v>56</v>
      </c>
      <c r="I2004" s="1" t="n">
        <v>-3.5</v>
      </c>
      <c r="J2004" s="1" t="n">
        <v>49</v>
      </c>
      <c r="K2004" s="1" t="s">
        <v>161</v>
      </c>
      <c r="L2004" s="1" t="b">
        <f aca="false">FALSE()</f>
        <v>0</v>
      </c>
      <c r="M2004" s="1" t="str">
        <f aca="false">VLOOKUP(D2004,'Team Reference'!$A:$B,2,FALSE())</f>
        <v>ATL</v>
      </c>
      <c r="N2004" s="1" t="str">
        <f aca="false">VLOOKUP(E2004,'Team Reference'!$A:$B,2,FALSE())</f>
        <v>DAL</v>
      </c>
      <c r="O2004" s="1" t="str">
        <f aca="false">IF(F2004&gt;G2004,M2004,IF(G2004&gt;F2004,N2004,"Tie"))</f>
        <v>ATL</v>
      </c>
      <c r="P2004" s="1" t="n">
        <f aca="false">F2004-G2004</f>
        <v>20</v>
      </c>
      <c r="Q2004" s="1" t="n">
        <f aca="false">F2004+G2004</f>
        <v>34</v>
      </c>
      <c r="R2004" s="1" t="str">
        <f aca="false">IF(H2004=M2004,"Home",IF(H2004=N2004,"Away",IF(H2004="PICK","Pick","N/A")))</f>
        <v>Home</v>
      </c>
      <c r="S2004" s="1" t="n">
        <f aca="false">IF(R2004="Home",P2004,IF(R2004="Away",-P2004,""))</f>
        <v>20</v>
      </c>
      <c r="T2004" s="1" t="str">
        <f aca="false">IF(R2004="Pick","No Line",IF(S2004="","N/A",IF(S2004+I2004&gt;0,"Favorite Covered",IF(S2004+I2004&lt;0,"Underdog Covered","Push"))))</f>
        <v>Favorite Covered</v>
      </c>
      <c r="U2004" s="1" t="str">
        <f aca="false">IF(Q2004&gt;J2004,"Over",IF(Q2004&lt;J2004,"Under","Push"))</f>
        <v>Under</v>
      </c>
    </row>
    <row r="2005" customFormat="false" ht="15" hidden="false" customHeight="false" outlineLevel="0" collapsed="false">
      <c r="A2005" s="1" t="s">
        <v>613</v>
      </c>
      <c r="B2005" s="1" t="n">
        <v>2017</v>
      </c>
      <c r="C2005" s="1" t="s">
        <v>203</v>
      </c>
      <c r="D2005" s="1" t="s">
        <v>59</v>
      </c>
      <c r="E2005" s="1" t="s">
        <v>95</v>
      </c>
      <c r="F2005" s="1" t="n">
        <v>10</v>
      </c>
      <c r="G2005" s="1" t="n">
        <v>47</v>
      </c>
      <c r="H2005" s="1" t="s">
        <v>96</v>
      </c>
      <c r="I2005" s="1" t="n">
        <v>-2</v>
      </c>
      <c r="J2005" s="1" t="n">
        <v>48.5</v>
      </c>
      <c r="K2005" s="1" t="s">
        <v>522</v>
      </c>
      <c r="L2005" s="1" t="b">
        <f aca="false">FALSE()</f>
        <v>0</v>
      </c>
      <c r="M2005" s="1" t="str">
        <f aca="false">VLOOKUP(D2005,'Team Reference'!$A:$B,2,FALSE())</f>
        <v>BUF</v>
      </c>
      <c r="N2005" s="1" t="str">
        <f aca="false">VLOOKUP(E2005,'Team Reference'!$A:$B,2,FALSE())</f>
        <v>NO</v>
      </c>
      <c r="O2005" s="1" t="str">
        <f aca="false">IF(F2005&gt;G2005,M2005,IF(G2005&gt;F2005,N2005,"Tie"))</f>
        <v>NO</v>
      </c>
      <c r="P2005" s="1" t="n">
        <f aca="false">F2005-G2005</f>
        <v>-37</v>
      </c>
      <c r="Q2005" s="1" t="n">
        <f aca="false">F2005+G2005</f>
        <v>57</v>
      </c>
      <c r="R2005" s="1" t="str">
        <f aca="false">IF(H2005=M2005,"Home",IF(H2005=N2005,"Away",IF(H2005="PICK","Pick","N/A")))</f>
        <v>Away</v>
      </c>
      <c r="S2005" s="1" t="n">
        <f aca="false">IF(R2005="Home",P2005,IF(R2005="Away",-P2005,""))</f>
        <v>37</v>
      </c>
      <c r="T2005" s="1" t="str">
        <f aca="false">IF(R2005="Pick","No Line",IF(S2005="","N/A",IF(S2005+I2005&gt;0,"Favorite Covered",IF(S2005+I2005&lt;0,"Underdog Covered","Push"))))</f>
        <v>Favorite Covered</v>
      </c>
      <c r="U2005" s="1" t="str">
        <f aca="false">IF(Q2005&gt;J2005,"Over",IF(Q2005&lt;J2005,"Under","Push"))</f>
        <v>Over</v>
      </c>
    </row>
    <row r="2006" customFormat="false" ht="15" hidden="false" customHeight="false" outlineLevel="0" collapsed="false">
      <c r="A2006" s="1" t="s">
        <v>613</v>
      </c>
      <c r="B2006" s="1" t="n">
        <v>2017</v>
      </c>
      <c r="C2006" s="1" t="s">
        <v>203</v>
      </c>
      <c r="D2006" s="1" t="s">
        <v>63</v>
      </c>
      <c r="E2006" s="1" t="s">
        <v>75</v>
      </c>
      <c r="F2006" s="1" t="n">
        <v>16</v>
      </c>
      <c r="G2006" s="1" t="n">
        <v>23</v>
      </c>
      <c r="H2006" s="1" t="s">
        <v>64</v>
      </c>
      <c r="I2006" s="1" t="n">
        <v>-4.5</v>
      </c>
      <c r="J2006" s="1" t="n">
        <v>37.5</v>
      </c>
      <c r="K2006" s="1" t="s">
        <v>145</v>
      </c>
      <c r="L2006" s="1" t="b">
        <f aca="false">FALSE()</f>
        <v>0</v>
      </c>
      <c r="M2006" s="1" t="str">
        <f aca="false">VLOOKUP(D2006,'Team Reference'!$A:$B,2,FALSE())</f>
        <v>CHI</v>
      </c>
      <c r="N2006" s="1" t="str">
        <f aca="false">VLOOKUP(E2006,'Team Reference'!$A:$B,2,FALSE())</f>
        <v>GB</v>
      </c>
      <c r="O2006" s="1" t="str">
        <f aca="false">IF(F2006&gt;G2006,M2006,IF(G2006&gt;F2006,N2006,"Tie"))</f>
        <v>GB</v>
      </c>
      <c r="P2006" s="1" t="n">
        <f aca="false">F2006-G2006</f>
        <v>-7</v>
      </c>
      <c r="Q2006" s="1" t="n">
        <f aca="false">F2006+G2006</f>
        <v>39</v>
      </c>
      <c r="R2006" s="1" t="str">
        <f aca="false">IF(H2006=M2006,"Home",IF(H2006=N2006,"Away",IF(H2006="PICK","Pick","N/A")))</f>
        <v>Home</v>
      </c>
      <c r="S2006" s="1" t="n">
        <f aca="false">IF(R2006="Home",P2006,IF(R2006="Away",-P2006,""))</f>
        <v>-7</v>
      </c>
      <c r="T2006" s="1" t="str">
        <f aca="false">IF(R2006="Pick","No Line",IF(S2006="","N/A",IF(S2006+I2006&gt;0,"Favorite Covered",IF(S2006+I2006&lt;0,"Underdog Covered","Push"))))</f>
        <v>Underdog Covered</v>
      </c>
      <c r="U2006" s="1" t="str">
        <f aca="false">IF(Q2006&gt;J2006,"Over",IF(Q2006&lt;J2006,"Under","Push"))</f>
        <v>Over</v>
      </c>
    </row>
    <row r="2007" customFormat="false" ht="15" hidden="false" customHeight="false" outlineLevel="0" collapsed="false">
      <c r="A2007" s="1" t="s">
        <v>613</v>
      </c>
      <c r="B2007" s="1" t="n">
        <v>2017</v>
      </c>
      <c r="C2007" s="1" t="s">
        <v>203</v>
      </c>
      <c r="D2007" s="1" t="s">
        <v>71</v>
      </c>
      <c r="E2007" s="1" t="s">
        <v>93</v>
      </c>
      <c r="F2007" s="1" t="n">
        <v>16</v>
      </c>
      <c r="G2007" s="1" t="n">
        <v>41</v>
      </c>
      <c r="H2007" s="1" t="s">
        <v>94</v>
      </c>
      <c r="I2007" s="1" t="n">
        <v>-7</v>
      </c>
      <c r="J2007" s="1" t="n">
        <v>45</v>
      </c>
      <c r="K2007" s="1" t="s">
        <v>166</v>
      </c>
      <c r="L2007" s="1" t="b">
        <f aca="false">FALSE()</f>
        <v>0</v>
      </c>
      <c r="M2007" s="1" t="str">
        <f aca="false">VLOOKUP(D2007,'Team Reference'!$A:$B,2,FALSE())</f>
        <v>DEN</v>
      </c>
      <c r="N2007" s="1" t="str">
        <f aca="false">VLOOKUP(E2007,'Team Reference'!$A:$B,2,FALSE())</f>
        <v>NE</v>
      </c>
      <c r="O2007" s="1" t="str">
        <f aca="false">IF(F2007&gt;G2007,M2007,IF(G2007&gt;F2007,N2007,"Tie"))</f>
        <v>NE</v>
      </c>
      <c r="P2007" s="1" t="n">
        <f aca="false">F2007-G2007</f>
        <v>-25</v>
      </c>
      <c r="Q2007" s="1" t="n">
        <f aca="false">F2007+G2007</f>
        <v>57</v>
      </c>
      <c r="R2007" s="1" t="str">
        <f aca="false">IF(H2007=M2007,"Home",IF(H2007=N2007,"Away",IF(H2007="PICK","Pick","N/A")))</f>
        <v>Away</v>
      </c>
      <c r="S2007" s="1" t="n">
        <f aca="false">IF(R2007="Home",P2007,IF(R2007="Away",-P2007,""))</f>
        <v>25</v>
      </c>
      <c r="T2007" s="1" t="str">
        <f aca="false">IF(R2007="Pick","No Line",IF(S2007="","N/A",IF(S2007+I2007&gt;0,"Favorite Covered",IF(S2007+I2007&lt;0,"Underdog Covered","Push"))))</f>
        <v>Favorite Covered</v>
      </c>
      <c r="U2007" s="1" t="str">
        <f aca="false">IF(Q2007&gt;J2007,"Over",IF(Q2007&lt;J2007,"Under","Push"))</f>
        <v>Over</v>
      </c>
    </row>
    <row r="2008" customFormat="false" ht="15" hidden="false" customHeight="false" outlineLevel="0" collapsed="false">
      <c r="A2008" s="1" t="s">
        <v>613</v>
      </c>
      <c r="B2008" s="1" t="n">
        <v>2017</v>
      </c>
      <c r="C2008" s="1" t="s">
        <v>203</v>
      </c>
      <c r="D2008" s="1" t="s">
        <v>73</v>
      </c>
      <c r="E2008" s="1" t="s">
        <v>67</v>
      </c>
      <c r="F2008" s="1" t="n">
        <v>38</v>
      </c>
      <c r="G2008" s="1" t="n">
        <v>24</v>
      </c>
      <c r="H2008" s="1" t="s">
        <v>74</v>
      </c>
      <c r="I2008" s="1" t="n">
        <v>-10.5</v>
      </c>
      <c r="J2008" s="1" t="n">
        <v>42.5</v>
      </c>
      <c r="K2008" s="1" t="s">
        <v>167</v>
      </c>
      <c r="L2008" s="1" t="b">
        <f aca="false">FALSE()</f>
        <v>0</v>
      </c>
      <c r="M2008" s="1" t="str">
        <f aca="false">VLOOKUP(D2008,'Team Reference'!$A:$B,2,FALSE())</f>
        <v>DET</v>
      </c>
      <c r="N2008" s="1" t="str">
        <f aca="false">VLOOKUP(E2008,'Team Reference'!$A:$B,2,FALSE())</f>
        <v>CLE</v>
      </c>
      <c r="O2008" s="1" t="str">
        <f aca="false">IF(F2008&gt;G2008,M2008,IF(G2008&gt;F2008,N2008,"Tie"))</f>
        <v>DET</v>
      </c>
      <c r="P2008" s="1" t="n">
        <f aca="false">F2008-G2008</f>
        <v>14</v>
      </c>
      <c r="Q2008" s="1" t="n">
        <f aca="false">F2008+G2008</f>
        <v>62</v>
      </c>
      <c r="R2008" s="1" t="str">
        <f aca="false">IF(H2008=M2008,"Home",IF(H2008=N2008,"Away",IF(H2008="PICK","Pick","N/A")))</f>
        <v>Home</v>
      </c>
      <c r="S2008" s="1" t="n">
        <f aca="false">IF(R2008="Home",P2008,IF(R2008="Away",-P2008,""))</f>
        <v>14</v>
      </c>
      <c r="T2008" s="1" t="str">
        <f aca="false">IF(R2008="Pick","No Line",IF(S2008="","N/A",IF(S2008+I2008&gt;0,"Favorite Covered",IF(S2008+I2008&lt;0,"Underdog Covered","Push"))))</f>
        <v>Favorite Covered</v>
      </c>
      <c r="U2008" s="1" t="str">
        <f aca="false">IF(Q2008&gt;J2008,"Over",IF(Q2008&lt;J2008,"Under","Push"))</f>
        <v>Over</v>
      </c>
    </row>
    <row r="2009" customFormat="false" ht="15" hidden="false" customHeight="false" outlineLevel="0" collapsed="false">
      <c r="A2009" s="1" t="s">
        <v>613</v>
      </c>
      <c r="B2009" s="1" t="n">
        <v>2017</v>
      </c>
      <c r="C2009" s="1" t="s">
        <v>203</v>
      </c>
      <c r="D2009" s="1" t="s">
        <v>79</v>
      </c>
      <c r="E2009" s="1" t="s">
        <v>105</v>
      </c>
      <c r="F2009" s="1" t="n">
        <v>17</v>
      </c>
      <c r="G2009" s="1" t="n">
        <v>20</v>
      </c>
      <c r="H2009" s="1" t="s">
        <v>106</v>
      </c>
      <c r="I2009" s="1" t="n">
        <v>-10.5</v>
      </c>
      <c r="J2009" s="1" t="n">
        <v>47</v>
      </c>
      <c r="K2009" s="1" t="s">
        <v>169</v>
      </c>
      <c r="L2009" s="1" t="b">
        <f aca="false">FALSE()</f>
        <v>0</v>
      </c>
      <c r="M2009" s="1" t="str">
        <f aca="false">VLOOKUP(D2009,'Team Reference'!$A:$B,2,FALSE())</f>
        <v>IND</v>
      </c>
      <c r="N2009" s="1" t="str">
        <f aca="false">VLOOKUP(E2009,'Team Reference'!$A:$B,2,FALSE())</f>
        <v>PIT</v>
      </c>
      <c r="O2009" s="1" t="str">
        <f aca="false">IF(F2009&gt;G2009,M2009,IF(G2009&gt;F2009,N2009,"Tie"))</f>
        <v>PIT</v>
      </c>
      <c r="P2009" s="1" t="n">
        <f aca="false">F2009-G2009</f>
        <v>-3</v>
      </c>
      <c r="Q2009" s="1" t="n">
        <f aca="false">F2009+G2009</f>
        <v>37</v>
      </c>
      <c r="R2009" s="1" t="str">
        <f aca="false">IF(H2009=M2009,"Home",IF(H2009=N2009,"Away",IF(H2009="PICK","Pick","N/A")))</f>
        <v>Away</v>
      </c>
      <c r="S2009" s="1" t="n">
        <f aca="false">IF(R2009="Home",P2009,IF(R2009="Away",-P2009,""))</f>
        <v>3</v>
      </c>
      <c r="T2009" s="1" t="str">
        <f aca="false">IF(R2009="Pick","No Line",IF(S2009="","N/A",IF(S2009+I2009&gt;0,"Favorite Covered",IF(S2009+I2009&lt;0,"Underdog Covered","Push"))))</f>
        <v>Underdog Covered</v>
      </c>
      <c r="U2009" s="1" t="str">
        <f aca="false">IF(Q2009&gt;J2009,"Over",IF(Q2009&lt;J2009,"Under","Push"))</f>
        <v>Under</v>
      </c>
    </row>
    <row r="2010" customFormat="false" ht="15" hidden="false" customHeight="false" outlineLevel="0" collapsed="false">
      <c r="A2010" s="1" t="s">
        <v>613</v>
      </c>
      <c r="B2010" s="1" t="n">
        <v>2017</v>
      </c>
      <c r="C2010" s="1" t="s">
        <v>203</v>
      </c>
      <c r="D2010" s="1" t="s">
        <v>81</v>
      </c>
      <c r="E2010" s="1" t="s">
        <v>85</v>
      </c>
      <c r="F2010" s="1" t="n">
        <v>20</v>
      </c>
      <c r="G2010" s="1" t="n">
        <v>17</v>
      </c>
      <c r="H2010" s="1" t="s">
        <v>82</v>
      </c>
      <c r="I2010" s="1" t="n">
        <v>-5</v>
      </c>
      <c r="J2010" s="1" t="n">
        <v>40.5</v>
      </c>
      <c r="K2010" s="1" t="s">
        <v>147</v>
      </c>
      <c r="L2010" s="1" t="b">
        <f aca="false">FALSE()</f>
        <v>0</v>
      </c>
      <c r="M2010" s="1" t="str">
        <f aca="false">VLOOKUP(D2010,'Team Reference'!$A:$B,2,FALSE())</f>
        <v>JAX</v>
      </c>
      <c r="N2010" s="1" t="str">
        <f aca="false">VLOOKUP(E2010,'Team Reference'!$A:$B,2,FALSE())</f>
        <v>LAC</v>
      </c>
      <c r="O2010" s="1" t="str">
        <f aca="false">IF(F2010&gt;G2010,M2010,IF(G2010&gt;F2010,N2010,"Tie"))</f>
        <v>JAX</v>
      </c>
      <c r="P2010" s="1" t="n">
        <f aca="false">F2010-G2010</f>
        <v>3</v>
      </c>
      <c r="Q2010" s="1" t="n">
        <f aca="false">F2010+G2010</f>
        <v>37</v>
      </c>
      <c r="R2010" s="1" t="str">
        <f aca="false">IF(H2010=M2010,"Home",IF(H2010=N2010,"Away",IF(H2010="PICK","Pick","N/A")))</f>
        <v>Home</v>
      </c>
      <c r="S2010" s="1" t="n">
        <f aca="false">IF(R2010="Home",P2010,IF(R2010="Away",-P2010,""))</f>
        <v>3</v>
      </c>
      <c r="T2010" s="1" t="str">
        <f aca="false">IF(R2010="Pick","No Line",IF(S2010="","N/A",IF(S2010+I2010&gt;0,"Favorite Covered",IF(S2010+I2010&lt;0,"Underdog Covered","Push"))))</f>
        <v>Underdog Covered</v>
      </c>
      <c r="U2010" s="1" t="str">
        <f aca="false">IF(Q2010&gt;J2010,"Over",IF(Q2010&lt;J2010,"Under","Push"))</f>
        <v>Under</v>
      </c>
    </row>
    <row r="2011" customFormat="false" ht="15" hidden="false" customHeight="false" outlineLevel="0" collapsed="false">
      <c r="A2011" s="1" t="s">
        <v>613</v>
      </c>
      <c r="B2011" s="1" t="n">
        <v>2017</v>
      </c>
      <c r="C2011" s="1" t="s">
        <v>203</v>
      </c>
      <c r="D2011" s="1" t="s">
        <v>87</v>
      </c>
      <c r="E2011" s="1" t="s">
        <v>77</v>
      </c>
      <c r="F2011" s="1" t="n">
        <v>33</v>
      </c>
      <c r="G2011" s="1" t="n">
        <v>7</v>
      </c>
      <c r="H2011" s="1" t="s">
        <v>88</v>
      </c>
      <c r="I2011" s="1" t="n">
        <v>-12</v>
      </c>
      <c r="J2011" s="1" t="n">
        <v>45</v>
      </c>
      <c r="K2011" s="1" t="s">
        <v>520</v>
      </c>
      <c r="L2011" s="1" t="b">
        <f aca="false">FALSE()</f>
        <v>0</v>
      </c>
      <c r="M2011" s="1" t="str">
        <f aca="false">VLOOKUP(D2011,'Team Reference'!$A:$B,2,FALSE())</f>
        <v>LAR</v>
      </c>
      <c r="N2011" s="1" t="str">
        <f aca="false">VLOOKUP(E2011,'Team Reference'!$A:$B,2,FALSE())</f>
        <v>HOU</v>
      </c>
      <c r="O2011" s="1" t="str">
        <f aca="false">IF(F2011&gt;G2011,M2011,IF(G2011&gt;F2011,N2011,"Tie"))</f>
        <v>LAR</v>
      </c>
      <c r="P2011" s="1" t="n">
        <f aca="false">F2011-G2011</f>
        <v>26</v>
      </c>
      <c r="Q2011" s="1" t="n">
        <f aca="false">F2011+G2011</f>
        <v>40</v>
      </c>
      <c r="R2011" s="1" t="str">
        <f aca="false">IF(H2011=M2011,"Home",IF(H2011=N2011,"Away",IF(H2011="PICK","Pick","N/A")))</f>
        <v>Home</v>
      </c>
      <c r="S2011" s="1" t="n">
        <f aca="false">IF(R2011="Home",P2011,IF(R2011="Away",-P2011,""))</f>
        <v>26</v>
      </c>
      <c r="T2011" s="1" t="str">
        <f aca="false">IF(R2011="Pick","No Line",IF(S2011="","N/A",IF(S2011+I2011&gt;0,"Favorite Covered",IF(S2011+I2011&lt;0,"Underdog Covered","Push"))))</f>
        <v>Favorite Covered</v>
      </c>
      <c r="U2011" s="1" t="str">
        <f aca="false">IF(Q2011&gt;J2011,"Over",IF(Q2011&lt;J2011,"Under","Push"))</f>
        <v>Under</v>
      </c>
    </row>
    <row r="2012" customFormat="false" ht="15" hidden="false" customHeight="false" outlineLevel="0" collapsed="false">
      <c r="A2012" s="1" t="s">
        <v>613</v>
      </c>
      <c r="B2012" s="1" t="n">
        <v>2017</v>
      </c>
      <c r="C2012" s="1" t="s">
        <v>203</v>
      </c>
      <c r="D2012" s="1" t="s">
        <v>108</v>
      </c>
      <c r="E2012" s="1" t="s">
        <v>97</v>
      </c>
      <c r="F2012" s="1" t="n">
        <v>31</v>
      </c>
      <c r="G2012" s="1" t="n">
        <v>21</v>
      </c>
      <c r="H2012" s="1" t="s">
        <v>98</v>
      </c>
      <c r="I2012" s="1" t="n">
        <v>-3</v>
      </c>
      <c r="J2012" s="1" t="n">
        <v>41.5</v>
      </c>
      <c r="K2012" s="1" t="s">
        <v>408</v>
      </c>
      <c r="L2012" s="1" t="b">
        <f aca="false">FALSE()</f>
        <v>0</v>
      </c>
      <c r="M2012" s="1" t="str">
        <f aca="false">VLOOKUP(D2012,'Team Reference'!$A:$B,2,FALSE())</f>
        <v>SF</v>
      </c>
      <c r="N2012" s="1" t="str">
        <f aca="false">VLOOKUP(E2012,'Team Reference'!$A:$B,2,FALSE())</f>
        <v>NYG</v>
      </c>
      <c r="O2012" s="1" t="str">
        <f aca="false">IF(F2012&gt;G2012,M2012,IF(G2012&gt;F2012,N2012,"Tie"))</f>
        <v>SF</v>
      </c>
      <c r="P2012" s="1" t="n">
        <f aca="false">F2012-G2012</f>
        <v>10</v>
      </c>
      <c r="Q2012" s="1" t="n">
        <f aca="false">F2012+G2012</f>
        <v>52</v>
      </c>
      <c r="R2012" s="1" t="str">
        <f aca="false">IF(H2012=M2012,"Home",IF(H2012=N2012,"Away",IF(H2012="PICK","Pick","N/A")))</f>
        <v>Away</v>
      </c>
      <c r="S2012" s="1" t="n">
        <f aca="false">IF(R2012="Home",P2012,IF(R2012="Away",-P2012,""))</f>
        <v>-10</v>
      </c>
      <c r="T2012" s="1" t="str">
        <f aca="false">IF(R2012="Pick","No Line",IF(S2012="","N/A",IF(S2012+I2012&gt;0,"Favorite Covered",IF(S2012+I2012&lt;0,"Underdog Covered","Push"))))</f>
        <v>Underdog Covered</v>
      </c>
      <c r="U2012" s="1" t="str">
        <f aca="false">IF(Q2012&gt;J2012,"Over",IF(Q2012&lt;J2012,"Under","Push"))</f>
        <v>Over</v>
      </c>
    </row>
    <row r="2013" customFormat="false" ht="15" hidden="false" customHeight="false" outlineLevel="0" collapsed="false">
      <c r="A2013" s="1" t="s">
        <v>613</v>
      </c>
      <c r="B2013" s="1" t="n">
        <v>2017</v>
      </c>
      <c r="C2013" s="1" t="s">
        <v>203</v>
      </c>
      <c r="D2013" s="1" t="s">
        <v>113</v>
      </c>
      <c r="E2013" s="1" t="s">
        <v>99</v>
      </c>
      <c r="F2013" s="1" t="n">
        <v>15</v>
      </c>
      <c r="G2013" s="1" t="n">
        <v>10</v>
      </c>
      <c r="H2013" s="1" t="s">
        <v>114</v>
      </c>
      <c r="I2013" s="1" t="n">
        <v>-1</v>
      </c>
      <c r="J2013" s="1" t="n">
        <v>44.5</v>
      </c>
      <c r="K2013" s="1" t="s">
        <v>154</v>
      </c>
      <c r="L2013" s="1" t="b">
        <f aca="false">FALSE()</f>
        <v>0</v>
      </c>
      <c r="M2013" s="1" t="str">
        <f aca="false">VLOOKUP(D2013,'Team Reference'!$A:$B,2,FALSE())</f>
        <v>TB</v>
      </c>
      <c r="N2013" s="1" t="str">
        <f aca="false">VLOOKUP(E2013,'Team Reference'!$A:$B,2,FALSE())</f>
        <v>NYJ</v>
      </c>
      <c r="O2013" s="1" t="str">
        <f aca="false">IF(F2013&gt;G2013,M2013,IF(G2013&gt;F2013,N2013,"Tie"))</f>
        <v>TB</v>
      </c>
      <c r="P2013" s="1" t="n">
        <f aca="false">F2013-G2013</f>
        <v>5</v>
      </c>
      <c r="Q2013" s="1" t="n">
        <f aca="false">F2013+G2013</f>
        <v>25</v>
      </c>
      <c r="R2013" s="1" t="str">
        <f aca="false">IF(H2013=M2013,"Home",IF(H2013=N2013,"Away",IF(H2013="PICK","Pick","N/A")))</f>
        <v>Home</v>
      </c>
      <c r="S2013" s="1" t="n">
        <f aca="false">IF(R2013="Home",P2013,IF(R2013="Away",-P2013,""))</f>
        <v>5</v>
      </c>
      <c r="T2013" s="1" t="str">
        <f aca="false">IF(R2013="Pick","No Line",IF(S2013="","N/A",IF(S2013+I2013&gt;0,"Favorite Covered",IF(S2013+I2013&lt;0,"Underdog Covered","Push"))))</f>
        <v>Favorite Covered</v>
      </c>
      <c r="U2013" s="1" t="str">
        <f aca="false">IF(Q2013&gt;J2013,"Over",IF(Q2013&lt;J2013,"Under","Push"))</f>
        <v>Under</v>
      </c>
    </row>
    <row r="2014" customFormat="false" ht="15" hidden="false" customHeight="false" outlineLevel="0" collapsed="false">
      <c r="A2014" s="1" t="s">
        <v>613</v>
      </c>
      <c r="B2014" s="1" t="n">
        <v>2017</v>
      </c>
      <c r="C2014" s="1" t="s">
        <v>203</v>
      </c>
      <c r="D2014" s="1" t="s">
        <v>115</v>
      </c>
      <c r="E2014" s="1" t="s">
        <v>65</v>
      </c>
      <c r="F2014" s="1" t="n">
        <v>24</v>
      </c>
      <c r="G2014" s="1" t="n">
        <v>20</v>
      </c>
      <c r="H2014" s="1" t="s">
        <v>116</v>
      </c>
      <c r="I2014" s="1" t="n">
        <v>-4.5</v>
      </c>
      <c r="J2014" s="1" t="n">
        <v>40.5</v>
      </c>
      <c r="K2014" s="1" t="s">
        <v>584</v>
      </c>
      <c r="L2014" s="1" t="b">
        <f aca="false">FALSE()</f>
        <v>0</v>
      </c>
      <c r="M2014" s="1" t="str">
        <f aca="false">VLOOKUP(D2014,'Team Reference'!$A:$B,2,FALSE())</f>
        <v>TEN</v>
      </c>
      <c r="N2014" s="1" t="str">
        <f aca="false">VLOOKUP(E2014,'Team Reference'!$A:$B,2,FALSE())</f>
        <v>CIN</v>
      </c>
      <c r="O2014" s="1" t="str">
        <f aca="false">IF(F2014&gt;G2014,M2014,IF(G2014&gt;F2014,N2014,"Tie"))</f>
        <v>TEN</v>
      </c>
      <c r="P2014" s="1" t="n">
        <f aca="false">F2014-G2014</f>
        <v>4</v>
      </c>
      <c r="Q2014" s="1" t="n">
        <f aca="false">F2014+G2014</f>
        <v>44</v>
      </c>
      <c r="R2014" s="1" t="str">
        <f aca="false">IF(H2014=M2014,"Home",IF(H2014=N2014,"Away",IF(H2014="PICK","Pick","N/A")))</f>
        <v>Home</v>
      </c>
      <c r="S2014" s="1" t="n">
        <f aca="false">IF(R2014="Home",P2014,IF(R2014="Away",-P2014,""))</f>
        <v>4</v>
      </c>
      <c r="T2014" s="1" t="str">
        <f aca="false">IF(R2014="Pick","No Line",IF(S2014="","N/A",IF(S2014+I2014&gt;0,"Favorite Covered",IF(S2014+I2014&lt;0,"Underdog Covered","Push"))))</f>
        <v>Underdog Covered</v>
      </c>
      <c r="U2014" s="1" t="str">
        <f aca="false">IF(Q2014&gt;J2014,"Over",IF(Q2014&lt;J2014,"Under","Push"))</f>
        <v>Over</v>
      </c>
    </row>
    <row r="2015" customFormat="false" ht="15" hidden="false" customHeight="false" outlineLevel="0" collapsed="false">
      <c r="A2015" s="1" t="s">
        <v>613</v>
      </c>
      <c r="B2015" s="1" t="n">
        <v>2017</v>
      </c>
      <c r="C2015" s="1" t="s">
        <v>203</v>
      </c>
      <c r="D2015" s="1" t="s">
        <v>117</v>
      </c>
      <c r="E2015" s="1" t="s">
        <v>91</v>
      </c>
      <c r="F2015" s="1" t="n">
        <v>30</v>
      </c>
      <c r="G2015" s="1" t="n">
        <v>38</v>
      </c>
      <c r="H2015" s="1" t="s">
        <v>92</v>
      </c>
      <c r="I2015" s="1" t="n">
        <v>-1</v>
      </c>
      <c r="J2015" s="1" t="n">
        <v>43</v>
      </c>
      <c r="K2015" s="1" t="s">
        <v>156</v>
      </c>
      <c r="L2015" s="1" t="b">
        <f aca="false">FALSE()</f>
        <v>0</v>
      </c>
      <c r="M2015" s="1" t="str">
        <f aca="false">VLOOKUP(D2015,'Team Reference'!$A:$B,2,FALSE())</f>
        <v>WAS</v>
      </c>
      <c r="N2015" s="1" t="str">
        <f aca="false">VLOOKUP(E2015,'Team Reference'!$A:$B,2,FALSE())</f>
        <v>MIN</v>
      </c>
      <c r="O2015" s="1" t="str">
        <f aca="false">IF(F2015&gt;G2015,M2015,IF(G2015&gt;F2015,N2015,"Tie"))</f>
        <v>MIN</v>
      </c>
      <c r="P2015" s="1" t="n">
        <f aca="false">F2015-G2015</f>
        <v>-8</v>
      </c>
      <c r="Q2015" s="1" t="n">
        <f aca="false">F2015+G2015</f>
        <v>68</v>
      </c>
      <c r="R2015" s="1" t="str">
        <f aca="false">IF(H2015=M2015,"Home",IF(H2015=N2015,"Away",IF(H2015="PICK","Pick","N/A")))</f>
        <v>Away</v>
      </c>
      <c r="S2015" s="1" t="n">
        <f aca="false">IF(R2015="Home",P2015,IF(R2015="Away",-P2015,""))</f>
        <v>8</v>
      </c>
      <c r="T2015" s="1" t="str">
        <f aca="false">IF(R2015="Pick","No Line",IF(S2015="","N/A",IF(S2015+I2015&gt;0,"Favorite Covered",IF(S2015+I2015&lt;0,"Underdog Covered","Push"))))</f>
        <v>Favorite Covered</v>
      </c>
      <c r="U2015" s="1" t="str">
        <f aca="false">IF(Q2015&gt;J2015,"Over",IF(Q2015&lt;J2015,"Under","Push"))</f>
        <v>Over</v>
      </c>
    </row>
    <row r="2016" customFormat="false" ht="15" hidden="false" customHeight="false" outlineLevel="0" collapsed="false">
      <c r="A2016" s="1" t="s">
        <v>614</v>
      </c>
      <c r="B2016" s="1" t="n">
        <v>2017</v>
      </c>
      <c r="C2016" s="1" t="s">
        <v>203</v>
      </c>
      <c r="D2016" s="1" t="s">
        <v>61</v>
      </c>
      <c r="E2016" s="1" t="s">
        <v>89</v>
      </c>
      <c r="F2016" s="1" t="n">
        <v>45</v>
      </c>
      <c r="G2016" s="1" t="n">
        <v>21</v>
      </c>
      <c r="H2016" s="1" t="s">
        <v>62</v>
      </c>
      <c r="I2016" s="1" t="n">
        <v>-8</v>
      </c>
      <c r="J2016" s="1" t="n">
        <v>38.5</v>
      </c>
      <c r="K2016" s="1" t="s">
        <v>162</v>
      </c>
      <c r="L2016" s="1" t="b">
        <f aca="false">FALSE()</f>
        <v>0</v>
      </c>
      <c r="M2016" s="1" t="str">
        <f aca="false">VLOOKUP(D2016,'Team Reference'!$A:$B,2,FALSE())</f>
        <v>CAR</v>
      </c>
      <c r="N2016" s="1" t="str">
        <f aca="false">VLOOKUP(E2016,'Team Reference'!$A:$B,2,FALSE())</f>
        <v>MIA</v>
      </c>
      <c r="O2016" s="1" t="str">
        <f aca="false">IF(F2016&gt;G2016,M2016,IF(G2016&gt;F2016,N2016,"Tie"))</f>
        <v>CAR</v>
      </c>
      <c r="P2016" s="1" t="n">
        <f aca="false">F2016-G2016</f>
        <v>24</v>
      </c>
      <c r="Q2016" s="1" t="n">
        <f aca="false">F2016+G2016</f>
        <v>66</v>
      </c>
      <c r="R2016" s="1" t="str">
        <f aca="false">IF(H2016=M2016,"Home",IF(H2016=N2016,"Away",IF(H2016="PICK","Pick","N/A")))</f>
        <v>Home</v>
      </c>
      <c r="S2016" s="1" t="n">
        <f aca="false">IF(R2016="Home",P2016,IF(R2016="Away",-P2016,""))</f>
        <v>24</v>
      </c>
      <c r="T2016" s="1" t="str">
        <f aca="false">IF(R2016="Pick","No Line",IF(S2016="","N/A",IF(S2016+I2016&gt;0,"Favorite Covered",IF(S2016+I2016&lt;0,"Underdog Covered","Push"))))</f>
        <v>Favorite Covered</v>
      </c>
      <c r="U2016" s="1" t="str">
        <f aca="false">IF(Q2016&gt;J2016,"Over",IF(Q2016&lt;J2016,"Under","Push"))</f>
        <v>Over</v>
      </c>
    </row>
    <row r="2017" customFormat="false" ht="15" hidden="false" customHeight="false" outlineLevel="0" collapsed="false">
      <c r="A2017" s="1" t="s">
        <v>615</v>
      </c>
      <c r="B2017" s="1" t="n">
        <v>2017</v>
      </c>
      <c r="C2017" s="1" t="s">
        <v>207</v>
      </c>
      <c r="D2017" s="1" t="s">
        <v>105</v>
      </c>
      <c r="E2017" s="1" t="s">
        <v>115</v>
      </c>
      <c r="F2017" s="1" t="n">
        <v>40</v>
      </c>
      <c r="G2017" s="1" t="n">
        <v>17</v>
      </c>
      <c r="H2017" s="1" t="s">
        <v>106</v>
      </c>
      <c r="I2017" s="1" t="n">
        <v>-7</v>
      </c>
      <c r="J2017" s="1" t="n">
        <v>44.5</v>
      </c>
      <c r="K2017" s="1" t="s">
        <v>151</v>
      </c>
      <c r="L2017" s="1" t="b">
        <f aca="false">FALSE()</f>
        <v>0</v>
      </c>
      <c r="M2017" s="1" t="str">
        <f aca="false">VLOOKUP(D2017,'Team Reference'!$A:$B,2,FALSE())</f>
        <v>PIT</v>
      </c>
      <c r="N2017" s="1" t="str">
        <f aca="false">VLOOKUP(E2017,'Team Reference'!$A:$B,2,FALSE())</f>
        <v>TEN</v>
      </c>
      <c r="O2017" s="1" t="str">
        <f aca="false">IF(F2017&gt;G2017,M2017,IF(G2017&gt;F2017,N2017,"Tie"))</f>
        <v>PIT</v>
      </c>
      <c r="P2017" s="1" t="n">
        <f aca="false">F2017-G2017</f>
        <v>23</v>
      </c>
      <c r="Q2017" s="1" t="n">
        <f aca="false">F2017+G2017</f>
        <v>57</v>
      </c>
      <c r="R2017" s="1" t="str">
        <f aca="false">IF(H2017=M2017,"Home",IF(H2017=N2017,"Away",IF(H2017="PICK","Pick","N/A")))</f>
        <v>Home</v>
      </c>
      <c r="S2017" s="1" t="n">
        <f aca="false">IF(R2017="Home",P2017,IF(R2017="Away",-P2017,""))</f>
        <v>23</v>
      </c>
      <c r="T2017" s="1" t="str">
        <f aca="false">IF(R2017="Pick","No Line",IF(S2017="","N/A",IF(S2017+I2017&gt;0,"Favorite Covered",IF(S2017+I2017&lt;0,"Underdog Covered","Push"))))</f>
        <v>Favorite Covered</v>
      </c>
      <c r="U2017" s="1" t="str">
        <f aca="false">IF(Q2017&gt;J2017,"Over",IF(Q2017&lt;J2017,"Under","Push"))</f>
        <v>Over</v>
      </c>
    </row>
    <row r="2018" customFormat="false" ht="15" hidden="false" customHeight="false" outlineLevel="0" collapsed="false">
      <c r="A2018" s="1" t="s">
        <v>616</v>
      </c>
      <c r="B2018" s="1" t="n">
        <v>2017</v>
      </c>
      <c r="C2018" s="1" t="s">
        <v>207</v>
      </c>
      <c r="D2018" s="1" t="s">
        <v>63</v>
      </c>
      <c r="E2018" s="1" t="s">
        <v>73</v>
      </c>
      <c r="F2018" s="1" t="n">
        <v>24</v>
      </c>
      <c r="G2018" s="1" t="n">
        <v>27</v>
      </c>
      <c r="H2018" s="1" t="s">
        <v>74</v>
      </c>
      <c r="I2018" s="1" t="n">
        <v>-3</v>
      </c>
      <c r="J2018" s="1" t="n">
        <v>41</v>
      </c>
      <c r="K2018" s="1" t="s">
        <v>145</v>
      </c>
      <c r="L2018" s="1" t="b">
        <f aca="false">FALSE()</f>
        <v>0</v>
      </c>
      <c r="M2018" s="1" t="str">
        <f aca="false">VLOOKUP(D2018,'Team Reference'!$A:$B,2,FALSE())</f>
        <v>CHI</v>
      </c>
      <c r="N2018" s="1" t="str">
        <f aca="false">VLOOKUP(E2018,'Team Reference'!$A:$B,2,FALSE())</f>
        <v>DET</v>
      </c>
      <c r="O2018" s="1" t="str">
        <f aca="false">IF(F2018&gt;G2018,M2018,IF(G2018&gt;F2018,N2018,"Tie"))</f>
        <v>DET</v>
      </c>
      <c r="P2018" s="1" t="n">
        <f aca="false">F2018-G2018</f>
        <v>-3</v>
      </c>
      <c r="Q2018" s="1" t="n">
        <f aca="false">F2018+G2018</f>
        <v>51</v>
      </c>
      <c r="R2018" s="1" t="str">
        <f aca="false">IF(H2018=M2018,"Home",IF(H2018=N2018,"Away",IF(H2018="PICK","Pick","N/A")))</f>
        <v>Away</v>
      </c>
      <c r="S2018" s="1" t="n">
        <f aca="false">IF(R2018="Home",P2018,IF(R2018="Away",-P2018,""))</f>
        <v>3</v>
      </c>
      <c r="T2018" s="1" t="str">
        <f aca="false">IF(R2018="Pick","No Line",IF(S2018="","N/A",IF(S2018+I2018&gt;0,"Favorite Covered",IF(S2018+I2018&lt;0,"Underdog Covered","Push"))))</f>
        <v>Push</v>
      </c>
      <c r="U2018" s="1" t="str">
        <f aca="false">IF(Q2018&gt;J2018,"Over",IF(Q2018&lt;J2018,"Under","Push"))</f>
        <v>Over</v>
      </c>
    </row>
    <row r="2019" customFormat="false" ht="15" hidden="false" customHeight="false" outlineLevel="0" collapsed="false">
      <c r="A2019" s="1" t="s">
        <v>616</v>
      </c>
      <c r="B2019" s="1" t="n">
        <v>2017</v>
      </c>
      <c r="C2019" s="1" t="s">
        <v>207</v>
      </c>
      <c r="D2019" s="1" t="s">
        <v>67</v>
      </c>
      <c r="E2019" s="1" t="s">
        <v>81</v>
      </c>
      <c r="F2019" s="1" t="n">
        <v>7</v>
      </c>
      <c r="G2019" s="1" t="n">
        <v>19</v>
      </c>
      <c r="H2019" s="1" t="s">
        <v>82</v>
      </c>
      <c r="I2019" s="1" t="n">
        <v>-7.5</v>
      </c>
      <c r="J2019" s="1" t="n">
        <v>37.5</v>
      </c>
      <c r="K2019" s="1" t="s">
        <v>164</v>
      </c>
      <c r="L2019" s="1" t="b">
        <f aca="false">FALSE()</f>
        <v>0</v>
      </c>
      <c r="M2019" s="1" t="str">
        <f aca="false">VLOOKUP(D2019,'Team Reference'!$A:$B,2,FALSE())</f>
        <v>CLE</v>
      </c>
      <c r="N2019" s="1" t="str">
        <f aca="false">VLOOKUP(E2019,'Team Reference'!$A:$B,2,FALSE())</f>
        <v>JAX</v>
      </c>
      <c r="O2019" s="1" t="str">
        <f aca="false">IF(F2019&gt;G2019,M2019,IF(G2019&gt;F2019,N2019,"Tie"))</f>
        <v>JAX</v>
      </c>
      <c r="P2019" s="1" t="n">
        <f aca="false">F2019-G2019</f>
        <v>-12</v>
      </c>
      <c r="Q2019" s="1" t="n">
        <f aca="false">F2019+G2019</f>
        <v>26</v>
      </c>
      <c r="R2019" s="1" t="str">
        <f aca="false">IF(H2019=M2019,"Home",IF(H2019=N2019,"Away",IF(H2019="PICK","Pick","N/A")))</f>
        <v>Away</v>
      </c>
      <c r="S2019" s="1" t="n">
        <f aca="false">IF(R2019="Home",P2019,IF(R2019="Away",-P2019,""))</f>
        <v>12</v>
      </c>
      <c r="T2019" s="1" t="str">
        <f aca="false">IF(R2019="Pick","No Line",IF(S2019="","N/A",IF(S2019+I2019&gt;0,"Favorite Covered",IF(S2019+I2019&lt;0,"Underdog Covered","Push"))))</f>
        <v>Favorite Covered</v>
      </c>
      <c r="U2019" s="1" t="str">
        <f aca="false">IF(Q2019&gt;J2019,"Over",IF(Q2019&lt;J2019,"Under","Push"))</f>
        <v>Under</v>
      </c>
    </row>
    <row r="2020" customFormat="false" ht="15" hidden="false" customHeight="false" outlineLevel="0" collapsed="false">
      <c r="A2020" s="1" t="s">
        <v>616</v>
      </c>
      <c r="B2020" s="1" t="n">
        <v>2017</v>
      </c>
      <c r="C2020" s="1" t="s">
        <v>207</v>
      </c>
      <c r="D2020" s="1" t="s">
        <v>69</v>
      </c>
      <c r="E2020" s="1" t="s">
        <v>103</v>
      </c>
      <c r="F2020" s="1" t="n">
        <v>9</v>
      </c>
      <c r="G2020" s="1" t="n">
        <v>37</v>
      </c>
      <c r="H2020" s="1" t="s">
        <v>104</v>
      </c>
      <c r="I2020" s="1" t="n">
        <v>-6</v>
      </c>
      <c r="J2020" s="1" t="n">
        <v>48</v>
      </c>
      <c r="K2020" s="1" t="s">
        <v>583</v>
      </c>
      <c r="L2020" s="1" t="b">
        <f aca="false">FALSE()</f>
        <v>0</v>
      </c>
      <c r="M2020" s="1" t="str">
        <f aca="false">VLOOKUP(D2020,'Team Reference'!$A:$B,2,FALSE())</f>
        <v>DAL</v>
      </c>
      <c r="N2020" s="1" t="str">
        <f aca="false">VLOOKUP(E2020,'Team Reference'!$A:$B,2,FALSE())</f>
        <v>PHI</v>
      </c>
      <c r="O2020" s="1" t="str">
        <f aca="false">IF(F2020&gt;G2020,M2020,IF(G2020&gt;F2020,N2020,"Tie"))</f>
        <v>PHI</v>
      </c>
      <c r="P2020" s="1" t="n">
        <f aca="false">F2020-G2020</f>
        <v>-28</v>
      </c>
      <c r="Q2020" s="1" t="n">
        <f aca="false">F2020+G2020</f>
        <v>46</v>
      </c>
      <c r="R2020" s="1" t="str">
        <f aca="false">IF(H2020=M2020,"Home",IF(H2020=N2020,"Away",IF(H2020="PICK","Pick","N/A")))</f>
        <v>Away</v>
      </c>
      <c r="S2020" s="1" t="n">
        <f aca="false">IF(R2020="Home",P2020,IF(R2020="Away",-P2020,""))</f>
        <v>28</v>
      </c>
      <c r="T2020" s="1" t="str">
        <f aca="false">IF(R2020="Pick","No Line",IF(S2020="","N/A",IF(S2020+I2020&gt;0,"Favorite Covered",IF(S2020+I2020&lt;0,"Underdog Covered","Push"))))</f>
        <v>Favorite Covered</v>
      </c>
      <c r="U2020" s="1" t="str">
        <f aca="false">IF(Q2020&gt;J2020,"Over",IF(Q2020&lt;J2020,"Under","Push"))</f>
        <v>Under</v>
      </c>
    </row>
    <row r="2021" customFormat="false" ht="15" hidden="false" customHeight="false" outlineLevel="0" collapsed="false">
      <c r="A2021" s="1" t="s">
        <v>616</v>
      </c>
      <c r="B2021" s="1" t="n">
        <v>2017</v>
      </c>
      <c r="C2021" s="1" t="s">
        <v>207</v>
      </c>
      <c r="D2021" s="1" t="s">
        <v>71</v>
      </c>
      <c r="E2021" s="1" t="s">
        <v>65</v>
      </c>
      <c r="F2021" s="1" t="n">
        <v>17</v>
      </c>
      <c r="G2021" s="1" t="n">
        <v>20</v>
      </c>
      <c r="H2021" s="1" t="s">
        <v>72</v>
      </c>
      <c r="I2021" s="1" t="n">
        <v>-2.5</v>
      </c>
      <c r="J2021" s="1" t="n">
        <v>38</v>
      </c>
      <c r="K2021" s="1" t="s">
        <v>166</v>
      </c>
      <c r="L2021" s="1" t="b">
        <f aca="false">FALSE()</f>
        <v>0</v>
      </c>
      <c r="M2021" s="1" t="str">
        <f aca="false">VLOOKUP(D2021,'Team Reference'!$A:$B,2,FALSE())</f>
        <v>DEN</v>
      </c>
      <c r="N2021" s="1" t="str">
        <f aca="false">VLOOKUP(E2021,'Team Reference'!$A:$B,2,FALSE())</f>
        <v>CIN</v>
      </c>
      <c r="O2021" s="1" t="str">
        <f aca="false">IF(F2021&gt;G2021,M2021,IF(G2021&gt;F2021,N2021,"Tie"))</f>
        <v>CIN</v>
      </c>
      <c r="P2021" s="1" t="n">
        <f aca="false">F2021-G2021</f>
        <v>-3</v>
      </c>
      <c r="Q2021" s="1" t="n">
        <f aca="false">F2021+G2021</f>
        <v>37</v>
      </c>
      <c r="R2021" s="1" t="str">
        <f aca="false">IF(H2021=M2021,"Home",IF(H2021=N2021,"Away",IF(H2021="PICK","Pick","N/A")))</f>
        <v>Home</v>
      </c>
      <c r="S2021" s="1" t="n">
        <f aca="false">IF(R2021="Home",P2021,IF(R2021="Away",-P2021,""))</f>
        <v>-3</v>
      </c>
      <c r="T2021" s="1" t="str">
        <f aca="false">IF(R2021="Pick","No Line",IF(S2021="","N/A",IF(S2021+I2021&gt;0,"Favorite Covered",IF(S2021+I2021&lt;0,"Underdog Covered","Push"))))</f>
        <v>Underdog Covered</v>
      </c>
      <c r="U2021" s="1" t="str">
        <f aca="false">IF(Q2021&gt;J2021,"Over",IF(Q2021&lt;J2021,"Under","Push"))</f>
        <v>Under</v>
      </c>
    </row>
    <row r="2022" customFormat="false" ht="15" hidden="false" customHeight="false" outlineLevel="0" collapsed="false">
      <c r="A2022" s="1" t="s">
        <v>616</v>
      </c>
      <c r="B2022" s="1" t="n">
        <v>2017</v>
      </c>
      <c r="C2022" s="1" t="s">
        <v>207</v>
      </c>
      <c r="D2022" s="1" t="s">
        <v>75</v>
      </c>
      <c r="E2022" s="1" t="s">
        <v>57</v>
      </c>
      <c r="F2022" s="1" t="n">
        <v>0</v>
      </c>
      <c r="G2022" s="1" t="n">
        <v>23</v>
      </c>
      <c r="H2022" s="1" t="s">
        <v>58</v>
      </c>
      <c r="I2022" s="1" t="n">
        <v>-2</v>
      </c>
      <c r="J2022" s="1" t="n">
        <v>38</v>
      </c>
      <c r="K2022" s="1" t="s">
        <v>168</v>
      </c>
      <c r="L2022" s="1" t="b">
        <f aca="false">FALSE()</f>
        <v>0</v>
      </c>
      <c r="M2022" s="1" t="str">
        <f aca="false">VLOOKUP(D2022,'Team Reference'!$A:$B,2,FALSE())</f>
        <v>GB</v>
      </c>
      <c r="N2022" s="1" t="str">
        <f aca="false">VLOOKUP(E2022,'Team Reference'!$A:$B,2,FALSE())</f>
        <v>BAL</v>
      </c>
      <c r="O2022" s="1" t="str">
        <f aca="false">IF(F2022&gt;G2022,M2022,IF(G2022&gt;F2022,N2022,"Tie"))</f>
        <v>BAL</v>
      </c>
      <c r="P2022" s="1" t="n">
        <f aca="false">F2022-G2022</f>
        <v>-23</v>
      </c>
      <c r="Q2022" s="1" t="n">
        <f aca="false">F2022+G2022</f>
        <v>23</v>
      </c>
      <c r="R2022" s="1" t="str">
        <f aca="false">IF(H2022=M2022,"Home",IF(H2022=N2022,"Away",IF(H2022="PICK","Pick","N/A")))</f>
        <v>Away</v>
      </c>
      <c r="S2022" s="1" t="n">
        <f aca="false">IF(R2022="Home",P2022,IF(R2022="Away",-P2022,""))</f>
        <v>23</v>
      </c>
      <c r="T2022" s="1" t="str">
        <f aca="false">IF(R2022="Pick","No Line",IF(S2022="","N/A",IF(S2022+I2022&gt;0,"Favorite Covered",IF(S2022+I2022&lt;0,"Underdog Covered","Push"))))</f>
        <v>Favorite Covered</v>
      </c>
      <c r="U2022" s="1" t="str">
        <f aca="false">IF(Q2022&gt;J2022,"Over",IF(Q2022&lt;J2022,"Under","Push"))</f>
        <v>Under</v>
      </c>
    </row>
    <row r="2023" customFormat="false" ht="15" hidden="false" customHeight="false" outlineLevel="0" collapsed="false">
      <c r="A2023" s="1" t="s">
        <v>616</v>
      </c>
      <c r="B2023" s="1" t="n">
        <v>2017</v>
      </c>
      <c r="C2023" s="1" t="s">
        <v>207</v>
      </c>
      <c r="D2023" s="1" t="s">
        <v>77</v>
      </c>
      <c r="E2023" s="1" t="s">
        <v>53</v>
      </c>
      <c r="F2023" s="1" t="n">
        <v>31</v>
      </c>
      <c r="G2023" s="1" t="n">
        <v>21</v>
      </c>
      <c r="H2023" s="1" t="s">
        <v>78</v>
      </c>
      <c r="I2023" s="1" t="n">
        <v>-2</v>
      </c>
      <c r="J2023" s="1" t="n">
        <v>37.5</v>
      </c>
      <c r="K2023" s="1" t="s">
        <v>580</v>
      </c>
      <c r="L2023" s="1" t="b">
        <f aca="false">FALSE()</f>
        <v>0</v>
      </c>
      <c r="M2023" s="1" t="str">
        <f aca="false">VLOOKUP(D2023,'Team Reference'!$A:$B,2,FALSE())</f>
        <v>HOU</v>
      </c>
      <c r="N2023" s="1" t="str">
        <f aca="false">VLOOKUP(E2023,'Team Reference'!$A:$B,2,FALSE())</f>
        <v>ARI</v>
      </c>
      <c r="O2023" s="1" t="str">
        <f aca="false">IF(F2023&gt;G2023,M2023,IF(G2023&gt;F2023,N2023,"Tie"))</f>
        <v>HOU</v>
      </c>
      <c r="P2023" s="1" t="n">
        <f aca="false">F2023-G2023</f>
        <v>10</v>
      </c>
      <c r="Q2023" s="1" t="n">
        <f aca="false">F2023+G2023</f>
        <v>52</v>
      </c>
      <c r="R2023" s="1" t="str">
        <f aca="false">IF(H2023=M2023,"Home",IF(H2023=N2023,"Away",IF(H2023="PICK","Pick","N/A")))</f>
        <v>Home</v>
      </c>
      <c r="S2023" s="1" t="n">
        <f aca="false">IF(R2023="Home",P2023,IF(R2023="Away",-P2023,""))</f>
        <v>10</v>
      </c>
      <c r="T2023" s="1" t="str">
        <f aca="false">IF(R2023="Pick","No Line",IF(S2023="","N/A",IF(S2023+I2023&gt;0,"Favorite Covered",IF(S2023+I2023&lt;0,"Underdog Covered","Push"))))</f>
        <v>Favorite Covered</v>
      </c>
      <c r="U2023" s="1" t="str">
        <f aca="false">IF(Q2023&gt;J2023,"Over",IF(Q2023&lt;J2023,"Under","Push"))</f>
        <v>Over</v>
      </c>
    </row>
    <row r="2024" customFormat="false" ht="15" hidden="false" customHeight="false" outlineLevel="0" collapsed="false">
      <c r="A2024" s="1" t="s">
        <v>616</v>
      </c>
      <c r="B2024" s="1" t="n">
        <v>2017</v>
      </c>
      <c r="C2024" s="1" t="s">
        <v>207</v>
      </c>
      <c r="D2024" s="1" t="s">
        <v>85</v>
      </c>
      <c r="E2024" s="1" t="s">
        <v>59</v>
      </c>
      <c r="F2024" s="1" t="n">
        <v>54</v>
      </c>
      <c r="G2024" s="1" t="n">
        <v>24</v>
      </c>
      <c r="H2024" s="1" t="s">
        <v>86</v>
      </c>
      <c r="I2024" s="1" t="n">
        <v>-6.5</v>
      </c>
      <c r="J2024" s="1" t="n">
        <v>41</v>
      </c>
      <c r="K2024" s="1" t="s">
        <v>588</v>
      </c>
      <c r="L2024" s="1" t="b">
        <f aca="false">FALSE()</f>
        <v>0</v>
      </c>
      <c r="M2024" s="1" t="str">
        <f aca="false">VLOOKUP(D2024,'Team Reference'!$A:$B,2,FALSE())</f>
        <v>LAC</v>
      </c>
      <c r="N2024" s="1" t="str">
        <f aca="false">VLOOKUP(E2024,'Team Reference'!$A:$B,2,FALSE())</f>
        <v>BUF</v>
      </c>
      <c r="O2024" s="1" t="str">
        <f aca="false">IF(F2024&gt;G2024,M2024,IF(G2024&gt;F2024,N2024,"Tie"))</f>
        <v>LAC</v>
      </c>
      <c r="P2024" s="1" t="n">
        <f aca="false">F2024-G2024</f>
        <v>30</v>
      </c>
      <c r="Q2024" s="1" t="n">
        <f aca="false">F2024+G2024</f>
        <v>78</v>
      </c>
      <c r="R2024" s="1" t="str">
        <f aca="false">IF(H2024=M2024,"Home",IF(H2024=N2024,"Away",IF(H2024="PICK","Pick","N/A")))</f>
        <v>Home</v>
      </c>
      <c r="S2024" s="1" t="n">
        <f aca="false">IF(R2024="Home",P2024,IF(R2024="Away",-P2024,""))</f>
        <v>30</v>
      </c>
      <c r="T2024" s="1" t="str">
        <f aca="false">IF(R2024="Pick","No Line",IF(S2024="","N/A",IF(S2024+I2024&gt;0,"Favorite Covered",IF(S2024+I2024&lt;0,"Underdog Covered","Push"))))</f>
        <v>Favorite Covered</v>
      </c>
      <c r="U2024" s="1" t="str">
        <f aca="false">IF(Q2024&gt;J2024,"Over",IF(Q2024&lt;J2024,"Under","Push"))</f>
        <v>Over</v>
      </c>
    </row>
    <row r="2025" customFormat="false" ht="15" hidden="false" customHeight="false" outlineLevel="0" collapsed="false">
      <c r="A2025" s="1" t="s">
        <v>616</v>
      </c>
      <c r="B2025" s="1" t="n">
        <v>2017</v>
      </c>
      <c r="C2025" s="1" t="s">
        <v>207</v>
      </c>
      <c r="D2025" s="1" t="s">
        <v>89</v>
      </c>
      <c r="E2025" s="1" t="s">
        <v>113</v>
      </c>
      <c r="F2025" s="1" t="n">
        <v>20</v>
      </c>
      <c r="G2025" s="1" t="n">
        <v>30</v>
      </c>
      <c r="H2025" s="1" t="s">
        <v>114</v>
      </c>
      <c r="I2025" s="1" t="n">
        <v>-1</v>
      </c>
      <c r="J2025" s="1" t="n">
        <v>42</v>
      </c>
      <c r="K2025" s="1" t="s">
        <v>598</v>
      </c>
      <c r="L2025" s="1" t="b">
        <f aca="false">FALSE()</f>
        <v>0</v>
      </c>
      <c r="M2025" s="1" t="str">
        <f aca="false">VLOOKUP(D2025,'Team Reference'!$A:$B,2,FALSE())</f>
        <v>MIA</v>
      </c>
      <c r="N2025" s="1" t="str">
        <f aca="false">VLOOKUP(E2025,'Team Reference'!$A:$B,2,FALSE())</f>
        <v>TB</v>
      </c>
      <c r="O2025" s="1" t="str">
        <f aca="false">IF(F2025&gt;G2025,M2025,IF(G2025&gt;F2025,N2025,"Tie"))</f>
        <v>TB</v>
      </c>
      <c r="P2025" s="1" t="n">
        <f aca="false">F2025-G2025</f>
        <v>-10</v>
      </c>
      <c r="Q2025" s="1" t="n">
        <f aca="false">F2025+G2025</f>
        <v>50</v>
      </c>
      <c r="R2025" s="1" t="str">
        <f aca="false">IF(H2025=M2025,"Home",IF(H2025=N2025,"Away",IF(H2025="PICK","Pick","N/A")))</f>
        <v>Away</v>
      </c>
      <c r="S2025" s="1" t="n">
        <f aca="false">IF(R2025="Home",P2025,IF(R2025="Away",-P2025,""))</f>
        <v>10</v>
      </c>
      <c r="T2025" s="1" t="str">
        <f aca="false">IF(R2025="Pick","No Line",IF(S2025="","N/A",IF(S2025+I2025&gt;0,"Favorite Covered",IF(S2025+I2025&lt;0,"Underdog Covered","Push"))))</f>
        <v>Favorite Covered</v>
      </c>
      <c r="U2025" s="1" t="str">
        <f aca="false">IF(Q2025&gt;J2025,"Over",IF(Q2025&lt;J2025,"Under","Push"))</f>
        <v>Over</v>
      </c>
    </row>
    <row r="2026" customFormat="false" ht="15" hidden="false" customHeight="false" outlineLevel="0" collapsed="false">
      <c r="A2026" s="1" t="s">
        <v>616</v>
      </c>
      <c r="B2026" s="1" t="n">
        <v>2017</v>
      </c>
      <c r="C2026" s="1" t="s">
        <v>207</v>
      </c>
      <c r="D2026" s="1" t="s">
        <v>91</v>
      </c>
      <c r="E2026" s="1" t="s">
        <v>87</v>
      </c>
      <c r="F2026" s="1" t="n">
        <v>24</v>
      </c>
      <c r="G2026" s="1" t="n">
        <v>7</v>
      </c>
      <c r="H2026" s="1" t="s">
        <v>92</v>
      </c>
      <c r="I2026" s="1" t="n">
        <v>-2.5</v>
      </c>
      <c r="J2026" s="1" t="n">
        <v>45.5</v>
      </c>
      <c r="K2026" s="1" t="s">
        <v>525</v>
      </c>
      <c r="L2026" s="1" t="b">
        <f aca="false">FALSE()</f>
        <v>0</v>
      </c>
      <c r="M2026" s="1" t="str">
        <f aca="false">VLOOKUP(D2026,'Team Reference'!$A:$B,2,FALSE())</f>
        <v>MIN</v>
      </c>
      <c r="N2026" s="1" t="str">
        <f aca="false">VLOOKUP(E2026,'Team Reference'!$A:$B,2,FALSE())</f>
        <v>LAR</v>
      </c>
      <c r="O2026" s="1" t="str">
        <f aca="false">IF(F2026&gt;G2026,M2026,IF(G2026&gt;F2026,N2026,"Tie"))</f>
        <v>MIN</v>
      </c>
      <c r="P2026" s="1" t="n">
        <f aca="false">F2026-G2026</f>
        <v>17</v>
      </c>
      <c r="Q2026" s="1" t="n">
        <f aca="false">F2026+G2026</f>
        <v>31</v>
      </c>
      <c r="R2026" s="1" t="str">
        <f aca="false">IF(H2026=M2026,"Home",IF(H2026=N2026,"Away",IF(H2026="PICK","Pick","N/A")))</f>
        <v>Home</v>
      </c>
      <c r="S2026" s="1" t="n">
        <f aca="false">IF(R2026="Home",P2026,IF(R2026="Away",-P2026,""))</f>
        <v>17</v>
      </c>
      <c r="T2026" s="1" t="str">
        <f aca="false">IF(R2026="Pick","No Line",IF(S2026="","N/A",IF(S2026+I2026&gt;0,"Favorite Covered",IF(S2026+I2026&lt;0,"Underdog Covered","Push"))))</f>
        <v>Favorite Covered</v>
      </c>
      <c r="U2026" s="1" t="str">
        <f aca="false">IF(Q2026&gt;J2026,"Over",IF(Q2026&lt;J2026,"Under","Push"))</f>
        <v>Under</v>
      </c>
    </row>
    <row r="2027" customFormat="false" ht="15" hidden="false" customHeight="false" outlineLevel="0" collapsed="false">
      <c r="A2027" s="1" t="s">
        <v>616</v>
      </c>
      <c r="B2027" s="1" t="n">
        <v>2017</v>
      </c>
      <c r="C2027" s="1" t="s">
        <v>207</v>
      </c>
      <c r="D2027" s="1" t="s">
        <v>95</v>
      </c>
      <c r="E2027" s="1" t="s">
        <v>117</v>
      </c>
      <c r="F2027" s="1" t="n">
        <v>34</v>
      </c>
      <c r="G2027" s="1" t="n">
        <v>31</v>
      </c>
      <c r="H2027" s="1" t="s">
        <v>96</v>
      </c>
      <c r="I2027" s="1" t="n">
        <v>-7.5</v>
      </c>
      <c r="J2027" s="1" t="n">
        <v>52.5</v>
      </c>
      <c r="K2027" s="1" t="s">
        <v>347</v>
      </c>
      <c r="L2027" s="1" t="b">
        <f aca="false">FALSE()</f>
        <v>0</v>
      </c>
      <c r="M2027" s="1" t="str">
        <f aca="false">VLOOKUP(D2027,'Team Reference'!$A:$B,2,FALSE())</f>
        <v>NO</v>
      </c>
      <c r="N2027" s="1" t="str">
        <f aca="false">VLOOKUP(E2027,'Team Reference'!$A:$B,2,FALSE())</f>
        <v>WAS</v>
      </c>
      <c r="O2027" s="1" t="str">
        <f aca="false">IF(F2027&gt;G2027,M2027,IF(G2027&gt;F2027,N2027,"Tie"))</f>
        <v>NO</v>
      </c>
      <c r="P2027" s="1" t="n">
        <f aca="false">F2027-G2027</f>
        <v>3</v>
      </c>
      <c r="Q2027" s="1" t="n">
        <f aca="false">F2027+G2027</f>
        <v>65</v>
      </c>
      <c r="R2027" s="1" t="str">
        <f aca="false">IF(H2027=M2027,"Home",IF(H2027=N2027,"Away",IF(H2027="PICK","Pick","N/A")))</f>
        <v>Home</v>
      </c>
      <c r="S2027" s="1" t="n">
        <f aca="false">IF(R2027="Home",P2027,IF(R2027="Away",-P2027,""))</f>
        <v>3</v>
      </c>
      <c r="T2027" s="1" t="str">
        <f aca="false">IF(R2027="Pick","No Line",IF(S2027="","N/A",IF(S2027+I2027&gt;0,"Favorite Covered",IF(S2027+I2027&lt;0,"Underdog Covered","Push"))))</f>
        <v>Underdog Covered</v>
      </c>
      <c r="U2027" s="1" t="str">
        <f aca="false">IF(Q2027&gt;J2027,"Over",IF(Q2027&lt;J2027,"Under","Push"))</f>
        <v>Over</v>
      </c>
    </row>
    <row r="2028" customFormat="false" ht="15" hidden="false" customHeight="false" outlineLevel="0" collapsed="false">
      <c r="A2028" s="1" t="s">
        <v>616</v>
      </c>
      <c r="B2028" s="1" t="n">
        <v>2017</v>
      </c>
      <c r="C2028" s="1" t="s">
        <v>207</v>
      </c>
      <c r="D2028" s="1" t="s">
        <v>97</v>
      </c>
      <c r="E2028" s="1" t="s">
        <v>83</v>
      </c>
      <c r="F2028" s="1" t="n">
        <v>12</v>
      </c>
      <c r="G2028" s="1" t="n">
        <v>9</v>
      </c>
      <c r="H2028" s="1" t="s">
        <v>84</v>
      </c>
      <c r="I2028" s="1" t="n">
        <v>-10</v>
      </c>
      <c r="J2028" s="1" t="n">
        <v>45.5</v>
      </c>
      <c r="K2028" s="1" t="s">
        <v>149</v>
      </c>
      <c r="L2028" s="1" t="b">
        <f aca="false">FALSE()</f>
        <v>0</v>
      </c>
      <c r="M2028" s="1" t="str">
        <f aca="false">VLOOKUP(D2028,'Team Reference'!$A:$B,2,FALSE())</f>
        <v>NYG</v>
      </c>
      <c r="N2028" s="1" t="str">
        <f aca="false">VLOOKUP(E2028,'Team Reference'!$A:$B,2,FALSE())</f>
        <v>KC</v>
      </c>
      <c r="O2028" s="1" t="str">
        <f aca="false">IF(F2028&gt;G2028,M2028,IF(G2028&gt;F2028,N2028,"Tie"))</f>
        <v>NYG</v>
      </c>
      <c r="P2028" s="1" t="n">
        <f aca="false">F2028-G2028</f>
        <v>3</v>
      </c>
      <c r="Q2028" s="1" t="n">
        <f aca="false">F2028+G2028</f>
        <v>21</v>
      </c>
      <c r="R2028" s="1" t="str">
        <f aca="false">IF(H2028=M2028,"Home",IF(H2028=N2028,"Away",IF(H2028="PICK","Pick","N/A")))</f>
        <v>Away</v>
      </c>
      <c r="S2028" s="1" t="n">
        <f aca="false">IF(R2028="Home",P2028,IF(R2028="Away",-P2028,""))</f>
        <v>-3</v>
      </c>
      <c r="T2028" s="1" t="str">
        <f aca="false">IF(R2028="Pick","No Line",IF(S2028="","N/A",IF(S2028+I2028&gt;0,"Favorite Covered",IF(S2028+I2028&lt;0,"Underdog Covered","Push"))))</f>
        <v>Underdog Covered</v>
      </c>
      <c r="U2028" s="1" t="str">
        <f aca="false">IF(Q2028&gt;J2028,"Over",IF(Q2028&lt;J2028,"Under","Push"))</f>
        <v>Under</v>
      </c>
    </row>
    <row r="2029" customFormat="false" ht="15" hidden="false" customHeight="false" outlineLevel="0" collapsed="false">
      <c r="A2029" s="1" t="s">
        <v>616</v>
      </c>
      <c r="B2029" s="1" t="n">
        <v>2017</v>
      </c>
      <c r="C2029" s="1" t="s">
        <v>207</v>
      </c>
      <c r="D2029" s="1" t="s">
        <v>101</v>
      </c>
      <c r="E2029" s="1" t="s">
        <v>93</v>
      </c>
      <c r="F2029" s="1" t="n">
        <v>8</v>
      </c>
      <c r="G2029" s="1" t="n">
        <v>33</v>
      </c>
      <c r="H2029" s="1" t="s">
        <v>94</v>
      </c>
      <c r="I2029" s="1" t="n">
        <v>-7</v>
      </c>
      <c r="J2029" s="1" t="n">
        <v>54.5</v>
      </c>
      <c r="K2029" s="1" t="s">
        <v>554</v>
      </c>
      <c r="L2029" s="1" t="b">
        <f aca="false">FALSE()</f>
        <v>0</v>
      </c>
      <c r="M2029" s="1" t="str">
        <f aca="false">VLOOKUP(D2029,'Team Reference'!$A:$B,2,FALSE())</f>
        <v>OAK</v>
      </c>
      <c r="N2029" s="1" t="str">
        <f aca="false">VLOOKUP(E2029,'Team Reference'!$A:$B,2,FALSE())</f>
        <v>NE</v>
      </c>
      <c r="O2029" s="1" t="str">
        <f aca="false">IF(F2029&gt;G2029,M2029,IF(G2029&gt;F2029,N2029,"Tie"))</f>
        <v>NE</v>
      </c>
      <c r="P2029" s="1" t="n">
        <f aca="false">F2029-G2029</f>
        <v>-25</v>
      </c>
      <c r="Q2029" s="1" t="n">
        <f aca="false">F2029+G2029</f>
        <v>41</v>
      </c>
      <c r="R2029" s="1" t="str">
        <f aca="false">IF(H2029=M2029,"Home",IF(H2029=N2029,"Away",IF(H2029="PICK","Pick","N/A")))</f>
        <v>Away</v>
      </c>
      <c r="S2029" s="1" t="n">
        <f aca="false">IF(R2029="Home",P2029,IF(R2029="Away",-P2029,""))</f>
        <v>25</v>
      </c>
      <c r="T2029" s="1" t="str">
        <f aca="false">IF(R2029="Pick","No Line",IF(S2029="","N/A",IF(S2029+I2029&gt;0,"Favorite Covered",IF(S2029+I2029&lt;0,"Underdog Covered","Push"))))</f>
        <v>Favorite Covered</v>
      </c>
      <c r="U2029" s="1" t="str">
        <f aca="false">IF(Q2029&gt;J2029,"Over",IF(Q2029&lt;J2029,"Under","Push"))</f>
        <v>Under</v>
      </c>
    </row>
    <row r="2030" customFormat="false" ht="15" hidden="false" customHeight="false" outlineLevel="0" collapsed="false">
      <c r="A2030" s="1" t="s">
        <v>617</v>
      </c>
      <c r="B2030" s="1" t="n">
        <v>2017</v>
      </c>
      <c r="C2030" s="1" t="s">
        <v>207</v>
      </c>
      <c r="D2030" s="1" t="s">
        <v>110</v>
      </c>
      <c r="E2030" s="1" t="s">
        <v>55</v>
      </c>
      <c r="F2030" s="1" t="n">
        <v>31</v>
      </c>
      <c r="G2030" s="1" t="n">
        <v>34</v>
      </c>
      <c r="H2030" s="1" t="s">
        <v>111</v>
      </c>
      <c r="I2030" s="1" t="n">
        <v>-2</v>
      </c>
      <c r="J2030" s="1" t="n">
        <v>45.5</v>
      </c>
      <c r="K2030" s="1" t="s">
        <v>152</v>
      </c>
      <c r="L2030" s="1" t="b">
        <f aca="false">FALSE()</f>
        <v>0</v>
      </c>
      <c r="M2030" s="1" t="str">
        <f aca="false">VLOOKUP(D2030,'Team Reference'!$A:$B,2,FALSE())</f>
        <v>SEA</v>
      </c>
      <c r="N2030" s="1" t="str">
        <f aca="false">VLOOKUP(E2030,'Team Reference'!$A:$B,2,FALSE())</f>
        <v>ATL</v>
      </c>
      <c r="O2030" s="1" t="str">
        <f aca="false">IF(F2030&gt;G2030,M2030,IF(G2030&gt;F2030,N2030,"Tie"))</f>
        <v>ATL</v>
      </c>
      <c r="P2030" s="1" t="n">
        <f aca="false">F2030-G2030</f>
        <v>-3</v>
      </c>
      <c r="Q2030" s="1" t="n">
        <f aca="false">F2030+G2030</f>
        <v>65</v>
      </c>
      <c r="R2030" s="1" t="str">
        <f aca="false">IF(H2030=M2030,"Home",IF(H2030=N2030,"Away",IF(H2030="PICK","Pick","N/A")))</f>
        <v>Home</v>
      </c>
      <c r="S2030" s="1" t="n">
        <f aca="false">IF(R2030="Home",P2030,IF(R2030="Away",-P2030,""))</f>
        <v>-3</v>
      </c>
      <c r="T2030" s="1" t="str">
        <f aca="false">IF(R2030="Pick","No Line",IF(S2030="","N/A",IF(S2030+I2030&gt;0,"Favorite Covered",IF(S2030+I2030&lt;0,"Underdog Covered","Push"))))</f>
        <v>Underdog Covered</v>
      </c>
      <c r="U2030" s="1" t="str">
        <f aca="false">IF(Q2030&gt;J2030,"Over",IF(Q2030&lt;J2030,"Under","Push"))</f>
        <v>Over</v>
      </c>
    </row>
    <row r="2031" customFormat="false" ht="15" hidden="false" customHeight="false" outlineLevel="0" collapsed="false">
      <c r="A2031" s="1" t="s">
        <v>618</v>
      </c>
      <c r="B2031" s="1" t="n">
        <v>2017</v>
      </c>
      <c r="C2031" s="1" t="s">
        <v>211</v>
      </c>
      <c r="D2031" s="1" t="s">
        <v>69</v>
      </c>
      <c r="E2031" s="1" t="s">
        <v>85</v>
      </c>
      <c r="F2031" s="1" t="n">
        <v>6</v>
      </c>
      <c r="G2031" s="1" t="n">
        <v>28</v>
      </c>
      <c r="H2031" s="1" t="s">
        <v>86</v>
      </c>
      <c r="I2031" s="1" t="n">
        <v>-1</v>
      </c>
      <c r="J2031" s="1" t="n">
        <v>48</v>
      </c>
      <c r="K2031" s="1" t="s">
        <v>583</v>
      </c>
      <c r="L2031" s="1" t="b">
        <f aca="false">FALSE()</f>
        <v>0</v>
      </c>
      <c r="M2031" s="1" t="str">
        <f aca="false">VLOOKUP(D2031,'Team Reference'!$A:$B,2,FALSE())</f>
        <v>DAL</v>
      </c>
      <c r="N2031" s="1" t="str">
        <f aca="false">VLOOKUP(E2031,'Team Reference'!$A:$B,2,FALSE())</f>
        <v>LAC</v>
      </c>
      <c r="O2031" s="1" t="str">
        <f aca="false">IF(F2031&gt;G2031,M2031,IF(G2031&gt;F2031,N2031,"Tie"))</f>
        <v>LAC</v>
      </c>
      <c r="P2031" s="1" t="n">
        <f aca="false">F2031-G2031</f>
        <v>-22</v>
      </c>
      <c r="Q2031" s="1" t="n">
        <f aca="false">F2031+G2031</f>
        <v>34</v>
      </c>
      <c r="R2031" s="1" t="str">
        <f aca="false">IF(H2031=M2031,"Home",IF(H2031=N2031,"Away",IF(H2031="PICK","Pick","N/A")))</f>
        <v>Away</v>
      </c>
      <c r="S2031" s="1" t="n">
        <f aca="false">IF(R2031="Home",P2031,IF(R2031="Away",-P2031,""))</f>
        <v>22</v>
      </c>
      <c r="T2031" s="1" t="str">
        <f aca="false">IF(R2031="Pick","No Line",IF(S2031="","N/A",IF(S2031+I2031&gt;0,"Favorite Covered",IF(S2031+I2031&lt;0,"Underdog Covered","Push"))))</f>
        <v>Favorite Covered</v>
      </c>
      <c r="U2031" s="1" t="str">
        <f aca="false">IF(Q2031&gt;J2031,"Over",IF(Q2031&lt;J2031,"Under","Push"))</f>
        <v>Under</v>
      </c>
    </row>
    <row r="2032" customFormat="false" ht="15" hidden="false" customHeight="false" outlineLevel="0" collapsed="false">
      <c r="A2032" s="1" t="s">
        <v>618</v>
      </c>
      <c r="B2032" s="1" t="n">
        <v>2017</v>
      </c>
      <c r="C2032" s="1" t="s">
        <v>211</v>
      </c>
      <c r="D2032" s="1" t="s">
        <v>73</v>
      </c>
      <c r="E2032" s="1" t="s">
        <v>91</v>
      </c>
      <c r="F2032" s="1" t="n">
        <v>23</v>
      </c>
      <c r="G2032" s="1" t="n">
        <v>30</v>
      </c>
      <c r="H2032" s="1" t="s">
        <v>92</v>
      </c>
      <c r="I2032" s="1" t="n">
        <v>-3</v>
      </c>
      <c r="J2032" s="1" t="n">
        <v>44.5</v>
      </c>
      <c r="K2032" s="1" t="s">
        <v>167</v>
      </c>
      <c r="L2032" s="1" t="b">
        <f aca="false">FALSE()</f>
        <v>0</v>
      </c>
      <c r="M2032" s="1" t="str">
        <f aca="false">VLOOKUP(D2032,'Team Reference'!$A:$B,2,FALSE())</f>
        <v>DET</v>
      </c>
      <c r="N2032" s="1" t="str">
        <f aca="false">VLOOKUP(E2032,'Team Reference'!$A:$B,2,FALSE())</f>
        <v>MIN</v>
      </c>
      <c r="O2032" s="1" t="str">
        <f aca="false">IF(F2032&gt;G2032,M2032,IF(G2032&gt;F2032,N2032,"Tie"))</f>
        <v>MIN</v>
      </c>
      <c r="P2032" s="1" t="n">
        <f aca="false">F2032-G2032</f>
        <v>-7</v>
      </c>
      <c r="Q2032" s="1" t="n">
        <f aca="false">F2032+G2032</f>
        <v>53</v>
      </c>
      <c r="R2032" s="1" t="str">
        <f aca="false">IF(H2032=M2032,"Home",IF(H2032=N2032,"Away",IF(H2032="PICK","Pick","N/A")))</f>
        <v>Away</v>
      </c>
      <c r="S2032" s="1" t="n">
        <f aca="false">IF(R2032="Home",P2032,IF(R2032="Away",-P2032,""))</f>
        <v>7</v>
      </c>
      <c r="T2032" s="1" t="str">
        <f aca="false">IF(R2032="Pick","No Line",IF(S2032="","N/A",IF(S2032+I2032&gt;0,"Favorite Covered",IF(S2032+I2032&lt;0,"Underdog Covered","Push"))))</f>
        <v>Favorite Covered</v>
      </c>
      <c r="U2032" s="1" t="str">
        <f aca="false">IF(Q2032&gt;J2032,"Over",IF(Q2032&lt;J2032,"Under","Push"))</f>
        <v>Over</v>
      </c>
    </row>
    <row r="2033" customFormat="false" ht="15" hidden="false" customHeight="false" outlineLevel="0" collapsed="false">
      <c r="A2033" s="1" t="s">
        <v>618</v>
      </c>
      <c r="B2033" s="1" t="n">
        <v>2017</v>
      </c>
      <c r="C2033" s="1" t="s">
        <v>211</v>
      </c>
      <c r="D2033" s="1" t="s">
        <v>117</v>
      </c>
      <c r="E2033" s="1" t="s">
        <v>97</v>
      </c>
      <c r="F2033" s="1" t="n">
        <v>20</v>
      </c>
      <c r="G2033" s="1" t="n">
        <v>10</v>
      </c>
      <c r="H2033" s="1" t="s">
        <v>118</v>
      </c>
      <c r="I2033" s="1" t="n">
        <v>-7.5</v>
      </c>
      <c r="J2033" s="1" t="n">
        <v>45</v>
      </c>
      <c r="K2033" s="1" t="s">
        <v>156</v>
      </c>
      <c r="L2033" s="1" t="b">
        <f aca="false">FALSE()</f>
        <v>0</v>
      </c>
      <c r="M2033" s="1" t="str">
        <f aca="false">VLOOKUP(D2033,'Team Reference'!$A:$B,2,FALSE())</f>
        <v>WAS</v>
      </c>
      <c r="N2033" s="1" t="str">
        <f aca="false">VLOOKUP(E2033,'Team Reference'!$A:$B,2,FALSE())</f>
        <v>NYG</v>
      </c>
      <c r="O2033" s="1" t="str">
        <f aca="false">IF(F2033&gt;G2033,M2033,IF(G2033&gt;F2033,N2033,"Tie"))</f>
        <v>WAS</v>
      </c>
      <c r="P2033" s="1" t="n">
        <f aca="false">F2033-G2033</f>
        <v>10</v>
      </c>
      <c r="Q2033" s="1" t="n">
        <f aca="false">F2033+G2033</f>
        <v>30</v>
      </c>
      <c r="R2033" s="1" t="str">
        <f aca="false">IF(H2033=M2033,"Home",IF(H2033=N2033,"Away",IF(H2033="PICK","Pick","N/A")))</f>
        <v>Home</v>
      </c>
      <c r="S2033" s="1" t="n">
        <f aca="false">IF(R2033="Home",P2033,IF(R2033="Away",-P2033,""))</f>
        <v>10</v>
      </c>
      <c r="T2033" s="1" t="str">
        <f aca="false">IF(R2033="Pick","No Line",IF(S2033="","N/A",IF(S2033+I2033&gt;0,"Favorite Covered",IF(S2033+I2033&lt;0,"Underdog Covered","Push"))))</f>
        <v>Favorite Covered</v>
      </c>
      <c r="U2033" s="1" t="str">
        <f aca="false">IF(Q2033&gt;J2033,"Over",IF(Q2033&lt;J2033,"Under","Push"))</f>
        <v>Under</v>
      </c>
    </row>
    <row r="2034" customFormat="false" ht="15" hidden="false" customHeight="false" outlineLevel="0" collapsed="false">
      <c r="A2034" s="1" t="s">
        <v>619</v>
      </c>
      <c r="B2034" s="1" t="n">
        <v>2017</v>
      </c>
      <c r="C2034" s="1" t="s">
        <v>211</v>
      </c>
      <c r="D2034" s="1" t="s">
        <v>53</v>
      </c>
      <c r="E2034" s="1" t="s">
        <v>81</v>
      </c>
      <c r="F2034" s="1" t="n">
        <v>27</v>
      </c>
      <c r="G2034" s="1" t="n">
        <v>24</v>
      </c>
      <c r="H2034" s="1" t="s">
        <v>82</v>
      </c>
      <c r="I2034" s="1" t="n">
        <v>-5</v>
      </c>
      <c r="J2034" s="1" t="n">
        <v>38</v>
      </c>
      <c r="K2034" s="1" t="s">
        <v>177</v>
      </c>
      <c r="L2034" s="1" t="b">
        <f aca="false">FALSE()</f>
        <v>0</v>
      </c>
      <c r="M2034" s="1" t="str">
        <f aca="false">VLOOKUP(D2034,'Team Reference'!$A:$B,2,FALSE())</f>
        <v>ARI</v>
      </c>
      <c r="N2034" s="1" t="str">
        <f aca="false">VLOOKUP(E2034,'Team Reference'!$A:$B,2,FALSE())</f>
        <v>JAX</v>
      </c>
      <c r="O2034" s="1" t="str">
        <f aca="false">IF(F2034&gt;G2034,M2034,IF(G2034&gt;F2034,N2034,"Tie"))</f>
        <v>ARI</v>
      </c>
      <c r="P2034" s="1" t="n">
        <f aca="false">F2034-G2034</f>
        <v>3</v>
      </c>
      <c r="Q2034" s="1" t="n">
        <f aca="false">F2034+G2034</f>
        <v>51</v>
      </c>
      <c r="R2034" s="1" t="str">
        <f aca="false">IF(H2034=M2034,"Home",IF(H2034=N2034,"Away",IF(H2034="PICK","Pick","N/A")))</f>
        <v>Away</v>
      </c>
      <c r="S2034" s="1" t="n">
        <f aca="false">IF(R2034="Home",P2034,IF(R2034="Away",-P2034,""))</f>
        <v>-3</v>
      </c>
      <c r="T2034" s="1" t="str">
        <f aca="false">IF(R2034="Pick","No Line",IF(S2034="","N/A",IF(S2034+I2034&gt;0,"Favorite Covered",IF(S2034+I2034&lt;0,"Underdog Covered","Push"))))</f>
        <v>Underdog Covered</v>
      </c>
      <c r="U2034" s="1" t="str">
        <f aca="false">IF(Q2034&gt;J2034,"Over",IF(Q2034&lt;J2034,"Under","Push"))</f>
        <v>Over</v>
      </c>
    </row>
    <row r="2035" customFormat="false" ht="15" hidden="false" customHeight="false" outlineLevel="0" collapsed="false">
      <c r="A2035" s="1" t="s">
        <v>619</v>
      </c>
      <c r="B2035" s="1" t="n">
        <v>2017</v>
      </c>
      <c r="C2035" s="1" t="s">
        <v>211</v>
      </c>
      <c r="D2035" s="1" t="s">
        <v>55</v>
      </c>
      <c r="E2035" s="1" t="s">
        <v>113</v>
      </c>
      <c r="F2035" s="1" t="n">
        <v>34</v>
      </c>
      <c r="G2035" s="1" t="n">
        <v>20</v>
      </c>
      <c r="H2035" s="1" t="s">
        <v>56</v>
      </c>
      <c r="I2035" s="1" t="n">
        <v>-10</v>
      </c>
      <c r="J2035" s="1" t="n">
        <v>48.5</v>
      </c>
      <c r="K2035" s="1" t="s">
        <v>161</v>
      </c>
      <c r="L2035" s="1" t="b">
        <f aca="false">FALSE()</f>
        <v>0</v>
      </c>
      <c r="M2035" s="1" t="str">
        <f aca="false">VLOOKUP(D2035,'Team Reference'!$A:$B,2,FALSE())</f>
        <v>ATL</v>
      </c>
      <c r="N2035" s="1" t="str">
        <f aca="false">VLOOKUP(E2035,'Team Reference'!$A:$B,2,FALSE())</f>
        <v>TB</v>
      </c>
      <c r="O2035" s="1" t="str">
        <f aca="false">IF(F2035&gt;G2035,M2035,IF(G2035&gt;F2035,N2035,"Tie"))</f>
        <v>ATL</v>
      </c>
      <c r="P2035" s="1" t="n">
        <f aca="false">F2035-G2035</f>
        <v>14</v>
      </c>
      <c r="Q2035" s="1" t="n">
        <f aca="false">F2035+G2035</f>
        <v>54</v>
      </c>
      <c r="R2035" s="1" t="str">
        <f aca="false">IF(H2035=M2035,"Home",IF(H2035=N2035,"Away",IF(H2035="PICK","Pick","N/A")))</f>
        <v>Home</v>
      </c>
      <c r="S2035" s="1" t="n">
        <f aca="false">IF(R2035="Home",P2035,IF(R2035="Away",-P2035,""))</f>
        <v>14</v>
      </c>
      <c r="T2035" s="1" t="str">
        <f aca="false">IF(R2035="Pick","No Line",IF(S2035="","N/A",IF(S2035+I2035&gt;0,"Favorite Covered",IF(S2035+I2035&lt;0,"Underdog Covered","Push"))))</f>
        <v>Favorite Covered</v>
      </c>
      <c r="U2035" s="1" t="str">
        <f aca="false">IF(Q2035&gt;J2035,"Over",IF(Q2035&lt;J2035,"Under","Push"))</f>
        <v>Over</v>
      </c>
    </row>
    <row r="2036" customFormat="false" ht="15" hidden="false" customHeight="false" outlineLevel="0" collapsed="false">
      <c r="A2036" s="1" t="s">
        <v>619</v>
      </c>
      <c r="B2036" s="1" t="n">
        <v>2017</v>
      </c>
      <c r="C2036" s="1" t="s">
        <v>211</v>
      </c>
      <c r="D2036" s="1" t="s">
        <v>65</v>
      </c>
      <c r="E2036" s="1" t="s">
        <v>67</v>
      </c>
      <c r="F2036" s="1" t="n">
        <v>30</v>
      </c>
      <c r="G2036" s="1" t="n">
        <v>16</v>
      </c>
      <c r="H2036" s="1" t="s">
        <v>66</v>
      </c>
      <c r="I2036" s="1" t="n">
        <v>-8</v>
      </c>
      <c r="J2036" s="1" t="n">
        <v>38</v>
      </c>
      <c r="K2036" s="1" t="s">
        <v>163</v>
      </c>
      <c r="L2036" s="1" t="b">
        <f aca="false">FALSE()</f>
        <v>0</v>
      </c>
      <c r="M2036" s="1" t="str">
        <f aca="false">VLOOKUP(D2036,'Team Reference'!$A:$B,2,FALSE())</f>
        <v>CIN</v>
      </c>
      <c r="N2036" s="1" t="str">
        <f aca="false">VLOOKUP(E2036,'Team Reference'!$A:$B,2,FALSE())</f>
        <v>CLE</v>
      </c>
      <c r="O2036" s="1" t="str">
        <f aca="false">IF(F2036&gt;G2036,M2036,IF(G2036&gt;F2036,N2036,"Tie"))</f>
        <v>CIN</v>
      </c>
      <c r="P2036" s="1" t="n">
        <f aca="false">F2036-G2036</f>
        <v>14</v>
      </c>
      <c r="Q2036" s="1" t="n">
        <f aca="false">F2036+G2036</f>
        <v>46</v>
      </c>
      <c r="R2036" s="1" t="str">
        <f aca="false">IF(H2036=M2036,"Home",IF(H2036=N2036,"Away",IF(H2036="PICK","Pick","N/A")))</f>
        <v>Home</v>
      </c>
      <c r="S2036" s="1" t="n">
        <f aca="false">IF(R2036="Home",P2036,IF(R2036="Away",-P2036,""))</f>
        <v>14</v>
      </c>
      <c r="T2036" s="1" t="str">
        <f aca="false">IF(R2036="Pick","No Line",IF(S2036="","N/A",IF(S2036+I2036&gt;0,"Favorite Covered",IF(S2036+I2036&lt;0,"Underdog Covered","Push"))))</f>
        <v>Favorite Covered</v>
      </c>
      <c r="U2036" s="1" t="str">
        <f aca="false">IF(Q2036&gt;J2036,"Over",IF(Q2036&lt;J2036,"Under","Push"))</f>
        <v>Over</v>
      </c>
    </row>
    <row r="2037" customFormat="false" ht="15" hidden="false" customHeight="false" outlineLevel="0" collapsed="false">
      <c r="A2037" s="1" t="s">
        <v>619</v>
      </c>
      <c r="B2037" s="1" t="n">
        <v>2017</v>
      </c>
      <c r="C2037" s="1" t="s">
        <v>211</v>
      </c>
      <c r="D2037" s="1" t="s">
        <v>79</v>
      </c>
      <c r="E2037" s="1" t="s">
        <v>115</v>
      </c>
      <c r="F2037" s="1" t="n">
        <v>16</v>
      </c>
      <c r="G2037" s="1" t="n">
        <v>20</v>
      </c>
      <c r="H2037" s="1" t="s">
        <v>116</v>
      </c>
      <c r="I2037" s="1" t="n">
        <v>-3.5</v>
      </c>
      <c r="J2037" s="1" t="n">
        <v>44</v>
      </c>
      <c r="K2037" s="1" t="s">
        <v>169</v>
      </c>
      <c r="L2037" s="1" t="b">
        <f aca="false">FALSE()</f>
        <v>0</v>
      </c>
      <c r="M2037" s="1" t="str">
        <f aca="false">VLOOKUP(D2037,'Team Reference'!$A:$B,2,FALSE())</f>
        <v>IND</v>
      </c>
      <c r="N2037" s="1" t="str">
        <f aca="false">VLOOKUP(E2037,'Team Reference'!$A:$B,2,FALSE())</f>
        <v>TEN</v>
      </c>
      <c r="O2037" s="1" t="str">
        <f aca="false">IF(F2037&gt;G2037,M2037,IF(G2037&gt;F2037,N2037,"Tie"))</f>
        <v>TEN</v>
      </c>
      <c r="P2037" s="1" t="n">
        <f aca="false">F2037-G2037</f>
        <v>-4</v>
      </c>
      <c r="Q2037" s="1" t="n">
        <f aca="false">F2037+G2037</f>
        <v>36</v>
      </c>
      <c r="R2037" s="1" t="str">
        <f aca="false">IF(H2037=M2037,"Home",IF(H2037=N2037,"Away",IF(H2037="PICK","Pick","N/A")))</f>
        <v>Away</v>
      </c>
      <c r="S2037" s="1" t="n">
        <f aca="false">IF(R2037="Home",P2037,IF(R2037="Away",-P2037,""))</f>
        <v>4</v>
      </c>
      <c r="T2037" s="1" t="str">
        <f aca="false">IF(R2037="Pick","No Line",IF(S2037="","N/A",IF(S2037+I2037&gt;0,"Favorite Covered",IF(S2037+I2037&lt;0,"Underdog Covered","Push"))))</f>
        <v>Favorite Covered</v>
      </c>
      <c r="U2037" s="1" t="str">
        <f aca="false">IF(Q2037&gt;J2037,"Over",IF(Q2037&lt;J2037,"Under","Push"))</f>
        <v>Under</v>
      </c>
    </row>
    <row r="2038" customFormat="false" ht="15" hidden="false" customHeight="false" outlineLevel="0" collapsed="false">
      <c r="A2038" s="1" t="s">
        <v>619</v>
      </c>
      <c r="B2038" s="1" t="n">
        <v>2017</v>
      </c>
      <c r="C2038" s="1" t="s">
        <v>211</v>
      </c>
      <c r="D2038" s="1" t="s">
        <v>83</v>
      </c>
      <c r="E2038" s="1" t="s">
        <v>59</v>
      </c>
      <c r="F2038" s="1" t="n">
        <v>10</v>
      </c>
      <c r="G2038" s="1" t="n">
        <v>16</v>
      </c>
      <c r="H2038" s="1" t="s">
        <v>84</v>
      </c>
      <c r="I2038" s="1" t="n">
        <v>-10</v>
      </c>
      <c r="J2038" s="1" t="n">
        <v>46</v>
      </c>
      <c r="K2038" s="1" t="s">
        <v>158</v>
      </c>
      <c r="L2038" s="1" t="b">
        <f aca="false">FALSE()</f>
        <v>0</v>
      </c>
      <c r="M2038" s="1" t="str">
        <f aca="false">VLOOKUP(D2038,'Team Reference'!$A:$B,2,FALSE())</f>
        <v>KC</v>
      </c>
      <c r="N2038" s="1" t="str">
        <f aca="false">VLOOKUP(E2038,'Team Reference'!$A:$B,2,FALSE())</f>
        <v>BUF</v>
      </c>
      <c r="O2038" s="1" t="str">
        <f aca="false">IF(F2038&gt;G2038,M2038,IF(G2038&gt;F2038,N2038,"Tie"))</f>
        <v>BUF</v>
      </c>
      <c r="P2038" s="1" t="n">
        <f aca="false">F2038-G2038</f>
        <v>-6</v>
      </c>
      <c r="Q2038" s="1" t="n">
        <f aca="false">F2038+G2038</f>
        <v>26</v>
      </c>
      <c r="R2038" s="1" t="str">
        <f aca="false">IF(H2038=M2038,"Home",IF(H2038=N2038,"Away",IF(H2038="PICK","Pick","N/A")))</f>
        <v>Home</v>
      </c>
      <c r="S2038" s="1" t="n">
        <f aca="false">IF(R2038="Home",P2038,IF(R2038="Away",-P2038,""))</f>
        <v>-6</v>
      </c>
      <c r="T2038" s="1" t="str">
        <f aca="false">IF(R2038="Pick","No Line",IF(S2038="","N/A",IF(S2038+I2038&gt;0,"Favorite Covered",IF(S2038+I2038&lt;0,"Underdog Covered","Push"))))</f>
        <v>Underdog Covered</v>
      </c>
      <c r="U2038" s="1" t="str">
        <f aca="false">IF(Q2038&gt;J2038,"Over",IF(Q2038&lt;J2038,"Under","Push"))</f>
        <v>Under</v>
      </c>
    </row>
    <row r="2039" customFormat="false" ht="15" hidden="false" customHeight="false" outlineLevel="0" collapsed="false">
      <c r="A2039" s="1" t="s">
        <v>619</v>
      </c>
      <c r="B2039" s="1" t="n">
        <v>2017</v>
      </c>
      <c r="C2039" s="1" t="s">
        <v>211</v>
      </c>
      <c r="D2039" s="1" t="s">
        <v>87</v>
      </c>
      <c r="E2039" s="1" t="s">
        <v>95</v>
      </c>
      <c r="F2039" s="1" t="n">
        <v>26</v>
      </c>
      <c r="G2039" s="1" t="n">
        <v>20</v>
      </c>
      <c r="H2039" s="1" t="s">
        <v>88</v>
      </c>
      <c r="I2039" s="1" t="n">
        <v>-2.5</v>
      </c>
      <c r="J2039" s="1" t="n">
        <v>53.5</v>
      </c>
      <c r="K2039" s="1" t="s">
        <v>520</v>
      </c>
      <c r="L2039" s="1" t="b">
        <f aca="false">FALSE()</f>
        <v>0</v>
      </c>
      <c r="M2039" s="1" t="str">
        <f aca="false">VLOOKUP(D2039,'Team Reference'!$A:$B,2,FALSE())</f>
        <v>LAR</v>
      </c>
      <c r="N2039" s="1" t="str">
        <f aca="false">VLOOKUP(E2039,'Team Reference'!$A:$B,2,FALSE())</f>
        <v>NO</v>
      </c>
      <c r="O2039" s="1" t="str">
        <f aca="false">IF(F2039&gt;G2039,M2039,IF(G2039&gt;F2039,N2039,"Tie"))</f>
        <v>LAR</v>
      </c>
      <c r="P2039" s="1" t="n">
        <f aca="false">F2039-G2039</f>
        <v>6</v>
      </c>
      <c r="Q2039" s="1" t="n">
        <f aca="false">F2039+G2039</f>
        <v>46</v>
      </c>
      <c r="R2039" s="1" t="str">
        <f aca="false">IF(H2039=M2039,"Home",IF(H2039=N2039,"Away",IF(H2039="PICK","Pick","N/A")))</f>
        <v>Home</v>
      </c>
      <c r="S2039" s="1" t="n">
        <f aca="false">IF(R2039="Home",P2039,IF(R2039="Away",-P2039,""))</f>
        <v>6</v>
      </c>
      <c r="T2039" s="1" t="str">
        <f aca="false">IF(R2039="Pick","No Line",IF(S2039="","N/A",IF(S2039+I2039&gt;0,"Favorite Covered",IF(S2039+I2039&lt;0,"Underdog Covered","Push"))))</f>
        <v>Favorite Covered</v>
      </c>
      <c r="U2039" s="1" t="str">
        <f aca="false">IF(Q2039&gt;J2039,"Over",IF(Q2039&lt;J2039,"Under","Push"))</f>
        <v>Under</v>
      </c>
    </row>
    <row r="2040" customFormat="false" ht="15" hidden="false" customHeight="false" outlineLevel="0" collapsed="false">
      <c r="A2040" s="1" t="s">
        <v>619</v>
      </c>
      <c r="B2040" s="1" t="n">
        <v>2017</v>
      </c>
      <c r="C2040" s="1" t="s">
        <v>211</v>
      </c>
      <c r="D2040" s="1" t="s">
        <v>93</v>
      </c>
      <c r="E2040" s="1" t="s">
        <v>89</v>
      </c>
      <c r="F2040" s="1" t="n">
        <v>35</v>
      </c>
      <c r="G2040" s="1" t="n">
        <v>17</v>
      </c>
      <c r="H2040" s="1" t="s">
        <v>94</v>
      </c>
      <c r="I2040" s="1" t="n">
        <v>-16.5</v>
      </c>
      <c r="J2040" s="1" t="n">
        <v>47.5</v>
      </c>
      <c r="K2040" s="1" t="s">
        <v>148</v>
      </c>
      <c r="L2040" s="1" t="b">
        <f aca="false">FALSE()</f>
        <v>0</v>
      </c>
      <c r="M2040" s="1" t="str">
        <f aca="false">VLOOKUP(D2040,'Team Reference'!$A:$B,2,FALSE())</f>
        <v>NE</v>
      </c>
      <c r="N2040" s="1" t="str">
        <f aca="false">VLOOKUP(E2040,'Team Reference'!$A:$B,2,FALSE())</f>
        <v>MIA</v>
      </c>
      <c r="O2040" s="1" t="str">
        <f aca="false">IF(F2040&gt;G2040,M2040,IF(G2040&gt;F2040,N2040,"Tie"))</f>
        <v>NE</v>
      </c>
      <c r="P2040" s="1" t="n">
        <f aca="false">F2040-G2040</f>
        <v>18</v>
      </c>
      <c r="Q2040" s="1" t="n">
        <f aca="false">F2040+G2040</f>
        <v>52</v>
      </c>
      <c r="R2040" s="1" t="str">
        <f aca="false">IF(H2040=M2040,"Home",IF(H2040=N2040,"Away",IF(H2040="PICK","Pick","N/A")))</f>
        <v>Home</v>
      </c>
      <c r="S2040" s="1" t="n">
        <f aca="false">IF(R2040="Home",P2040,IF(R2040="Away",-P2040,""))</f>
        <v>18</v>
      </c>
      <c r="T2040" s="1" t="str">
        <f aca="false">IF(R2040="Pick","No Line",IF(S2040="","N/A",IF(S2040+I2040&gt;0,"Favorite Covered",IF(S2040+I2040&lt;0,"Underdog Covered","Push"))))</f>
        <v>Favorite Covered</v>
      </c>
      <c r="U2040" s="1" t="str">
        <f aca="false">IF(Q2040&gt;J2040,"Over",IF(Q2040&lt;J2040,"Under","Push"))</f>
        <v>Over</v>
      </c>
    </row>
    <row r="2041" customFormat="false" ht="15" hidden="false" customHeight="false" outlineLevel="0" collapsed="false">
      <c r="A2041" s="1" t="s">
        <v>619</v>
      </c>
      <c r="B2041" s="1" t="n">
        <v>2017</v>
      </c>
      <c r="C2041" s="1" t="s">
        <v>211</v>
      </c>
      <c r="D2041" s="1" t="s">
        <v>99</v>
      </c>
      <c r="E2041" s="1" t="s">
        <v>61</v>
      </c>
      <c r="F2041" s="1" t="n">
        <v>27</v>
      </c>
      <c r="G2041" s="1" t="n">
        <v>35</v>
      </c>
      <c r="H2041" s="1" t="s">
        <v>62</v>
      </c>
      <c r="I2041" s="1" t="n">
        <v>-5</v>
      </c>
      <c r="J2041" s="1" t="n">
        <v>40</v>
      </c>
      <c r="K2041" s="1" t="s">
        <v>149</v>
      </c>
      <c r="L2041" s="1" t="b">
        <f aca="false">FALSE()</f>
        <v>0</v>
      </c>
      <c r="M2041" s="1" t="str">
        <f aca="false">VLOOKUP(D2041,'Team Reference'!$A:$B,2,FALSE())</f>
        <v>NYJ</v>
      </c>
      <c r="N2041" s="1" t="str">
        <f aca="false">VLOOKUP(E2041,'Team Reference'!$A:$B,2,FALSE())</f>
        <v>CAR</v>
      </c>
      <c r="O2041" s="1" t="str">
        <f aca="false">IF(F2041&gt;G2041,M2041,IF(G2041&gt;F2041,N2041,"Tie"))</f>
        <v>CAR</v>
      </c>
      <c r="P2041" s="1" t="n">
        <f aca="false">F2041-G2041</f>
        <v>-8</v>
      </c>
      <c r="Q2041" s="1" t="n">
        <f aca="false">F2041+G2041</f>
        <v>62</v>
      </c>
      <c r="R2041" s="1" t="str">
        <f aca="false">IF(H2041=M2041,"Home",IF(H2041=N2041,"Away",IF(H2041="PICK","Pick","N/A")))</f>
        <v>Away</v>
      </c>
      <c r="S2041" s="1" t="n">
        <f aca="false">IF(R2041="Home",P2041,IF(R2041="Away",-P2041,""))</f>
        <v>8</v>
      </c>
      <c r="T2041" s="1" t="str">
        <f aca="false">IF(R2041="Pick","No Line",IF(S2041="","N/A",IF(S2041+I2041&gt;0,"Favorite Covered",IF(S2041+I2041&lt;0,"Underdog Covered","Push"))))</f>
        <v>Favorite Covered</v>
      </c>
      <c r="U2041" s="1" t="str">
        <f aca="false">IF(Q2041&gt;J2041,"Over",IF(Q2041&lt;J2041,"Under","Push"))</f>
        <v>Over</v>
      </c>
    </row>
    <row r="2042" customFormat="false" ht="15" hidden="false" customHeight="false" outlineLevel="0" collapsed="false">
      <c r="A2042" s="1" t="s">
        <v>619</v>
      </c>
      <c r="B2042" s="1" t="n">
        <v>2017</v>
      </c>
      <c r="C2042" s="1" t="s">
        <v>211</v>
      </c>
      <c r="D2042" s="1" t="s">
        <v>101</v>
      </c>
      <c r="E2042" s="1" t="s">
        <v>71</v>
      </c>
      <c r="F2042" s="1" t="n">
        <v>21</v>
      </c>
      <c r="G2042" s="1" t="n">
        <v>14</v>
      </c>
      <c r="H2042" s="1" t="s">
        <v>102</v>
      </c>
      <c r="I2042" s="1" t="n">
        <v>-5</v>
      </c>
      <c r="J2042" s="1" t="n">
        <v>43.5</v>
      </c>
      <c r="K2042" s="1" t="s">
        <v>171</v>
      </c>
      <c r="L2042" s="1" t="b">
        <f aca="false">FALSE()</f>
        <v>0</v>
      </c>
      <c r="M2042" s="1" t="str">
        <f aca="false">VLOOKUP(D2042,'Team Reference'!$A:$B,2,FALSE())</f>
        <v>OAK</v>
      </c>
      <c r="N2042" s="1" t="str">
        <f aca="false">VLOOKUP(E2042,'Team Reference'!$A:$B,2,FALSE())</f>
        <v>DEN</v>
      </c>
      <c r="O2042" s="1" t="str">
        <f aca="false">IF(F2042&gt;G2042,M2042,IF(G2042&gt;F2042,N2042,"Tie"))</f>
        <v>OAK</v>
      </c>
      <c r="P2042" s="1" t="n">
        <f aca="false">F2042-G2042</f>
        <v>7</v>
      </c>
      <c r="Q2042" s="1" t="n">
        <f aca="false">F2042+G2042</f>
        <v>35</v>
      </c>
      <c r="R2042" s="1" t="str">
        <f aca="false">IF(H2042=M2042,"Home",IF(H2042=N2042,"Away",IF(H2042="PICK","Pick","N/A")))</f>
        <v>Home</v>
      </c>
      <c r="S2042" s="1" t="n">
        <f aca="false">IF(R2042="Home",P2042,IF(R2042="Away",-P2042,""))</f>
        <v>7</v>
      </c>
      <c r="T2042" s="1" t="str">
        <f aca="false">IF(R2042="Pick","No Line",IF(S2042="","N/A",IF(S2042+I2042&gt;0,"Favorite Covered",IF(S2042+I2042&lt;0,"Underdog Covered","Push"))))</f>
        <v>Favorite Covered</v>
      </c>
      <c r="U2042" s="1" t="str">
        <f aca="false">IF(Q2042&gt;J2042,"Over",IF(Q2042&lt;J2042,"Under","Push"))</f>
        <v>Under</v>
      </c>
    </row>
    <row r="2043" customFormat="false" ht="15" hidden="false" customHeight="false" outlineLevel="0" collapsed="false">
      <c r="A2043" s="1" t="s">
        <v>619</v>
      </c>
      <c r="B2043" s="1" t="n">
        <v>2017</v>
      </c>
      <c r="C2043" s="1" t="s">
        <v>211</v>
      </c>
      <c r="D2043" s="1" t="s">
        <v>103</v>
      </c>
      <c r="E2043" s="1" t="s">
        <v>63</v>
      </c>
      <c r="F2043" s="1" t="n">
        <v>31</v>
      </c>
      <c r="G2043" s="1" t="n">
        <v>3</v>
      </c>
      <c r="H2043" s="1" t="s">
        <v>104</v>
      </c>
      <c r="I2043" s="1" t="n">
        <v>-13.5</v>
      </c>
      <c r="J2043" s="1" t="n">
        <v>44</v>
      </c>
      <c r="K2043" s="1" t="s">
        <v>150</v>
      </c>
      <c r="L2043" s="1" t="b">
        <f aca="false">FALSE()</f>
        <v>0</v>
      </c>
      <c r="M2043" s="1" t="str">
        <f aca="false">VLOOKUP(D2043,'Team Reference'!$A:$B,2,FALSE())</f>
        <v>PHI</v>
      </c>
      <c r="N2043" s="1" t="str">
        <f aca="false">VLOOKUP(E2043,'Team Reference'!$A:$B,2,FALSE())</f>
        <v>CHI</v>
      </c>
      <c r="O2043" s="1" t="str">
        <f aca="false">IF(F2043&gt;G2043,M2043,IF(G2043&gt;F2043,N2043,"Tie"))</f>
        <v>PHI</v>
      </c>
      <c r="P2043" s="1" t="n">
        <f aca="false">F2043-G2043</f>
        <v>28</v>
      </c>
      <c r="Q2043" s="1" t="n">
        <f aca="false">F2043+G2043</f>
        <v>34</v>
      </c>
      <c r="R2043" s="1" t="str">
        <f aca="false">IF(H2043=M2043,"Home",IF(H2043=N2043,"Away",IF(H2043="PICK","Pick","N/A")))</f>
        <v>Home</v>
      </c>
      <c r="S2043" s="1" t="n">
        <f aca="false">IF(R2043="Home",P2043,IF(R2043="Away",-P2043,""))</f>
        <v>28</v>
      </c>
      <c r="T2043" s="1" t="str">
        <f aca="false">IF(R2043="Pick","No Line",IF(S2043="","N/A",IF(S2043+I2043&gt;0,"Favorite Covered",IF(S2043+I2043&lt;0,"Underdog Covered","Push"))))</f>
        <v>Favorite Covered</v>
      </c>
      <c r="U2043" s="1" t="str">
        <f aca="false">IF(Q2043&gt;J2043,"Over",IF(Q2043&lt;J2043,"Under","Push"))</f>
        <v>Under</v>
      </c>
    </row>
    <row r="2044" customFormat="false" ht="15" hidden="false" customHeight="false" outlineLevel="0" collapsed="false">
      <c r="A2044" s="1" t="s">
        <v>619</v>
      </c>
      <c r="B2044" s="1" t="n">
        <v>2017</v>
      </c>
      <c r="C2044" s="1" t="s">
        <v>211</v>
      </c>
      <c r="D2044" s="1" t="s">
        <v>105</v>
      </c>
      <c r="E2044" s="1" t="s">
        <v>75</v>
      </c>
      <c r="F2044" s="1" t="n">
        <v>31</v>
      </c>
      <c r="G2044" s="1" t="n">
        <v>28</v>
      </c>
      <c r="H2044" s="1" t="s">
        <v>106</v>
      </c>
      <c r="I2044" s="1" t="n">
        <v>-14</v>
      </c>
      <c r="J2044" s="1" t="n">
        <v>41.5</v>
      </c>
      <c r="K2044" s="1" t="s">
        <v>151</v>
      </c>
      <c r="L2044" s="1" t="b">
        <f aca="false">FALSE()</f>
        <v>0</v>
      </c>
      <c r="M2044" s="1" t="str">
        <f aca="false">VLOOKUP(D2044,'Team Reference'!$A:$B,2,FALSE())</f>
        <v>PIT</v>
      </c>
      <c r="N2044" s="1" t="str">
        <f aca="false">VLOOKUP(E2044,'Team Reference'!$A:$B,2,FALSE())</f>
        <v>GB</v>
      </c>
      <c r="O2044" s="1" t="str">
        <f aca="false">IF(F2044&gt;G2044,M2044,IF(G2044&gt;F2044,N2044,"Tie"))</f>
        <v>PIT</v>
      </c>
      <c r="P2044" s="1" t="n">
        <f aca="false">F2044-G2044</f>
        <v>3</v>
      </c>
      <c r="Q2044" s="1" t="n">
        <f aca="false">F2044+G2044</f>
        <v>59</v>
      </c>
      <c r="R2044" s="1" t="str">
        <f aca="false">IF(H2044=M2044,"Home",IF(H2044=N2044,"Away",IF(H2044="PICK","Pick","N/A")))</f>
        <v>Home</v>
      </c>
      <c r="S2044" s="1" t="n">
        <f aca="false">IF(R2044="Home",P2044,IF(R2044="Away",-P2044,""))</f>
        <v>3</v>
      </c>
      <c r="T2044" s="1" t="str">
        <f aca="false">IF(R2044="Pick","No Line",IF(S2044="","N/A",IF(S2044+I2044&gt;0,"Favorite Covered",IF(S2044+I2044&lt;0,"Underdog Covered","Push"))))</f>
        <v>Underdog Covered</v>
      </c>
      <c r="U2044" s="1" t="str">
        <f aca="false">IF(Q2044&gt;J2044,"Over",IF(Q2044&lt;J2044,"Under","Push"))</f>
        <v>Over</v>
      </c>
    </row>
    <row r="2045" customFormat="false" ht="15" hidden="false" customHeight="false" outlineLevel="0" collapsed="false">
      <c r="A2045" s="1" t="s">
        <v>619</v>
      </c>
      <c r="B2045" s="1" t="n">
        <v>2017</v>
      </c>
      <c r="C2045" s="1" t="s">
        <v>211</v>
      </c>
      <c r="D2045" s="1" t="s">
        <v>108</v>
      </c>
      <c r="E2045" s="1" t="s">
        <v>110</v>
      </c>
      <c r="F2045" s="1" t="n">
        <v>13</v>
      </c>
      <c r="G2045" s="1" t="n">
        <v>24</v>
      </c>
      <c r="H2045" s="1" t="s">
        <v>111</v>
      </c>
      <c r="I2045" s="1" t="n">
        <v>-7</v>
      </c>
      <c r="J2045" s="1" t="n">
        <v>43</v>
      </c>
      <c r="K2045" s="1" t="s">
        <v>408</v>
      </c>
      <c r="L2045" s="1" t="b">
        <f aca="false">FALSE()</f>
        <v>0</v>
      </c>
      <c r="M2045" s="1" t="str">
        <f aca="false">VLOOKUP(D2045,'Team Reference'!$A:$B,2,FALSE())</f>
        <v>SF</v>
      </c>
      <c r="N2045" s="1" t="str">
        <f aca="false">VLOOKUP(E2045,'Team Reference'!$A:$B,2,FALSE())</f>
        <v>SEA</v>
      </c>
      <c r="O2045" s="1" t="str">
        <f aca="false">IF(F2045&gt;G2045,M2045,IF(G2045&gt;F2045,N2045,"Tie"))</f>
        <v>SEA</v>
      </c>
      <c r="P2045" s="1" t="n">
        <f aca="false">F2045-G2045</f>
        <v>-11</v>
      </c>
      <c r="Q2045" s="1" t="n">
        <f aca="false">F2045+G2045</f>
        <v>37</v>
      </c>
      <c r="R2045" s="1" t="str">
        <f aca="false">IF(H2045=M2045,"Home",IF(H2045=N2045,"Away",IF(H2045="PICK","Pick","N/A")))</f>
        <v>Away</v>
      </c>
      <c r="S2045" s="1" t="n">
        <f aca="false">IF(R2045="Home",P2045,IF(R2045="Away",-P2045,""))</f>
        <v>11</v>
      </c>
      <c r="T2045" s="1" t="str">
        <f aca="false">IF(R2045="Pick","No Line",IF(S2045="","N/A",IF(S2045+I2045&gt;0,"Favorite Covered",IF(S2045+I2045&lt;0,"Underdog Covered","Push"))))</f>
        <v>Favorite Covered</v>
      </c>
      <c r="U2045" s="1" t="str">
        <f aca="false">IF(Q2045&gt;J2045,"Over",IF(Q2045&lt;J2045,"Under","Push"))</f>
        <v>Under</v>
      </c>
    </row>
    <row r="2046" customFormat="false" ht="15" hidden="false" customHeight="false" outlineLevel="0" collapsed="false">
      <c r="A2046" s="1" t="s">
        <v>620</v>
      </c>
      <c r="B2046" s="1" t="n">
        <v>2017</v>
      </c>
      <c r="C2046" s="1" t="s">
        <v>211</v>
      </c>
      <c r="D2046" s="1" t="s">
        <v>57</v>
      </c>
      <c r="E2046" s="1" t="s">
        <v>77</v>
      </c>
      <c r="F2046" s="1" t="n">
        <v>23</v>
      </c>
      <c r="G2046" s="1" t="n">
        <v>16</v>
      </c>
      <c r="H2046" s="1" t="s">
        <v>58</v>
      </c>
      <c r="I2046" s="1" t="n">
        <v>-7</v>
      </c>
      <c r="J2046" s="1" t="n">
        <v>38</v>
      </c>
      <c r="K2046" s="1" t="s">
        <v>178</v>
      </c>
      <c r="L2046" s="1" t="b">
        <f aca="false">FALSE()</f>
        <v>0</v>
      </c>
      <c r="M2046" s="1" t="str">
        <f aca="false">VLOOKUP(D2046,'Team Reference'!$A:$B,2,FALSE())</f>
        <v>BAL</v>
      </c>
      <c r="N2046" s="1" t="str">
        <f aca="false">VLOOKUP(E2046,'Team Reference'!$A:$B,2,FALSE())</f>
        <v>HOU</v>
      </c>
      <c r="O2046" s="1" t="str">
        <f aca="false">IF(F2046&gt;G2046,M2046,IF(G2046&gt;F2046,N2046,"Tie"))</f>
        <v>BAL</v>
      </c>
      <c r="P2046" s="1" t="n">
        <f aca="false">F2046-G2046</f>
        <v>7</v>
      </c>
      <c r="Q2046" s="1" t="n">
        <f aca="false">F2046+G2046</f>
        <v>39</v>
      </c>
      <c r="R2046" s="1" t="str">
        <f aca="false">IF(H2046=M2046,"Home",IF(H2046=N2046,"Away",IF(H2046="PICK","Pick","N/A")))</f>
        <v>Home</v>
      </c>
      <c r="S2046" s="1" t="n">
        <f aca="false">IF(R2046="Home",P2046,IF(R2046="Away",-P2046,""))</f>
        <v>7</v>
      </c>
      <c r="T2046" s="1" t="str">
        <f aca="false">IF(R2046="Pick","No Line",IF(S2046="","N/A",IF(S2046+I2046&gt;0,"Favorite Covered",IF(S2046+I2046&lt;0,"Underdog Covered","Push"))))</f>
        <v>Push</v>
      </c>
      <c r="U2046" s="1" t="str">
        <f aca="false">IF(Q2046&gt;J2046,"Over",IF(Q2046&lt;J2046,"Under","Push"))</f>
        <v>Over</v>
      </c>
    </row>
    <row r="2047" customFormat="false" ht="15" hidden="false" customHeight="false" outlineLevel="0" collapsed="false">
      <c r="A2047" s="1" t="s">
        <v>621</v>
      </c>
      <c r="B2047" s="1" t="n">
        <v>2017</v>
      </c>
      <c r="C2047" s="1" t="s">
        <v>215</v>
      </c>
      <c r="D2047" s="1" t="s">
        <v>69</v>
      </c>
      <c r="E2047" s="1" t="s">
        <v>117</v>
      </c>
      <c r="F2047" s="1" t="n">
        <v>38</v>
      </c>
      <c r="G2047" s="1" t="n">
        <v>14</v>
      </c>
      <c r="H2047" s="1" t="s">
        <v>118</v>
      </c>
      <c r="I2047" s="1" t="n">
        <v>-2</v>
      </c>
      <c r="J2047" s="1" t="n">
        <v>47</v>
      </c>
      <c r="K2047" s="1" t="s">
        <v>583</v>
      </c>
      <c r="L2047" s="1" t="b">
        <f aca="false">FALSE()</f>
        <v>0</v>
      </c>
      <c r="M2047" s="1" t="str">
        <f aca="false">VLOOKUP(D2047,'Team Reference'!$A:$B,2,FALSE())</f>
        <v>DAL</v>
      </c>
      <c r="N2047" s="1" t="str">
        <f aca="false">VLOOKUP(E2047,'Team Reference'!$A:$B,2,FALSE())</f>
        <v>WAS</v>
      </c>
      <c r="O2047" s="1" t="str">
        <f aca="false">IF(F2047&gt;G2047,M2047,IF(G2047&gt;F2047,N2047,"Tie"))</f>
        <v>DAL</v>
      </c>
      <c r="P2047" s="1" t="n">
        <f aca="false">F2047-G2047</f>
        <v>24</v>
      </c>
      <c r="Q2047" s="1" t="n">
        <f aca="false">F2047+G2047</f>
        <v>52</v>
      </c>
      <c r="R2047" s="1" t="str">
        <f aca="false">IF(H2047=M2047,"Home",IF(H2047=N2047,"Away",IF(H2047="PICK","Pick","N/A")))</f>
        <v>Away</v>
      </c>
      <c r="S2047" s="1" t="n">
        <f aca="false">IF(R2047="Home",P2047,IF(R2047="Away",-P2047,""))</f>
        <v>-24</v>
      </c>
      <c r="T2047" s="1" t="str">
        <f aca="false">IF(R2047="Pick","No Line",IF(S2047="","N/A",IF(S2047+I2047&gt;0,"Favorite Covered",IF(S2047+I2047&lt;0,"Underdog Covered","Push"))))</f>
        <v>Underdog Covered</v>
      </c>
      <c r="U2047" s="1" t="str">
        <f aca="false">IF(Q2047&gt;J2047,"Over",IF(Q2047&lt;J2047,"Under","Push"))</f>
        <v>Over</v>
      </c>
    </row>
    <row r="2048" customFormat="false" ht="15" hidden="false" customHeight="false" outlineLevel="0" collapsed="false">
      <c r="A2048" s="1" t="s">
        <v>622</v>
      </c>
      <c r="B2048" s="1" t="n">
        <v>2017</v>
      </c>
      <c r="C2048" s="1" t="s">
        <v>215</v>
      </c>
      <c r="D2048" s="1" t="s">
        <v>53</v>
      </c>
      <c r="E2048" s="1" t="s">
        <v>87</v>
      </c>
      <c r="F2048" s="1" t="n">
        <v>16</v>
      </c>
      <c r="G2048" s="1" t="n">
        <v>32</v>
      </c>
      <c r="H2048" s="1" t="s">
        <v>88</v>
      </c>
      <c r="I2048" s="1" t="n">
        <v>-7</v>
      </c>
      <c r="J2048" s="1" t="n">
        <v>44.5</v>
      </c>
      <c r="K2048" s="1" t="s">
        <v>177</v>
      </c>
      <c r="L2048" s="1" t="b">
        <f aca="false">FALSE()</f>
        <v>0</v>
      </c>
      <c r="M2048" s="1" t="str">
        <f aca="false">VLOOKUP(D2048,'Team Reference'!$A:$B,2,FALSE())</f>
        <v>ARI</v>
      </c>
      <c r="N2048" s="1" t="str">
        <f aca="false">VLOOKUP(E2048,'Team Reference'!$A:$B,2,FALSE())</f>
        <v>LAR</v>
      </c>
      <c r="O2048" s="1" t="str">
        <f aca="false">IF(F2048&gt;G2048,M2048,IF(G2048&gt;F2048,N2048,"Tie"))</f>
        <v>LAR</v>
      </c>
      <c r="P2048" s="1" t="n">
        <f aca="false">F2048-G2048</f>
        <v>-16</v>
      </c>
      <c r="Q2048" s="1" t="n">
        <f aca="false">F2048+G2048</f>
        <v>48</v>
      </c>
      <c r="R2048" s="1" t="str">
        <f aca="false">IF(H2048=M2048,"Home",IF(H2048=N2048,"Away",IF(H2048="PICK","Pick","N/A")))</f>
        <v>Away</v>
      </c>
      <c r="S2048" s="1" t="n">
        <f aca="false">IF(R2048="Home",P2048,IF(R2048="Away",-P2048,""))</f>
        <v>16</v>
      </c>
      <c r="T2048" s="1" t="str">
        <f aca="false">IF(R2048="Pick","No Line",IF(S2048="","N/A",IF(S2048+I2048&gt;0,"Favorite Covered",IF(S2048+I2048&lt;0,"Underdog Covered","Push"))))</f>
        <v>Favorite Covered</v>
      </c>
      <c r="U2048" s="1" t="str">
        <f aca="false">IF(Q2048&gt;J2048,"Over",IF(Q2048&lt;J2048,"Under","Push"))</f>
        <v>Over</v>
      </c>
    </row>
    <row r="2049" customFormat="false" ht="15" hidden="false" customHeight="false" outlineLevel="0" collapsed="false">
      <c r="A2049" s="1" t="s">
        <v>622</v>
      </c>
      <c r="B2049" s="1" t="n">
        <v>2017</v>
      </c>
      <c r="C2049" s="1" t="s">
        <v>215</v>
      </c>
      <c r="D2049" s="1" t="s">
        <v>55</v>
      </c>
      <c r="E2049" s="1" t="s">
        <v>91</v>
      </c>
      <c r="F2049" s="1" t="n">
        <v>9</v>
      </c>
      <c r="G2049" s="1" t="n">
        <v>14</v>
      </c>
      <c r="H2049" s="1" t="s">
        <v>56</v>
      </c>
      <c r="I2049" s="1" t="n">
        <v>-3</v>
      </c>
      <c r="J2049" s="1" t="n">
        <v>47</v>
      </c>
      <c r="K2049" s="1" t="s">
        <v>161</v>
      </c>
      <c r="L2049" s="1" t="b">
        <f aca="false">FALSE()</f>
        <v>0</v>
      </c>
      <c r="M2049" s="1" t="str">
        <f aca="false">VLOOKUP(D2049,'Team Reference'!$A:$B,2,FALSE())</f>
        <v>ATL</v>
      </c>
      <c r="N2049" s="1" t="str">
        <f aca="false">VLOOKUP(E2049,'Team Reference'!$A:$B,2,FALSE())</f>
        <v>MIN</v>
      </c>
      <c r="O2049" s="1" t="str">
        <f aca="false">IF(F2049&gt;G2049,M2049,IF(G2049&gt;F2049,N2049,"Tie"))</f>
        <v>MIN</v>
      </c>
      <c r="P2049" s="1" t="n">
        <f aca="false">F2049-G2049</f>
        <v>-5</v>
      </c>
      <c r="Q2049" s="1" t="n">
        <f aca="false">F2049+G2049</f>
        <v>23</v>
      </c>
      <c r="R2049" s="1" t="str">
        <f aca="false">IF(H2049=M2049,"Home",IF(H2049=N2049,"Away",IF(H2049="PICK","Pick","N/A")))</f>
        <v>Home</v>
      </c>
      <c r="S2049" s="1" t="n">
        <f aca="false">IF(R2049="Home",P2049,IF(R2049="Away",-P2049,""))</f>
        <v>-5</v>
      </c>
      <c r="T2049" s="1" t="str">
        <f aca="false">IF(R2049="Pick","No Line",IF(S2049="","N/A",IF(S2049+I2049&gt;0,"Favorite Covered",IF(S2049+I2049&lt;0,"Underdog Covered","Push"))))</f>
        <v>Underdog Covered</v>
      </c>
      <c r="U2049" s="1" t="str">
        <f aca="false">IF(Q2049&gt;J2049,"Over",IF(Q2049&lt;J2049,"Under","Push"))</f>
        <v>Under</v>
      </c>
    </row>
    <row r="2050" customFormat="false" ht="15" hidden="false" customHeight="false" outlineLevel="0" collapsed="false">
      <c r="A2050" s="1" t="s">
        <v>622</v>
      </c>
      <c r="B2050" s="1" t="n">
        <v>2017</v>
      </c>
      <c r="C2050" s="1" t="s">
        <v>215</v>
      </c>
      <c r="D2050" s="1" t="s">
        <v>57</v>
      </c>
      <c r="E2050" s="1" t="s">
        <v>73</v>
      </c>
      <c r="F2050" s="1" t="n">
        <v>44</v>
      </c>
      <c r="G2050" s="1" t="n">
        <v>20</v>
      </c>
      <c r="H2050" s="1" t="s">
        <v>58</v>
      </c>
      <c r="I2050" s="1" t="n">
        <v>-3</v>
      </c>
      <c r="J2050" s="1" t="n">
        <v>43.5</v>
      </c>
      <c r="K2050" s="1" t="s">
        <v>178</v>
      </c>
      <c r="L2050" s="1" t="b">
        <f aca="false">FALSE()</f>
        <v>0</v>
      </c>
      <c r="M2050" s="1" t="str">
        <f aca="false">VLOOKUP(D2050,'Team Reference'!$A:$B,2,FALSE())</f>
        <v>BAL</v>
      </c>
      <c r="N2050" s="1" t="str">
        <f aca="false">VLOOKUP(E2050,'Team Reference'!$A:$B,2,FALSE())</f>
        <v>DET</v>
      </c>
      <c r="O2050" s="1" t="str">
        <f aca="false">IF(F2050&gt;G2050,M2050,IF(G2050&gt;F2050,N2050,"Tie"))</f>
        <v>BAL</v>
      </c>
      <c r="P2050" s="1" t="n">
        <f aca="false">F2050-G2050</f>
        <v>24</v>
      </c>
      <c r="Q2050" s="1" t="n">
        <f aca="false">F2050+G2050</f>
        <v>64</v>
      </c>
      <c r="R2050" s="1" t="str">
        <f aca="false">IF(H2050=M2050,"Home",IF(H2050=N2050,"Away",IF(H2050="PICK","Pick","N/A")))</f>
        <v>Home</v>
      </c>
      <c r="S2050" s="1" t="n">
        <f aca="false">IF(R2050="Home",P2050,IF(R2050="Away",-P2050,""))</f>
        <v>24</v>
      </c>
      <c r="T2050" s="1" t="str">
        <f aca="false">IF(R2050="Pick","No Line",IF(S2050="","N/A",IF(S2050+I2050&gt;0,"Favorite Covered",IF(S2050+I2050&lt;0,"Underdog Covered","Push"))))</f>
        <v>Favorite Covered</v>
      </c>
      <c r="U2050" s="1" t="str">
        <f aca="false">IF(Q2050&gt;J2050,"Over",IF(Q2050&lt;J2050,"Under","Push"))</f>
        <v>Over</v>
      </c>
    </row>
    <row r="2051" customFormat="false" ht="15" hidden="false" customHeight="false" outlineLevel="0" collapsed="false">
      <c r="A2051" s="1" t="s">
        <v>622</v>
      </c>
      <c r="B2051" s="1" t="n">
        <v>2017</v>
      </c>
      <c r="C2051" s="1" t="s">
        <v>215</v>
      </c>
      <c r="D2051" s="1" t="s">
        <v>59</v>
      </c>
      <c r="E2051" s="1" t="s">
        <v>93</v>
      </c>
      <c r="F2051" s="1" t="n">
        <v>3</v>
      </c>
      <c r="G2051" s="1" t="n">
        <v>23</v>
      </c>
      <c r="H2051" s="1" t="s">
        <v>94</v>
      </c>
      <c r="I2051" s="1" t="n">
        <v>-9</v>
      </c>
      <c r="J2051" s="1" t="n">
        <v>48</v>
      </c>
      <c r="K2051" s="1" t="s">
        <v>522</v>
      </c>
      <c r="L2051" s="1" t="b">
        <f aca="false">FALSE()</f>
        <v>0</v>
      </c>
      <c r="M2051" s="1" t="str">
        <f aca="false">VLOOKUP(D2051,'Team Reference'!$A:$B,2,FALSE())</f>
        <v>BUF</v>
      </c>
      <c r="N2051" s="1" t="str">
        <f aca="false">VLOOKUP(E2051,'Team Reference'!$A:$B,2,FALSE())</f>
        <v>NE</v>
      </c>
      <c r="O2051" s="1" t="str">
        <f aca="false">IF(F2051&gt;G2051,M2051,IF(G2051&gt;F2051,N2051,"Tie"))</f>
        <v>NE</v>
      </c>
      <c r="P2051" s="1" t="n">
        <f aca="false">F2051-G2051</f>
        <v>-20</v>
      </c>
      <c r="Q2051" s="1" t="n">
        <f aca="false">F2051+G2051</f>
        <v>26</v>
      </c>
      <c r="R2051" s="1" t="str">
        <f aca="false">IF(H2051=M2051,"Home",IF(H2051=N2051,"Away",IF(H2051="PICK","Pick","N/A")))</f>
        <v>Away</v>
      </c>
      <c r="S2051" s="1" t="n">
        <f aca="false">IF(R2051="Home",P2051,IF(R2051="Away",-P2051,""))</f>
        <v>20</v>
      </c>
      <c r="T2051" s="1" t="str">
        <f aca="false">IF(R2051="Pick","No Line",IF(S2051="","N/A",IF(S2051+I2051&gt;0,"Favorite Covered",IF(S2051+I2051&lt;0,"Underdog Covered","Push"))))</f>
        <v>Favorite Covered</v>
      </c>
      <c r="U2051" s="1" t="str">
        <f aca="false">IF(Q2051&gt;J2051,"Over",IF(Q2051&lt;J2051,"Under","Push"))</f>
        <v>Under</v>
      </c>
    </row>
    <row r="2052" customFormat="false" ht="15" hidden="false" customHeight="false" outlineLevel="0" collapsed="false">
      <c r="A2052" s="1" t="s">
        <v>622</v>
      </c>
      <c r="B2052" s="1" t="n">
        <v>2017</v>
      </c>
      <c r="C2052" s="1" t="s">
        <v>215</v>
      </c>
      <c r="D2052" s="1" t="s">
        <v>63</v>
      </c>
      <c r="E2052" s="1" t="s">
        <v>108</v>
      </c>
      <c r="F2052" s="1" t="n">
        <v>14</v>
      </c>
      <c r="G2052" s="1" t="n">
        <v>15</v>
      </c>
      <c r="H2052" s="1" t="s">
        <v>64</v>
      </c>
      <c r="I2052" s="1" t="n">
        <v>-3</v>
      </c>
      <c r="J2052" s="1" t="n">
        <v>41</v>
      </c>
      <c r="K2052" s="1" t="s">
        <v>145</v>
      </c>
      <c r="L2052" s="1" t="b">
        <f aca="false">FALSE()</f>
        <v>0</v>
      </c>
      <c r="M2052" s="1" t="str">
        <f aca="false">VLOOKUP(D2052,'Team Reference'!$A:$B,2,FALSE())</f>
        <v>CHI</v>
      </c>
      <c r="N2052" s="1" t="str">
        <f aca="false">VLOOKUP(E2052,'Team Reference'!$A:$B,2,FALSE())</f>
        <v>SF</v>
      </c>
      <c r="O2052" s="1" t="str">
        <f aca="false">IF(F2052&gt;G2052,M2052,IF(G2052&gt;F2052,N2052,"Tie"))</f>
        <v>SF</v>
      </c>
      <c r="P2052" s="1" t="n">
        <f aca="false">F2052-G2052</f>
        <v>-1</v>
      </c>
      <c r="Q2052" s="1" t="n">
        <f aca="false">F2052+G2052</f>
        <v>29</v>
      </c>
      <c r="R2052" s="1" t="str">
        <f aca="false">IF(H2052=M2052,"Home",IF(H2052=N2052,"Away",IF(H2052="PICK","Pick","N/A")))</f>
        <v>Home</v>
      </c>
      <c r="S2052" s="1" t="n">
        <f aca="false">IF(R2052="Home",P2052,IF(R2052="Away",-P2052,""))</f>
        <v>-1</v>
      </c>
      <c r="T2052" s="1" t="str">
        <f aca="false">IF(R2052="Pick","No Line",IF(S2052="","N/A",IF(S2052+I2052&gt;0,"Favorite Covered",IF(S2052+I2052&lt;0,"Underdog Covered","Push"))))</f>
        <v>Underdog Covered</v>
      </c>
      <c r="U2052" s="1" t="str">
        <f aca="false">IF(Q2052&gt;J2052,"Over",IF(Q2052&lt;J2052,"Under","Push"))</f>
        <v>Under</v>
      </c>
    </row>
    <row r="2053" customFormat="false" ht="15" hidden="false" customHeight="false" outlineLevel="0" collapsed="false">
      <c r="A2053" s="1" t="s">
        <v>622</v>
      </c>
      <c r="B2053" s="1" t="n">
        <v>2017</v>
      </c>
      <c r="C2053" s="1" t="s">
        <v>215</v>
      </c>
      <c r="D2053" s="1" t="s">
        <v>75</v>
      </c>
      <c r="E2053" s="1" t="s">
        <v>113</v>
      </c>
      <c r="F2053" s="1" t="n">
        <v>26</v>
      </c>
      <c r="G2053" s="1" t="n">
        <v>20</v>
      </c>
      <c r="H2053" s="1" t="s">
        <v>76</v>
      </c>
      <c r="I2053" s="1" t="n">
        <v>-2</v>
      </c>
      <c r="J2053" s="1" t="n">
        <v>45</v>
      </c>
      <c r="K2053" s="1" t="s">
        <v>168</v>
      </c>
      <c r="L2053" s="1" t="b">
        <f aca="false">FALSE()</f>
        <v>0</v>
      </c>
      <c r="M2053" s="1" t="str">
        <f aca="false">VLOOKUP(D2053,'Team Reference'!$A:$B,2,FALSE())</f>
        <v>GB</v>
      </c>
      <c r="N2053" s="1" t="str">
        <f aca="false">VLOOKUP(E2053,'Team Reference'!$A:$B,2,FALSE())</f>
        <v>TB</v>
      </c>
      <c r="O2053" s="1" t="str">
        <f aca="false">IF(F2053&gt;G2053,M2053,IF(G2053&gt;F2053,N2053,"Tie"))</f>
        <v>GB</v>
      </c>
      <c r="P2053" s="1" t="n">
        <f aca="false">F2053-G2053</f>
        <v>6</v>
      </c>
      <c r="Q2053" s="1" t="n">
        <f aca="false">F2053+G2053</f>
        <v>46</v>
      </c>
      <c r="R2053" s="1" t="str">
        <f aca="false">IF(H2053=M2053,"Home",IF(H2053=N2053,"Away",IF(H2053="PICK","Pick","N/A")))</f>
        <v>Home</v>
      </c>
      <c r="S2053" s="1" t="n">
        <f aca="false">IF(R2053="Home",P2053,IF(R2053="Away",-P2053,""))</f>
        <v>6</v>
      </c>
      <c r="T2053" s="1" t="str">
        <f aca="false">IF(R2053="Pick","No Line",IF(S2053="","N/A",IF(S2053+I2053&gt;0,"Favorite Covered",IF(S2053+I2053&lt;0,"Underdog Covered","Push"))))</f>
        <v>Favorite Covered</v>
      </c>
      <c r="U2053" s="1" t="str">
        <f aca="false">IF(Q2053&gt;J2053,"Over",IF(Q2053&lt;J2053,"Under","Push"))</f>
        <v>Over</v>
      </c>
    </row>
    <row r="2054" customFormat="false" ht="15" hidden="false" customHeight="false" outlineLevel="0" collapsed="false">
      <c r="A2054" s="1" t="s">
        <v>622</v>
      </c>
      <c r="B2054" s="1" t="n">
        <v>2017</v>
      </c>
      <c r="C2054" s="1" t="s">
        <v>215</v>
      </c>
      <c r="D2054" s="1" t="s">
        <v>81</v>
      </c>
      <c r="E2054" s="1" t="s">
        <v>79</v>
      </c>
      <c r="F2054" s="1" t="n">
        <v>30</v>
      </c>
      <c r="G2054" s="1" t="n">
        <v>10</v>
      </c>
      <c r="H2054" s="1" t="s">
        <v>82</v>
      </c>
      <c r="I2054" s="1" t="n">
        <v>-9.5</v>
      </c>
      <c r="J2054" s="1" t="n">
        <v>41</v>
      </c>
      <c r="K2054" s="1" t="s">
        <v>147</v>
      </c>
      <c r="L2054" s="1" t="b">
        <f aca="false">FALSE()</f>
        <v>0</v>
      </c>
      <c r="M2054" s="1" t="str">
        <f aca="false">VLOOKUP(D2054,'Team Reference'!$A:$B,2,FALSE())</f>
        <v>JAX</v>
      </c>
      <c r="N2054" s="1" t="str">
        <f aca="false">VLOOKUP(E2054,'Team Reference'!$A:$B,2,FALSE())</f>
        <v>IND</v>
      </c>
      <c r="O2054" s="1" t="str">
        <f aca="false">IF(F2054&gt;G2054,M2054,IF(G2054&gt;F2054,N2054,"Tie"))</f>
        <v>JAX</v>
      </c>
      <c r="P2054" s="1" t="n">
        <f aca="false">F2054-G2054</f>
        <v>20</v>
      </c>
      <c r="Q2054" s="1" t="n">
        <f aca="false">F2054+G2054</f>
        <v>40</v>
      </c>
      <c r="R2054" s="1" t="str">
        <f aca="false">IF(H2054=M2054,"Home",IF(H2054=N2054,"Away",IF(H2054="PICK","Pick","N/A")))</f>
        <v>Home</v>
      </c>
      <c r="S2054" s="1" t="n">
        <f aca="false">IF(R2054="Home",P2054,IF(R2054="Away",-P2054,""))</f>
        <v>20</v>
      </c>
      <c r="T2054" s="1" t="str">
        <f aca="false">IF(R2054="Pick","No Line",IF(S2054="","N/A",IF(S2054+I2054&gt;0,"Favorite Covered",IF(S2054+I2054&lt;0,"Underdog Covered","Push"))))</f>
        <v>Favorite Covered</v>
      </c>
      <c r="U2054" s="1" t="str">
        <f aca="false">IF(Q2054&gt;J2054,"Over",IF(Q2054&lt;J2054,"Under","Push"))</f>
        <v>Under</v>
      </c>
    </row>
    <row r="2055" customFormat="false" ht="15" hidden="false" customHeight="false" outlineLevel="0" collapsed="false">
      <c r="A2055" s="1" t="s">
        <v>622</v>
      </c>
      <c r="B2055" s="1" t="n">
        <v>2017</v>
      </c>
      <c r="C2055" s="1" t="s">
        <v>215</v>
      </c>
      <c r="D2055" s="1" t="s">
        <v>85</v>
      </c>
      <c r="E2055" s="1" t="s">
        <v>67</v>
      </c>
      <c r="F2055" s="1" t="n">
        <v>19</v>
      </c>
      <c r="G2055" s="1" t="n">
        <v>10</v>
      </c>
      <c r="H2055" s="1" t="s">
        <v>86</v>
      </c>
      <c r="I2055" s="1" t="n">
        <v>-13.5</v>
      </c>
      <c r="J2055" s="1" t="n">
        <v>43.5</v>
      </c>
      <c r="K2055" s="1" t="s">
        <v>588</v>
      </c>
      <c r="L2055" s="1" t="b">
        <f aca="false">FALSE()</f>
        <v>0</v>
      </c>
      <c r="M2055" s="1" t="str">
        <f aca="false">VLOOKUP(D2055,'Team Reference'!$A:$B,2,FALSE())</f>
        <v>LAC</v>
      </c>
      <c r="N2055" s="1" t="str">
        <f aca="false">VLOOKUP(E2055,'Team Reference'!$A:$B,2,FALSE())</f>
        <v>CLE</v>
      </c>
      <c r="O2055" s="1" t="str">
        <f aca="false">IF(F2055&gt;G2055,M2055,IF(G2055&gt;F2055,N2055,"Tie"))</f>
        <v>LAC</v>
      </c>
      <c r="P2055" s="1" t="n">
        <f aca="false">F2055-G2055</f>
        <v>9</v>
      </c>
      <c r="Q2055" s="1" t="n">
        <f aca="false">F2055+G2055</f>
        <v>29</v>
      </c>
      <c r="R2055" s="1" t="str">
        <f aca="false">IF(H2055=M2055,"Home",IF(H2055=N2055,"Away",IF(H2055="PICK","Pick","N/A")))</f>
        <v>Home</v>
      </c>
      <c r="S2055" s="1" t="n">
        <f aca="false">IF(R2055="Home",P2055,IF(R2055="Away",-P2055,""))</f>
        <v>9</v>
      </c>
      <c r="T2055" s="1" t="str">
        <f aca="false">IF(R2055="Pick","No Line",IF(S2055="","N/A",IF(S2055+I2055&gt;0,"Favorite Covered",IF(S2055+I2055&lt;0,"Underdog Covered","Push"))))</f>
        <v>Underdog Covered</v>
      </c>
      <c r="U2055" s="1" t="str">
        <f aca="false">IF(Q2055&gt;J2055,"Over",IF(Q2055&lt;J2055,"Under","Push"))</f>
        <v>Under</v>
      </c>
    </row>
    <row r="2056" customFormat="false" ht="15" hidden="false" customHeight="false" outlineLevel="0" collapsed="false">
      <c r="A2056" s="1" t="s">
        <v>622</v>
      </c>
      <c r="B2056" s="1" t="n">
        <v>2017</v>
      </c>
      <c r="C2056" s="1" t="s">
        <v>215</v>
      </c>
      <c r="D2056" s="1" t="s">
        <v>89</v>
      </c>
      <c r="E2056" s="1" t="s">
        <v>71</v>
      </c>
      <c r="F2056" s="1" t="n">
        <v>35</v>
      </c>
      <c r="G2056" s="1" t="n">
        <v>9</v>
      </c>
      <c r="H2056" s="1" t="s">
        <v>72</v>
      </c>
      <c r="I2056" s="1" t="n">
        <v>-1.5</v>
      </c>
      <c r="J2056" s="1" t="n">
        <v>39.5</v>
      </c>
      <c r="K2056" s="1" t="s">
        <v>598</v>
      </c>
      <c r="L2056" s="1" t="b">
        <f aca="false">FALSE()</f>
        <v>0</v>
      </c>
      <c r="M2056" s="1" t="str">
        <f aca="false">VLOOKUP(D2056,'Team Reference'!$A:$B,2,FALSE())</f>
        <v>MIA</v>
      </c>
      <c r="N2056" s="1" t="str">
        <f aca="false">VLOOKUP(E2056,'Team Reference'!$A:$B,2,FALSE())</f>
        <v>DEN</v>
      </c>
      <c r="O2056" s="1" t="str">
        <f aca="false">IF(F2056&gt;G2056,M2056,IF(G2056&gt;F2056,N2056,"Tie"))</f>
        <v>MIA</v>
      </c>
      <c r="P2056" s="1" t="n">
        <f aca="false">F2056-G2056</f>
        <v>26</v>
      </c>
      <c r="Q2056" s="1" t="n">
        <f aca="false">F2056+G2056</f>
        <v>44</v>
      </c>
      <c r="R2056" s="1" t="str">
        <f aca="false">IF(H2056=M2056,"Home",IF(H2056=N2056,"Away",IF(H2056="PICK","Pick","N/A")))</f>
        <v>Away</v>
      </c>
      <c r="S2056" s="1" t="n">
        <f aca="false">IF(R2056="Home",P2056,IF(R2056="Away",-P2056,""))</f>
        <v>-26</v>
      </c>
      <c r="T2056" s="1" t="str">
        <f aca="false">IF(R2056="Pick","No Line",IF(S2056="","N/A",IF(S2056+I2056&gt;0,"Favorite Covered",IF(S2056+I2056&lt;0,"Underdog Covered","Push"))))</f>
        <v>Underdog Covered</v>
      </c>
      <c r="U2056" s="1" t="str">
        <f aca="false">IF(Q2056&gt;J2056,"Over",IF(Q2056&lt;J2056,"Under","Push"))</f>
        <v>Over</v>
      </c>
    </row>
    <row r="2057" customFormat="false" ht="15" hidden="false" customHeight="false" outlineLevel="0" collapsed="false">
      <c r="A2057" s="1" t="s">
        <v>622</v>
      </c>
      <c r="B2057" s="1" t="n">
        <v>2017</v>
      </c>
      <c r="C2057" s="1" t="s">
        <v>215</v>
      </c>
      <c r="D2057" s="1" t="s">
        <v>95</v>
      </c>
      <c r="E2057" s="1" t="s">
        <v>61</v>
      </c>
      <c r="F2057" s="1" t="n">
        <v>31</v>
      </c>
      <c r="G2057" s="1" t="n">
        <v>21</v>
      </c>
      <c r="H2057" s="1" t="s">
        <v>96</v>
      </c>
      <c r="I2057" s="1" t="n">
        <v>-4.5</v>
      </c>
      <c r="J2057" s="1" t="n">
        <v>48</v>
      </c>
      <c r="K2057" s="1" t="s">
        <v>347</v>
      </c>
      <c r="L2057" s="1" t="b">
        <f aca="false">FALSE()</f>
        <v>0</v>
      </c>
      <c r="M2057" s="1" t="str">
        <f aca="false">VLOOKUP(D2057,'Team Reference'!$A:$B,2,FALSE())</f>
        <v>NO</v>
      </c>
      <c r="N2057" s="1" t="str">
        <f aca="false">VLOOKUP(E2057,'Team Reference'!$A:$B,2,FALSE())</f>
        <v>CAR</v>
      </c>
      <c r="O2057" s="1" t="str">
        <f aca="false">IF(F2057&gt;G2057,M2057,IF(G2057&gt;F2057,N2057,"Tie"))</f>
        <v>NO</v>
      </c>
      <c r="P2057" s="1" t="n">
        <f aca="false">F2057-G2057</f>
        <v>10</v>
      </c>
      <c r="Q2057" s="1" t="n">
        <f aca="false">F2057+G2057</f>
        <v>52</v>
      </c>
      <c r="R2057" s="1" t="str">
        <f aca="false">IF(H2057=M2057,"Home",IF(H2057=N2057,"Away",IF(H2057="PICK","Pick","N/A")))</f>
        <v>Home</v>
      </c>
      <c r="S2057" s="1" t="n">
        <f aca="false">IF(R2057="Home",P2057,IF(R2057="Away",-P2057,""))</f>
        <v>10</v>
      </c>
      <c r="T2057" s="1" t="str">
        <f aca="false">IF(R2057="Pick","No Line",IF(S2057="","N/A",IF(S2057+I2057&gt;0,"Favorite Covered",IF(S2057+I2057&lt;0,"Underdog Covered","Push"))))</f>
        <v>Favorite Covered</v>
      </c>
      <c r="U2057" s="1" t="str">
        <f aca="false">IF(Q2057&gt;J2057,"Over",IF(Q2057&lt;J2057,"Under","Push"))</f>
        <v>Over</v>
      </c>
    </row>
    <row r="2058" customFormat="false" ht="15" hidden="false" customHeight="false" outlineLevel="0" collapsed="false">
      <c r="A2058" s="1" t="s">
        <v>622</v>
      </c>
      <c r="B2058" s="1" t="n">
        <v>2017</v>
      </c>
      <c r="C2058" s="1" t="s">
        <v>215</v>
      </c>
      <c r="D2058" s="1" t="s">
        <v>99</v>
      </c>
      <c r="E2058" s="1" t="s">
        <v>83</v>
      </c>
      <c r="F2058" s="1" t="n">
        <v>38</v>
      </c>
      <c r="G2058" s="1" t="n">
        <v>31</v>
      </c>
      <c r="H2058" s="1" t="s">
        <v>84</v>
      </c>
      <c r="I2058" s="1" t="n">
        <v>-3</v>
      </c>
      <c r="J2058" s="1" t="n">
        <v>43.5</v>
      </c>
      <c r="K2058" s="1" t="s">
        <v>149</v>
      </c>
      <c r="L2058" s="1" t="b">
        <f aca="false">FALSE()</f>
        <v>0</v>
      </c>
      <c r="M2058" s="1" t="str">
        <f aca="false">VLOOKUP(D2058,'Team Reference'!$A:$B,2,FALSE())</f>
        <v>NYJ</v>
      </c>
      <c r="N2058" s="1" t="str">
        <f aca="false">VLOOKUP(E2058,'Team Reference'!$A:$B,2,FALSE())</f>
        <v>KC</v>
      </c>
      <c r="O2058" s="1" t="str">
        <f aca="false">IF(F2058&gt;G2058,M2058,IF(G2058&gt;F2058,N2058,"Tie"))</f>
        <v>NYJ</v>
      </c>
      <c r="P2058" s="1" t="n">
        <f aca="false">F2058-G2058</f>
        <v>7</v>
      </c>
      <c r="Q2058" s="1" t="n">
        <f aca="false">F2058+G2058</f>
        <v>69</v>
      </c>
      <c r="R2058" s="1" t="str">
        <f aca="false">IF(H2058=M2058,"Home",IF(H2058=N2058,"Away",IF(H2058="PICK","Pick","N/A")))</f>
        <v>Away</v>
      </c>
      <c r="S2058" s="1" t="n">
        <f aca="false">IF(R2058="Home",P2058,IF(R2058="Away",-P2058,""))</f>
        <v>-7</v>
      </c>
      <c r="T2058" s="1" t="str">
        <f aca="false">IF(R2058="Pick","No Line",IF(S2058="","N/A",IF(S2058+I2058&gt;0,"Favorite Covered",IF(S2058+I2058&lt;0,"Underdog Covered","Push"))))</f>
        <v>Underdog Covered</v>
      </c>
      <c r="U2058" s="1" t="str">
        <f aca="false">IF(Q2058&gt;J2058,"Over",IF(Q2058&lt;J2058,"Under","Push"))</f>
        <v>Over</v>
      </c>
    </row>
    <row r="2059" customFormat="false" ht="15" hidden="false" customHeight="false" outlineLevel="0" collapsed="false">
      <c r="A2059" s="1" t="s">
        <v>622</v>
      </c>
      <c r="B2059" s="1" t="n">
        <v>2017</v>
      </c>
      <c r="C2059" s="1" t="s">
        <v>215</v>
      </c>
      <c r="D2059" s="1" t="s">
        <v>101</v>
      </c>
      <c r="E2059" s="1" t="s">
        <v>97</v>
      </c>
      <c r="F2059" s="1" t="n">
        <v>24</v>
      </c>
      <c r="G2059" s="1" t="n">
        <v>17</v>
      </c>
      <c r="H2059" s="1" t="s">
        <v>102</v>
      </c>
      <c r="I2059" s="1" t="n">
        <v>-9</v>
      </c>
      <c r="J2059" s="1" t="n">
        <v>41.5</v>
      </c>
      <c r="K2059" s="1" t="s">
        <v>171</v>
      </c>
      <c r="L2059" s="1" t="b">
        <f aca="false">FALSE()</f>
        <v>0</v>
      </c>
      <c r="M2059" s="1" t="str">
        <f aca="false">VLOOKUP(D2059,'Team Reference'!$A:$B,2,FALSE())</f>
        <v>OAK</v>
      </c>
      <c r="N2059" s="1" t="str">
        <f aca="false">VLOOKUP(E2059,'Team Reference'!$A:$B,2,FALSE())</f>
        <v>NYG</v>
      </c>
      <c r="O2059" s="1" t="str">
        <f aca="false">IF(F2059&gt;G2059,M2059,IF(G2059&gt;F2059,N2059,"Tie"))</f>
        <v>OAK</v>
      </c>
      <c r="P2059" s="1" t="n">
        <f aca="false">F2059-G2059</f>
        <v>7</v>
      </c>
      <c r="Q2059" s="1" t="n">
        <f aca="false">F2059+G2059</f>
        <v>41</v>
      </c>
      <c r="R2059" s="1" t="str">
        <f aca="false">IF(H2059=M2059,"Home",IF(H2059=N2059,"Away",IF(H2059="PICK","Pick","N/A")))</f>
        <v>Home</v>
      </c>
      <c r="S2059" s="1" t="n">
        <f aca="false">IF(R2059="Home",P2059,IF(R2059="Away",-P2059,""))</f>
        <v>7</v>
      </c>
      <c r="T2059" s="1" t="str">
        <f aca="false">IF(R2059="Pick","No Line",IF(S2059="","N/A",IF(S2059+I2059&gt;0,"Favorite Covered",IF(S2059+I2059&lt;0,"Underdog Covered","Push"))))</f>
        <v>Underdog Covered</v>
      </c>
      <c r="U2059" s="1" t="str">
        <f aca="false">IF(Q2059&gt;J2059,"Over",IF(Q2059&lt;J2059,"Under","Push"))</f>
        <v>Under</v>
      </c>
    </row>
    <row r="2060" customFormat="false" ht="15" hidden="false" customHeight="false" outlineLevel="0" collapsed="false">
      <c r="A2060" s="1" t="s">
        <v>622</v>
      </c>
      <c r="B2060" s="1" t="n">
        <v>2017</v>
      </c>
      <c r="C2060" s="1" t="s">
        <v>215</v>
      </c>
      <c r="D2060" s="1" t="s">
        <v>110</v>
      </c>
      <c r="E2060" s="1" t="s">
        <v>103</v>
      </c>
      <c r="F2060" s="1" t="n">
        <v>24</v>
      </c>
      <c r="G2060" s="1" t="n">
        <v>10</v>
      </c>
      <c r="H2060" s="1" t="s">
        <v>104</v>
      </c>
      <c r="I2060" s="1" t="n">
        <v>-5.5</v>
      </c>
      <c r="J2060" s="1" t="n">
        <v>47.5</v>
      </c>
      <c r="K2060" s="1" t="s">
        <v>152</v>
      </c>
      <c r="L2060" s="1" t="b">
        <f aca="false">FALSE()</f>
        <v>0</v>
      </c>
      <c r="M2060" s="1" t="str">
        <f aca="false">VLOOKUP(D2060,'Team Reference'!$A:$B,2,FALSE())</f>
        <v>SEA</v>
      </c>
      <c r="N2060" s="1" t="str">
        <f aca="false">VLOOKUP(E2060,'Team Reference'!$A:$B,2,FALSE())</f>
        <v>PHI</v>
      </c>
      <c r="O2060" s="1" t="str">
        <f aca="false">IF(F2060&gt;G2060,M2060,IF(G2060&gt;F2060,N2060,"Tie"))</f>
        <v>SEA</v>
      </c>
      <c r="P2060" s="1" t="n">
        <f aca="false">F2060-G2060</f>
        <v>14</v>
      </c>
      <c r="Q2060" s="1" t="n">
        <f aca="false">F2060+G2060</f>
        <v>34</v>
      </c>
      <c r="R2060" s="1" t="str">
        <f aca="false">IF(H2060=M2060,"Home",IF(H2060=N2060,"Away",IF(H2060="PICK","Pick","N/A")))</f>
        <v>Away</v>
      </c>
      <c r="S2060" s="1" t="n">
        <f aca="false">IF(R2060="Home",P2060,IF(R2060="Away",-P2060,""))</f>
        <v>-14</v>
      </c>
      <c r="T2060" s="1" t="str">
        <f aca="false">IF(R2060="Pick","No Line",IF(S2060="","N/A",IF(S2060+I2060&gt;0,"Favorite Covered",IF(S2060+I2060&lt;0,"Underdog Covered","Push"))))</f>
        <v>Underdog Covered</v>
      </c>
      <c r="U2060" s="1" t="str">
        <f aca="false">IF(Q2060&gt;J2060,"Over",IF(Q2060&lt;J2060,"Under","Push"))</f>
        <v>Under</v>
      </c>
    </row>
    <row r="2061" customFormat="false" ht="15" hidden="false" customHeight="false" outlineLevel="0" collapsed="false">
      <c r="A2061" s="1" t="s">
        <v>622</v>
      </c>
      <c r="B2061" s="1" t="n">
        <v>2017</v>
      </c>
      <c r="C2061" s="1" t="s">
        <v>215</v>
      </c>
      <c r="D2061" s="1" t="s">
        <v>115</v>
      </c>
      <c r="E2061" s="1" t="s">
        <v>77</v>
      </c>
      <c r="F2061" s="1" t="n">
        <v>24</v>
      </c>
      <c r="G2061" s="1" t="n">
        <v>13</v>
      </c>
      <c r="H2061" s="1" t="s">
        <v>116</v>
      </c>
      <c r="I2061" s="1" t="n">
        <v>-6.5</v>
      </c>
      <c r="J2061" s="1" t="n">
        <v>43</v>
      </c>
      <c r="K2061" s="1" t="s">
        <v>584</v>
      </c>
      <c r="L2061" s="1" t="b">
        <f aca="false">FALSE()</f>
        <v>0</v>
      </c>
      <c r="M2061" s="1" t="str">
        <f aca="false">VLOOKUP(D2061,'Team Reference'!$A:$B,2,FALSE())</f>
        <v>TEN</v>
      </c>
      <c r="N2061" s="1" t="str">
        <f aca="false">VLOOKUP(E2061,'Team Reference'!$A:$B,2,FALSE())</f>
        <v>HOU</v>
      </c>
      <c r="O2061" s="1" t="str">
        <f aca="false">IF(F2061&gt;G2061,M2061,IF(G2061&gt;F2061,N2061,"Tie"))</f>
        <v>TEN</v>
      </c>
      <c r="P2061" s="1" t="n">
        <f aca="false">F2061-G2061</f>
        <v>11</v>
      </c>
      <c r="Q2061" s="1" t="n">
        <f aca="false">F2061+G2061</f>
        <v>37</v>
      </c>
      <c r="R2061" s="1" t="str">
        <f aca="false">IF(H2061=M2061,"Home",IF(H2061=N2061,"Away",IF(H2061="PICK","Pick","N/A")))</f>
        <v>Home</v>
      </c>
      <c r="S2061" s="1" t="n">
        <f aca="false">IF(R2061="Home",P2061,IF(R2061="Away",-P2061,""))</f>
        <v>11</v>
      </c>
      <c r="T2061" s="1" t="str">
        <f aca="false">IF(R2061="Pick","No Line",IF(S2061="","N/A",IF(S2061+I2061&gt;0,"Favorite Covered",IF(S2061+I2061&lt;0,"Underdog Covered","Push"))))</f>
        <v>Favorite Covered</v>
      </c>
      <c r="U2061" s="1" t="str">
        <f aca="false">IF(Q2061&gt;J2061,"Over",IF(Q2061&lt;J2061,"Under","Push"))</f>
        <v>Under</v>
      </c>
    </row>
    <row r="2062" customFormat="false" ht="15" hidden="false" customHeight="false" outlineLevel="0" collapsed="false">
      <c r="A2062" s="1" t="s">
        <v>623</v>
      </c>
      <c r="B2062" s="1" t="n">
        <v>2017</v>
      </c>
      <c r="C2062" s="1" t="s">
        <v>215</v>
      </c>
      <c r="D2062" s="1" t="s">
        <v>65</v>
      </c>
      <c r="E2062" s="1" t="s">
        <v>105</v>
      </c>
      <c r="F2062" s="1" t="n">
        <v>20</v>
      </c>
      <c r="G2062" s="1" t="n">
        <v>23</v>
      </c>
      <c r="H2062" s="1" t="s">
        <v>106</v>
      </c>
      <c r="I2062" s="1" t="n">
        <v>-4.5</v>
      </c>
      <c r="J2062" s="1" t="n">
        <v>43.5</v>
      </c>
      <c r="K2062" s="1" t="s">
        <v>163</v>
      </c>
      <c r="L2062" s="1" t="b">
        <f aca="false">FALSE()</f>
        <v>0</v>
      </c>
      <c r="M2062" s="1" t="str">
        <f aca="false">VLOOKUP(D2062,'Team Reference'!$A:$B,2,FALSE())</f>
        <v>CIN</v>
      </c>
      <c r="N2062" s="1" t="str">
        <f aca="false">VLOOKUP(E2062,'Team Reference'!$A:$B,2,FALSE())</f>
        <v>PIT</v>
      </c>
      <c r="O2062" s="1" t="str">
        <f aca="false">IF(F2062&gt;G2062,M2062,IF(G2062&gt;F2062,N2062,"Tie"))</f>
        <v>PIT</v>
      </c>
      <c r="P2062" s="1" t="n">
        <f aca="false">F2062-G2062</f>
        <v>-3</v>
      </c>
      <c r="Q2062" s="1" t="n">
        <f aca="false">F2062+G2062</f>
        <v>43</v>
      </c>
      <c r="R2062" s="1" t="str">
        <f aca="false">IF(H2062=M2062,"Home",IF(H2062=N2062,"Away",IF(H2062="PICK","Pick","N/A")))</f>
        <v>Away</v>
      </c>
      <c r="S2062" s="1" t="n">
        <f aca="false">IF(R2062="Home",P2062,IF(R2062="Away",-P2062,""))</f>
        <v>3</v>
      </c>
      <c r="T2062" s="1" t="str">
        <f aca="false">IF(R2062="Pick","No Line",IF(S2062="","N/A",IF(S2062+I2062&gt;0,"Favorite Covered",IF(S2062+I2062&lt;0,"Underdog Covered","Push"))))</f>
        <v>Underdog Covered</v>
      </c>
      <c r="U2062" s="1" t="str">
        <f aca="false">IF(Q2062&gt;J2062,"Over",IF(Q2062&lt;J2062,"Under","Push"))</f>
        <v>Under</v>
      </c>
    </row>
    <row r="2063" customFormat="false" ht="15" hidden="false" customHeight="false" outlineLevel="0" collapsed="false">
      <c r="A2063" s="1" t="s">
        <v>624</v>
      </c>
      <c r="B2063" s="1" t="n">
        <v>2017</v>
      </c>
      <c r="C2063" s="1" t="s">
        <v>219</v>
      </c>
      <c r="D2063" s="1" t="s">
        <v>55</v>
      </c>
      <c r="E2063" s="1" t="s">
        <v>95</v>
      </c>
      <c r="F2063" s="1" t="n">
        <v>20</v>
      </c>
      <c r="G2063" s="1" t="n">
        <v>17</v>
      </c>
      <c r="H2063" s="1" t="s">
        <v>56</v>
      </c>
      <c r="I2063" s="1" t="n">
        <v>-2.5</v>
      </c>
      <c r="J2063" s="1" t="n">
        <v>51.5</v>
      </c>
      <c r="K2063" s="1" t="s">
        <v>161</v>
      </c>
      <c r="L2063" s="1" t="b">
        <f aca="false">FALSE()</f>
        <v>0</v>
      </c>
      <c r="M2063" s="1" t="str">
        <f aca="false">VLOOKUP(D2063,'Team Reference'!$A:$B,2,FALSE())</f>
        <v>ATL</v>
      </c>
      <c r="N2063" s="1" t="str">
        <f aca="false">VLOOKUP(E2063,'Team Reference'!$A:$B,2,FALSE())</f>
        <v>NO</v>
      </c>
      <c r="O2063" s="1" t="str">
        <f aca="false">IF(F2063&gt;G2063,M2063,IF(G2063&gt;F2063,N2063,"Tie"))</f>
        <v>ATL</v>
      </c>
      <c r="P2063" s="1" t="n">
        <f aca="false">F2063-G2063</f>
        <v>3</v>
      </c>
      <c r="Q2063" s="1" t="n">
        <f aca="false">F2063+G2063</f>
        <v>37</v>
      </c>
      <c r="R2063" s="1" t="str">
        <f aca="false">IF(H2063=M2063,"Home",IF(H2063=N2063,"Away",IF(H2063="PICK","Pick","N/A")))</f>
        <v>Home</v>
      </c>
      <c r="S2063" s="1" t="n">
        <f aca="false">IF(R2063="Home",P2063,IF(R2063="Away",-P2063,""))</f>
        <v>3</v>
      </c>
      <c r="T2063" s="1" t="str">
        <f aca="false">IF(R2063="Pick","No Line",IF(S2063="","N/A",IF(S2063+I2063&gt;0,"Favorite Covered",IF(S2063+I2063&lt;0,"Underdog Covered","Push"))))</f>
        <v>Favorite Covered</v>
      </c>
      <c r="U2063" s="1" t="str">
        <f aca="false">IF(Q2063&gt;J2063,"Over",IF(Q2063&lt;J2063,"Under","Push"))</f>
        <v>Under</v>
      </c>
    </row>
    <row r="2064" customFormat="false" ht="15" hidden="false" customHeight="false" outlineLevel="0" collapsed="false">
      <c r="A2064" s="1" t="s">
        <v>625</v>
      </c>
      <c r="B2064" s="1" t="n">
        <v>2017</v>
      </c>
      <c r="C2064" s="1" t="s">
        <v>219</v>
      </c>
      <c r="D2064" s="1" t="s">
        <v>53</v>
      </c>
      <c r="E2064" s="1" t="s">
        <v>115</v>
      </c>
      <c r="F2064" s="1" t="n">
        <v>12</v>
      </c>
      <c r="G2064" s="1" t="n">
        <v>7</v>
      </c>
      <c r="H2064" s="1" t="s">
        <v>116</v>
      </c>
      <c r="I2064" s="1" t="n">
        <v>-2.5</v>
      </c>
      <c r="J2064" s="1" t="n">
        <v>42</v>
      </c>
      <c r="K2064" s="1" t="s">
        <v>177</v>
      </c>
      <c r="L2064" s="1" t="b">
        <f aca="false">FALSE()</f>
        <v>0</v>
      </c>
      <c r="M2064" s="1" t="str">
        <f aca="false">VLOOKUP(D2064,'Team Reference'!$A:$B,2,FALSE())</f>
        <v>ARI</v>
      </c>
      <c r="N2064" s="1" t="str">
        <f aca="false">VLOOKUP(E2064,'Team Reference'!$A:$B,2,FALSE())</f>
        <v>TEN</v>
      </c>
      <c r="O2064" s="1" t="str">
        <f aca="false">IF(F2064&gt;G2064,M2064,IF(G2064&gt;F2064,N2064,"Tie"))</f>
        <v>ARI</v>
      </c>
      <c r="P2064" s="1" t="n">
        <f aca="false">F2064-G2064</f>
        <v>5</v>
      </c>
      <c r="Q2064" s="1" t="n">
        <f aca="false">F2064+G2064</f>
        <v>19</v>
      </c>
      <c r="R2064" s="1" t="str">
        <f aca="false">IF(H2064=M2064,"Home",IF(H2064=N2064,"Away",IF(H2064="PICK","Pick","N/A")))</f>
        <v>Away</v>
      </c>
      <c r="S2064" s="1" t="n">
        <f aca="false">IF(R2064="Home",P2064,IF(R2064="Away",-P2064,""))</f>
        <v>-5</v>
      </c>
      <c r="T2064" s="1" t="str">
        <f aca="false">IF(R2064="Pick","No Line",IF(S2064="","N/A",IF(S2064+I2064&gt;0,"Favorite Covered",IF(S2064+I2064&lt;0,"Underdog Covered","Push"))))</f>
        <v>Underdog Covered</v>
      </c>
      <c r="U2064" s="1" t="str">
        <f aca="false">IF(Q2064&gt;J2064,"Over",IF(Q2064&lt;J2064,"Under","Push"))</f>
        <v>Under</v>
      </c>
    </row>
    <row r="2065" customFormat="false" ht="15" hidden="false" customHeight="false" outlineLevel="0" collapsed="false">
      <c r="A2065" s="1" t="s">
        <v>625</v>
      </c>
      <c r="B2065" s="1" t="n">
        <v>2017</v>
      </c>
      <c r="C2065" s="1" t="s">
        <v>219</v>
      </c>
      <c r="D2065" s="1" t="s">
        <v>59</v>
      </c>
      <c r="E2065" s="1" t="s">
        <v>79</v>
      </c>
      <c r="F2065" s="1" t="n">
        <v>13</v>
      </c>
      <c r="G2065" s="1" t="n">
        <v>7</v>
      </c>
      <c r="H2065" s="1" t="s">
        <v>60</v>
      </c>
      <c r="I2065" s="1" t="n">
        <v>-3.5</v>
      </c>
      <c r="J2065" s="1" t="n">
        <v>36.5</v>
      </c>
      <c r="K2065" s="1" t="s">
        <v>522</v>
      </c>
      <c r="L2065" s="1" t="b">
        <f aca="false">FALSE()</f>
        <v>0</v>
      </c>
      <c r="M2065" s="1" t="str">
        <f aca="false">VLOOKUP(D2065,'Team Reference'!$A:$B,2,FALSE())</f>
        <v>BUF</v>
      </c>
      <c r="N2065" s="1" t="str">
        <f aca="false">VLOOKUP(E2065,'Team Reference'!$A:$B,2,FALSE())</f>
        <v>IND</v>
      </c>
      <c r="O2065" s="1" t="str">
        <f aca="false">IF(F2065&gt;G2065,M2065,IF(G2065&gt;F2065,N2065,"Tie"))</f>
        <v>BUF</v>
      </c>
      <c r="P2065" s="1" t="n">
        <f aca="false">F2065-G2065</f>
        <v>6</v>
      </c>
      <c r="Q2065" s="1" t="n">
        <f aca="false">F2065+G2065</f>
        <v>20</v>
      </c>
      <c r="R2065" s="1" t="str">
        <f aca="false">IF(H2065=M2065,"Home",IF(H2065=N2065,"Away",IF(H2065="PICK","Pick","N/A")))</f>
        <v>Home</v>
      </c>
      <c r="S2065" s="1" t="n">
        <f aca="false">IF(R2065="Home",P2065,IF(R2065="Away",-P2065,""))</f>
        <v>6</v>
      </c>
      <c r="T2065" s="1" t="str">
        <f aca="false">IF(R2065="Pick","No Line",IF(S2065="","N/A",IF(S2065+I2065&gt;0,"Favorite Covered",IF(S2065+I2065&lt;0,"Underdog Covered","Push"))))</f>
        <v>Favorite Covered</v>
      </c>
      <c r="U2065" s="1" t="str">
        <f aca="false">IF(Q2065&gt;J2065,"Over",IF(Q2065&lt;J2065,"Under","Push"))</f>
        <v>Under</v>
      </c>
    </row>
    <row r="2066" customFormat="false" ht="15" hidden="false" customHeight="false" outlineLevel="0" collapsed="false">
      <c r="A2066" s="1" t="s">
        <v>625</v>
      </c>
      <c r="B2066" s="1" t="n">
        <v>2017</v>
      </c>
      <c r="C2066" s="1" t="s">
        <v>219</v>
      </c>
      <c r="D2066" s="1" t="s">
        <v>61</v>
      </c>
      <c r="E2066" s="1" t="s">
        <v>91</v>
      </c>
      <c r="F2066" s="1" t="n">
        <v>31</v>
      </c>
      <c r="G2066" s="1" t="n">
        <v>24</v>
      </c>
      <c r="H2066" s="1" t="s">
        <v>92</v>
      </c>
      <c r="I2066" s="1" t="n">
        <v>-2.5</v>
      </c>
      <c r="J2066" s="1" t="n">
        <v>40.5</v>
      </c>
      <c r="K2066" s="1" t="s">
        <v>162</v>
      </c>
      <c r="L2066" s="1" t="b">
        <f aca="false">FALSE()</f>
        <v>0</v>
      </c>
      <c r="M2066" s="1" t="str">
        <f aca="false">VLOOKUP(D2066,'Team Reference'!$A:$B,2,FALSE())</f>
        <v>CAR</v>
      </c>
      <c r="N2066" s="1" t="str">
        <f aca="false">VLOOKUP(E2066,'Team Reference'!$A:$B,2,FALSE())</f>
        <v>MIN</v>
      </c>
      <c r="O2066" s="1" t="str">
        <f aca="false">IF(F2066&gt;G2066,M2066,IF(G2066&gt;F2066,N2066,"Tie"))</f>
        <v>CAR</v>
      </c>
      <c r="P2066" s="1" t="n">
        <f aca="false">F2066-G2066</f>
        <v>7</v>
      </c>
      <c r="Q2066" s="1" t="n">
        <f aca="false">F2066+G2066</f>
        <v>55</v>
      </c>
      <c r="R2066" s="1" t="str">
        <f aca="false">IF(H2066=M2066,"Home",IF(H2066=N2066,"Away",IF(H2066="PICK","Pick","N/A")))</f>
        <v>Away</v>
      </c>
      <c r="S2066" s="1" t="n">
        <f aca="false">IF(R2066="Home",P2066,IF(R2066="Away",-P2066,""))</f>
        <v>-7</v>
      </c>
      <c r="T2066" s="1" t="str">
        <f aca="false">IF(R2066="Pick","No Line",IF(S2066="","N/A",IF(S2066+I2066&gt;0,"Favorite Covered",IF(S2066+I2066&lt;0,"Underdog Covered","Push"))))</f>
        <v>Underdog Covered</v>
      </c>
      <c r="U2066" s="1" t="str">
        <f aca="false">IF(Q2066&gt;J2066,"Over",IF(Q2066&lt;J2066,"Under","Push"))</f>
        <v>Over</v>
      </c>
    </row>
    <row r="2067" customFormat="false" ht="15" hidden="false" customHeight="false" outlineLevel="0" collapsed="false">
      <c r="A2067" s="1" t="s">
        <v>625</v>
      </c>
      <c r="B2067" s="1" t="n">
        <v>2017</v>
      </c>
      <c r="C2067" s="1" t="s">
        <v>219</v>
      </c>
      <c r="D2067" s="1" t="s">
        <v>65</v>
      </c>
      <c r="E2067" s="1" t="s">
        <v>63</v>
      </c>
      <c r="F2067" s="1" t="n">
        <v>7</v>
      </c>
      <c r="G2067" s="1" t="n">
        <v>33</v>
      </c>
      <c r="H2067" s="1" t="s">
        <v>66</v>
      </c>
      <c r="I2067" s="1" t="n">
        <v>-6</v>
      </c>
      <c r="J2067" s="1" t="n">
        <v>40.5</v>
      </c>
      <c r="K2067" s="1" t="s">
        <v>163</v>
      </c>
      <c r="L2067" s="1" t="b">
        <f aca="false">FALSE()</f>
        <v>0</v>
      </c>
      <c r="M2067" s="1" t="str">
        <f aca="false">VLOOKUP(D2067,'Team Reference'!$A:$B,2,FALSE())</f>
        <v>CIN</v>
      </c>
      <c r="N2067" s="1" t="str">
        <f aca="false">VLOOKUP(E2067,'Team Reference'!$A:$B,2,FALSE())</f>
        <v>CHI</v>
      </c>
      <c r="O2067" s="1" t="str">
        <f aca="false">IF(F2067&gt;G2067,M2067,IF(G2067&gt;F2067,N2067,"Tie"))</f>
        <v>CHI</v>
      </c>
      <c r="P2067" s="1" t="n">
        <f aca="false">F2067-G2067</f>
        <v>-26</v>
      </c>
      <c r="Q2067" s="1" t="n">
        <f aca="false">F2067+G2067</f>
        <v>40</v>
      </c>
      <c r="R2067" s="1" t="str">
        <f aca="false">IF(H2067=M2067,"Home",IF(H2067=N2067,"Away",IF(H2067="PICK","Pick","N/A")))</f>
        <v>Home</v>
      </c>
      <c r="S2067" s="1" t="n">
        <f aca="false">IF(R2067="Home",P2067,IF(R2067="Away",-P2067,""))</f>
        <v>-26</v>
      </c>
      <c r="T2067" s="1" t="str">
        <f aca="false">IF(R2067="Pick","No Line",IF(S2067="","N/A",IF(S2067+I2067&gt;0,"Favorite Covered",IF(S2067+I2067&lt;0,"Underdog Covered","Push"))))</f>
        <v>Underdog Covered</v>
      </c>
      <c r="U2067" s="1" t="str">
        <f aca="false">IF(Q2067&gt;J2067,"Over",IF(Q2067&lt;J2067,"Under","Push"))</f>
        <v>Under</v>
      </c>
    </row>
    <row r="2068" customFormat="false" ht="15" hidden="false" customHeight="false" outlineLevel="0" collapsed="false">
      <c r="A2068" s="1" t="s">
        <v>625</v>
      </c>
      <c r="B2068" s="1" t="n">
        <v>2017</v>
      </c>
      <c r="C2068" s="1" t="s">
        <v>219</v>
      </c>
      <c r="D2068" s="1" t="s">
        <v>67</v>
      </c>
      <c r="E2068" s="1" t="s">
        <v>75</v>
      </c>
      <c r="F2068" s="1" t="n">
        <v>21</v>
      </c>
      <c r="G2068" s="1" t="n">
        <v>27</v>
      </c>
      <c r="H2068" s="1" t="s">
        <v>76</v>
      </c>
      <c r="I2068" s="1" t="n">
        <v>-2.5</v>
      </c>
      <c r="J2068" s="1" t="n">
        <v>38.5</v>
      </c>
      <c r="K2068" s="1" t="s">
        <v>164</v>
      </c>
      <c r="L2068" s="1" t="b">
        <f aca="false">FALSE()</f>
        <v>0</v>
      </c>
      <c r="M2068" s="1" t="str">
        <f aca="false">VLOOKUP(D2068,'Team Reference'!$A:$B,2,FALSE())</f>
        <v>CLE</v>
      </c>
      <c r="N2068" s="1" t="str">
        <f aca="false">VLOOKUP(E2068,'Team Reference'!$A:$B,2,FALSE())</f>
        <v>GB</v>
      </c>
      <c r="O2068" s="1" t="str">
        <f aca="false">IF(F2068&gt;G2068,M2068,IF(G2068&gt;F2068,N2068,"Tie"))</f>
        <v>GB</v>
      </c>
      <c r="P2068" s="1" t="n">
        <f aca="false">F2068-G2068</f>
        <v>-6</v>
      </c>
      <c r="Q2068" s="1" t="n">
        <f aca="false">F2068+G2068</f>
        <v>48</v>
      </c>
      <c r="R2068" s="1" t="str">
        <f aca="false">IF(H2068=M2068,"Home",IF(H2068=N2068,"Away",IF(H2068="PICK","Pick","N/A")))</f>
        <v>Away</v>
      </c>
      <c r="S2068" s="1" t="n">
        <f aca="false">IF(R2068="Home",P2068,IF(R2068="Away",-P2068,""))</f>
        <v>6</v>
      </c>
      <c r="T2068" s="1" t="str">
        <f aca="false">IF(R2068="Pick","No Line",IF(S2068="","N/A",IF(S2068+I2068&gt;0,"Favorite Covered",IF(S2068+I2068&lt;0,"Underdog Covered","Push"))))</f>
        <v>Favorite Covered</v>
      </c>
      <c r="U2068" s="1" t="str">
        <f aca="false">IF(Q2068&gt;J2068,"Over",IF(Q2068&lt;J2068,"Under","Push"))</f>
        <v>Over</v>
      </c>
    </row>
    <row r="2069" customFormat="false" ht="15" hidden="false" customHeight="false" outlineLevel="0" collapsed="false">
      <c r="A2069" s="1" t="s">
        <v>625</v>
      </c>
      <c r="B2069" s="1" t="n">
        <v>2017</v>
      </c>
      <c r="C2069" s="1" t="s">
        <v>219</v>
      </c>
      <c r="D2069" s="1" t="s">
        <v>71</v>
      </c>
      <c r="E2069" s="1" t="s">
        <v>99</v>
      </c>
      <c r="F2069" s="1" t="n">
        <v>23</v>
      </c>
      <c r="G2069" s="1" t="n">
        <v>0</v>
      </c>
      <c r="H2069" s="1" t="s">
        <v>100</v>
      </c>
      <c r="I2069" s="1" t="n">
        <v>-1</v>
      </c>
      <c r="J2069" s="1" t="n">
        <v>40.5</v>
      </c>
      <c r="K2069" s="1" t="s">
        <v>166</v>
      </c>
      <c r="L2069" s="1" t="b">
        <f aca="false">FALSE()</f>
        <v>0</v>
      </c>
      <c r="M2069" s="1" t="str">
        <f aca="false">VLOOKUP(D2069,'Team Reference'!$A:$B,2,FALSE())</f>
        <v>DEN</v>
      </c>
      <c r="N2069" s="1" t="str">
        <f aca="false">VLOOKUP(E2069,'Team Reference'!$A:$B,2,FALSE())</f>
        <v>NYJ</v>
      </c>
      <c r="O2069" s="1" t="str">
        <f aca="false">IF(F2069&gt;G2069,M2069,IF(G2069&gt;F2069,N2069,"Tie"))</f>
        <v>DEN</v>
      </c>
      <c r="P2069" s="1" t="n">
        <f aca="false">F2069-G2069</f>
        <v>23</v>
      </c>
      <c r="Q2069" s="1" t="n">
        <f aca="false">F2069+G2069</f>
        <v>23</v>
      </c>
      <c r="R2069" s="1" t="str">
        <f aca="false">IF(H2069=M2069,"Home",IF(H2069=N2069,"Away",IF(H2069="PICK","Pick","N/A")))</f>
        <v>Away</v>
      </c>
      <c r="S2069" s="1" t="n">
        <f aca="false">IF(R2069="Home",P2069,IF(R2069="Away",-P2069,""))</f>
        <v>-23</v>
      </c>
      <c r="T2069" s="1" t="str">
        <f aca="false">IF(R2069="Pick","No Line",IF(S2069="","N/A",IF(S2069+I2069&gt;0,"Favorite Covered",IF(S2069+I2069&lt;0,"Underdog Covered","Push"))))</f>
        <v>Underdog Covered</v>
      </c>
      <c r="U2069" s="1" t="str">
        <f aca="false">IF(Q2069&gt;J2069,"Over",IF(Q2069&lt;J2069,"Under","Push"))</f>
        <v>Under</v>
      </c>
    </row>
    <row r="2070" customFormat="false" ht="15" hidden="false" customHeight="false" outlineLevel="0" collapsed="false">
      <c r="A2070" s="1" t="s">
        <v>625</v>
      </c>
      <c r="B2070" s="1" t="n">
        <v>2017</v>
      </c>
      <c r="C2070" s="1" t="s">
        <v>219</v>
      </c>
      <c r="D2070" s="1" t="s">
        <v>77</v>
      </c>
      <c r="E2070" s="1" t="s">
        <v>108</v>
      </c>
      <c r="F2070" s="1" t="n">
        <v>16</v>
      </c>
      <c r="G2070" s="1" t="n">
        <v>26</v>
      </c>
      <c r="H2070" s="1" t="s">
        <v>78</v>
      </c>
      <c r="I2070" s="1" t="n">
        <v>-1</v>
      </c>
      <c r="J2070" s="1" t="n">
        <v>45.5</v>
      </c>
      <c r="K2070" s="1" t="s">
        <v>580</v>
      </c>
      <c r="L2070" s="1" t="b">
        <f aca="false">FALSE()</f>
        <v>0</v>
      </c>
      <c r="M2070" s="1" t="str">
        <f aca="false">VLOOKUP(D2070,'Team Reference'!$A:$B,2,FALSE())</f>
        <v>HOU</v>
      </c>
      <c r="N2070" s="1" t="str">
        <f aca="false">VLOOKUP(E2070,'Team Reference'!$A:$B,2,FALSE())</f>
        <v>SF</v>
      </c>
      <c r="O2070" s="1" t="str">
        <f aca="false">IF(F2070&gt;G2070,M2070,IF(G2070&gt;F2070,N2070,"Tie"))</f>
        <v>SF</v>
      </c>
      <c r="P2070" s="1" t="n">
        <f aca="false">F2070-G2070</f>
        <v>-10</v>
      </c>
      <c r="Q2070" s="1" t="n">
        <f aca="false">F2070+G2070</f>
        <v>42</v>
      </c>
      <c r="R2070" s="1" t="str">
        <f aca="false">IF(H2070=M2070,"Home",IF(H2070=N2070,"Away",IF(H2070="PICK","Pick","N/A")))</f>
        <v>Home</v>
      </c>
      <c r="S2070" s="1" t="n">
        <f aca="false">IF(R2070="Home",P2070,IF(R2070="Away",-P2070,""))</f>
        <v>-10</v>
      </c>
      <c r="T2070" s="1" t="str">
        <f aca="false">IF(R2070="Pick","No Line",IF(S2070="","N/A",IF(S2070+I2070&gt;0,"Favorite Covered",IF(S2070+I2070&lt;0,"Underdog Covered","Push"))))</f>
        <v>Underdog Covered</v>
      </c>
      <c r="U2070" s="1" t="str">
        <f aca="false">IF(Q2070&gt;J2070,"Over",IF(Q2070&lt;J2070,"Under","Push"))</f>
        <v>Under</v>
      </c>
    </row>
    <row r="2071" customFormat="false" ht="15" hidden="false" customHeight="false" outlineLevel="0" collapsed="false">
      <c r="A2071" s="1" t="s">
        <v>625</v>
      </c>
      <c r="B2071" s="1" t="n">
        <v>2017</v>
      </c>
      <c r="C2071" s="1" t="s">
        <v>219</v>
      </c>
      <c r="D2071" s="1" t="s">
        <v>81</v>
      </c>
      <c r="E2071" s="1" t="s">
        <v>110</v>
      </c>
      <c r="F2071" s="1" t="n">
        <v>30</v>
      </c>
      <c r="G2071" s="1" t="n">
        <v>24</v>
      </c>
      <c r="H2071" s="1" t="s">
        <v>82</v>
      </c>
      <c r="I2071" s="1" t="n">
        <v>-3</v>
      </c>
      <c r="J2071" s="1" t="n">
        <v>40</v>
      </c>
      <c r="K2071" s="1" t="s">
        <v>147</v>
      </c>
      <c r="L2071" s="1" t="b">
        <f aca="false">FALSE()</f>
        <v>0</v>
      </c>
      <c r="M2071" s="1" t="str">
        <f aca="false">VLOOKUP(D2071,'Team Reference'!$A:$B,2,FALSE())</f>
        <v>JAX</v>
      </c>
      <c r="N2071" s="1" t="str">
        <f aca="false">VLOOKUP(E2071,'Team Reference'!$A:$B,2,FALSE())</f>
        <v>SEA</v>
      </c>
      <c r="O2071" s="1" t="str">
        <f aca="false">IF(F2071&gt;G2071,M2071,IF(G2071&gt;F2071,N2071,"Tie"))</f>
        <v>JAX</v>
      </c>
      <c r="P2071" s="1" t="n">
        <f aca="false">F2071-G2071</f>
        <v>6</v>
      </c>
      <c r="Q2071" s="1" t="n">
        <f aca="false">F2071+G2071</f>
        <v>54</v>
      </c>
      <c r="R2071" s="1" t="str">
        <f aca="false">IF(H2071=M2071,"Home",IF(H2071=N2071,"Away",IF(H2071="PICK","Pick","N/A")))</f>
        <v>Home</v>
      </c>
      <c r="S2071" s="1" t="n">
        <f aca="false">IF(R2071="Home",P2071,IF(R2071="Away",-P2071,""))</f>
        <v>6</v>
      </c>
      <c r="T2071" s="1" t="str">
        <f aca="false">IF(R2071="Pick","No Line",IF(S2071="","N/A",IF(S2071+I2071&gt;0,"Favorite Covered",IF(S2071+I2071&lt;0,"Underdog Covered","Push"))))</f>
        <v>Favorite Covered</v>
      </c>
      <c r="U2071" s="1" t="str">
        <f aca="false">IF(Q2071&gt;J2071,"Over",IF(Q2071&lt;J2071,"Under","Push"))</f>
        <v>Over</v>
      </c>
    </row>
    <row r="2072" customFormat="false" ht="15" hidden="false" customHeight="false" outlineLevel="0" collapsed="false">
      <c r="A2072" s="1" t="s">
        <v>625</v>
      </c>
      <c r="B2072" s="1" t="n">
        <v>2017</v>
      </c>
      <c r="C2072" s="1" t="s">
        <v>219</v>
      </c>
      <c r="D2072" s="1" t="s">
        <v>83</v>
      </c>
      <c r="E2072" s="1" t="s">
        <v>101</v>
      </c>
      <c r="F2072" s="1" t="n">
        <v>26</v>
      </c>
      <c r="G2072" s="1" t="n">
        <v>15</v>
      </c>
      <c r="H2072" s="1" t="s">
        <v>84</v>
      </c>
      <c r="I2072" s="1" t="n">
        <v>-4.5</v>
      </c>
      <c r="J2072" s="1" t="n">
        <v>48.5</v>
      </c>
      <c r="K2072" s="1" t="s">
        <v>158</v>
      </c>
      <c r="L2072" s="1" t="b">
        <f aca="false">FALSE()</f>
        <v>0</v>
      </c>
      <c r="M2072" s="1" t="str">
        <f aca="false">VLOOKUP(D2072,'Team Reference'!$A:$B,2,FALSE())</f>
        <v>KC</v>
      </c>
      <c r="N2072" s="1" t="str">
        <f aca="false">VLOOKUP(E2072,'Team Reference'!$A:$B,2,FALSE())</f>
        <v>OAK</v>
      </c>
      <c r="O2072" s="1" t="str">
        <f aca="false">IF(F2072&gt;G2072,M2072,IF(G2072&gt;F2072,N2072,"Tie"))</f>
        <v>KC</v>
      </c>
      <c r="P2072" s="1" t="n">
        <f aca="false">F2072-G2072</f>
        <v>11</v>
      </c>
      <c r="Q2072" s="1" t="n">
        <f aca="false">F2072+G2072</f>
        <v>41</v>
      </c>
      <c r="R2072" s="1" t="str">
        <f aca="false">IF(H2072=M2072,"Home",IF(H2072=N2072,"Away",IF(H2072="PICK","Pick","N/A")))</f>
        <v>Home</v>
      </c>
      <c r="S2072" s="1" t="n">
        <f aca="false">IF(R2072="Home",P2072,IF(R2072="Away",-P2072,""))</f>
        <v>11</v>
      </c>
      <c r="T2072" s="1" t="str">
        <f aca="false">IF(R2072="Pick","No Line",IF(S2072="","N/A",IF(S2072+I2072&gt;0,"Favorite Covered",IF(S2072+I2072&lt;0,"Underdog Covered","Push"))))</f>
        <v>Favorite Covered</v>
      </c>
      <c r="U2072" s="1" t="str">
        <f aca="false">IF(Q2072&gt;J2072,"Over",IF(Q2072&lt;J2072,"Under","Push"))</f>
        <v>Under</v>
      </c>
    </row>
    <row r="2073" customFormat="false" ht="15" hidden="false" customHeight="false" outlineLevel="0" collapsed="false">
      <c r="A2073" s="1" t="s">
        <v>625</v>
      </c>
      <c r="B2073" s="1" t="n">
        <v>2017</v>
      </c>
      <c r="C2073" s="1" t="s">
        <v>219</v>
      </c>
      <c r="D2073" s="1" t="s">
        <v>85</v>
      </c>
      <c r="E2073" s="1" t="s">
        <v>117</v>
      </c>
      <c r="F2073" s="1" t="n">
        <v>30</v>
      </c>
      <c r="G2073" s="1" t="n">
        <v>13</v>
      </c>
      <c r="H2073" s="1" t="s">
        <v>86</v>
      </c>
      <c r="I2073" s="1" t="n">
        <v>-6</v>
      </c>
      <c r="J2073" s="1" t="n">
        <v>46.5</v>
      </c>
      <c r="K2073" s="1" t="s">
        <v>588</v>
      </c>
      <c r="L2073" s="1" t="b">
        <f aca="false">FALSE()</f>
        <v>0</v>
      </c>
      <c r="M2073" s="1" t="str">
        <f aca="false">VLOOKUP(D2073,'Team Reference'!$A:$B,2,FALSE())</f>
        <v>LAC</v>
      </c>
      <c r="N2073" s="1" t="str">
        <f aca="false">VLOOKUP(E2073,'Team Reference'!$A:$B,2,FALSE())</f>
        <v>WAS</v>
      </c>
      <c r="O2073" s="1" t="str">
        <f aca="false">IF(F2073&gt;G2073,M2073,IF(G2073&gt;F2073,N2073,"Tie"))</f>
        <v>LAC</v>
      </c>
      <c r="P2073" s="1" t="n">
        <f aca="false">F2073-G2073</f>
        <v>17</v>
      </c>
      <c r="Q2073" s="1" t="n">
        <f aca="false">F2073+G2073</f>
        <v>43</v>
      </c>
      <c r="R2073" s="1" t="str">
        <f aca="false">IF(H2073=M2073,"Home",IF(H2073=N2073,"Away",IF(H2073="PICK","Pick","N/A")))</f>
        <v>Home</v>
      </c>
      <c r="S2073" s="1" t="n">
        <f aca="false">IF(R2073="Home",P2073,IF(R2073="Away",-P2073,""))</f>
        <v>17</v>
      </c>
      <c r="T2073" s="1" t="str">
        <f aca="false">IF(R2073="Pick","No Line",IF(S2073="","N/A",IF(S2073+I2073&gt;0,"Favorite Covered",IF(S2073+I2073&lt;0,"Underdog Covered","Push"))))</f>
        <v>Favorite Covered</v>
      </c>
      <c r="U2073" s="1" t="str">
        <f aca="false">IF(Q2073&gt;J2073,"Over",IF(Q2073&lt;J2073,"Under","Push"))</f>
        <v>Under</v>
      </c>
    </row>
    <row r="2074" customFormat="false" ht="15" hidden="false" customHeight="false" outlineLevel="0" collapsed="false">
      <c r="A2074" s="1" t="s">
        <v>625</v>
      </c>
      <c r="B2074" s="1" t="n">
        <v>2017</v>
      </c>
      <c r="C2074" s="1" t="s">
        <v>219</v>
      </c>
      <c r="D2074" s="1" t="s">
        <v>87</v>
      </c>
      <c r="E2074" s="1" t="s">
        <v>103</v>
      </c>
      <c r="F2074" s="1" t="n">
        <v>35</v>
      </c>
      <c r="G2074" s="1" t="n">
        <v>43</v>
      </c>
      <c r="H2074" s="1" t="s">
        <v>88</v>
      </c>
      <c r="I2074" s="1" t="n">
        <v>-1</v>
      </c>
      <c r="J2074" s="1" t="n">
        <v>47.5</v>
      </c>
      <c r="K2074" s="1" t="s">
        <v>520</v>
      </c>
      <c r="L2074" s="1" t="b">
        <f aca="false">FALSE()</f>
        <v>0</v>
      </c>
      <c r="M2074" s="1" t="str">
        <f aca="false">VLOOKUP(D2074,'Team Reference'!$A:$B,2,FALSE())</f>
        <v>LAR</v>
      </c>
      <c r="N2074" s="1" t="str">
        <f aca="false">VLOOKUP(E2074,'Team Reference'!$A:$B,2,FALSE())</f>
        <v>PHI</v>
      </c>
      <c r="O2074" s="1" t="str">
        <f aca="false">IF(F2074&gt;G2074,M2074,IF(G2074&gt;F2074,N2074,"Tie"))</f>
        <v>PHI</v>
      </c>
      <c r="P2074" s="1" t="n">
        <f aca="false">F2074-G2074</f>
        <v>-8</v>
      </c>
      <c r="Q2074" s="1" t="n">
        <f aca="false">F2074+G2074</f>
        <v>78</v>
      </c>
      <c r="R2074" s="1" t="str">
        <f aca="false">IF(H2074=M2074,"Home",IF(H2074=N2074,"Away",IF(H2074="PICK","Pick","N/A")))</f>
        <v>Home</v>
      </c>
      <c r="S2074" s="1" t="n">
        <f aca="false">IF(R2074="Home",P2074,IF(R2074="Away",-P2074,""))</f>
        <v>-8</v>
      </c>
      <c r="T2074" s="1" t="str">
        <f aca="false">IF(R2074="Pick","No Line",IF(S2074="","N/A",IF(S2074+I2074&gt;0,"Favorite Covered",IF(S2074+I2074&lt;0,"Underdog Covered","Push"))))</f>
        <v>Underdog Covered</v>
      </c>
      <c r="U2074" s="1" t="str">
        <f aca="false">IF(Q2074&gt;J2074,"Over",IF(Q2074&lt;J2074,"Under","Push"))</f>
        <v>Over</v>
      </c>
    </row>
    <row r="2075" customFormat="false" ht="15" hidden="false" customHeight="false" outlineLevel="0" collapsed="false">
      <c r="A2075" s="1" t="s">
        <v>625</v>
      </c>
      <c r="B2075" s="1" t="n">
        <v>2017</v>
      </c>
      <c r="C2075" s="1" t="s">
        <v>219</v>
      </c>
      <c r="D2075" s="1" t="s">
        <v>97</v>
      </c>
      <c r="E2075" s="1" t="s">
        <v>69</v>
      </c>
      <c r="F2075" s="1" t="n">
        <v>10</v>
      </c>
      <c r="G2075" s="1" t="n">
        <v>30</v>
      </c>
      <c r="H2075" s="1" t="s">
        <v>70</v>
      </c>
      <c r="I2075" s="1" t="n">
        <v>-4</v>
      </c>
      <c r="J2075" s="1" t="n">
        <v>42</v>
      </c>
      <c r="K2075" s="1" t="s">
        <v>149</v>
      </c>
      <c r="L2075" s="1" t="b">
        <f aca="false">FALSE()</f>
        <v>0</v>
      </c>
      <c r="M2075" s="1" t="str">
        <f aca="false">VLOOKUP(D2075,'Team Reference'!$A:$B,2,FALSE())</f>
        <v>NYG</v>
      </c>
      <c r="N2075" s="1" t="str">
        <f aca="false">VLOOKUP(E2075,'Team Reference'!$A:$B,2,FALSE())</f>
        <v>DAL</v>
      </c>
      <c r="O2075" s="1" t="str">
        <f aca="false">IF(F2075&gt;G2075,M2075,IF(G2075&gt;F2075,N2075,"Tie"))</f>
        <v>DAL</v>
      </c>
      <c r="P2075" s="1" t="n">
        <f aca="false">F2075-G2075</f>
        <v>-20</v>
      </c>
      <c r="Q2075" s="1" t="n">
        <f aca="false">F2075+G2075</f>
        <v>40</v>
      </c>
      <c r="R2075" s="1" t="str">
        <f aca="false">IF(H2075=M2075,"Home",IF(H2075=N2075,"Away",IF(H2075="PICK","Pick","N/A")))</f>
        <v>Away</v>
      </c>
      <c r="S2075" s="1" t="n">
        <f aca="false">IF(R2075="Home",P2075,IF(R2075="Away",-P2075,""))</f>
        <v>20</v>
      </c>
      <c r="T2075" s="1" t="str">
        <f aca="false">IF(R2075="Pick","No Line",IF(S2075="","N/A",IF(S2075+I2075&gt;0,"Favorite Covered",IF(S2075+I2075&lt;0,"Underdog Covered","Push"))))</f>
        <v>Favorite Covered</v>
      </c>
      <c r="U2075" s="1" t="str">
        <f aca="false">IF(Q2075&gt;J2075,"Over",IF(Q2075&lt;J2075,"Under","Push"))</f>
        <v>Under</v>
      </c>
    </row>
    <row r="2076" customFormat="false" ht="15" hidden="false" customHeight="false" outlineLevel="0" collapsed="false">
      <c r="A2076" s="1" t="s">
        <v>625</v>
      </c>
      <c r="B2076" s="1" t="n">
        <v>2017</v>
      </c>
      <c r="C2076" s="1" t="s">
        <v>219</v>
      </c>
      <c r="D2076" s="1" t="s">
        <v>105</v>
      </c>
      <c r="E2076" s="1" t="s">
        <v>57</v>
      </c>
      <c r="F2076" s="1" t="n">
        <v>39</v>
      </c>
      <c r="G2076" s="1" t="n">
        <v>38</v>
      </c>
      <c r="H2076" s="1" t="s">
        <v>106</v>
      </c>
      <c r="I2076" s="1" t="n">
        <v>-6</v>
      </c>
      <c r="J2076" s="1" t="n">
        <v>43</v>
      </c>
      <c r="K2076" s="1" t="s">
        <v>151</v>
      </c>
      <c r="L2076" s="1" t="b">
        <f aca="false">FALSE()</f>
        <v>0</v>
      </c>
      <c r="M2076" s="1" t="str">
        <f aca="false">VLOOKUP(D2076,'Team Reference'!$A:$B,2,FALSE())</f>
        <v>PIT</v>
      </c>
      <c r="N2076" s="1" t="str">
        <f aca="false">VLOOKUP(E2076,'Team Reference'!$A:$B,2,FALSE())</f>
        <v>BAL</v>
      </c>
      <c r="O2076" s="1" t="str">
        <f aca="false">IF(F2076&gt;G2076,M2076,IF(G2076&gt;F2076,N2076,"Tie"))</f>
        <v>PIT</v>
      </c>
      <c r="P2076" s="1" t="n">
        <f aca="false">F2076-G2076</f>
        <v>1</v>
      </c>
      <c r="Q2076" s="1" t="n">
        <f aca="false">F2076+G2076</f>
        <v>77</v>
      </c>
      <c r="R2076" s="1" t="str">
        <f aca="false">IF(H2076=M2076,"Home",IF(H2076=N2076,"Away",IF(H2076="PICK","Pick","N/A")))</f>
        <v>Home</v>
      </c>
      <c r="S2076" s="1" t="n">
        <f aca="false">IF(R2076="Home",P2076,IF(R2076="Away",-P2076,""))</f>
        <v>1</v>
      </c>
      <c r="T2076" s="1" t="str">
        <f aca="false">IF(R2076="Pick","No Line",IF(S2076="","N/A",IF(S2076+I2076&gt;0,"Favorite Covered",IF(S2076+I2076&lt;0,"Underdog Covered","Push"))))</f>
        <v>Underdog Covered</v>
      </c>
      <c r="U2076" s="1" t="str">
        <f aca="false">IF(Q2076&gt;J2076,"Over",IF(Q2076&lt;J2076,"Under","Push"))</f>
        <v>Over</v>
      </c>
    </row>
    <row r="2077" customFormat="false" ht="15" hidden="false" customHeight="false" outlineLevel="0" collapsed="false">
      <c r="A2077" s="1" t="s">
        <v>625</v>
      </c>
      <c r="B2077" s="1" t="n">
        <v>2017</v>
      </c>
      <c r="C2077" s="1" t="s">
        <v>219</v>
      </c>
      <c r="D2077" s="1" t="s">
        <v>113</v>
      </c>
      <c r="E2077" s="1" t="s">
        <v>73</v>
      </c>
      <c r="F2077" s="1" t="n">
        <v>21</v>
      </c>
      <c r="G2077" s="1" t="n">
        <v>24</v>
      </c>
      <c r="H2077" s="1" t="s">
        <v>200</v>
      </c>
      <c r="I2077" s="1" t="n">
        <v>0</v>
      </c>
      <c r="J2077" s="1" t="n">
        <v>47.5</v>
      </c>
      <c r="K2077" s="1" t="s">
        <v>154</v>
      </c>
      <c r="L2077" s="1" t="b">
        <f aca="false">FALSE()</f>
        <v>0</v>
      </c>
      <c r="M2077" s="1" t="str">
        <f aca="false">VLOOKUP(D2077,'Team Reference'!$A:$B,2,FALSE())</f>
        <v>TB</v>
      </c>
      <c r="N2077" s="1" t="str">
        <f aca="false">VLOOKUP(E2077,'Team Reference'!$A:$B,2,FALSE())</f>
        <v>DET</v>
      </c>
      <c r="O2077" s="1" t="str">
        <f aca="false">IF(F2077&gt;G2077,M2077,IF(G2077&gt;F2077,N2077,"Tie"))</f>
        <v>DET</v>
      </c>
      <c r="P2077" s="1" t="n">
        <f aca="false">F2077-G2077</f>
        <v>-3</v>
      </c>
      <c r="Q2077" s="1" t="n">
        <f aca="false">F2077+G2077</f>
        <v>45</v>
      </c>
      <c r="R2077" s="1" t="str">
        <f aca="false">IF(H2077=M2077,"Home",IF(H2077=N2077,"Away",IF(H2077="PICK","Pick","N/A")))</f>
        <v>Pick</v>
      </c>
      <c r="S2077" s="1" t="str">
        <f aca="false">IF(R2077="Home",P2077,IF(R2077="Away",-P2077,""))</f>
        <v/>
      </c>
      <c r="T2077" s="1" t="str">
        <f aca="false">IF(R2077="Pick","No Line",IF(S2077="","N/A",IF(S2077+I2077&gt;0,"Favorite Covered",IF(S2077+I2077&lt;0,"Underdog Covered","Push"))))</f>
        <v>No Line</v>
      </c>
      <c r="U2077" s="1" t="str">
        <f aca="false">IF(Q2077&gt;J2077,"Over",IF(Q2077&lt;J2077,"Under","Push"))</f>
        <v>Under</v>
      </c>
    </row>
    <row r="2078" customFormat="false" ht="15" hidden="false" customHeight="false" outlineLevel="0" collapsed="false">
      <c r="A2078" s="1" t="s">
        <v>626</v>
      </c>
      <c r="B2078" s="1" t="n">
        <v>2017</v>
      </c>
      <c r="C2078" s="1" t="s">
        <v>219</v>
      </c>
      <c r="D2078" s="1" t="s">
        <v>89</v>
      </c>
      <c r="E2078" s="1" t="s">
        <v>93</v>
      </c>
      <c r="F2078" s="1" t="n">
        <v>27</v>
      </c>
      <c r="G2078" s="1" t="n">
        <v>20</v>
      </c>
      <c r="H2078" s="1" t="s">
        <v>94</v>
      </c>
      <c r="I2078" s="1" t="n">
        <v>-10.5</v>
      </c>
      <c r="J2078" s="1" t="n">
        <v>48</v>
      </c>
      <c r="K2078" s="1" t="s">
        <v>598</v>
      </c>
      <c r="L2078" s="1" t="b">
        <f aca="false">FALSE()</f>
        <v>0</v>
      </c>
      <c r="M2078" s="1" t="str">
        <f aca="false">VLOOKUP(D2078,'Team Reference'!$A:$B,2,FALSE())</f>
        <v>MIA</v>
      </c>
      <c r="N2078" s="1" t="str">
        <f aca="false">VLOOKUP(E2078,'Team Reference'!$A:$B,2,FALSE())</f>
        <v>NE</v>
      </c>
      <c r="O2078" s="1" t="str">
        <f aca="false">IF(F2078&gt;G2078,M2078,IF(G2078&gt;F2078,N2078,"Tie"))</f>
        <v>MIA</v>
      </c>
      <c r="P2078" s="1" t="n">
        <f aca="false">F2078-G2078</f>
        <v>7</v>
      </c>
      <c r="Q2078" s="1" t="n">
        <f aca="false">F2078+G2078</f>
        <v>47</v>
      </c>
      <c r="R2078" s="1" t="str">
        <f aca="false">IF(H2078=M2078,"Home",IF(H2078=N2078,"Away",IF(H2078="PICK","Pick","N/A")))</f>
        <v>Away</v>
      </c>
      <c r="S2078" s="1" t="n">
        <f aca="false">IF(R2078="Home",P2078,IF(R2078="Away",-P2078,""))</f>
        <v>-7</v>
      </c>
      <c r="T2078" s="1" t="str">
        <f aca="false">IF(R2078="Pick","No Line",IF(S2078="","N/A",IF(S2078+I2078&gt;0,"Favorite Covered",IF(S2078+I2078&lt;0,"Underdog Covered","Push"))))</f>
        <v>Underdog Covered</v>
      </c>
      <c r="U2078" s="1" t="str">
        <f aca="false">IF(Q2078&gt;J2078,"Over",IF(Q2078&lt;J2078,"Under","Push"))</f>
        <v>Under</v>
      </c>
    </row>
    <row r="2079" customFormat="false" ht="15" hidden="false" customHeight="false" outlineLevel="0" collapsed="false">
      <c r="A2079" s="1" t="s">
        <v>627</v>
      </c>
      <c r="B2079" s="1" t="n">
        <v>2017</v>
      </c>
      <c r="C2079" s="1" t="s">
        <v>223</v>
      </c>
      <c r="D2079" s="1" t="s">
        <v>79</v>
      </c>
      <c r="E2079" s="1" t="s">
        <v>71</v>
      </c>
      <c r="F2079" s="1" t="n">
        <v>13</v>
      </c>
      <c r="G2079" s="1" t="n">
        <v>25</v>
      </c>
      <c r="H2079" s="1" t="s">
        <v>72</v>
      </c>
      <c r="I2079" s="1" t="n">
        <v>-3</v>
      </c>
      <c r="J2079" s="1" t="n">
        <v>40.5</v>
      </c>
      <c r="K2079" s="1" t="s">
        <v>169</v>
      </c>
      <c r="L2079" s="1" t="b">
        <f aca="false">FALSE()</f>
        <v>0</v>
      </c>
      <c r="M2079" s="1" t="str">
        <f aca="false">VLOOKUP(D2079,'Team Reference'!$A:$B,2,FALSE())</f>
        <v>IND</v>
      </c>
      <c r="N2079" s="1" t="str">
        <f aca="false">VLOOKUP(E2079,'Team Reference'!$A:$B,2,FALSE())</f>
        <v>DEN</v>
      </c>
      <c r="O2079" s="1" t="str">
        <f aca="false">IF(F2079&gt;G2079,M2079,IF(G2079&gt;F2079,N2079,"Tie"))</f>
        <v>DEN</v>
      </c>
      <c r="P2079" s="1" t="n">
        <f aca="false">F2079-G2079</f>
        <v>-12</v>
      </c>
      <c r="Q2079" s="1" t="n">
        <f aca="false">F2079+G2079</f>
        <v>38</v>
      </c>
      <c r="R2079" s="1" t="str">
        <f aca="false">IF(H2079=M2079,"Home",IF(H2079=N2079,"Away",IF(H2079="PICK","Pick","N/A")))</f>
        <v>Away</v>
      </c>
      <c r="S2079" s="1" t="n">
        <f aca="false">IF(R2079="Home",P2079,IF(R2079="Away",-P2079,""))</f>
        <v>12</v>
      </c>
      <c r="T2079" s="1" t="str">
        <f aca="false">IF(R2079="Pick","No Line",IF(S2079="","N/A",IF(S2079+I2079&gt;0,"Favorite Covered",IF(S2079+I2079&lt;0,"Underdog Covered","Push"))))</f>
        <v>Favorite Covered</v>
      </c>
      <c r="U2079" s="1" t="str">
        <f aca="false">IF(Q2079&gt;J2079,"Over",IF(Q2079&lt;J2079,"Under","Push"))</f>
        <v>Under</v>
      </c>
    </row>
    <row r="2080" customFormat="false" ht="15" hidden="false" customHeight="false" outlineLevel="0" collapsed="false">
      <c r="A2080" s="1" t="s">
        <v>628</v>
      </c>
      <c r="B2080" s="1" t="n">
        <v>2017</v>
      </c>
      <c r="C2080" s="1" t="s">
        <v>223</v>
      </c>
      <c r="D2080" s="1" t="s">
        <v>73</v>
      </c>
      <c r="E2080" s="1" t="s">
        <v>63</v>
      </c>
      <c r="F2080" s="1" t="n">
        <v>20</v>
      </c>
      <c r="G2080" s="1" t="n">
        <v>10</v>
      </c>
      <c r="H2080" s="1" t="s">
        <v>74</v>
      </c>
      <c r="I2080" s="1" t="n">
        <v>-5</v>
      </c>
      <c r="J2080" s="1" t="n">
        <v>43.5</v>
      </c>
      <c r="K2080" s="1" t="s">
        <v>167</v>
      </c>
      <c r="L2080" s="1" t="b">
        <f aca="false">FALSE()</f>
        <v>0</v>
      </c>
      <c r="M2080" s="1" t="str">
        <f aca="false">VLOOKUP(D2080,'Team Reference'!$A:$B,2,FALSE())</f>
        <v>DET</v>
      </c>
      <c r="N2080" s="1" t="str">
        <f aca="false">VLOOKUP(E2080,'Team Reference'!$A:$B,2,FALSE())</f>
        <v>CHI</v>
      </c>
      <c r="O2080" s="1" t="str">
        <f aca="false">IF(F2080&gt;G2080,M2080,IF(G2080&gt;F2080,N2080,"Tie"))</f>
        <v>DET</v>
      </c>
      <c r="P2080" s="1" t="n">
        <f aca="false">F2080-G2080</f>
        <v>10</v>
      </c>
      <c r="Q2080" s="1" t="n">
        <f aca="false">F2080+G2080</f>
        <v>30</v>
      </c>
      <c r="R2080" s="1" t="str">
        <f aca="false">IF(H2080=M2080,"Home",IF(H2080=N2080,"Away",IF(H2080="PICK","Pick","N/A")))</f>
        <v>Home</v>
      </c>
      <c r="S2080" s="1" t="n">
        <f aca="false">IF(R2080="Home",P2080,IF(R2080="Away",-P2080,""))</f>
        <v>10</v>
      </c>
      <c r="T2080" s="1" t="str">
        <f aca="false">IF(R2080="Pick","No Line",IF(S2080="","N/A",IF(S2080+I2080&gt;0,"Favorite Covered",IF(S2080+I2080&lt;0,"Underdog Covered","Push"))))</f>
        <v>Favorite Covered</v>
      </c>
      <c r="U2080" s="1" t="str">
        <f aca="false">IF(Q2080&gt;J2080,"Over",IF(Q2080&lt;J2080,"Under","Push"))</f>
        <v>Under</v>
      </c>
    </row>
    <row r="2081" customFormat="false" ht="15" hidden="false" customHeight="false" outlineLevel="0" collapsed="false">
      <c r="A2081" s="1" t="s">
        <v>628</v>
      </c>
      <c r="B2081" s="1" t="n">
        <v>2017</v>
      </c>
      <c r="C2081" s="1" t="s">
        <v>223</v>
      </c>
      <c r="D2081" s="1" t="s">
        <v>83</v>
      </c>
      <c r="E2081" s="1" t="s">
        <v>85</v>
      </c>
      <c r="F2081" s="1" t="n">
        <v>30</v>
      </c>
      <c r="G2081" s="1" t="n">
        <v>13</v>
      </c>
      <c r="H2081" s="1" t="s">
        <v>86</v>
      </c>
      <c r="I2081" s="1" t="n">
        <v>-1</v>
      </c>
      <c r="J2081" s="1" t="n">
        <v>47</v>
      </c>
      <c r="K2081" s="1" t="s">
        <v>158</v>
      </c>
      <c r="L2081" s="1" t="b">
        <f aca="false">FALSE()</f>
        <v>0</v>
      </c>
      <c r="M2081" s="1" t="str">
        <f aca="false">VLOOKUP(D2081,'Team Reference'!$A:$B,2,FALSE())</f>
        <v>KC</v>
      </c>
      <c r="N2081" s="1" t="str">
        <f aca="false">VLOOKUP(E2081,'Team Reference'!$A:$B,2,FALSE())</f>
        <v>LAC</v>
      </c>
      <c r="O2081" s="1" t="str">
        <f aca="false">IF(F2081&gt;G2081,M2081,IF(G2081&gt;F2081,N2081,"Tie"))</f>
        <v>KC</v>
      </c>
      <c r="P2081" s="1" t="n">
        <f aca="false">F2081-G2081</f>
        <v>17</v>
      </c>
      <c r="Q2081" s="1" t="n">
        <f aca="false">F2081+G2081</f>
        <v>43</v>
      </c>
      <c r="R2081" s="1" t="str">
        <f aca="false">IF(H2081=M2081,"Home",IF(H2081=N2081,"Away",IF(H2081="PICK","Pick","N/A")))</f>
        <v>Away</v>
      </c>
      <c r="S2081" s="1" t="n">
        <f aca="false">IF(R2081="Home",P2081,IF(R2081="Away",-P2081,""))</f>
        <v>-17</v>
      </c>
      <c r="T2081" s="1" t="str">
        <f aca="false">IF(R2081="Pick","No Line",IF(S2081="","N/A",IF(S2081+I2081&gt;0,"Favorite Covered",IF(S2081+I2081&lt;0,"Underdog Covered","Push"))))</f>
        <v>Underdog Covered</v>
      </c>
      <c r="U2081" s="1" t="str">
        <f aca="false">IF(Q2081&gt;J2081,"Over",IF(Q2081&lt;J2081,"Under","Push"))</f>
        <v>Under</v>
      </c>
    </row>
    <row r="2082" customFormat="false" ht="15" hidden="false" customHeight="false" outlineLevel="0" collapsed="false">
      <c r="A2082" s="1" t="s">
        <v>629</v>
      </c>
      <c r="B2082" s="1" t="n">
        <v>2017</v>
      </c>
      <c r="C2082" s="1" t="s">
        <v>223</v>
      </c>
      <c r="D2082" s="1" t="s">
        <v>59</v>
      </c>
      <c r="E2082" s="1" t="s">
        <v>89</v>
      </c>
      <c r="F2082" s="1" t="n">
        <v>24</v>
      </c>
      <c r="G2082" s="1" t="n">
        <v>16</v>
      </c>
      <c r="H2082" s="1" t="s">
        <v>60</v>
      </c>
      <c r="I2082" s="1" t="n">
        <v>-3.5</v>
      </c>
      <c r="J2082" s="1" t="n">
        <v>39.5</v>
      </c>
      <c r="K2082" s="1" t="s">
        <v>522</v>
      </c>
      <c r="L2082" s="1" t="b">
        <f aca="false">FALSE()</f>
        <v>0</v>
      </c>
      <c r="M2082" s="1" t="str">
        <f aca="false">VLOOKUP(D2082,'Team Reference'!$A:$B,2,FALSE())</f>
        <v>BUF</v>
      </c>
      <c r="N2082" s="1" t="str">
        <f aca="false">VLOOKUP(E2082,'Team Reference'!$A:$B,2,FALSE())</f>
        <v>MIA</v>
      </c>
      <c r="O2082" s="1" t="str">
        <f aca="false">IF(F2082&gt;G2082,M2082,IF(G2082&gt;F2082,N2082,"Tie"))</f>
        <v>BUF</v>
      </c>
      <c r="P2082" s="1" t="n">
        <f aca="false">F2082-G2082</f>
        <v>8</v>
      </c>
      <c r="Q2082" s="1" t="n">
        <f aca="false">F2082+G2082</f>
        <v>40</v>
      </c>
      <c r="R2082" s="1" t="str">
        <f aca="false">IF(H2082=M2082,"Home",IF(H2082=N2082,"Away",IF(H2082="PICK","Pick","N/A")))</f>
        <v>Home</v>
      </c>
      <c r="S2082" s="1" t="n">
        <f aca="false">IF(R2082="Home",P2082,IF(R2082="Away",-P2082,""))</f>
        <v>8</v>
      </c>
      <c r="T2082" s="1" t="str">
        <f aca="false">IF(R2082="Pick","No Line",IF(S2082="","N/A",IF(S2082+I2082&gt;0,"Favorite Covered",IF(S2082+I2082&lt;0,"Underdog Covered","Push"))))</f>
        <v>Favorite Covered</v>
      </c>
      <c r="U2082" s="1" t="str">
        <f aca="false">IF(Q2082&gt;J2082,"Over",IF(Q2082&lt;J2082,"Under","Push"))</f>
        <v>Over</v>
      </c>
    </row>
    <row r="2083" customFormat="false" ht="15" hidden="false" customHeight="false" outlineLevel="0" collapsed="false">
      <c r="A2083" s="1" t="s">
        <v>629</v>
      </c>
      <c r="B2083" s="1" t="n">
        <v>2017</v>
      </c>
      <c r="C2083" s="1" t="s">
        <v>223</v>
      </c>
      <c r="D2083" s="1" t="s">
        <v>61</v>
      </c>
      <c r="E2083" s="1" t="s">
        <v>75</v>
      </c>
      <c r="F2083" s="1" t="n">
        <v>31</v>
      </c>
      <c r="G2083" s="1" t="n">
        <v>24</v>
      </c>
      <c r="H2083" s="1" t="s">
        <v>62</v>
      </c>
      <c r="I2083" s="1" t="n">
        <v>-3</v>
      </c>
      <c r="J2083" s="1" t="n">
        <v>46.5</v>
      </c>
      <c r="K2083" s="1" t="s">
        <v>162</v>
      </c>
      <c r="L2083" s="1" t="b">
        <f aca="false">FALSE()</f>
        <v>0</v>
      </c>
      <c r="M2083" s="1" t="str">
        <f aca="false">VLOOKUP(D2083,'Team Reference'!$A:$B,2,FALSE())</f>
        <v>CAR</v>
      </c>
      <c r="N2083" s="1" t="str">
        <f aca="false">VLOOKUP(E2083,'Team Reference'!$A:$B,2,FALSE())</f>
        <v>GB</v>
      </c>
      <c r="O2083" s="1" t="str">
        <f aca="false">IF(F2083&gt;G2083,M2083,IF(G2083&gt;F2083,N2083,"Tie"))</f>
        <v>CAR</v>
      </c>
      <c r="P2083" s="1" t="n">
        <f aca="false">F2083-G2083</f>
        <v>7</v>
      </c>
      <c r="Q2083" s="1" t="n">
        <f aca="false">F2083+G2083</f>
        <v>55</v>
      </c>
      <c r="R2083" s="1" t="str">
        <f aca="false">IF(H2083=M2083,"Home",IF(H2083=N2083,"Away",IF(H2083="PICK","Pick","N/A")))</f>
        <v>Home</v>
      </c>
      <c r="S2083" s="1" t="n">
        <f aca="false">IF(R2083="Home",P2083,IF(R2083="Away",-P2083,""))</f>
        <v>7</v>
      </c>
      <c r="T2083" s="1" t="str">
        <f aca="false">IF(R2083="Pick","No Line",IF(S2083="","N/A",IF(S2083+I2083&gt;0,"Favorite Covered",IF(S2083+I2083&lt;0,"Underdog Covered","Push"))))</f>
        <v>Favorite Covered</v>
      </c>
      <c r="U2083" s="1" t="str">
        <f aca="false">IF(Q2083&gt;J2083,"Over",IF(Q2083&lt;J2083,"Under","Push"))</f>
        <v>Over</v>
      </c>
    </row>
    <row r="2084" customFormat="false" ht="15" hidden="false" customHeight="false" outlineLevel="0" collapsed="false">
      <c r="A2084" s="1" t="s">
        <v>629</v>
      </c>
      <c r="B2084" s="1" t="n">
        <v>2017</v>
      </c>
      <c r="C2084" s="1" t="s">
        <v>223</v>
      </c>
      <c r="D2084" s="1" t="s">
        <v>67</v>
      </c>
      <c r="E2084" s="1" t="s">
        <v>57</v>
      </c>
      <c r="F2084" s="1" t="n">
        <v>10</v>
      </c>
      <c r="G2084" s="1" t="n">
        <v>27</v>
      </c>
      <c r="H2084" s="1" t="s">
        <v>58</v>
      </c>
      <c r="I2084" s="1" t="n">
        <v>-6.5</v>
      </c>
      <c r="J2084" s="1" t="n">
        <v>42</v>
      </c>
      <c r="K2084" s="1" t="s">
        <v>164</v>
      </c>
      <c r="L2084" s="1" t="b">
        <f aca="false">FALSE()</f>
        <v>0</v>
      </c>
      <c r="M2084" s="1" t="str">
        <f aca="false">VLOOKUP(D2084,'Team Reference'!$A:$B,2,FALSE())</f>
        <v>CLE</v>
      </c>
      <c r="N2084" s="1" t="str">
        <f aca="false">VLOOKUP(E2084,'Team Reference'!$A:$B,2,FALSE())</f>
        <v>BAL</v>
      </c>
      <c r="O2084" s="1" t="str">
        <f aca="false">IF(F2084&gt;G2084,M2084,IF(G2084&gt;F2084,N2084,"Tie"))</f>
        <v>BAL</v>
      </c>
      <c r="P2084" s="1" t="n">
        <f aca="false">F2084-G2084</f>
        <v>-17</v>
      </c>
      <c r="Q2084" s="1" t="n">
        <f aca="false">F2084+G2084</f>
        <v>37</v>
      </c>
      <c r="R2084" s="1" t="str">
        <f aca="false">IF(H2084=M2084,"Home",IF(H2084=N2084,"Away",IF(H2084="PICK","Pick","N/A")))</f>
        <v>Away</v>
      </c>
      <c r="S2084" s="1" t="n">
        <f aca="false">IF(R2084="Home",P2084,IF(R2084="Away",-P2084,""))</f>
        <v>17</v>
      </c>
      <c r="T2084" s="1" t="str">
        <f aca="false">IF(R2084="Pick","No Line",IF(S2084="","N/A",IF(S2084+I2084&gt;0,"Favorite Covered",IF(S2084+I2084&lt;0,"Underdog Covered","Push"))))</f>
        <v>Favorite Covered</v>
      </c>
      <c r="U2084" s="1" t="str">
        <f aca="false">IF(Q2084&gt;J2084,"Over",IF(Q2084&lt;J2084,"Under","Push"))</f>
        <v>Under</v>
      </c>
    </row>
    <row r="2085" customFormat="false" ht="15" hidden="false" customHeight="false" outlineLevel="0" collapsed="false">
      <c r="A2085" s="1" t="s">
        <v>629</v>
      </c>
      <c r="B2085" s="1" t="n">
        <v>2017</v>
      </c>
      <c r="C2085" s="1" t="s">
        <v>223</v>
      </c>
      <c r="D2085" s="1" t="s">
        <v>81</v>
      </c>
      <c r="E2085" s="1" t="s">
        <v>77</v>
      </c>
      <c r="F2085" s="1" t="n">
        <v>45</v>
      </c>
      <c r="G2085" s="1" t="n">
        <v>7</v>
      </c>
      <c r="H2085" s="1" t="s">
        <v>82</v>
      </c>
      <c r="I2085" s="1" t="n">
        <v>-10.5</v>
      </c>
      <c r="J2085" s="1" t="n">
        <v>39</v>
      </c>
      <c r="K2085" s="1" t="s">
        <v>147</v>
      </c>
      <c r="L2085" s="1" t="b">
        <f aca="false">FALSE()</f>
        <v>0</v>
      </c>
      <c r="M2085" s="1" t="str">
        <f aca="false">VLOOKUP(D2085,'Team Reference'!$A:$B,2,FALSE())</f>
        <v>JAX</v>
      </c>
      <c r="N2085" s="1" t="str">
        <f aca="false">VLOOKUP(E2085,'Team Reference'!$A:$B,2,FALSE())</f>
        <v>HOU</v>
      </c>
      <c r="O2085" s="1" t="str">
        <f aca="false">IF(F2085&gt;G2085,M2085,IF(G2085&gt;F2085,N2085,"Tie"))</f>
        <v>JAX</v>
      </c>
      <c r="P2085" s="1" t="n">
        <f aca="false">F2085-G2085</f>
        <v>38</v>
      </c>
      <c r="Q2085" s="1" t="n">
        <f aca="false">F2085+G2085</f>
        <v>52</v>
      </c>
      <c r="R2085" s="1" t="str">
        <f aca="false">IF(H2085=M2085,"Home",IF(H2085=N2085,"Away",IF(H2085="PICK","Pick","N/A")))</f>
        <v>Home</v>
      </c>
      <c r="S2085" s="1" t="n">
        <f aca="false">IF(R2085="Home",P2085,IF(R2085="Away",-P2085,""))</f>
        <v>38</v>
      </c>
      <c r="T2085" s="1" t="str">
        <f aca="false">IF(R2085="Pick","No Line",IF(S2085="","N/A",IF(S2085+I2085&gt;0,"Favorite Covered",IF(S2085+I2085&lt;0,"Underdog Covered","Push"))))</f>
        <v>Favorite Covered</v>
      </c>
      <c r="U2085" s="1" t="str">
        <f aca="false">IF(Q2085&gt;J2085,"Over",IF(Q2085&lt;J2085,"Under","Push"))</f>
        <v>Over</v>
      </c>
    </row>
    <row r="2086" customFormat="false" ht="15" hidden="false" customHeight="false" outlineLevel="0" collapsed="false">
      <c r="A2086" s="1" t="s">
        <v>629</v>
      </c>
      <c r="B2086" s="1" t="n">
        <v>2017</v>
      </c>
      <c r="C2086" s="1" t="s">
        <v>223</v>
      </c>
      <c r="D2086" s="1" t="s">
        <v>91</v>
      </c>
      <c r="E2086" s="1" t="s">
        <v>65</v>
      </c>
      <c r="F2086" s="1" t="n">
        <v>34</v>
      </c>
      <c r="G2086" s="1" t="n">
        <v>7</v>
      </c>
      <c r="H2086" s="1" t="s">
        <v>92</v>
      </c>
      <c r="I2086" s="1" t="n">
        <v>-12.5</v>
      </c>
      <c r="J2086" s="1" t="n">
        <v>42.5</v>
      </c>
      <c r="K2086" s="1" t="s">
        <v>525</v>
      </c>
      <c r="L2086" s="1" t="b">
        <f aca="false">FALSE()</f>
        <v>0</v>
      </c>
      <c r="M2086" s="1" t="str">
        <f aca="false">VLOOKUP(D2086,'Team Reference'!$A:$B,2,FALSE())</f>
        <v>MIN</v>
      </c>
      <c r="N2086" s="1" t="str">
        <f aca="false">VLOOKUP(E2086,'Team Reference'!$A:$B,2,FALSE())</f>
        <v>CIN</v>
      </c>
      <c r="O2086" s="1" t="str">
        <f aca="false">IF(F2086&gt;G2086,M2086,IF(G2086&gt;F2086,N2086,"Tie"))</f>
        <v>MIN</v>
      </c>
      <c r="P2086" s="1" t="n">
        <f aca="false">F2086-G2086</f>
        <v>27</v>
      </c>
      <c r="Q2086" s="1" t="n">
        <f aca="false">F2086+G2086</f>
        <v>41</v>
      </c>
      <c r="R2086" s="1" t="str">
        <f aca="false">IF(H2086=M2086,"Home",IF(H2086=N2086,"Away",IF(H2086="PICK","Pick","N/A")))</f>
        <v>Home</v>
      </c>
      <c r="S2086" s="1" t="n">
        <f aca="false">IF(R2086="Home",P2086,IF(R2086="Away",-P2086,""))</f>
        <v>27</v>
      </c>
      <c r="T2086" s="1" t="str">
        <f aca="false">IF(R2086="Pick","No Line",IF(S2086="","N/A",IF(S2086+I2086&gt;0,"Favorite Covered",IF(S2086+I2086&lt;0,"Underdog Covered","Push"))))</f>
        <v>Favorite Covered</v>
      </c>
      <c r="U2086" s="1" t="str">
        <f aca="false">IF(Q2086&gt;J2086,"Over",IF(Q2086&lt;J2086,"Under","Push"))</f>
        <v>Under</v>
      </c>
    </row>
    <row r="2087" customFormat="false" ht="15" hidden="false" customHeight="false" outlineLevel="0" collapsed="false">
      <c r="A2087" s="1" t="s">
        <v>629</v>
      </c>
      <c r="B2087" s="1" t="n">
        <v>2017</v>
      </c>
      <c r="C2087" s="1" t="s">
        <v>223</v>
      </c>
      <c r="D2087" s="1" t="s">
        <v>95</v>
      </c>
      <c r="E2087" s="1" t="s">
        <v>99</v>
      </c>
      <c r="F2087" s="1" t="n">
        <v>31</v>
      </c>
      <c r="G2087" s="1" t="n">
        <v>19</v>
      </c>
      <c r="H2087" s="1" t="s">
        <v>96</v>
      </c>
      <c r="I2087" s="1" t="n">
        <v>-16.5</v>
      </c>
      <c r="J2087" s="1" t="n">
        <v>47</v>
      </c>
      <c r="K2087" s="1" t="s">
        <v>347</v>
      </c>
      <c r="L2087" s="1" t="b">
        <f aca="false">FALSE()</f>
        <v>0</v>
      </c>
      <c r="M2087" s="1" t="str">
        <f aca="false">VLOOKUP(D2087,'Team Reference'!$A:$B,2,FALSE())</f>
        <v>NO</v>
      </c>
      <c r="N2087" s="1" t="str">
        <f aca="false">VLOOKUP(E2087,'Team Reference'!$A:$B,2,FALSE())</f>
        <v>NYJ</v>
      </c>
      <c r="O2087" s="1" t="str">
        <f aca="false">IF(F2087&gt;G2087,M2087,IF(G2087&gt;F2087,N2087,"Tie"))</f>
        <v>NO</v>
      </c>
      <c r="P2087" s="1" t="n">
        <f aca="false">F2087-G2087</f>
        <v>12</v>
      </c>
      <c r="Q2087" s="1" t="n">
        <f aca="false">F2087+G2087</f>
        <v>50</v>
      </c>
      <c r="R2087" s="1" t="str">
        <f aca="false">IF(H2087=M2087,"Home",IF(H2087=N2087,"Away",IF(H2087="PICK","Pick","N/A")))</f>
        <v>Home</v>
      </c>
      <c r="S2087" s="1" t="n">
        <f aca="false">IF(R2087="Home",P2087,IF(R2087="Away",-P2087,""))</f>
        <v>12</v>
      </c>
      <c r="T2087" s="1" t="str">
        <f aca="false">IF(R2087="Pick","No Line",IF(S2087="","N/A",IF(S2087+I2087&gt;0,"Favorite Covered",IF(S2087+I2087&lt;0,"Underdog Covered","Push"))))</f>
        <v>Underdog Covered</v>
      </c>
      <c r="U2087" s="1" t="str">
        <f aca="false">IF(Q2087&gt;J2087,"Over",IF(Q2087&lt;J2087,"Under","Push"))</f>
        <v>Over</v>
      </c>
    </row>
    <row r="2088" customFormat="false" ht="15" hidden="false" customHeight="false" outlineLevel="0" collapsed="false">
      <c r="A2088" s="1" t="s">
        <v>629</v>
      </c>
      <c r="B2088" s="1" t="n">
        <v>2017</v>
      </c>
      <c r="C2088" s="1" t="s">
        <v>223</v>
      </c>
      <c r="D2088" s="1" t="s">
        <v>97</v>
      </c>
      <c r="E2088" s="1" t="s">
        <v>103</v>
      </c>
      <c r="F2088" s="1" t="n">
        <v>29</v>
      </c>
      <c r="G2088" s="1" t="n">
        <v>34</v>
      </c>
      <c r="H2088" s="1" t="s">
        <v>104</v>
      </c>
      <c r="I2088" s="1" t="n">
        <v>-7.5</v>
      </c>
      <c r="J2088" s="1" t="n">
        <v>40</v>
      </c>
      <c r="K2088" s="1" t="s">
        <v>149</v>
      </c>
      <c r="L2088" s="1" t="b">
        <f aca="false">FALSE()</f>
        <v>0</v>
      </c>
      <c r="M2088" s="1" t="str">
        <f aca="false">VLOOKUP(D2088,'Team Reference'!$A:$B,2,FALSE())</f>
        <v>NYG</v>
      </c>
      <c r="N2088" s="1" t="str">
        <f aca="false">VLOOKUP(E2088,'Team Reference'!$A:$B,2,FALSE())</f>
        <v>PHI</v>
      </c>
      <c r="O2088" s="1" t="str">
        <f aca="false">IF(F2088&gt;G2088,M2088,IF(G2088&gt;F2088,N2088,"Tie"))</f>
        <v>PHI</v>
      </c>
      <c r="P2088" s="1" t="n">
        <f aca="false">F2088-G2088</f>
        <v>-5</v>
      </c>
      <c r="Q2088" s="1" t="n">
        <f aca="false">F2088+G2088</f>
        <v>63</v>
      </c>
      <c r="R2088" s="1" t="str">
        <f aca="false">IF(H2088=M2088,"Home",IF(H2088=N2088,"Away",IF(H2088="PICK","Pick","N/A")))</f>
        <v>Away</v>
      </c>
      <c r="S2088" s="1" t="n">
        <f aca="false">IF(R2088="Home",P2088,IF(R2088="Away",-P2088,""))</f>
        <v>5</v>
      </c>
      <c r="T2088" s="1" t="str">
        <f aca="false">IF(R2088="Pick","No Line",IF(S2088="","N/A",IF(S2088+I2088&gt;0,"Favorite Covered",IF(S2088+I2088&lt;0,"Underdog Covered","Push"))))</f>
        <v>Underdog Covered</v>
      </c>
      <c r="U2088" s="1" t="str">
        <f aca="false">IF(Q2088&gt;J2088,"Over",IF(Q2088&lt;J2088,"Under","Push"))</f>
        <v>Over</v>
      </c>
    </row>
    <row r="2089" customFormat="false" ht="15" hidden="false" customHeight="false" outlineLevel="0" collapsed="false">
      <c r="A2089" s="1" t="s">
        <v>629</v>
      </c>
      <c r="B2089" s="1" t="n">
        <v>2017</v>
      </c>
      <c r="C2089" s="1" t="s">
        <v>223</v>
      </c>
      <c r="D2089" s="1" t="s">
        <v>101</v>
      </c>
      <c r="E2089" s="1" t="s">
        <v>69</v>
      </c>
      <c r="F2089" s="1" t="n">
        <v>17</v>
      </c>
      <c r="G2089" s="1" t="n">
        <v>20</v>
      </c>
      <c r="H2089" s="1" t="s">
        <v>70</v>
      </c>
      <c r="I2089" s="1" t="n">
        <v>-3</v>
      </c>
      <c r="J2089" s="1" t="n">
        <v>46</v>
      </c>
      <c r="K2089" s="1" t="s">
        <v>171</v>
      </c>
      <c r="L2089" s="1" t="b">
        <f aca="false">FALSE()</f>
        <v>0</v>
      </c>
      <c r="M2089" s="1" t="str">
        <f aca="false">VLOOKUP(D2089,'Team Reference'!$A:$B,2,FALSE())</f>
        <v>OAK</v>
      </c>
      <c r="N2089" s="1" t="str">
        <f aca="false">VLOOKUP(E2089,'Team Reference'!$A:$B,2,FALSE())</f>
        <v>DAL</v>
      </c>
      <c r="O2089" s="1" t="str">
        <f aca="false">IF(F2089&gt;G2089,M2089,IF(G2089&gt;F2089,N2089,"Tie"))</f>
        <v>DAL</v>
      </c>
      <c r="P2089" s="1" t="n">
        <f aca="false">F2089-G2089</f>
        <v>-3</v>
      </c>
      <c r="Q2089" s="1" t="n">
        <f aca="false">F2089+G2089</f>
        <v>37</v>
      </c>
      <c r="R2089" s="1" t="str">
        <f aca="false">IF(H2089=M2089,"Home",IF(H2089=N2089,"Away",IF(H2089="PICK","Pick","N/A")))</f>
        <v>Away</v>
      </c>
      <c r="S2089" s="1" t="n">
        <f aca="false">IF(R2089="Home",P2089,IF(R2089="Away",-P2089,""))</f>
        <v>3</v>
      </c>
      <c r="T2089" s="1" t="str">
        <f aca="false">IF(R2089="Pick","No Line",IF(S2089="","N/A",IF(S2089+I2089&gt;0,"Favorite Covered",IF(S2089+I2089&lt;0,"Underdog Covered","Push"))))</f>
        <v>Push</v>
      </c>
      <c r="U2089" s="1" t="str">
        <f aca="false">IF(Q2089&gt;J2089,"Over",IF(Q2089&lt;J2089,"Under","Push"))</f>
        <v>Under</v>
      </c>
    </row>
    <row r="2090" customFormat="false" ht="15" hidden="false" customHeight="false" outlineLevel="0" collapsed="false">
      <c r="A2090" s="1" t="s">
        <v>629</v>
      </c>
      <c r="B2090" s="1" t="n">
        <v>2017</v>
      </c>
      <c r="C2090" s="1" t="s">
        <v>223</v>
      </c>
      <c r="D2090" s="1" t="s">
        <v>105</v>
      </c>
      <c r="E2090" s="1" t="s">
        <v>93</v>
      </c>
      <c r="F2090" s="1" t="n">
        <v>24</v>
      </c>
      <c r="G2090" s="1" t="n">
        <v>27</v>
      </c>
      <c r="H2090" s="1" t="s">
        <v>94</v>
      </c>
      <c r="I2090" s="1" t="n">
        <v>-2.5</v>
      </c>
      <c r="J2090" s="1" t="n">
        <v>52.5</v>
      </c>
      <c r="K2090" s="1" t="s">
        <v>151</v>
      </c>
      <c r="L2090" s="1" t="b">
        <f aca="false">FALSE()</f>
        <v>0</v>
      </c>
      <c r="M2090" s="1" t="str">
        <f aca="false">VLOOKUP(D2090,'Team Reference'!$A:$B,2,FALSE())</f>
        <v>PIT</v>
      </c>
      <c r="N2090" s="1" t="str">
        <f aca="false">VLOOKUP(E2090,'Team Reference'!$A:$B,2,FALSE())</f>
        <v>NE</v>
      </c>
      <c r="O2090" s="1" t="str">
        <f aca="false">IF(F2090&gt;G2090,M2090,IF(G2090&gt;F2090,N2090,"Tie"))</f>
        <v>NE</v>
      </c>
      <c r="P2090" s="1" t="n">
        <f aca="false">F2090-G2090</f>
        <v>-3</v>
      </c>
      <c r="Q2090" s="1" t="n">
        <f aca="false">F2090+G2090</f>
        <v>51</v>
      </c>
      <c r="R2090" s="1" t="str">
        <f aca="false">IF(H2090=M2090,"Home",IF(H2090=N2090,"Away",IF(H2090="PICK","Pick","N/A")))</f>
        <v>Away</v>
      </c>
      <c r="S2090" s="1" t="n">
        <f aca="false">IF(R2090="Home",P2090,IF(R2090="Away",-P2090,""))</f>
        <v>3</v>
      </c>
      <c r="T2090" s="1" t="str">
        <f aca="false">IF(R2090="Pick","No Line",IF(S2090="","N/A",IF(S2090+I2090&gt;0,"Favorite Covered",IF(S2090+I2090&lt;0,"Underdog Covered","Push"))))</f>
        <v>Favorite Covered</v>
      </c>
      <c r="U2090" s="1" t="str">
        <f aca="false">IF(Q2090&gt;J2090,"Over",IF(Q2090&lt;J2090,"Under","Push"))</f>
        <v>Under</v>
      </c>
    </row>
    <row r="2091" customFormat="false" ht="15" hidden="false" customHeight="false" outlineLevel="0" collapsed="false">
      <c r="A2091" s="1" t="s">
        <v>629</v>
      </c>
      <c r="B2091" s="1" t="n">
        <v>2017</v>
      </c>
      <c r="C2091" s="1" t="s">
        <v>223</v>
      </c>
      <c r="D2091" s="1" t="s">
        <v>108</v>
      </c>
      <c r="E2091" s="1" t="s">
        <v>115</v>
      </c>
      <c r="F2091" s="1" t="n">
        <v>25</v>
      </c>
      <c r="G2091" s="1" t="n">
        <v>23</v>
      </c>
      <c r="H2091" s="1" t="s">
        <v>109</v>
      </c>
      <c r="I2091" s="1" t="n">
        <v>-2.5</v>
      </c>
      <c r="J2091" s="1" t="n">
        <v>44.5</v>
      </c>
      <c r="K2091" s="1" t="s">
        <v>408</v>
      </c>
      <c r="L2091" s="1" t="b">
        <f aca="false">FALSE()</f>
        <v>0</v>
      </c>
      <c r="M2091" s="1" t="str">
        <f aca="false">VLOOKUP(D2091,'Team Reference'!$A:$B,2,FALSE())</f>
        <v>SF</v>
      </c>
      <c r="N2091" s="1" t="str">
        <f aca="false">VLOOKUP(E2091,'Team Reference'!$A:$B,2,FALSE())</f>
        <v>TEN</v>
      </c>
      <c r="O2091" s="1" t="str">
        <f aca="false">IF(F2091&gt;G2091,M2091,IF(G2091&gt;F2091,N2091,"Tie"))</f>
        <v>SF</v>
      </c>
      <c r="P2091" s="1" t="n">
        <f aca="false">F2091-G2091</f>
        <v>2</v>
      </c>
      <c r="Q2091" s="1" t="n">
        <f aca="false">F2091+G2091</f>
        <v>48</v>
      </c>
      <c r="R2091" s="1" t="str">
        <f aca="false">IF(H2091=M2091,"Home",IF(H2091=N2091,"Away",IF(H2091="PICK","Pick","N/A")))</f>
        <v>Home</v>
      </c>
      <c r="S2091" s="1" t="n">
        <f aca="false">IF(R2091="Home",P2091,IF(R2091="Away",-P2091,""))</f>
        <v>2</v>
      </c>
      <c r="T2091" s="1" t="str">
        <f aca="false">IF(R2091="Pick","No Line",IF(S2091="","N/A",IF(S2091+I2091&gt;0,"Favorite Covered",IF(S2091+I2091&lt;0,"Underdog Covered","Push"))))</f>
        <v>Underdog Covered</v>
      </c>
      <c r="U2091" s="1" t="str">
        <f aca="false">IF(Q2091&gt;J2091,"Over",IF(Q2091&lt;J2091,"Under","Push"))</f>
        <v>Over</v>
      </c>
    </row>
    <row r="2092" customFormat="false" ht="15" hidden="false" customHeight="false" outlineLevel="0" collapsed="false">
      <c r="A2092" s="1" t="s">
        <v>629</v>
      </c>
      <c r="B2092" s="1" t="n">
        <v>2017</v>
      </c>
      <c r="C2092" s="1" t="s">
        <v>223</v>
      </c>
      <c r="D2092" s="1" t="s">
        <v>110</v>
      </c>
      <c r="E2092" s="1" t="s">
        <v>87</v>
      </c>
      <c r="F2092" s="1" t="n">
        <v>7</v>
      </c>
      <c r="G2092" s="1" t="n">
        <v>42</v>
      </c>
      <c r="H2092" s="1" t="s">
        <v>88</v>
      </c>
      <c r="I2092" s="1" t="n">
        <v>-1</v>
      </c>
      <c r="J2092" s="1" t="n">
        <v>47.5</v>
      </c>
      <c r="K2092" s="1" t="s">
        <v>152</v>
      </c>
      <c r="L2092" s="1" t="b">
        <f aca="false">FALSE()</f>
        <v>0</v>
      </c>
      <c r="M2092" s="1" t="str">
        <f aca="false">VLOOKUP(D2092,'Team Reference'!$A:$B,2,FALSE())</f>
        <v>SEA</v>
      </c>
      <c r="N2092" s="1" t="str">
        <f aca="false">VLOOKUP(E2092,'Team Reference'!$A:$B,2,FALSE())</f>
        <v>LAR</v>
      </c>
      <c r="O2092" s="1" t="str">
        <f aca="false">IF(F2092&gt;G2092,M2092,IF(G2092&gt;F2092,N2092,"Tie"))</f>
        <v>LAR</v>
      </c>
      <c r="P2092" s="1" t="n">
        <f aca="false">F2092-G2092</f>
        <v>-35</v>
      </c>
      <c r="Q2092" s="1" t="n">
        <f aca="false">F2092+G2092</f>
        <v>49</v>
      </c>
      <c r="R2092" s="1" t="str">
        <f aca="false">IF(H2092=M2092,"Home",IF(H2092=N2092,"Away",IF(H2092="PICK","Pick","N/A")))</f>
        <v>Away</v>
      </c>
      <c r="S2092" s="1" t="n">
        <f aca="false">IF(R2092="Home",P2092,IF(R2092="Away",-P2092,""))</f>
        <v>35</v>
      </c>
      <c r="T2092" s="1" t="str">
        <f aca="false">IF(R2092="Pick","No Line",IF(S2092="","N/A",IF(S2092+I2092&gt;0,"Favorite Covered",IF(S2092+I2092&lt;0,"Underdog Covered","Push"))))</f>
        <v>Favorite Covered</v>
      </c>
      <c r="U2092" s="1" t="str">
        <f aca="false">IF(Q2092&gt;J2092,"Over",IF(Q2092&lt;J2092,"Under","Push"))</f>
        <v>Over</v>
      </c>
    </row>
    <row r="2093" customFormat="false" ht="15" hidden="false" customHeight="false" outlineLevel="0" collapsed="false">
      <c r="A2093" s="1" t="s">
        <v>629</v>
      </c>
      <c r="B2093" s="1" t="n">
        <v>2017</v>
      </c>
      <c r="C2093" s="1" t="s">
        <v>223</v>
      </c>
      <c r="D2093" s="1" t="s">
        <v>117</v>
      </c>
      <c r="E2093" s="1" t="s">
        <v>53</v>
      </c>
      <c r="F2093" s="1" t="n">
        <v>20</v>
      </c>
      <c r="G2093" s="1" t="n">
        <v>15</v>
      </c>
      <c r="H2093" s="1" t="s">
        <v>118</v>
      </c>
      <c r="I2093" s="1" t="n">
        <v>-4</v>
      </c>
      <c r="J2093" s="1" t="n">
        <v>40</v>
      </c>
      <c r="K2093" s="1" t="s">
        <v>156</v>
      </c>
      <c r="L2093" s="1" t="b">
        <f aca="false">FALSE()</f>
        <v>0</v>
      </c>
      <c r="M2093" s="1" t="str">
        <f aca="false">VLOOKUP(D2093,'Team Reference'!$A:$B,2,FALSE())</f>
        <v>WAS</v>
      </c>
      <c r="N2093" s="1" t="str">
        <f aca="false">VLOOKUP(E2093,'Team Reference'!$A:$B,2,FALSE())</f>
        <v>ARI</v>
      </c>
      <c r="O2093" s="1" t="str">
        <f aca="false">IF(F2093&gt;G2093,M2093,IF(G2093&gt;F2093,N2093,"Tie"))</f>
        <v>WAS</v>
      </c>
      <c r="P2093" s="1" t="n">
        <f aca="false">F2093-G2093</f>
        <v>5</v>
      </c>
      <c r="Q2093" s="1" t="n">
        <f aca="false">F2093+G2093</f>
        <v>35</v>
      </c>
      <c r="R2093" s="1" t="str">
        <f aca="false">IF(H2093=M2093,"Home",IF(H2093=N2093,"Away",IF(H2093="PICK","Pick","N/A")))</f>
        <v>Home</v>
      </c>
      <c r="S2093" s="1" t="n">
        <f aca="false">IF(R2093="Home",P2093,IF(R2093="Away",-P2093,""))</f>
        <v>5</v>
      </c>
      <c r="T2093" s="1" t="str">
        <f aca="false">IF(R2093="Pick","No Line",IF(S2093="","N/A",IF(S2093+I2093&gt;0,"Favorite Covered",IF(S2093+I2093&lt;0,"Underdog Covered","Push"))))</f>
        <v>Favorite Covered</v>
      </c>
      <c r="U2093" s="1" t="str">
        <f aca="false">IF(Q2093&gt;J2093,"Over",IF(Q2093&lt;J2093,"Under","Push"))</f>
        <v>Under</v>
      </c>
    </row>
    <row r="2094" customFormat="false" ht="15" hidden="false" customHeight="false" outlineLevel="0" collapsed="false">
      <c r="A2094" s="1" t="s">
        <v>630</v>
      </c>
      <c r="B2094" s="1" t="n">
        <v>2017</v>
      </c>
      <c r="C2094" s="1" t="s">
        <v>223</v>
      </c>
      <c r="D2094" s="1" t="s">
        <v>113</v>
      </c>
      <c r="E2094" s="1" t="s">
        <v>55</v>
      </c>
      <c r="F2094" s="1" t="n">
        <v>21</v>
      </c>
      <c r="G2094" s="1" t="n">
        <v>24</v>
      </c>
      <c r="H2094" s="1" t="s">
        <v>56</v>
      </c>
      <c r="I2094" s="1" t="n">
        <v>-7</v>
      </c>
      <c r="J2094" s="1" t="n">
        <v>49.5</v>
      </c>
      <c r="K2094" s="1" t="s">
        <v>154</v>
      </c>
      <c r="L2094" s="1" t="b">
        <f aca="false">FALSE()</f>
        <v>0</v>
      </c>
      <c r="M2094" s="1" t="str">
        <f aca="false">VLOOKUP(D2094,'Team Reference'!$A:$B,2,FALSE())</f>
        <v>TB</v>
      </c>
      <c r="N2094" s="1" t="str">
        <f aca="false">VLOOKUP(E2094,'Team Reference'!$A:$B,2,FALSE())</f>
        <v>ATL</v>
      </c>
      <c r="O2094" s="1" t="str">
        <f aca="false">IF(F2094&gt;G2094,M2094,IF(G2094&gt;F2094,N2094,"Tie"))</f>
        <v>ATL</v>
      </c>
      <c r="P2094" s="1" t="n">
        <f aca="false">F2094-G2094</f>
        <v>-3</v>
      </c>
      <c r="Q2094" s="1" t="n">
        <f aca="false">F2094+G2094</f>
        <v>45</v>
      </c>
      <c r="R2094" s="1" t="str">
        <f aca="false">IF(H2094=M2094,"Home",IF(H2094=N2094,"Away",IF(H2094="PICK","Pick","N/A")))</f>
        <v>Away</v>
      </c>
      <c r="S2094" s="1" t="n">
        <f aca="false">IF(R2094="Home",P2094,IF(R2094="Away",-P2094,""))</f>
        <v>3</v>
      </c>
      <c r="T2094" s="1" t="str">
        <f aca="false">IF(R2094="Pick","No Line",IF(S2094="","N/A",IF(S2094+I2094&gt;0,"Favorite Covered",IF(S2094+I2094&lt;0,"Underdog Covered","Push"))))</f>
        <v>Underdog Covered</v>
      </c>
      <c r="U2094" s="1" t="str">
        <f aca="false">IF(Q2094&gt;J2094,"Over",IF(Q2094&lt;J2094,"Under","Push"))</f>
        <v>Under</v>
      </c>
    </row>
    <row r="2095" customFormat="false" ht="15" hidden="false" customHeight="false" outlineLevel="0" collapsed="false">
      <c r="A2095" s="1" t="s">
        <v>631</v>
      </c>
      <c r="B2095" s="1" t="n">
        <v>2017</v>
      </c>
      <c r="C2095" s="1" t="s">
        <v>227</v>
      </c>
      <c r="D2095" s="1" t="s">
        <v>57</v>
      </c>
      <c r="E2095" s="1" t="s">
        <v>79</v>
      </c>
      <c r="F2095" s="1" t="n">
        <v>23</v>
      </c>
      <c r="G2095" s="1" t="n">
        <v>16</v>
      </c>
      <c r="H2095" s="1" t="s">
        <v>58</v>
      </c>
      <c r="I2095" s="1" t="n">
        <v>-13.5</v>
      </c>
      <c r="J2095" s="1" t="n">
        <v>41</v>
      </c>
      <c r="K2095" s="1" t="s">
        <v>178</v>
      </c>
      <c r="L2095" s="1" t="b">
        <f aca="false">FALSE()</f>
        <v>0</v>
      </c>
      <c r="M2095" s="1" t="str">
        <f aca="false">VLOOKUP(D2095,'Team Reference'!$A:$B,2,FALSE())</f>
        <v>BAL</v>
      </c>
      <c r="N2095" s="1" t="str">
        <f aca="false">VLOOKUP(E2095,'Team Reference'!$A:$B,2,FALSE())</f>
        <v>IND</v>
      </c>
      <c r="O2095" s="1" t="str">
        <f aca="false">IF(F2095&gt;G2095,M2095,IF(G2095&gt;F2095,N2095,"Tie"))</f>
        <v>BAL</v>
      </c>
      <c r="P2095" s="1" t="n">
        <f aca="false">F2095-G2095</f>
        <v>7</v>
      </c>
      <c r="Q2095" s="1" t="n">
        <f aca="false">F2095+G2095</f>
        <v>39</v>
      </c>
      <c r="R2095" s="1" t="str">
        <f aca="false">IF(H2095=M2095,"Home",IF(H2095=N2095,"Away",IF(H2095="PICK","Pick","N/A")))</f>
        <v>Home</v>
      </c>
      <c r="S2095" s="1" t="n">
        <f aca="false">IF(R2095="Home",P2095,IF(R2095="Away",-P2095,""))</f>
        <v>7</v>
      </c>
      <c r="T2095" s="1" t="str">
        <f aca="false">IF(R2095="Pick","No Line",IF(S2095="","N/A",IF(S2095+I2095&gt;0,"Favorite Covered",IF(S2095+I2095&lt;0,"Underdog Covered","Push"))))</f>
        <v>Underdog Covered</v>
      </c>
      <c r="U2095" s="1" t="str">
        <f aca="false">IF(Q2095&gt;J2095,"Over",IF(Q2095&lt;J2095,"Under","Push"))</f>
        <v>Under</v>
      </c>
    </row>
    <row r="2096" customFormat="false" ht="15" hidden="false" customHeight="false" outlineLevel="0" collapsed="false">
      <c r="A2096" s="1" t="s">
        <v>631</v>
      </c>
      <c r="B2096" s="1" t="n">
        <v>2017</v>
      </c>
      <c r="C2096" s="1" t="s">
        <v>227</v>
      </c>
      <c r="D2096" s="1" t="s">
        <v>75</v>
      </c>
      <c r="E2096" s="1" t="s">
        <v>91</v>
      </c>
      <c r="F2096" s="1" t="n">
        <v>0</v>
      </c>
      <c r="G2096" s="1" t="n">
        <v>16</v>
      </c>
      <c r="H2096" s="1" t="s">
        <v>92</v>
      </c>
      <c r="I2096" s="1" t="n">
        <v>-8.5</v>
      </c>
      <c r="J2096" s="1" t="n">
        <v>41</v>
      </c>
      <c r="K2096" s="1" t="s">
        <v>168</v>
      </c>
      <c r="L2096" s="1" t="b">
        <f aca="false">FALSE()</f>
        <v>0</v>
      </c>
      <c r="M2096" s="1" t="str">
        <f aca="false">VLOOKUP(D2096,'Team Reference'!$A:$B,2,FALSE())</f>
        <v>GB</v>
      </c>
      <c r="N2096" s="1" t="str">
        <f aca="false">VLOOKUP(E2096,'Team Reference'!$A:$B,2,FALSE())</f>
        <v>MIN</v>
      </c>
      <c r="O2096" s="1" t="str">
        <f aca="false">IF(F2096&gt;G2096,M2096,IF(G2096&gt;F2096,N2096,"Tie"))</f>
        <v>MIN</v>
      </c>
      <c r="P2096" s="1" t="n">
        <f aca="false">F2096-G2096</f>
        <v>-16</v>
      </c>
      <c r="Q2096" s="1" t="n">
        <f aca="false">F2096+G2096</f>
        <v>16</v>
      </c>
      <c r="R2096" s="1" t="str">
        <f aca="false">IF(H2096=M2096,"Home",IF(H2096=N2096,"Away",IF(H2096="PICK","Pick","N/A")))</f>
        <v>Away</v>
      </c>
      <c r="S2096" s="1" t="n">
        <f aca="false">IF(R2096="Home",P2096,IF(R2096="Away",-P2096,""))</f>
        <v>16</v>
      </c>
      <c r="T2096" s="1" t="str">
        <f aca="false">IF(R2096="Pick","No Line",IF(S2096="","N/A",IF(S2096+I2096&gt;0,"Favorite Covered",IF(S2096+I2096&lt;0,"Underdog Covered","Push"))))</f>
        <v>Favorite Covered</v>
      </c>
      <c r="U2096" s="1" t="str">
        <f aca="false">IF(Q2096&gt;J2096,"Over",IF(Q2096&lt;J2096,"Under","Push"))</f>
        <v>Under</v>
      </c>
    </row>
    <row r="2097" customFormat="false" ht="15" hidden="false" customHeight="false" outlineLevel="0" collapsed="false">
      <c r="A2097" s="1" t="s">
        <v>632</v>
      </c>
      <c r="B2097" s="1" t="n">
        <v>2017</v>
      </c>
      <c r="C2097" s="1" t="s">
        <v>227</v>
      </c>
      <c r="D2097" s="1" t="s">
        <v>53</v>
      </c>
      <c r="E2097" s="1" t="s">
        <v>97</v>
      </c>
      <c r="F2097" s="1" t="n">
        <v>23</v>
      </c>
      <c r="G2097" s="1" t="n">
        <v>0</v>
      </c>
      <c r="H2097" s="1" t="s">
        <v>54</v>
      </c>
      <c r="I2097" s="1" t="n">
        <v>-3</v>
      </c>
      <c r="J2097" s="1" t="n">
        <v>39</v>
      </c>
      <c r="K2097" s="1" t="s">
        <v>177</v>
      </c>
      <c r="L2097" s="1" t="b">
        <f aca="false">FALSE()</f>
        <v>0</v>
      </c>
      <c r="M2097" s="1" t="str">
        <f aca="false">VLOOKUP(D2097,'Team Reference'!$A:$B,2,FALSE())</f>
        <v>ARI</v>
      </c>
      <c r="N2097" s="1" t="str">
        <f aca="false">VLOOKUP(E2097,'Team Reference'!$A:$B,2,FALSE())</f>
        <v>NYG</v>
      </c>
      <c r="O2097" s="1" t="str">
        <f aca="false">IF(F2097&gt;G2097,M2097,IF(G2097&gt;F2097,N2097,"Tie"))</f>
        <v>ARI</v>
      </c>
      <c r="P2097" s="1" t="n">
        <f aca="false">F2097-G2097</f>
        <v>23</v>
      </c>
      <c r="Q2097" s="1" t="n">
        <f aca="false">F2097+G2097</f>
        <v>23</v>
      </c>
      <c r="R2097" s="1" t="str">
        <f aca="false">IF(H2097=M2097,"Home",IF(H2097=N2097,"Away",IF(H2097="PICK","Pick","N/A")))</f>
        <v>Home</v>
      </c>
      <c r="S2097" s="1" t="n">
        <f aca="false">IF(R2097="Home",P2097,IF(R2097="Away",-P2097,""))</f>
        <v>23</v>
      </c>
      <c r="T2097" s="1" t="str">
        <f aca="false">IF(R2097="Pick","No Line",IF(S2097="","N/A",IF(S2097+I2097&gt;0,"Favorite Covered",IF(S2097+I2097&lt;0,"Underdog Covered","Push"))))</f>
        <v>Favorite Covered</v>
      </c>
      <c r="U2097" s="1" t="str">
        <f aca="false">IF(Q2097&gt;J2097,"Over",IF(Q2097&lt;J2097,"Under","Push"))</f>
        <v>Under</v>
      </c>
    </row>
    <row r="2098" customFormat="false" ht="15" hidden="false" customHeight="false" outlineLevel="0" collapsed="false">
      <c r="A2098" s="1" t="s">
        <v>632</v>
      </c>
      <c r="B2098" s="1" t="n">
        <v>2017</v>
      </c>
      <c r="C2098" s="1" t="s">
        <v>227</v>
      </c>
      <c r="D2098" s="1" t="s">
        <v>61</v>
      </c>
      <c r="E2098" s="1" t="s">
        <v>113</v>
      </c>
      <c r="F2098" s="1" t="n">
        <v>22</v>
      </c>
      <c r="G2098" s="1" t="n">
        <v>19</v>
      </c>
      <c r="H2098" s="1" t="s">
        <v>62</v>
      </c>
      <c r="I2098" s="1" t="n">
        <v>-10</v>
      </c>
      <c r="J2098" s="1" t="n">
        <v>46.5</v>
      </c>
      <c r="K2098" s="1" t="s">
        <v>162</v>
      </c>
      <c r="L2098" s="1" t="b">
        <f aca="false">FALSE()</f>
        <v>0</v>
      </c>
      <c r="M2098" s="1" t="str">
        <f aca="false">VLOOKUP(D2098,'Team Reference'!$A:$B,2,FALSE())</f>
        <v>CAR</v>
      </c>
      <c r="N2098" s="1" t="str">
        <f aca="false">VLOOKUP(E2098,'Team Reference'!$A:$B,2,FALSE())</f>
        <v>TB</v>
      </c>
      <c r="O2098" s="1" t="str">
        <f aca="false">IF(F2098&gt;G2098,M2098,IF(G2098&gt;F2098,N2098,"Tie"))</f>
        <v>CAR</v>
      </c>
      <c r="P2098" s="1" t="n">
        <f aca="false">F2098-G2098</f>
        <v>3</v>
      </c>
      <c r="Q2098" s="1" t="n">
        <f aca="false">F2098+G2098</f>
        <v>41</v>
      </c>
      <c r="R2098" s="1" t="str">
        <f aca="false">IF(H2098=M2098,"Home",IF(H2098=N2098,"Away",IF(H2098="PICK","Pick","N/A")))</f>
        <v>Home</v>
      </c>
      <c r="S2098" s="1" t="n">
        <f aca="false">IF(R2098="Home",P2098,IF(R2098="Away",-P2098,""))</f>
        <v>3</v>
      </c>
      <c r="T2098" s="1" t="str">
        <f aca="false">IF(R2098="Pick","No Line",IF(S2098="","N/A",IF(S2098+I2098&gt;0,"Favorite Covered",IF(S2098+I2098&lt;0,"Underdog Covered","Push"))))</f>
        <v>Underdog Covered</v>
      </c>
      <c r="U2098" s="1" t="str">
        <f aca="false">IF(Q2098&gt;J2098,"Over",IF(Q2098&lt;J2098,"Under","Push"))</f>
        <v>Under</v>
      </c>
    </row>
    <row r="2099" customFormat="false" ht="15" hidden="false" customHeight="false" outlineLevel="0" collapsed="false">
      <c r="A2099" s="1" t="s">
        <v>632</v>
      </c>
      <c r="B2099" s="1" t="n">
        <v>2017</v>
      </c>
      <c r="C2099" s="1" t="s">
        <v>227</v>
      </c>
      <c r="D2099" s="1" t="s">
        <v>63</v>
      </c>
      <c r="E2099" s="1" t="s">
        <v>67</v>
      </c>
      <c r="F2099" s="1" t="n">
        <v>20</v>
      </c>
      <c r="G2099" s="1" t="n">
        <v>3</v>
      </c>
      <c r="H2099" s="1" t="s">
        <v>64</v>
      </c>
      <c r="I2099" s="1" t="n">
        <v>-5.5</v>
      </c>
      <c r="J2099" s="1" t="n">
        <v>37</v>
      </c>
      <c r="K2099" s="1" t="s">
        <v>145</v>
      </c>
      <c r="L2099" s="1" t="b">
        <f aca="false">FALSE()</f>
        <v>0</v>
      </c>
      <c r="M2099" s="1" t="str">
        <f aca="false">VLOOKUP(D2099,'Team Reference'!$A:$B,2,FALSE())</f>
        <v>CHI</v>
      </c>
      <c r="N2099" s="1" t="str">
        <f aca="false">VLOOKUP(E2099,'Team Reference'!$A:$B,2,FALSE())</f>
        <v>CLE</v>
      </c>
      <c r="O2099" s="1" t="str">
        <f aca="false">IF(F2099&gt;G2099,M2099,IF(G2099&gt;F2099,N2099,"Tie"))</f>
        <v>CHI</v>
      </c>
      <c r="P2099" s="1" t="n">
        <f aca="false">F2099-G2099</f>
        <v>17</v>
      </c>
      <c r="Q2099" s="1" t="n">
        <f aca="false">F2099+G2099</f>
        <v>23</v>
      </c>
      <c r="R2099" s="1" t="str">
        <f aca="false">IF(H2099=M2099,"Home",IF(H2099=N2099,"Away",IF(H2099="PICK","Pick","N/A")))</f>
        <v>Home</v>
      </c>
      <c r="S2099" s="1" t="n">
        <f aca="false">IF(R2099="Home",P2099,IF(R2099="Away",-P2099,""))</f>
        <v>17</v>
      </c>
      <c r="T2099" s="1" t="str">
        <f aca="false">IF(R2099="Pick","No Line",IF(S2099="","N/A",IF(S2099+I2099&gt;0,"Favorite Covered",IF(S2099+I2099&lt;0,"Underdog Covered","Push"))))</f>
        <v>Favorite Covered</v>
      </c>
      <c r="U2099" s="1" t="str">
        <f aca="false">IF(Q2099&gt;J2099,"Over",IF(Q2099&lt;J2099,"Under","Push"))</f>
        <v>Under</v>
      </c>
    </row>
    <row r="2100" customFormat="false" ht="15" hidden="false" customHeight="false" outlineLevel="0" collapsed="false">
      <c r="A2100" s="1" t="s">
        <v>632</v>
      </c>
      <c r="B2100" s="1" t="n">
        <v>2017</v>
      </c>
      <c r="C2100" s="1" t="s">
        <v>227</v>
      </c>
      <c r="D2100" s="1" t="s">
        <v>65</v>
      </c>
      <c r="E2100" s="1" t="s">
        <v>73</v>
      </c>
      <c r="F2100" s="1" t="n">
        <v>26</v>
      </c>
      <c r="G2100" s="1" t="n">
        <v>17</v>
      </c>
      <c r="H2100" s="1" t="s">
        <v>74</v>
      </c>
      <c r="I2100" s="1" t="n">
        <v>-3.5</v>
      </c>
      <c r="J2100" s="1" t="n">
        <v>43.5</v>
      </c>
      <c r="K2100" s="1" t="s">
        <v>163</v>
      </c>
      <c r="L2100" s="1" t="b">
        <f aca="false">FALSE()</f>
        <v>0</v>
      </c>
      <c r="M2100" s="1" t="str">
        <f aca="false">VLOOKUP(D2100,'Team Reference'!$A:$B,2,FALSE())</f>
        <v>CIN</v>
      </c>
      <c r="N2100" s="1" t="str">
        <f aca="false">VLOOKUP(E2100,'Team Reference'!$A:$B,2,FALSE())</f>
        <v>DET</v>
      </c>
      <c r="O2100" s="1" t="str">
        <f aca="false">IF(F2100&gt;G2100,M2100,IF(G2100&gt;F2100,N2100,"Tie"))</f>
        <v>CIN</v>
      </c>
      <c r="P2100" s="1" t="n">
        <f aca="false">F2100-G2100</f>
        <v>9</v>
      </c>
      <c r="Q2100" s="1" t="n">
        <f aca="false">F2100+G2100</f>
        <v>43</v>
      </c>
      <c r="R2100" s="1" t="str">
        <f aca="false">IF(H2100=M2100,"Home",IF(H2100=N2100,"Away",IF(H2100="PICK","Pick","N/A")))</f>
        <v>Away</v>
      </c>
      <c r="S2100" s="1" t="n">
        <f aca="false">IF(R2100="Home",P2100,IF(R2100="Away",-P2100,""))</f>
        <v>-9</v>
      </c>
      <c r="T2100" s="1" t="str">
        <f aca="false">IF(R2100="Pick","No Line",IF(S2100="","N/A",IF(S2100+I2100&gt;0,"Favorite Covered",IF(S2100+I2100&lt;0,"Underdog Covered","Push"))))</f>
        <v>Underdog Covered</v>
      </c>
      <c r="U2100" s="1" t="str">
        <f aca="false">IF(Q2100&gt;J2100,"Over",IF(Q2100&lt;J2100,"Under","Push"))</f>
        <v>Under</v>
      </c>
    </row>
    <row r="2101" customFormat="false" ht="15" hidden="false" customHeight="false" outlineLevel="0" collapsed="false">
      <c r="A2101" s="1" t="s">
        <v>632</v>
      </c>
      <c r="B2101" s="1" t="n">
        <v>2017</v>
      </c>
      <c r="C2101" s="1" t="s">
        <v>227</v>
      </c>
      <c r="D2101" s="1" t="s">
        <v>69</v>
      </c>
      <c r="E2101" s="1" t="s">
        <v>110</v>
      </c>
      <c r="F2101" s="1" t="n">
        <v>12</v>
      </c>
      <c r="G2101" s="1" t="n">
        <v>21</v>
      </c>
      <c r="H2101" s="1" t="s">
        <v>70</v>
      </c>
      <c r="I2101" s="1" t="n">
        <v>-4.5</v>
      </c>
      <c r="J2101" s="1" t="n">
        <v>47</v>
      </c>
      <c r="K2101" s="1" t="s">
        <v>583</v>
      </c>
      <c r="L2101" s="1" t="b">
        <f aca="false">FALSE()</f>
        <v>0</v>
      </c>
      <c r="M2101" s="1" t="str">
        <f aca="false">VLOOKUP(D2101,'Team Reference'!$A:$B,2,FALSE())</f>
        <v>DAL</v>
      </c>
      <c r="N2101" s="1" t="str">
        <f aca="false">VLOOKUP(E2101,'Team Reference'!$A:$B,2,FALSE())</f>
        <v>SEA</v>
      </c>
      <c r="O2101" s="1" t="str">
        <f aca="false">IF(F2101&gt;G2101,M2101,IF(G2101&gt;F2101,N2101,"Tie"))</f>
        <v>SEA</v>
      </c>
      <c r="P2101" s="1" t="n">
        <f aca="false">F2101-G2101</f>
        <v>-9</v>
      </c>
      <c r="Q2101" s="1" t="n">
        <f aca="false">F2101+G2101</f>
        <v>33</v>
      </c>
      <c r="R2101" s="1" t="str">
        <f aca="false">IF(H2101=M2101,"Home",IF(H2101=N2101,"Away",IF(H2101="PICK","Pick","N/A")))</f>
        <v>Home</v>
      </c>
      <c r="S2101" s="1" t="n">
        <f aca="false">IF(R2101="Home",P2101,IF(R2101="Away",-P2101,""))</f>
        <v>-9</v>
      </c>
      <c r="T2101" s="1" t="str">
        <f aca="false">IF(R2101="Pick","No Line",IF(S2101="","N/A",IF(S2101+I2101&gt;0,"Favorite Covered",IF(S2101+I2101&lt;0,"Underdog Covered","Push"))))</f>
        <v>Underdog Covered</v>
      </c>
      <c r="U2101" s="1" t="str">
        <f aca="false">IF(Q2101&gt;J2101,"Over",IF(Q2101&lt;J2101,"Under","Push"))</f>
        <v>Under</v>
      </c>
    </row>
    <row r="2102" customFormat="false" ht="15" hidden="false" customHeight="false" outlineLevel="0" collapsed="false">
      <c r="A2102" s="1" t="s">
        <v>632</v>
      </c>
      <c r="B2102" s="1" t="n">
        <v>2017</v>
      </c>
      <c r="C2102" s="1" t="s">
        <v>227</v>
      </c>
      <c r="D2102" s="1" t="s">
        <v>83</v>
      </c>
      <c r="E2102" s="1" t="s">
        <v>89</v>
      </c>
      <c r="F2102" s="1" t="n">
        <v>29</v>
      </c>
      <c r="G2102" s="1" t="n">
        <v>13</v>
      </c>
      <c r="H2102" s="1" t="s">
        <v>84</v>
      </c>
      <c r="I2102" s="1" t="n">
        <v>-11</v>
      </c>
      <c r="J2102" s="1" t="n">
        <v>43.5</v>
      </c>
      <c r="K2102" s="1" t="s">
        <v>158</v>
      </c>
      <c r="L2102" s="1" t="b">
        <f aca="false">FALSE()</f>
        <v>0</v>
      </c>
      <c r="M2102" s="1" t="str">
        <f aca="false">VLOOKUP(D2102,'Team Reference'!$A:$B,2,FALSE())</f>
        <v>KC</v>
      </c>
      <c r="N2102" s="1" t="str">
        <f aca="false">VLOOKUP(E2102,'Team Reference'!$A:$B,2,FALSE())</f>
        <v>MIA</v>
      </c>
      <c r="O2102" s="1" t="str">
        <f aca="false">IF(F2102&gt;G2102,M2102,IF(G2102&gt;F2102,N2102,"Tie"))</f>
        <v>KC</v>
      </c>
      <c r="P2102" s="1" t="n">
        <f aca="false">F2102-G2102</f>
        <v>16</v>
      </c>
      <c r="Q2102" s="1" t="n">
        <f aca="false">F2102+G2102</f>
        <v>42</v>
      </c>
      <c r="R2102" s="1" t="str">
        <f aca="false">IF(H2102=M2102,"Home",IF(H2102=N2102,"Away",IF(H2102="PICK","Pick","N/A")))</f>
        <v>Home</v>
      </c>
      <c r="S2102" s="1" t="n">
        <f aca="false">IF(R2102="Home",P2102,IF(R2102="Away",-P2102,""))</f>
        <v>16</v>
      </c>
      <c r="T2102" s="1" t="str">
        <f aca="false">IF(R2102="Pick","No Line",IF(S2102="","N/A",IF(S2102+I2102&gt;0,"Favorite Covered",IF(S2102+I2102&lt;0,"Underdog Covered","Push"))))</f>
        <v>Favorite Covered</v>
      </c>
      <c r="U2102" s="1" t="str">
        <f aca="false">IF(Q2102&gt;J2102,"Over",IF(Q2102&lt;J2102,"Under","Push"))</f>
        <v>Under</v>
      </c>
    </row>
    <row r="2103" customFormat="false" ht="15" hidden="false" customHeight="false" outlineLevel="0" collapsed="false">
      <c r="A2103" s="1" t="s">
        <v>632</v>
      </c>
      <c r="B2103" s="1" t="n">
        <v>2017</v>
      </c>
      <c r="C2103" s="1" t="s">
        <v>227</v>
      </c>
      <c r="D2103" s="1" t="s">
        <v>93</v>
      </c>
      <c r="E2103" s="1" t="s">
        <v>59</v>
      </c>
      <c r="F2103" s="1" t="n">
        <v>37</v>
      </c>
      <c r="G2103" s="1" t="n">
        <v>16</v>
      </c>
      <c r="H2103" s="1" t="s">
        <v>94</v>
      </c>
      <c r="I2103" s="1" t="n">
        <v>-11</v>
      </c>
      <c r="J2103" s="1" t="n">
        <v>47.5</v>
      </c>
      <c r="K2103" s="1" t="s">
        <v>148</v>
      </c>
      <c r="L2103" s="1" t="b">
        <f aca="false">FALSE()</f>
        <v>0</v>
      </c>
      <c r="M2103" s="1" t="str">
        <f aca="false">VLOOKUP(D2103,'Team Reference'!$A:$B,2,FALSE())</f>
        <v>NE</v>
      </c>
      <c r="N2103" s="1" t="str">
        <f aca="false">VLOOKUP(E2103,'Team Reference'!$A:$B,2,FALSE())</f>
        <v>BUF</v>
      </c>
      <c r="O2103" s="1" t="str">
        <f aca="false">IF(F2103&gt;G2103,M2103,IF(G2103&gt;F2103,N2103,"Tie"))</f>
        <v>NE</v>
      </c>
      <c r="P2103" s="1" t="n">
        <f aca="false">F2103-G2103</f>
        <v>21</v>
      </c>
      <c r="Q2103" s="1" t="n">
        <f aca="false">F2103+G2103</f>
        <v>53</v>
      </c>
      <c r="R2103" s="1" t="str">
        <f aca="false">IF(H2103=M2103,"Home",IF(H2103=N2103,"Away",IF(H2103="PICK","Pick","N/A")))</f>
        <v>Home</v>
      </c>
      <c r="S2103" s="1" t="n">
        <f aca="false">IF(R2103="Home",P2103,IF(R2103="Away",-P2103,""))</f>
        <v>21</v>
      </c>
      <c r="T2103" s="1" t="str">
        <f aca="false">IF(R2103="Pick","No Line",IF(S2103="","N/A",IF(S2103+I2103&gt;0,"Favorite Covered",IF(S2103+I2103&lt;0,"Underdog Covered","Push"))))</f>
        <v>Favorite Covered</v>
      </c>
      <c r="U2103" s="1" t="str">
        <f aca="false">IF(Q2103&gt;J2103,"Over",IF(Q2103&lt;J2103,"Under","Push"))</f>
        <v>Over</v>
      </c>
    </row>
    <row r="2104" customFormat="false" ht="15" hidden="false" customHeight="false" outlineLevel="0" collapsed="false">
      <c r="A2104" s="1" t="s">
        <v>632</v>
      </c>
      <c r="B2104" s="1" t="n">
        <v>2017</v>
      </c>
      <c r="C2104" s="1" t="s">
        <v>227</v>
      </c>
      <c r="D2104" s="1" t="s">
        <v>95</v>
      </c>
      <c r="E2104" s="1" t="s">
        <v>55</v>
      </c>
      <c r="F2104" s="1" t="n">
        <v>23</v>
      </c>
      <c r="G2104" s="1" t="n">
        <v>13</v>
      </c>
      <c r="H2104" s="1" t="s">
        <v>96</v>
      </c>
      <c r="I2104" s="1" t="n">
        <v>-5.5</v>
      </c>
      <c r="J2104" s="1" t="n">
        <v>52</v>
      </c>
      <c r="K2104" s="1" t="s">
        <v>347</v>
      </c>
      <c r="L2104" s="1" t="b">
        <f aca="false">FALSE()</f>
        <v>0</v>
      </c>
      <c r="M2104" s="1" t="str">
        <f aca="false">VLOOKUP(D2104,'Team Reference'!$A:$B,2,FALSE())</f>
        <v>NO</v>
      </c>
      <c r="N2104" s="1" t="str">
        <f aca="false">VLOOKUP(E2104,'Team Reference'!$A:$B,2,FALSE())</f>
        <v>ATL</v>
      </c>
      <c r="O2104" s="1" t="str">
        <f aca="false">IF(F2104&gt;G2104,M2104,IF(G2104&gt;F2104,N2104,"Tie"))</f>
        <v>NO</v>
      </c>
      <c r="P2104" s="1" t="n">
        <f aca="false">F2104-G2104</f>
        <v>10</v>
      </c>
      <c r="Q2104" s="1" t="n">
        <f aca="false">F2104+G2104</f>
        <v>36</v>
      </c>
      <c r="R2104" s="1" t="str">
        <f aca="false">IF(H2104=M2104,"Home",IF(H2104=N2104,"Away",IF(H2104="PICK","Pick","N/A")))</f>
        <v>Home</v>
      </c>
      <c r="S2104" s="1" t="n">
        <f aca="false">IF(R2104="Home",P2104,IF(R2104="Away",-P2104,""))</f>
        <v>10</v>
      </c>
      <c r="T2104" s="1" t="str">
        <f aca="false">IF(R2104="Pick","No Line",IF(S2104="","N/A",IF(S2104+I2104&gt;0,"Favorite Covered",IF(S2104+I2104&lt;0,"Underdog Covered","Push"))))</f>
        <v>Favorite Covered</v>
      </c>
      <c r="U2104" s="1" t="str">
        <f aca="false">IF(Q2104&gt;J2104,"Over",IF(Q2104&lt;J2104,"Under","Push"))</f>
        <v>Under</v>
      </c>
    </row>
    <row r="2105" customFormat="false" ht="15" hidden="false" customHeight="false" outlineLevel="0" collapsed="false">
      <c r="A2105" s="1" t="s">
        <v>632</v>
      </c>
      <c r="B2105" s="1" t="n">
        <v>2017</v>
      </c>
      <c r="C2105" s="1" t="s">
        <v>227</v>
      </c>
      <c r="D2105" s="1" t="s">
        <v>99</v>
      </c>
      <c r="E2105" s="1" t="s">
        <v>85</v>
      </c>
      <c r="F2105" s="1" t="n">
        <v>7</v>
      </c>
      <c r="G2105" s="1" t="n">
        <v>14</v>
      </c>
      <c r="H2105" s="1" t="s">
        <v>86</v>
      </c>
      <c r="I2105" s="1" t="n">
        <v>-7.5</v>
      </c>
      <c r="J2105" s="1" t="n">
        <v>42.5</v>
      </c>
      <c r="K2105" s="1" t="s">
        <v>149</v>
      </c>
      <c r="L2105" s="1" t="b">
        <f aca="false">FALSE()</f>
        <v>0</v>
      </c>
      <c r="M2105" s="1" t="str">
        <f aca="false">VLOOKUP(D2105,'Team Reference'!$A:$B,2,FALSE())</f>
        <v>NYJ</v>
      </c>
      <c r="N2105" s="1" t="str">
        <f aca="false">VLOOKUP(E2105,'Team Reference'!$A:$B,2,FALSE())</f>
        <v>LAC</v>
      </c>
      <c r="O2105" s="1" t="str">
        <f aca="false">IF(F2105&gt;G2105,M2105,IF(G2105&gt;F2105,N2105,"Tie"))</f>
        <v>LAC</v>
      </c>
      <c r="P2105" s="1" t="n">
        <f aca="false">F2105-G2105</f>
        <v>-7</v>
      </c>
      <c r="Q2105" s="1" t="n">
        <f aca="false">F2105+G2105</f>
        <v>21</v>
      </c>
      <c r="R2105" s="1" t="str">
        <f aca="false">IF(H2105=M2105,"Home",IF(H2105=N2105,"Away",IF(H2105="PICK","Pick","N/A")))</f>
        <v>Away</v>
      </c>
      <c r="S2105" s="1" t="n">
        <f aca="false">IF(R2105="Home",P2105,IF(R2105="Away",-P2105,""))</f>
        <v>7</v>
      </c>
      <c r="T2105" s="1" t="str">
        <f aca="false">IF(R2105="Pick","No Line",IF(S2105="","N/A",IF(S2105+I2105&gt;0,"Favorite Covered",IF(S2105+I2105&lt;0,"Underdog Covered","Push"))))</f>
        <v>Underdog Covered</v>
      </c>
      <c r="U2105" s="1" t="str">
        <f aca="false">IF(Q2105&gt;J2105,"Over",IF(Q2105&lt;J2105,"Under","Push"))</f>
        <v>Under</v>
      </c>
    </row>
    <row r="2106" customFormat="false" ht="15" hidden="false" customHeight="false" outlineLevel="0" collapsed="false">
      <c r="A2106" s="1" t="s">
        <v>632</v>
      </c>
      <c r="B2106" s="1" t="n">
        <v>2017</v>
      </c>
      <c r="C2106" s="1" t="s">
        <v>227</v>
      </c>
      <c r="D2106" s="1" t="s">
        <v>108</v>
      </c>
      <c r="E2106" s="1" t="s">
        <v>81</v>
      </c>
      <c r="F2106" s="1" t="n">
        <v>44</v>
      </c>
      <c r="G2106" s="1" t="n">
        <v>33</v>
      </c>
      <c r="H2106" s="1" t="s">
        <v>82</v>
      </c>
      <c r="I2106" s="1" t="n">
        <v>-4</v>
      </c>
      <c r="J2106" s="1" t="n">
        <v>43</v>
      </c>
      <c r="K2106" s="1" t="s">
        <v>408</v>
      </c>
      <c r="L2106" s="1" t="b">
        <f aca="false">FALSE()</f>
        <v>0</v>
      </c>
      <c r="M2106" s="1" t="str">
        <f aca="false">VLOOKUP(D2106,'Team Reference'!$A:$B,2,FALSE())</f>
        <v>SF</v>
      </c>
      <c r="N2106" s="1" t="str">
        <f aca="false">VLOOKUP(E2106,'Team Reference'!$A:$B,2,FALSE())</f>
        <v>JAX</v>
      </c>
      <c r="O2106" s="1" t="str">
        <f aca="false">IF(F2106&gt;G2106,M2106,IF(G2106&gt;F2106,N2106,"Tie"))</f>
        <v>SF</v>
      </c>
      <c r="P2106" s="1" t="n">
        <f aca="false">F2106-G2106</f>
        <v>11</v>
      </c>
      <c r="Q2106" s="1" t="n">
        <f aca="false">F2106+G2106</f>
        <v>77</v>
      </c>
      <c r="R2106" s="1" t="str">
        <f aca="false">IF(H2106=M2106,"Home",IF(H2106=N2106,"Away",IF(H2106="PICK","Pick","N/A")))</f>
        <v>Away</v>
      </c>
      <c r="S2106" s="1" t="n">
        <f aca="false">IF(R2106="Home",P2106,IF(R2106="Away",-P2106,""))</f>
        <v>-11</v>
      </c>
      <c r="T2106" s="1" t="str">
        <f aca="false">IF(R2106="Pick","No Line",IF(S2106="","N/A",IF(S2106+I2106&gt;0,"Favorite Covered",IF(S2106+I2106&lt;0,"Underdog Covered","Push"))))</f>
        <v>Underdog Covered</v>
      </c>
      <c r="U2106" s="1" t="str">
        <f aca="false">IF(Q2106&gt;J2106,"Over",IF(Q2106&lt;J2106,"Under","Push"))</f>
        <v>Over</v>
      </c>
    </row>
    <row r="2107" customFormat="false" ht="15" hidden="false" customHeight="false" outlineLevel="0" collapsed="false">
      <c r="A2107" s="1" t="s">
        <v>632</v>
      </c>
      <c r="B2107" s="1" t="n">
        <v>2017</v>
      </c>
      <c r="C2107" s="1" t="s">
        <v>227</v>
      </c>
      <c r="D2107" s="1" t="s">
        <v>115</v>
      </c>
      <c r="E2107" s="1" t="s">
        <v>87</v>
      </c>
      <c r="F2107" s="1" t="n">
        <v>23</v>
      </c>
      <c r="G2107" s="1" t="n">
        <v>27</v>
      </c>
      <c r="H2107" s="1" t="s">
        <v>88</v>
      </c>
      <c r="I2107" s="1" t="n">
        <v>-5.5</v>
      </c>
      <c r="J2107" s="1" t="n">
        <v>46</v>
      </c>
      <c r="K2107" s="1" t="s">
        <v>584</v>
      </c>
      <c r="L2107" s="1" t="b">
        <f aca="false">FALSE()</f>
        <v>0</v>
      </c>
      <c r="M2107" s="1" t="str">
        <f aca="false">VLOOKUP(D2107,'Team Reference'!$A:$B,2,FALSE())</f>
        <v>TEN</v>
      </c>
      <c r="N2107" s="1" t="str">
        <f aca="false">VLOOKUP(E2107,'Team Reference'!$A:$B,2,FALSE())</f>
        <v>LAR</v>
      </c>
      <c r="O2107" s="1" t="str">
        <f aca="false">IF(F2107&gt;G2107,M2107,IF(G2107&gt;F2107,N2107,"Tie"))</f>
        <v>LAR</v>
      </c>
      <c r="P2107" s="1" t="n">
        <f aca="false">F2107-G2107</f>
        <v>-4</v>
      </c>
      <c r="Q2107" s="1" t="n">
        <f aca="false">F2107+G2107</f>
        <v>50</v>
      </c>
      <c r="R2107" s="1" t="str">
        <f aca="false">IF(H2107=M2107,"Home",IF(H2107=N2107,"Away",IF(H2107="PICK","Pick","N/A")))</f>
        <v>Away</v>
      </c>
      <c r="S2107" s="1" t="n">
        <f aca="false">IF(R2107="Home",P2107,IF(R2107="Away",-P2107,""))</f>
        <v>4</v>
      </c>
      <c r="T2107" s="1" t="str">
        <f aca="false">IF(R2107="Pick","No Line",IF(S2107="","N/A",IF(S2107+I2107&gt;0,"Favorite Covered",IF(S2107+I2107&lt;0,"Underdog Covered","Push"))))</f>
        <v>Underdog Covered</v>
      </c>
      <c r="U2107" s="1" t="str">
        <f aca="false">IF(Q2107&gt;J2107,"Over",IF(Q2107&lt;J2107,"Under","Push"))</f>
        <v>Over</v>
      </c>
    </row>
    <row r="2108" customFormat="false" ht="15" hidden="false" customHeight="false" outlineLevel="0" collapsed="false">
      <c r="A2108" s="1" t="s">
        <v>632</v>
      </c>
      <c r="B2108" s="1" t="n">
        <v>2017</v>
      </c>
      <c r="C2108" s="1" t="s">
        <v>227</v>
      </c>
      <c r="D2108" s="1" t="s">
        <v>117</v>
      </c>
      <c r="E2108" s="1" t="s">
        <v>71</v>
      </c>
      <c r="F2108" s="1" t="n">
        <v>27</v>
      </c>
      <c r="G2108" s="1" t="n">
        <v>11</v>
      </c>
      <c r="H2108" s="1" t="s">
        <v>118</v>
      </c>
      <c r="I2108" s="1" t="n">
        <v>-3</v>
      </c>
      <c r="J2108" s="1" t="n">
        <v>39.5</v>
      </c>
      <c r="K2108" s="1" t="s">
        <v>156</v>
      </c>
      <c r="L2108" s="1" t="b">
        <f aca="false">FALSE()</f>
        <v>0</v>
      </c>
      <c r="M2108" s="1" t="str">
        <f aca="false">VLOOKUP(D2108,'Team Reference'!$A:$B,2,FALSE())</f>
        <v>WAS</v>
      </c>
      <c r="N2108" s="1" t="str">
        <f aca="false">VLOOKUP(E2108,'Team Reference'!$A:$B,2,FALSE())</f>
        <v>DEN</v>
      </c>
      <c r="O2108" s="1" t="str">
        <f aca="false">IF(F2108&gt;G2108,M2108,IF(G2108&gt;F2108,N2108,"Tie"))</f>
        <v>WAS</v>
      </c>
      <c r="P2108" s="1" t="n">
        <f aca="false">F2108-G2108</f>
        <v>16</v>
      </c>
      <c r="Q2108" s="1" t="n">
        <f aca="false">F2108+G2108</f>
        <v>38</v>
      </c>
      <c r="R2108" s="1" t="str">
        <f aca="false">IF(H2108=M2108,"Home",IF(H2108=N2108,"Away",IF(H2108="PICK","Pick","N/A")))</f>
        <v>Home</v>
      </c>
      <c r="S2108" s="1" t="n">
        <f aca="false">IF(R2108="Home",P2108,IF(R2108="Away",-P2108,""))</f>
        <v>16</v>
      </c>
      <c r="T2108" s="1" t="str">
        <f aca="false">IF(R2108="Pick","No Line",IF(S2108="","N/A",IF(S2108+I2108&gt;0,"Favorite Covered",IF(S2108+I2108&lt;0,"Underdog Covered","Push"))))</f>
        <v>Favorite Covered</v>
      </c>
      <c r="U2108" s="1" t="str">
        <f aca="false">IF(Q2108&gt;J2108,"Over",IF(Q2108&lt;J2108,"Under","Push"))</f>
        <v>Under</v>
      </c>
    </row>
    <row r="2109" customFormat="false" ht="15" hidden="false" customHeight="false" outlineLevel="0" collapsed="false">
      <c r="A2109" s="1" t="s">
        <v>633</v>
      </c>
      <c r="B2109" s="1" t="n">
        <v>2017</v>
      </c>
      <c r="C2109" s="1" t="s">
        <v>227</v>
      </c>
      <c r="D2109" s="1" t="s">
        <v>77</v>
      </c>
      <c r="E2109" s="1" t="s">
        <v>105</v>
      </c>
      <c r="F2109" s="1" t="n">
        <v>6</v>
      </c>
      <c r="G2109" s="1" t="n">
        <v>34</v>
      </c>
      <c r="H2109" s="1" t="s">
        <v>106</v>
      </c>
      <c r="I2109" s="1" t="n">
        <v>-8</v>
      </c>
      <c r="J2109" s="1" t="n">
        <v>45.5</v>
      </c>
      <c r="K2109" s="1" t="s">
        <v>580</v>
      </c>
      <c r="L2109" s="1" t="b">
        <f aca="false">FALSE()</f>
        <v>0</v>
      </c>
      <c r="M2109" s="1" t="str">
        <f aca="false">VLOOKUP(D2109,'Team Reference'!$A:$B,2,FALSE())</f>
        <v>HOU</v>
      </c>
      <c r="N2109" s="1" t="str">
        <f aca="false">VLOOKUP(E2109,'Team Reference'!$A:$B,2,FALSE())</f>
        <v>PIT</v>
      </c>
      <c r="O2109" s="1" t="str">
        <f aca="false">IF(F2109&gt;G2109,M2109,IF(G2109&gt;F2109,N2109,"Tie"))</f>
        <v>PIT</v>
      </c>
      <c r="P2109" s="1" t="n">
        <f aca="false">F2109-G2109</f>
        <v>-28</v>
      </c>
      <c r="Q2109" s="1" t="n">
        <f aca="false">F2109+G2109</f>
        <v>40</v>
      </c>
      <c r="R2109" s="1" t="str">
        <f aca="false">IF(H2109=M2109,"Home",IF(H2109=N2109,"Away",IF(H2109="PICK","Pick","N/A")))</f>
        <v>Away</v>
      </c>
      <c r="S2109" s="1" t="n">
        <f aca="false">IF(R2109="Home",P2109,IF(R2109="Away",-P2109,""))</f>
        <v>28</v>
      </c>
      <c r="T2109" s="1" t="str">
        <f aca="false">IF(R2109="Pick","No Line",IF(S2109="","N/A",IF(S2109+I2109&gt;0,"Favorite Covered",IF(S2109+I2109&lt;0,"Underdog Covered","Push"))))</f>
        <v>Favorite Covered</v>
      </c>
      <c r="U2109" s="1" t="str">
        <f aca="false">IF(Q2109&gt;J2109,"Over",IF(Q2109&lt;J2109,"Under","Push"))</f>
        <v>Under</v>
      </c>
    </row>
    <row r="2110" customFormat="false" ht="15" hidden="false" customHeight="false" outlineLevel="0" collapsed="false">
      <c r="A2110" s="1" t="s">
        <v>633</v>
      </c>
      <c r="B2110" s="1" t="n">
        <v>2017</v>
      </c>
      <c r="C2110" s="1" t="s">
        <v>227</v>
      </c>
      <c r="D2110" s="1" t="s">
        <v>103</v>
      </c>
      <c r="E2110" s="1" t="s">
        <v>101</v>
      </c>
      <c r="F2110" s="1" t="n">
        <v>19</v>
      </c>
      <c r="G2110" s="1" t="n">
        <v>10</v>
      </c>
      <c r="H2110" s="1" t="s">
        <v>104</v>
      </c>
      <c r="I2110" s="1" t="n">
        <v>-10</v>
      </c>
      <c r="J2110" s="1" t="n">
        <v>46</v>
      </c>
      <c r="K2110" s="1" t="s">
        <v>150</v>
      </c>
      <c r="L2110" s="1" t="b">
        <f aca="false">FALSE()</f>
        <v>0</v>
      </c>
      <c r="M2110" s="1" t="str">
        <f aca="false">VLOOKUP(D2110,'Team Reference'!$A:$B,2,FALSE())</f>
        <v>PHI</v>
      </c>
      <c r="N2110" s="1" t="str">
        <f aca="false">VLOOKUP(E2110,'Team Reference'!$A:$B,2,FALSE())</f>
        <v>OAK</v>
      </c>
      <c r="O2110" s="1" t="str">
        <f aca="false">IF(F2110&gt;G2110,M2110,IF(G2110&gt;F2110,N2110,"Tie"))</f>
        <v>PHI</v>
      </c>
      <c r="P2110" s="1" t="n">
        <f aca="false">F2110-G2110</f>
        <v>9</v>
      </c>
      <c r="Q2110" s="1" t="n">
        <f aca="false">F2110+G2110</f>
        <v>29</v>
      </c>
      <c r="R2110" s="1" t="str">
        <f aca="false">IF(H2110=M2110,"Home",IF(H2110=N2110,"Away",IF(H2110="PICK","Pick","N/A")))</f>
        <v>Home</v>
      </c>
      <c r="S2110" s="1" t="n">
        <f aca="false">IF(R2110="Home",P2110,IF(R2110="Away",-P2110,""))</f>
        <v>9</v>
      </c>
      <c r="T2110" s="1" t="str">
        <f aca="false">IF(R2110="Pick","No Line",IF(S2110="","N/A",IF(S2110+I2110&gt;0,"Favorite Covered",IF(S2110+I2110&lt;0,"Underdog Covered","Push"))))</f>
        <v>Underdog Covered</v>
      </c>
      <c r="U2110" s="1" t="str">
        <f aca="false">IF(Q2110&gt;J2110,"Over",IF(Q2110&lt;J2110,"Under","Push"))</f>
        <v>Under</v>
      </c>
    </row>
    <row r="2111" customFormat="false" ht="15" hidden="false" customHeight="false" outlineLevel="0" collapsed="false">
      <c r="A2111" s="1" t="s">
        <v>634</v>
      </c>
      <c r="B2111" s="1" t="n">
        <v>2017</v>
      </c>
      <c r="C2111" s="1" t="s">
        <v>233</v>
      </c>
      <c r="D2111" s="1" t="s">
        <v>55</v>
      </c>
      <c r="E2111" s="1" t="s">
        <v>61</v>
      </c>
      <c r="F2111" s="1" t="n">
        <v>22</v>
      </c>
      <c r="G2111" s="1" t="n">
        <v>10</v>
      </c>
      <c r="H2111" s="1" t="s">
        <v>56</v>
      </c>
      <c r="I2111" s="1" t="n">
        <v>-5</v>
      </c>
      <c r="J2111" s="1" t="n">
        <v>44.5</v>
      </c>
      <c r="K2111" s="1" t="s">
        <v>161</v>
      </c>
      <c r="L2111" s="1" t="b">
        <f aca="false">FALSE()</f>
        <v>0</v>
      </c>
      <c r="M2111" s="1" t="str">
        <f aca="false">VLOOKUP(D2111,'Team Reference'!$A:$B,2,FALSE())</f>
        <v>ATL</v>
      </c>
      <c r="N2111" s="1" t="str">
        <f aca="false">VLOOKUP(E2111,'Team Reference'!$A:$B,2,FALSE())</f>
        <v>CAR</v>
      </c>
      <c r="O2111" s="1" t="str">
        <f aca="false">IF(F2111&gt;G2111,M2111,IF(G2111&gt;F2111,N2111,"Tie"))</f>
        <v>ATL</v>
      </c>
      <c r="P2111" s="1" t="n">
        <f aca="false">F2111-G2111</f>
        <v>12</v>
      </c>
      <c r="Q2111" s="1" t="n">
        <f aca="false">F2111+G2111</f>
        <v>32</v>
      </c>
      <c r="R2111" s="1" t="str">
        <f aca="false">IF(H2111=M2111,"Home",IF(H2111=N2111,"Away",IF(H2111="PICK","Pick","N/A")))</f>
        <v>Home</v>
      </c>
      <c r="S2111" s="1" t="n">
        <f aca="false">IF(R2111="Home",P2111,IF(R2111="Away",-P2111,""))</f>
        <v>12</v>
      </c>
      <c r="T2111" s="1" t="str">
        <f aca="false">IF(R2111="Pick","No Line",IF(S2111="","N/A",IF(S2111+I2111&gt;0,"Favorite Covered",IF(S2111+I2111&lt;0,"Underdog Covered","Push"))))</f>
        <v>Favorite Covered</v>
      </c>
      <c r="U2111" s="1" t="str">
        <f aca="false">IF(Q2111&gt;J2111,"Over",IF(Q2111&lt;J2111,"Under","Push"))</f>
        <v>Under</v>
      </c>
    </row>
    <row r="2112" customFormat="false" ht="15" hidden="false" customHeight="false" outlineLevel="0" collapsed="false">
      <c r="A2112" s="1" t="s">
        <v>634</v>
      </c>
      <c r="B2112" s="1" t="n">
        <v>2017</v>
      </c>
      <c r="C2112" s="1" t="s">
        <v>233</v>
      </c>
      <c r="D2112" s="1" t="s">
        <v>57</v>
      </c>
      <c r="E2112" s="1" t="s">
        <v>65</v>
      </c>
      <c r="F2112" s="1" t="n">
        <v>27</v>
      </c>
      <c r="G2112" s="1" t="n">
        <v>31</v>
      </c>
      <c r="H2112" s="1" t="s">
        <v>58</v>
      </c>
      <c r="I2112" s="1" t="n">
        <v>-8</v>
      </c>
      <c r="J2112" s="1" t="n">
        <v>40</v>
      </c>
      <c r="K2112" s="1" t="s">
        <v>178</v>
      </c>
      <c r="L2112" s="1" t="b">
        <f aca="false">FALSE()</f>
        <v>0</v>
      </c>
      <c r="M2112" s="1" t="str">
        <f aca="false">VLOOKUP(D2112,'Team Reference'!$A:$B,2,FALSE())</f>
        <v>BAL</v>
      </c>
      <c r="N2112" s="1" t="str">
        <f aca="false">VLOOKUP(E2112,'Team Reference'!$A:$B,2,FALSE())</f>
        <v>CIN</v>
      </c>
      <c r="O2112" s="1" t="str">
        <f aca="false">IF(F2112&gt;G2112,M2112,IF(G2112&gt;F2112,N2112,"Tie"))</f>
        <v>CIN</v>
      </c>
      <c r="P2112" s="1" t="n">
        <f aca="false">F2112-G2112</f>
        <v>-4</v>
      </c>
      <c r="Q2112" s="1" t="n">
        <f aca="false">F2112+G2112</f>
        <v>58</v>
      </c>
      <c r="R2112" s="1" t="str">
        <f aca="false">IF(H2112=M2112,"Home",IF(H2112=N2112,"Away",IF(H2112="PICK","Pick","N/A")))</f>
        <v>Home</v>
      </c>
      <c r="S2112" s="1" t="n">
        <f aca="false">IF(R2112="Home",P2112,IF(R2112="Away",-P2112,""))</f>
        <v>-4</v>
      </c>
      <c r="T2112" s="1" t="str">
        <f aca="false">IF(R2112="Pick","No Line",IF(S2112="","N/A",IF(S2112+I2112&gt;0,"Favorite Covered",IF(S2112+I2112&lt;0,"Underdog Covered","Push"))))</f>
        <v>Underdog Covered</v>
      </c>
      <c r="U2112" s="1" t="str">
        <f aca="false">IF(Q2112&gt;J2112,"Over",IF(Q2112&lt;J2112,"Under","Push"))</f>
        <v>Over</v>
      </c>
    </row>
    <row r="2113" customFormat="false" ht="15" hidden="false" customHeight="false" outlineLevel="0" collapsed="false">
      <c r="A2113" s="1" t="s">
        <v>634</v>
      </c>
      <c r="B2113" s="1" t="n">
        <v>2017</v>
      </c>
      <c r="C2113" s="1" t="s">
        <v>233</v>
      </c>
      <c r="D2113" s="1" t="s">
        <v>71</v>
      </c>
      <c r="E2113" s="1" t="s">
        <v>83</v>
      </c>
      <c r="F2113" s="1" t="n">
        <v>24</v>
      </c>
      <c r="G2113" s="1" t="n">
        <v>27</v>
      </c>
      <c r="H2113" s="1" t="s">
        <v>72</v>
      </c>
      <c r="I2113" s="1" t="n">
        <v>-3</v>
      </c>
      <c r="J2113" s="1" t="n">
        <v>37.5</v>
      </c>
      <c r="K2113" s="1" t="s">
        <v>166</v>
      </c>
      <c r="L2113" s="1" t="b">
        <f aca="false">FALSE()</f>
        <v>0</v>
      </c>
      <c r="M2113" s="1" t="str">
        <f aca="false">VLOOKUP(D2113,'Team Reference'!$A:$B,2,FALSE())</f>
        <v>DEN</v>
      </c>
      <c r="N2113" s="1" t="str">
        <f aca="false">VLOOKUP(E2113,'Team Reference'!$A:$B,2,FALSE())</f>
        <v>KC</v>
      </c>
      <c r="O2113" s="1" t="str">
        <f aca="false">IF(F2113&gt;G2113,M2113,IF(G2113&gt;F2113,N2113,"Tie"))</f>
        <v>KC</v>
      </c>
      <c r="P2113" s="1" t="n">
        <f aca="false">F2113-G2113</f>
        <v>-3</v>
      </c>
      <c r="Q2113" s="1" t="n">
        <f aca="false">F2113+G2113</f>
        <v>51</v>
      </c>
      <c r="R2113" s="1" t="str">
        <f aca="false">IF(H2113=M2113,"Home",IF(H2113=N2113,"Away",IF(H2113="PICK","Pick","N/A")))</f>
        <v>Home</v>
      </c>
      <c r="S2113" s="1" t="n">
        <f aca="false">IF(R2113="Home",P2113,IF(R2113="Away",-P2113,""))</f>
        <v>-3</v>
      </c>
      <c r="T2113" s="1" t="str">
        <f aca="false">IF(R2113="Pick","No Line",IF(S2113="","N/A",IF(S2113+I2113&gt;0,"Favorite Covered",IF(S2113+I2113&lt;0,"Underdog Covered","Push"))))</f>
        <v>Underdog Covered</v>
      </c>
      <c r="U2113" s="1" t="str">
        <f aca="false">IF(Q2113&gt;J2113,"Over",IF(Q2113&lt;J2113,"Under","Push"))</f>
        <v>Over</v>
      </c>
    </row>
    <row r="2114" customFormat="false" ht="15" hidden="false" customHeight="false" outlineLevel="0" collapsed="false">
      <c r="A2114" s="1" t="s">
        <v>634</v>
      </c>
      <c r="B2114" s="1" t="n">
        <v>2017</v>
      </c>
      <c r="C2114" s="1" t="s">
        <v>233</v>
      </c>
      <c r="D2114" s="1" t="s">
        <v>73</v>
      </c>
      <c r="E2114" s="1" t="s">
        <v>75</v>
      </c>
      <c r="F2114" s="1" t="n">
        <v>35</v>
      </c>
      <c r="G2114" s="1" t="n">
        <v>11</v>
      </c>
      <c r="H2114" s="1" t="s">
        <v>74</v>
      </c>
      <c r="I2114" s="1" t="n">
        <v>-7.5</v>
      </c>
      <c r="J2114" s="1" t="n">
        <v>44.5</v>
      </c>
      <c r="K2114" s="1" t="s">
        <v>167</v>
      </c>
      <c r="L2114" s="1" t="b">
        <f aca="false">FALSE()</f>
        <v>0</v>
      </c>
      <c r="M2114" s="1" t="str">
        <f aca="false">VLOOKUP(D2114,'Team Reference'!$A:$B,2,FALSE())</f>
        <v>DET</v>
      </c>
      <c r="N2114" s="1" t="str">
        <f aca="false">VLOOKUP(E2114,'Team Reference'!$A:$B,2,FALSE())</f>
        <v>GB</v>
      </c>
      <c r="O2114" s="1" t="str">
        <f aca="false">IF(F2114&gt;G2114,M2114,IF(G2114&gt;F2114,N2114,"Tie"))</f>
        <v>DET</v>
      </c>
      <c r="P2114" s="1" t="n">
        <f aca="false">F2114-G2114</f>
        <v>24</v>
      </c>
      <c r="Q2114" s="1" t="n">
        <f aca="false">F2114+G2114</f>
        <v>46</v>
      </c>
      <c r="R2114" s="1" t="str">
        <f aca="false">IF(H2114=M2114,"Home",IF(H2114=N2114,"Away",IF(H2114="PICK","Pick","N/A")))</f>
        <v>Home</v>
      </c>
      <c r="S2114" s="1" t="n">
        <f aca="false">IF(R2114="Home",P2114,IF(R2114="Away",-P2114,""))</f>
        <v>24</v>
      </c>
      <c r="T2114" s="1" t="str">
        <f aca="false">IF(R2114="Pick","No Line",IF(S2114="","N/A",IF(S2114+I2114&gt;0,"Favorite Covered",IF(S2114+I2114&lt;0,"Underdog Covered","Push"))))</f>
        <v>Favorite Covered</v>
      </c>
      <c r="U2114" s="1" t="str">
        <f aca="false">IF(Q2114&gt;J2114,"Over",IF(Q2114&lt;J2114,"Under","Push"))</f>
        <v>Over</v>
      </c>
    </row>
    <row r="2115" customFormat="false" ht="15" hidden="false" customHeight="false" outlineLevel="0" collapsed="false">
      <c r="A2115" s="1" t="s">
        <v>634</v>
      </c>
      <c r="B2115" s="1" t="n">
        <v>2017</v>
      </c>
      <c r="C2115" s="1" t="s">
        <v>233</v>
      </c>
      <c r="D2115" s="1" t="s">
        <v>79</v>
      </c>
      <c r="E2115" s="1" t="s">
        <v>77</v>
      </c>
      <c r="F2115" s="1" t="n">
        <v>22</v>
      </c>
      <c r="G2115" s="1" t="n">
        <v>13</v>
      </c>
      <c r="H2115" s="1" t="s">
        <v>80</v>
      </c>
      <c r="I2115" s="1" t="n">
        <v>-5.5</v>
      </c>
      <c r="J2115" s="1" t="n">
        <v>41.5</v>
      </c>
      <c r="K2115" s="1" t="s">
        <v>169</v>
      </c>
      <c r="L2115" s="1" t="b">
        <f aca="false">FALSE()</f>
        <v>0</v>
      </c>
      <c r="M2115" s="1" t="str">
        <f aca="false">VLOOKUP(D2115,'Team Reference'!$A:$B,2,FALSE())</f>
        <v>IND</v>
      </c>
      <c r="N2115" s="1" t="str">
        <f aca="false">VLOOKUP(E2115,'Team Reference'!$A:$B,2,FALSE())</f>
        <v>HOU</v>
      </c>
      <c r="O2115" s="1" t="str">
        <f aca="false">IF(F2115&gt;G2115,M2115,IF(G2115&gt;F2115,N2115,"Tie"))</f>
        <v>IND</v>
      </c>
      <c r="P2115" s="1" t="n">
        <f aca="false">F2115-G2115</f>
        <v>9</v>
      </c>
      <c r="Q2115" s="1" t="n">
        <f aca="false">F2115+G2115</f>
        <v>35</v>
      </c>
      <c r="R2115" s="1" t="str">
        <f aca="false">IF(H2115=M2115,"Home",IF(H2115=N2115,"Away",IF(H2115="PICK","Pick","N/A")))</f>
        <v>Home</v>
      </c>
      <c r="S2115" s="1" t="n">
        <f aca="false">IF(R2115="Home",P2115,IF(R2115="Away",-P2115,""))</f>
        <v>9</v>
      </c>
      <c r="T2115" s="1" t="str">
        <f aca="false">IF(R2115="Pick","No Line",IF(S2115="","N/A",IF(S2115+I2115&gt;0,"Favorite Covered",IF(S2115+I2115&lt;0,"Underdog Covered","Push"))))</f>
        <v>Favorite Covered</v>
      </c>
      <c r="U2115" s="1" t="str">
        <f aca="false">IF(Q2115&gt;J2115,"Over",IF(Q2115&lt;J2115,"Under","Push"))</f>
        <v>Under</v>
      </c>
    </row>
    <row r="2116" customFormat="false" ht="15" hidden="false" customHeight="false" outlineLevel="0" collapsed="false">
      <c r="A2116" s="1" t="s">
        <v>634</v>
      </c>
      <c r="B2116" s="1" t="n">
        <v>2017</v>
      </c>
      <c r="C2116" s="1" t="s">
        <v>233</v>
      </c>
      <c r="D2116" s="1" t="s">
        <v>85</v>
      </c>
      <c r="E2116" s="1" t="s">
        <v>101</v>
      </c>
      <c r="F2116" s="1" t="n">
        <v>30</v>
      </c>
      <c r="G2116" s="1" t="n">
        <v>10</v>
      </c>
      <c r="H2116" s="1" t="s">
        <v>86</v>
      </c>
      <c r="I2116" s="1" t="n">
        <v>-7</v>
      </c>
      <c r="J2116" s="1" t="n">
        <v>43</v>
      </c>
      <c r="K2116" s="1" t="s">
        <v>588</v>
      </c>
      <c r="L2116" s="1" t="b">
        <f aca="false">FALSE()</f>
        <v>0</v>
      </c>
      <c r="M2116" s="1" t="str">
        <f aca="false">VLOOKUP(D2116,'Team Reference'!$A:$B,2,FALSE())</f>
        <v>LAC</v>
      </c>
      <c r="N2116" s="1" t="str">
        <f aca="false">VLOOKUP(E2116,'Team Reference'!$A:$B,2,FALSE())</f>
        <v>OAK</v>
      </c>
      <c r="O2116" s="1" t="str">
        <f aca="false">IF(F2116&gt;G2116,M2116,IF(G2116&gt;F2116,N2116,"Tie"))</f>
        <v>LAC</v>
      </c>
      <c r="P2116" s="1" t="n">
        <f aca="false">F2116-G2116</f>
        <v>20</v>
      </c>
      <c r="Q2116" s="1" t="n">
        <f aca="false">F2116+G2116</f>
        <v>40</v>
      </c>
      <c r="R2116" s="1" t="str">
        <f aca="false">IF(H2116=M2116,"Home",IF(H2116=N2116,"Away",IF(H2116="PICK","Pick","N/A")))</f>
        <v>Home</v>
      </c>
      <c r="S2116" s="1" t="n">
        <f aca="false">IF(R2116="Home",P2116,IF(R2116="Away",-P2116,""))</f>
        <v>20</v>
      </c>
      <c r="T2116" s="1" t="str">
        <f aca="false">IF(R2116="Pick","No Line",IF(S2116="","N/A",IF(S2116+I2116&gt;0,"Favorite Covered",IF(S2116+I2116&lt;0,"Underdog Covered","Push"))))</f>
        <v>Favorite Covered</v>
      </c>
      <c r="U2116" s="1" t="str">
        <f aca="false">IF(Q2116&gt;J2116,"Over",IF(Q2116&lt;J2116,"Under","Push"))</f>
        <v>Under</v>
      </c>
    </row>
    <row r="2117" customFormat="false" ht="15" hidden="false" customHeight="false" outlineLevel="0" collapsed="false">
      <c r="A2117" s="1" t="s">
        <v>634</v>
      </c>
      <c r="B2117" s="1" t="n">
        <v>2017</v>
      </c>
      <c r="C2117" s="1" t="s">
        <v>233</v>
      </c>
      <c r="D2117" s="1" t="s">
        <v>87</v>
      </c>
      <c r="E2117" s="1" t="s">
        <v>108</v>
      </c>
      <c r="F2117" s="1" t="n">
        <v>13</v>
      </c>
      <c r="G2117" s="1" t="n">
        <v>34</v>
      </c>
      <c r="H2117" s="1" t="s">
        <v>109</v>
      </c>
      <c r="I2117" s="1" t="n">
        <v>-6</v>
      </c>
      <c r="J2117" s="1" t="n">
        <v>44.5</v>
      </c>
      <c r="K2117" s="1" t="s">
        <v>520</v>
      </c>
      <c r="L2117" s="1" t="b">
        <f aca="false">FALSE()</f>
        <v>0</v>
      </c>
      <c r="M2117" s="1" t="str">
        <f aca="false">VLOOKUP(D2117,'Team Reference'!$A:$B,2,FALSE())</f>
        <v>LAR</v>
      </c>
      <c r="N2117" s="1" t="str">
        <f aca="false">VLOOKUP(E2117,'Team Reference'!$A:$B,2,FALSE())</f>
        <v>SF</v>
      </c>
      <c r="O2117" s="1" t="str">
        <f aca="false">IF(F2117&gt;G2117,M2117,IF(G2117&gt;F2117,N2117,"Tie"))</f>
        <v>SF</v>
      </c>
      <c r="P2117" s="1" t="n">
        <f aca="false">F2117-G2117</f>
        <v>-21</v>
      </c>
      <c r="Q2117" s="1" t="n">
        <f aca="false">F2117+G2117</f>
        <v>47</v>
      </c>
      <c r="R2117" s="1" t="str">
        <f aca="false">IF(H2117=M2117,"Home",IF(H2117=N2117,"Away",IF(H2117="PICK","Pick","N/A")))</f>
        <v>Away</v>
      </c>
      <c r="S2117" s="1" t="n">
        <f aca="false">IF(R2117="Home",P2117,IF(R2117="Away",-P2117,""))</f>
        <v>21</v>
      </c>
      <c r="T2117" s="1" t="str">
        <f aca="false">IF(R2117="Pick","No Line",IF(S2117="","N/A",IF(S2117+I2117&gt;0,"Favorite Covered",IF(S2117+I2117&lt;0,"Underdog Covered","Push"))))</f>
        <v>Favorite Covered</v>
      </c>
      <c r="U2117" s="1" t="str">
        <f aca="false">IF(Q2117&gt;J2117,"Over",IF(Q2117&lt;J2117,"Under","Push"))</f>
        <v>Over</v>
      </c>
    </row>
    <row r="2118" customFormat="false" ht="15" hidden="false" customHeight="false" outlineLevel="0" collapsed="false">
      <c r="A2118" s="1" t="s">
        <v>634</v>
      </c>
      <c r="B2118" s="1" t="n">
        <v>2017</v>
      </c>
      <c r="C2118" s="1" t="s">
        <v>233</v>
      </c>
      <c r="D2118" s="1" t="s">
        <v>89</v>
      </c>
      <c r="E2118" s="1" t="s">
        <v>59</v>
      </c>
      <c r="F2118" s="1" t="n">
        <v>16</v>
      </c>
      <c r="G2118" s="1" t="n">
        <v>22</v>
      </c>
      <c r="H2118" s="1" t="s">
        <v>60</v>
      </c>
      <c r="I2118" s="1" t="n">
        <v>-2.5</v>
      </c>
      <c r="J2118" s="1" t="n">
        <v>41.5</v>
      </c>
      <c r="K2118" s="1" t="s">
        <v>598</v>
      </c>
      <c r="L2118" s="1" t="b">
        <f aca="false">FALSE()</f>
        <v>0</v>
      </c>
      <c r="M2118" s="1" t="str">
        <f aca="false">VLOOKUP(D2118,'Team Reference'!$A:$B,2,FALSE())</f>
        <v>MIA</v>
      </c>
      <c r="N2118" s="1" t="str">
        <f aca="false">VLOOKUP(E2118,'Team Reference'!$A:$B,2,FALSE())</f>
        <v>BUF</v>
      </c>
      <c r="O2118" s="1" t="str">
        <f aca="false">IF(F2118&gt;G2118,M2118,IF(G2118&gt;F2118,N2118,"Tie"))</f>
        <v>BUF</v>
      </c>
      <c r="P2118" s="1" t="n">
        <f aca="false">F2118-G2118</f>
        <v>-6</v>
      </c>
      <c r="Q2118" s="1" t="n">
        <f aca="false">F2118+G2118</f>
        <v>38</v>
      </c>
      <c r="R2118" s="1" t="str">
        <f aca="false">IF(H2118=M2118,"Home",IF(H2118=N2118,"Away",IF(H2118="PICK","Pick","N/A")))</f>
        <v>Away</v>
      </c>
      <c r="S2118" s="1" t="n">
        <f aca="false">IF(R2118="Home",P2118,IF(R2118="Away",-P2118,""))</f>
        <v>6</v>
      </c>
      <c r="T2118" s="1" t="str">
        <f aca="false">IF(R2118="Pick","No Line",IF(S2118="","N/A",IF(S2118+I2118&gt;0,"Favorite Covered",IF(S2118+I2118&lt;0,"Underdog Covered","Push"))))</f>
        <v>Favorite Covered</v>
      </c>
      <c r="U2118" s="1" t="str">
        <f aca="false">IF(Q2118&gt;J2118,"Over",IF(Q2118&lt;J2118,"Under","Push"))</f>
        <v>Under</v>
      </c>
    </row>
    <row r="2119" customFormat="false" ht="15" hidden="false" customHeight="false" outlineLevel="0" collapsed="false">
      <c r="A2119" s="1" t="s">
        <v>634</v>
      </c>
      <c r="B2119" s="1" t="n">
        <v>2017</v>
      </c>
      <c r="C2119" s="1" t="s">
        <v>233</v>
      </c>
      <c r="D2119" s="1" t="s">
        <v>91</v>
      </c>
      <c r="E2119" s="1" t="s">
        <v>63</v>
      </c>
      <c r="F2119" s="1" t="n">
        <v>23</v>
      </c>
      <c r="G2119" s="1" t="n">
        <v>10</v>
      </c>
      <c r="H2119" s="1" t="s">
        <v>92</v>
      </c>
      <c r="I2119" s="1" t="n">
        <v>-13.5</v>
      </c>
      <c r="J2119" s="1" t="n">
        <v>38.5</v>
      </c>
      <c r="K2119" s="1" t="s">
        <v>525</v>
      </c>
      <c r="L2119" s="1" t="b">
        <f aca="false">FALSE()</f>
        <v>0</v>
      </c>
      <c r="M2119" s="1" t="str">
        <f aca="false">VLOOKUP(D2119,'Team Reference'!$A:$B,2,FALSE())</f>
        <v>MIN</v>
      </c>
      <c r="N2119" s="1" t="str">
        <f aca="false">VLOOKUP(E2119,'Team Reference'!$A:$B,2,FALSE())</f>
        <v>CHI</v>
      </c>
      <c r="O2119" s="1" t="str">
        <f aca="false">IF(F2119&gt;G2119,M2119,IF(G2119&gt;F2119,N2119,"Tie"))</f>
        <v>MIN</v>
      </c>
      <c r="P2119" s="1" t="n">
        <f aca="false">F2119-G2119</f>
        <v>13</v>
      </c>
      <c r="Q2119" s="1" t="n">
        <f aca="false">F2119+G2119</f>
        <v>33</v>
      </c>
      <c r="R2119" s="1" t="str">
        <f aca="false">IF(H2119=M2119,"Home",IF(H2119=N2119,"Away",IF(H2119="PICK","Pick","N/A")))</f>
        <v>Home</v>
      </c>
      <c r="S2119" s="1" t="n">
        <f aca="false">IF(R2119="Home",P2119,IF(R2119="Away",-P2119,""))</f>
        <v>13</v>
      </c>
      <c r="T2119" s="1" t="str">
        <f aca="false">IF(R2119="Pick","No Line",IF(S2119="","N/A",IF(S2119+I2119&gt;0,"Favorite Covered",IF(S2119+I2119&lt;0,"Underdog Covered","Push"))))</f>
        <v>Underdog Covered</v>
      </c>
      <c r="U2119" s="1" t="str">
        <f aca="false">IF(Q2119&gt;J2119,"Over",IF(Q2119&lt;J2119,"Under","Push"))</f>
        <v>Under</v>
      </c>
    </row>
    <row r="2120" customFormat="false" ht="15" hidden="false" customHeight="false" outlineLevel="0" collapsed="false">
      <c r="A2120" s="1" t="s">
        <v>634</v>
      </c>
      <c r="B2120" s="1" t="n">
        <v>2017</v>
      </c>
      <c r="C2120" s="1" t="s">
        <v>233</v>
      </c>
      <c r="D2120" s="1" t="s">
        <v>93</v>
      </c>
      <c r="E2120" s="1" t="s">
        <v>99</v>
      </c>
      <c r="F2120" s="1" t="n">
        <v>26</v>
      </c>
      <c r="G2120" s="1" t="n">
        <v>6</v>
      </c>
      <c r="H2120" s="1" t="s">
        <v>94</v>
      </c>
      <c r="I2120" s="1" t="n">
        <v>-17</v>
      </c>
      <c r="J2120" s="1" t="n">
        <v>43.5</v>
      </c>
      <c r="K2120" s="1" t="s">
        <v>148</v>
      </c>
      <c r="L2120" s="1" t="b">
        <f aca="false">FALSE()</f>
        <v>0</v>
      </c>
      <c r="M2120" s="1" t="str">
        <f aca="false">VLOOKUP(D2120,'Team Reference'!$A:$B,2,FALSE())</f>
        <v>NE</v>
      </c>
      <c r="N2120" s="1" t="str">
        <f aca="false">VLOOKUP(E2120,'Team Reference'!$A:$B,2,FALSE())</f>
        <v>NYJ</v>
      </c>
      <c r="O2120" s="1" t="str">
        <f aca="false">IF(F2120&gt;G2120,M2120,IF(G2120&gt;F2120,N2120,"Tie"))</f>
        <v>NE</v>
      </c>
      <c r="P2120" s="1" t="n">
        <f aca="false">F2120-G2120</f>
        <v>20</v>
      </c>
      <c r="Q2120" s="1" t="n">
        <f aca="false">F2120+G2120</f>
        <v>32</v>
      </c>
      <c r="R2120" s="1" t="str">
        <f aca="false">IF(H2120=M2120,"Home",IF(H2120=N2120,"Away",IF(H2120="PICK","Pick","N/A")))</f>
        <v>Home</v>
      </c>
      <c r="S2120" s="1" t="n">
        <f aca="false">IF(R2120="Home",P2120,IF(R2120="Away",-P2120,""))</f>
        <v>20</v>
      </c>
      <c r="T2120" s="1" t="str">
        <f aca="false">IF(R2120="Pick","No Line",IF(S2120="","N/A",IF(S2120+I2120&gt;0,"Favorite Covered",IF(S2120+I2120&lt;0,"Underdog Covered","Push"))))</f>
        <v>Favorite Covered</v>
      </c>
      <c r="U2120" s="1" t="str">
        <f aca="false">IF(Q2120&gt;J2120,"Over",IF(Q2120&lt;J2120,"Under","Push"))</f>
        <v>Under</v>
      </c>
    </row>
    <row r="2121" customFormat="false" ht="15" hidden="false" customHeight="false" outlineLevel="0" collapsed="false">
      <c r="A2121" s="1" t="s">
        <v>634</v>
      </c>
      <c r="B2121" s="1" t="n">
        <v>2017</v>
      </c>
      <c r="C2121" s="1" t="s">
        <v>233</v>
      </c>
      <c r="D2121" s="1" t="s">
        <v>97</v>
      </c>
      <c r="E2121" s="1" t="s">
        <v>117</v>
      </c>
      <c r="F2121" s="1" t="n">
        <v>18</v>
      </c>
      <c r="G2121" s="1" t="n">
        <v>10</v>
      </c>
      <c r="H2121" s="1" t="s">
        <v>118</v>
      </c>
      <c r="I2121" s="1" t="n">
        <v>-4.5</v>
      </c>
      <c r="J2121" s="1" t="n">
        <v>41</v>
      </c>
      <c r="K2121" s="1" t="s">
        <v>149</v>
      </c>
      <c r="L2121" s="1" t="b">
        <f aca="false">FALSE()</f>
        <v>0</v>
      </c>
      <c r="M2121" s="1" t="str">
        <f aca="false">VLOOKUP(D2121,'Team Reference'!$A:$B,2,FALSE())</f>
        <v>NYG</v>
      </c>
      <c r="N2121" s="1" t="str">
        <f aca="false">VLOOKUP(E2121,'Team Reference'!$A:$B,2,FALSE())</f>
        <v>WAS</v>
      </c>
      <c r="O2121" s="1" t="str">
        <f aca="false">IF(F2121&gt;G2121,M2121,IF(G2121&gt;F2121,N2121,"Tie"))</f>
        <v>NYG</v>
      </c>
      <c r="P2121" s="1" t="n">
        <f aca="false">F2121-G2121</f>
        <v>8</v>
      </c>
      <c r="Q2121" s="1" t="n">
        <f aca="false">F2121+G2121</f>
        <v>28</v>
      </c>
      <c r="R2121" s="1" t="str">
        <f aca="false">IF(H2121=M2121,"Home",IF(H2121=N2121,"Away",IF(H2121="PICK","Pick","N/A")))</f>
        <v>Away</v>
      </c>
      <c r="S2121" s="1" t="n">
        <f aca="false">IF(R2121="Home",P2121,IF(R2121="Away",-P2121,""))</f>
        <v>-8</v>
      </c>
      <c r="T2121" s="1" t="str">
        <f aca="false">IF(R2121="Pick","No Line",IF(S2121="","N/A",IF(S2121+I2121&gt;0,"Favorite Covered",IF(S2121+I2121&lt;0,"Underdog Covered","Push"))))</f>
        <v>Underdog Covered</v>
      </c>
      <c r="U2121" s="1" t="str">
        <f aca="false">IF(Q2121&gt;J2121,"Over",IF(Q2121&lt;J2121,"Under","Push"))</f>
        <v>Under</v>
      </c>
    </row>
    <row r="2122" customFormat="false" ht="15" hidden="false" customHeight="false" outlineLevel="0" collapsed="false">
      <c r="A2122" s="1" t="s">
        <v>634</v>
      </c>
      <c r="B2122" s="1" t="n">
        <v>2017</v>
      </c>
      <c r="C2122" s="1" t="s">
        <v>233</v>
      </c>
      <c r="D2122" s="1" t="s">
        <v>103</v>
      </c>
      <c r="E2122" s="1" t="s">
        <v>69</v>
      </c>
      <c r="F2122" s="1" t="n">
        <v>0</v>
      </c>
      <c r="G2122" s="1" t="n">
        <v>6</v>
      </c>
      <c r="H2122" s="1" t="s">
        <v>70</v>
      </c>
      <c r="I2122" s="1" t="n">
        <v>-3.5</v>
      </c>
      <c r="J2122" s="1" t="n">
        <v>41</v>
      </c>
      <c r="K2122" s="1" t="s">
        <v>150</v>
      </c>
      <c r="L2122" s="1" t="b">
        <f aca="false">FALSE()</f>
        <v>0</v>
      </c>
      <c r="M2122" s="1" t="str">
        <f aca="false">VLOOKUP(D2122,'Team Reference'!$A:$B,2,FALSE())</f>
        <v>PHI</v>
      </c>
      <c r="N2122" s="1" t="str">
        <f aca="false">VLOOKUP(E2122,'Team Reference'!$A:$B,2,FALSE())</f>
        <v>DAL</v>
      </c>
      <c r="O2122" s="1" t="str">
        <f aca="false">IF(F2122&gt;G2122,M2122,IF(G2122&gt;F2122,N2122,"Tie"))</f>
        <v>DAL</v>
      </c>
      <c r="P2122" s="1" t="n">
        <f aca="false">F2122-G2122</f>
        <v>-6</v>
      </c>
      <c r="Q2122" s="1" t="n">
        <f aca="false">F2122+G2122</f>
        <v>6</v>
      </c>
      <c r="R2122" s="1" t="str">
        <f aca="false">IF(H2122=M2122,"Home",IF(H2122=N2122,"Away",IF(H2122="PICK","Pick","N/A")))</f>
        <v>Away</v>
      </c>
      <c r="S2122" s="1" t="n">
        <f aca="false">IF(R2122="Home",P2122,IF(R2122="Away",-P2122,""))</f>
        <v>6</v>
      </c>
      <c r="T2122" s="1" t="str">
        <f aca="false">IF(R2122="Pick","No Line",IF(S2122="","N/A",IF(S2122+I2122&gt;0,"Favorite Covered",IF(S2122+I2122&lt;0,"Underdog Covered","Push"))))</f>
        <v>Favorite Covered</v>
      </c>
      <c r="U2122" s="1" t="str">
        <f aca="false">IF(Q2122&gt;J2122,"Over",IF(Q2122&lt;J2122,"Under","Push"))</f>
        <v>Under</v>
      </c>
    </row>
    <row r="2123" customFormat="false" ht="15" hidden="false" customHeight="false" outlineLevel="0" collapsed="false">
      <c r="A2123" s="1" t="s">
        <v>634</v>
      </c>
      <c r="B2123" s="1" t="n">
        <v>2017</v>
      </c>
      <c r="C2123" s="1" t="s">
        <v>233</v>
      </c>
      <c r="D2123" s="1" t="s">
        <v>105</v>
      </c>
      <c r="E2123" s="1" t="s">
        <v>67</v>
      </c>
      <c r="F2123" s="1" t="n">
        <v>28</v>
      </c>
      <c r="G2123" s="1" t="n">
        <v>24</v>
      </c>
      <c r="H2123" s="1" t="s">
        <v>106</v>
      </c>
      <c r="I2123" s="1" t="n">
        <v>-5</v>
      </c>
      <c r="J2123" s="1" t="n">
        <v>38.5</v>
      </c>
      <c r="K2123" s="1" t="s">
        <v>151</v>
      </c>
      <c r="L2123" s="1" t="b">
        <f aca="false">FALSE()</f>
        <v>0</v>
      </c>
      <c r="M2123" s="1" t="str">
        <f aca="false">VLOOKUP(D2123,'Team Reference'!$A:$B,2,FALSE())</f>
        <v>PIT</v>
      </c>
      <c r="N2123" s="1" t="str">
        <f aca="false">VLOOKUP(E2123,'Team Reference'!$A:$B,2,FALSE())</f>
        <v>CLE</v>
      </c>
      <c r="O2123" s="1" t="str">
        <f aca="false">IF(F2123&gt;G2123,M2123,IF(G2123&gt;F2123,N2123,"Tie"))</f>
        <v>PIT</v>
      </c>
      <c r="P2123" s="1" t="n">
        <f aca="false">F2123-G2123</f>
        <v>4</v>
      </c>
      <c r="Q2123" s="1" t="n">
        <f aca="false">F2123+G2123</f>
        <v>52</v>
      </c>
      <c r="R2123" s="1" t="str">
        <f aca="false">IF(H2123=M2123,"Home",IF(H2123=N2123,"Away",IF(H2123="PICK","Pick","N/A")))</f>
        <v>Home</v>
      </c>
      <c r="S2123" s="1" t="n">
        <f aca="false">IF(R2123="Home",P2123,IF(R2123="Away",-P2123,""))</f>
        <v>4</v>
      </c>
      <c r="T2123" s="1" t="str">
        <f aca="false">IF(R2123="Pick","No Line",IF(S2123="","N/A",IF(S2123+I2123&gt;0,"Favorite Covered",IF(S2123+I2123&lt;0,"Underdog Covered","Push"))))</f>
        <v>Underdog Covered</v>
      </c>
      <c r="U2123" s="1" t="str">
        <f aca="false">IF(Q2123&gt;J2123,"Over",IF(Q2123&lt;J2123,"Under","Push"))</f>
        <v>Over</v>
      </c>
    </row>
    <row r="2124" customFormat="false" ht="15" hidden="false" customHeight="false" outlineLevel="0" collapsed="false">
      <c r="A2124" s="1" t="s">
        <v>634</v>
      </c>
      <c r="B2124" s="1" t="n">
        <v>2017</v>
      </c>
      <c r="C2124" s="1" t="s">
        <v>233</v>
      </c>
      <c r="D2124" s="1" t="s">
        <v>110</v>
      </c>
      <c r="E2124" s="1" t="s">
        <v>53</v>
      </c>
      <c r="F2124" s="1" t="n">
        <v>24</v>
      </c>
      <c r="G2124" s="1" t="n">
        <v>26</v>
      </c>
      <c r="H2124" s="1" t="s">
        <v>111</v>
      </c>
      <c r="I2124" s="1" t="n">
        <v>-8</v>
      </c>
      <c r="J2124" s="1" t="n">
        <v>38</v>
      </c>
      <c r="K2124" s="1" t="s">
        <v>152</v>
      </c>
      <c r="L2124" s="1" t="b">
        <f aca="false">FALSE()</f>
        <v>0</v>
      </c>
      <c r="M2124" s="1" t="str">
        <f aca="false">VLOOKUP(D2124,'Team Reference'!$A:$B,2,FALSE())</f>
        <v>SEA</v>
      </c>
      <c r="N2124" s="1" t="str">
        <f aca="false">VLOOKUP(E2124,'Team Reference'!$A:$B,2,FALSE())</f>
        <v>ARI</v>
      </c>
      <c r="O2124" s="1" t="str">
        <f aca="false">IF(F2124&gt;G2124,M2124,IF(G2124&gt;F2124,N2124,"Tie"))</f>
        <v>ARI</v>
      </c>
      <c r="P2124" s="1" t="n">
        <f aca="false">F2124-G2124</f>
        <v>-2</v>
      </c>
      <c r="Q2124" s="1" t="n">
        <f aca="false">F2124+G2124</f>
        <v>50</v>
      </c>
      <c r="R2124" s="1" t="str">
        <f aca="false">IF(H2124=M2124,"Home",IF(H2124=N2124,"Away",IF(H2124="PICK","Pick","N/A")))</f>
        <v>Home</v>
      </c>
      <c r="S2124" s="1" t="n">
        <f aca="false">IF(R2124="Home",P2124,IF(R2124="Away",-P2124,""))</f>
        <v>-2</v>
      </c>
      <c r="T2124" s="1" t="str">
        <f aca="false">IF(R2124="Pick","No Line",IF(S2124="","N/A",IF(S2124+I2124&gt;0,"Favorite Covered",IF(S2124+I2124&lt;0,"Underdog Covered","Push"))))</f>
        <v>Underdog Covered</v>
      </c>
      <c r="U2124" s="1" t="str">
        <f aca="false">IF(Q2124&gt;J2124,"Over",IF(Q2124&lt;J2124,"Under","Push"))</f>
        <v>Over</v>
      </c>
    </row>
    <row r="2125" customFormat="false" ht="15" hidden="false" customHeight="false" outlineLevel="0" collapsed="false">
      <c r="A2125" s="1" t="s">
        <v>634</v>
      </c>
      <c r="B2125" s="1" t="n">
        <v>2017</v>
      </c>
      <c r="C2125" s="1" t="s">
        <v>233</v>
      </c>
      <c r="D2125" s="1" t="s">
        <v>113</v>
      </c>
      <c r="E2125" s="1" t="s">
        <v>95</v>
      </c>
      <c r="F2125" s="1" t="n">
        <v>31</v>
      </c>
      <c r="G2125" s="1" t="n">
        <v>24</v>
      </c>
      <c r="H2125" s="1" t="s">
        <v>96</v>
      </c>
      <c r="I2125" s="1" t="n">
        <v>-6</v>
      </c>
      <c r="J2125" s="1" t="n">
        <v>49</v>
      </c>
      <c r="K2125" s="1" t="s">
        <v>154</v>
      </c>
      <c r="L2125" s="1" t="b">
        <f aca="false">FALSE()</f>
        <v>0</v>
      </c>
      <c r="M2125" s="1" t="str">
        <f aca="false">VLOOKUP(D2125,'Team Reference'!$A:$B,2,FALSE())</f>
        <v>TB</v>
      </c>
      <c r="N2125" s="1" t="str">
        <f aca="false">VLOOKUP(E2125,'Team Reference'!$A:$B,2,FALSE())</f>
        <v>NO</v>
      </c>
      <c r="O2125" s="1" t="str">
        <f aca="false">IF(F2125&gt;G2125,M2125,IF(G2125&gt;F2125,N2125,"Tie"))</f>
        <v>TB</v>
      </c>
      <c r="P2125" s="1" t="n">
        <f aca="false">F2125-G2125</f>
        <v>7</v>
      </c>
      <c r="Q2125" s="1" t="n">
        <f aca="false">F2125+G2125</f>
        <v>55</v>
      </c>
      <c r="R2125" s="1" t="str">
        <f aca="false">IF(H2125=M2125,"Home",IF(H2125=N2125,"Away",IF(H2125="PICK","Pick","N/A")))</f>
        <v>Away</v>
      </c>
      <c r="S2125" s="1" t="n">
        <f aca="false">IF(R2125="Home",P2125,IF(R2125="Away",-P2125,""))</f>
        <v>-7</v>
      </c>
      <c r="T2125" s="1" t="str">
        <f aca="false">IF(R2125="Pick","No Line",IF(S2125="","N/A",IF(S2125+I2125&gt;0,"Favorite Covered",IF(S2125+I2125&lt;0,"Underdog Covered","Push"))))</f>
        <v>Underdog Covered</v>
      </c>
      <c r="U2125" s="1" t="str">
        <f aca="false">IF(Q2125&gt;J2125,"Over",IF(Q2125&lt;J2125,"Under","Push"))</f>
        <v>Over</v>
      </c>
    </row>
    <row r="2126" customFormat="false" ht="15" hidden="false" customHeight="false" outlineLevel="0" collapsed="false">
      <c r="A2126" s="1" t="s">
        <v>634</v>
      </c>
      <c r="B2126" s="1" t="n">
        <v>2017</v>
      </c>
      <c r="C2126" s="1" t="s">
        <v>233</v>
      </c>
      <c r="D2126" s="1" t="s">
        <v>115</v>
      </c>
      <c r="E2126" s="1" t="s">
        <v>81</v>
      </c>
      <c r="F2126" s="1" t="n">
        <v>15</v>
      </c>
      <c r="G2126" s="1" t="n">
        <v>10</v>
      </c>
      <c r="H2126" s="1" t="s">
        <v>116</v>
      </c>
      <c r="I2126" s="1" t="n">
        <v>-2.5</v>
      </c>
      <c r="J2126" s="1" t="n">
        <v>40</v>
      </c>
      <c r="K2126" s="1" t="s">
        <v>584</v>
      </c>
      <c r="L2126" s="1" t="b">
        <f aca="false">FALSE()</f>
        <v>0</v>
      </c>
      <c r="M2126" s="1" t="str">
        <f aca="false">VLOOKUP(D2126,'Team Reference'!$A:$B,2,FALSE())</f>
        <v>TEN</v>
      </c>
      <c r="N2126" s="1" t="str">
        <f aca="false">VLOOKUP(E2126,'Team Reference'!$A:$B,2,FALSE())</f>
        <v>JAX</v>
      </c>
      <c r="O2126" s="1" t="str">
        <f aca="false">IF(F2126&gt;G2126,M2126,IF(G2126&gt;F2126,N2126,"Tie"))</f>
        <v>TEN</v>
      </c>
      <c r="P2126" s="1" t="n">
        <f aca="false">F2126-G2126</f>
        <v>5</v>
      </c>
      <c r="Q2126" s="1" t="n">
        <f aca="false">F2126+G2126</f>
        <v>25</v>
      </c>
      <c r="R2126" s="1" t="str">
        <f aca="false">IF(H2126=M2126,"Home",IF(H2126=N2126,"Away",IF(H2126="PICK","Pick","N/A")))</f>
        <v>Home</v>
      </c>
      <c r="S2126" s="1" t="n">
        <f aca="false">IF(R2126="Home",P2126,IF(R2126="Away",-P2126,""))</f>
        <v>5</v>
      </c>
      <c r="T2126" s="1" t="str">
        <f aca="false">IF(R2126="Pick","No Line",IF(S2126="","N/A",IF(S2126+I2126&gt;0,"Favorite Covered",IF(S2126+I2126&lt;0,"Underdog Covered","Push"))))</f>
        <v>Favorite Covered</v>
      </c>
      <c r="U2126" s="1" t="str">
        <f aca="false">IF(Q2126&gt;J2126,"Over",IF(Q2126&lt;J2126,"Under","Push"))</f>
        <v>Under</v>
      </c>
    </row>
    <row r="2127" customFormat="false" ht="15" hidden="false" customHeight="false" outlineLevel="0" collapsed="false">
      <c r="A2127" s="1" t="s">
        <v>635</v>
      </c>
      <c r="B2127" s="1" t="n">
        <v>2017</v>
      </c>
      <c r="C2127" s="1" t="s">
        <v>235</v>
      </c>
      <c r="D2127" s="1" t="s">
        <v>83</v>
      </c>
      <c r="E2127" s="1" t="s">
        <v>115</v>
      </c>
      <c r="F2127" s="1" t="n">
        <v>21</v>
      </c>
      <c r="G2127" s="1" t="n">
        <v>22</v>
      </c>
      <c r="H2127" s="1" t="s">
        <v>84</v>
      </c>
      <c r="I2127" s="1" t="n">
        <v>-8.5</v>
      </c>
      <c r="J2127" s="1" t="n">
        <v>44</v>
      </c>
      <c r="K2127" s="1" t="s">
        <v>158</v>
      </c>
      <c r="L2127" s="1" t="b">
        <f aca="false">TRUE()</f>
        <v>1</v>
      </c>
      <c r="M2127" s="1" t="str">
        <f aca="false">VLOOKUP(D2127,'Team Reference'!$A:$B,2,FALSE())</f>
        <v>KC</v>
      </c>
      <c r="N2127" s="1" t="str">
        <f aca="false">VLOOKUP(E2127,'Team Reference'!$A:$B,2,FALSE())</f>
        <v>TEN</v>
      </c>
      <c r="O2127" s="1" t="str">
        <f aca="false">IF(F2127&gt;G2127,M2127,IF(G2127&gt;F2127,N2127,"Tie"))</f>
        <v>TEN</v>
      </c>
      <c r="P2127" s="1" t="n">
        <f aca="false">F2127-G2127</f>
        <v>-1</v>
      </c>
      <c r="Q2127" s="1" t="n">
        <f aca="false">F2127+G2127</f>
        <v>43</v>
      </c>
      <c r="R2127" s="1" t="str">
        <f aca="false">IF(H2127=M2127,"Home",IF(H2127=N2127,"Away",IF(H2127="PICK","Pick","N/A")))</f>
        <v>Home</v>
      </c>
      <c r="S2127" s="1" t="n">
        <f aca="false">IF(R2127="Home",P2127,IF(R2127="Away",-P2127,""))</f>
        <v>-1</v>
      </c>
      <c r="T2127" s="1" t="str">
        <f aca="false">IF(R2127="Pick","No Line",IF(S2127="","N/A",IF(S2127+I2127&gt;0,"Favorite Covered",IF(S2127+I2127&lt;0,"Underdog Covered","Push"))))</f>
        <v>Underdog Covered</v>
      </c>
      <c r="U2127" s="1" t="str">
        <f aca="false">IF(Q2127&gt;J2127,"Over",IF(Q2127&lt;J2127,"Under","Push"))</f>
        <v>Under</v>
      </c>
    </row>
    <row r="2128" customFormat="false" ht="15" hidden="false" customHeight="false" outlineLevel="0" collapsed="false">
      <c r="A2128" s="1" t="s">
        <v>635</v>
      </c>
      <c r="B2128" s="1" t="n">
        <v>2017</v>
      </c>
      <c r="C2128" s="1" t="s">
        <v>235</v>
      </c>
      <c r="D2128" s="1" t="s">
        <v>87</v>
      </c>
      <c r="E2128" s="1" t="s">
        <v>55</v>
      </c>
      <c r="F2128" s="1" t="n">
        <v>13</v>
      </c>
      <c r="G2128" s="1" t="n">
        <v>26</v>
      </c>
      <c r="H2128" s="1" t="s">
        <v>88</v>
      </c>
      <c r="I2128" s="1" t="n">
        <v>-6.5</v>
      </c>
      <c r="J2128" s="1" t="n">
        <v>48</v>
      </c>
      <c r="K2128" s="1" t="s">
        <v>520</v>
      </c>
      <c r="L2128" s="1" t="b">
        <f aca="false">TRUE()</f>
        <v>1</v>
      </c>
      <c r="M2128" s="1" t="str">
        <f aca="false">VLOOKUP(D2128,'Team Reference'!$A:$B,2,FALSE())</f>
        <v>LAR</v>
      </c>
      <c r="N2128" s="1" t="str">
        <f aca="false">VLOOKUP(E2128,'Team Reference'!$A:$B,2,FALSE())</f>
        <v>ATL</v>
      </c>
      <c r="O2128" s="1" t="str">
        <f aca="false">IF(F2128&gt;G2128,M2128,IF(G2128&gt;F2128,N2128,"Tie"))</f>
        <v>ATL</v>
      </c>
      <c r="P2128" s="1" t="n">
        <f aca="false">F2128-G2128</f>
        <v>-13</v>
      </c>
      <c r="Q2128" s="1" t="n">
        <f aca="false">F2128+G2128</f>
        <v>39</v>
      </c>
      <c r="R2128" s="1" t="str">
        <f aca="false">IF(H2128=M2128,"Home",IF(H2128=N2128,"Away",IF(H2128="PICK","Pick","N/A")))</f>
        <v>Home</v>
      </c>
      <c r="S2128" s="1" t="n">
        <f aca="false">IF(R2128="Home",P2128,IF(R2128="Away",-P2128,""))</f>
        <v>-13</v>
      </c>
      <c r="T2128" s="1" t="str">
        <f aca="false">IF(R2128="Pick","No Line",IF(S2128="","N/A",IF(S2128+I2128&gt;0,"Favorite Covered",IF(S2128+I2128&lt;0,"Underdog Covered","Push"))))</f>
        <v>Underdog Covered</v>
      </c>
      <c r="U2128" s="1" t="str">
        <f aca="false">IF(Q2128&gt;J2128,"Over",IF(Q2128&lt;J2128,"Under","Push"))</f>
        <v>Under</v>
      </c>
    </row>
    <row r="2129" customFormat="false" ht="15" hidden="false" customHeight="false" outlineLevel="0" collapsed="false">
      <c r="A2129" s="1" t="s">
        <v>636</v>
      </c>
      <c r="B2129" s="1" t="n">
        <v>2017</v>
      </c>
      <c r="C2129" s="1" t="s">
        <v>235</v>
      </c>
      <c r="D2129" s="1" t="s">
        <v>81</v>
      </c>
      <c r="E2129" s="1" t="s">
        <v>59</v>
      </c>
      <c r="F2129" s="1" t="n">
        <v>10</v>
      </c>
      <c r="G2129" s="1" t="n">
        <v>3</v>
      </c>
      <c r="H2129" s="1" t="s">
        <v>82</v>
      </c>
      <c r="I2129" s="1" t="n">
        <v>-8</v>
      </c>
      <c r="J2129" s="1" t="n">
        <v>39.5</v>
      </c>
      <c r="K2129" s="1" t="s">
        <v>147</v>
      </c>
      <c r="L2129" s="1" t="b">
        <f aca="false">TRUE()</f>
        <v>1</v>
      </c>
      <c r="M2129" s="1" t="str">
        <f aca="false">VLOOKUP(D2129,'Team Reference'!$A:$B,2,FALSE())</f>
        <v>JAX</v>
      </c>
      <c r="N2129" s="1" t="str">
        <f aca="false">VLOOKUP(E2129,'Team Reference'!$A:$B,2,FALSE())</f>
        <v>BUF</v>
      </c>
      <c r="O2129" s="1" t="str">
        <f aca="false">IF(F2129&gt;G2129,M2129,IF(G2129&gt;F2129,N2129,"Tie"))</f>
        <v>JAX</v>
      </c>
      <c r="P2129" s="1" t="n">
        <f aca="false">F2129-G2129</f>
        <v>7</v>
      </c>
      <c r="Q2129" s="1" t="n">
        <f aca="false">F2129+G2129</f>
        <v>13</v>
      </c>
      <c r="R2129" s="1" t="str">
        <f aca="false">IF(H2129=M2129,"Home",IF(H2129=N2129,"Away",IF(H2129="PICK","Pick","N/A")))</f>
        <v>Home</v>
      </c>
      <c r="S2129" s="1" t="n">
        <f aca="false">IF(R2129="Home",P2129,IF(R2129="Away",-P2129,""))</f>
        <v>7</v>
      </c>
      <c r="T2129" s="1" t="str">
        <f aca="false">IF(R2129="Pick","No Line",IF(S2129="","N/A",IF(S2129+I2129&gt;0,"Favorite Covered",IF(S2129+I2129&lt;0,"Underdog Covered","Push"))))</f>
        <v>Underdog Covered</v>
      </c>
      <c r="U2129" s="1" t="str">
        <f aca="false">IF(Q2129&gt;J2129,"Over",IF(Q2129&lt;J2129,"Under","Push"))</f>
        <v>Under</v>
      </c>
    </row>
    <row r="2130" customFormat="false" ht="15" hidden="false" customHeight="false" outlineLevel="0" collapsed="false">
      <c r="A2130" s="1" t="s">
        <v>636</v>
      </c>
      <c r="B2130" s="1" t="n">
        <v>2017</v>
      </c>
      <c r="C2130" s="1" t="s">
        <v>235</v>
      </c>
      <c r="D2130" s="1" t="s">
        <v>95</v>
      </c>
      <c r="E2130" s="1" t="s">
        <v>61</v>
      </c>
      <c r="F2130" s="1" t="n">
        <v>31</v>
      </c>
      <c r="G2130" s="1" t="n">
        <v>26</v>
      </c>
      <c r="H2130" s="1" t="s">
        <v>96</v>
      </c>
      <c r="I2130" s="1" t="n">
        <v>-6.5</v>
      </c>
      <c r="J2130" s="1" t="n">
        <v>47.5</v>
      </c>
      <c r="K2130" s="1" t="s">
        <v>347</v>
      </c>
      <c r="L2130" s="1" t="b">
        <f aca="false">TRUE()</f>
        <v>1</v>
      </c>
      <c r="M2130" s="1" t="str">
        <f aca="false">VLOOKUP(D2130,'Team Reference'!$A:$B,2,FALSE())</f>
        <v>NO</v>
      </c>
      <c r="N2130" s="1" t="str">
        <f aca="false">VLOOKUP(E2130,'Team Reference'!$A:$B,2,FALSE())</f>
        <v>CAR</v>
      </c>
      <c r="O2130" s="1" t="str">
        <f aca="false">IF(F2130&gt;G2130,M2130,IF(G2130&gt;F2130,N2130,"Tie"))</f>
        <v>NO</v>
      </c>
      <c r="P2130" s="1" t="n">
        <f aca="false">F2130-G2130</f>
        <v>5</v>
      </c>
      <c r="Q2130" s="1" t="n">
        <f aca="false">F2130+G2130</f>
        <v>57</v>
      </c>
      <c r="R2130" s="1" t="str">
        <f aca="false">IF(H2130=M2130,"Home",IF(H2130=N2130,"Away",IF(H2130="PICK","Pick","N/A")))</f>
        <v>Home</v>
      </c>
      <c r="S2130" s="1" t="n">
        <f aca="false">IF(R2130="Home",P2130,IF(R2130="Away",-P2130,""))</f>
        <v>5</v>
      </c>
      <c r="T2130" s="1" t="str">
        <f aca="false">IF(R2130="Pick","No Line",IF(S2130="","N/A",IF(S2130+I2130&gt;0,"Favorite Covered",IF(S2130+I2130&lt;0,"Underdog Covered","Push"))))</f>
        <v>Underdog Covered</v>
      </c>
      <c r="U2130" s="1" t="str">
        <f aca="false">IF(Q2130&gt;J2130,"Over",IF(Q2130&lt;J2130,"Under","Push"))</f>
        <v>Over</v>
      </c>
    </row>
    <row r="2131" customFormat="false" ht="15" hidden="false" customHeight="false" outlineLevel="0" collapsed="false">
      <c r="A2131" s="1" t="s">
        <v>637</v>
      </c>
      <c r="B2131" s="1" t="n">
        <v>2017</v>
      </c>
      <c r="C2131" s="1" t="s">
        <v>238</v>
      </c>
      <c r="D2131" s="1" t="s">
        <v>93</v>
      </c>
      <c r="E2131" s="1" t="s">
        <v>115</v>
      </c>
      <c r="F2131" s="1" t="n">
        <v>35</v>
      </c>
      <c r="G2131" s="1" t="n">
        <v>14</v>
      </c>
      <c r="H2131" s="1" t="s">
        <v>94</v>
      </c>
      <c r="I2131" s="1" t="n">
        <v>-13.5</v>
      </c>
      <c r="J2131" s="1" t="n">
        <v>48.5</v>
      </c>
      <c r="K2131" s="1" t="s">
        <v>148</v>
      </c>
      <c r="L2131" s="1" t="b">
        <f aca="false">TRUE()</f>
        <v>1</v>
      </c>
      <c r="M2131" s="1" t="str">
        <f aca="false">VLOOKUP(D2131,'Team Reference'!$A:$B,2,FALSE())</f>
        <v>NE</v>
      </c>
      <c r="N2131" s="1" t="str">
        <f aca="false">VLOOKUP(E2131,'Team Reference'!$A:$B,2,FALSE())</f>
        <v>TEN</v>
      </c>
      <c r="O2131" s="1" t="str">
        <f aca="false">IF(F2131&gt;G2131,M2131,IF(G2131&gt;F2131,N2131,"Tie"))</f>
        <v>NE</v>
      </c>
      <c r="P2131" s="1" t="n">
        <f aca="false">F2131-G2131</f>
        <v>21</v>
      </c>
      <c r="Q2131" s="1" t="n">
        <f aca="false">F2131+G2131</f>
        <v>49</v>
      </c>
      <c r="R2131" s="1" t="str">
        <f aca="false">IF(H2131=M2131,"Home",IF(H2131=N2131,"Away",IF(H2131="PICK","Pick","N/A")))</f>
        <v>Home</v>
      </c>
      <c r="S2131" s="1" t="n">
        <f aca="false">IF(R2131="Home",P2131,IF(R2131="Away",-P2131,""))</f>
        <v>21</v>
      </c>
      <c r="T2131" s="1" t="str">
        <f aca="false">IF(R2131="Pick","No Line",IF(S2131="","N/A",IF(S2131+I2131&gt;0,"Favorite Covered",IF(S2131+I2131&lt;0,"Underdog Covered","Push"))))</f>
        <v>Favorite Covered</v>
      </c>
      <c r="U2131" s="1" t="str">
        <f aca="false">IF(Q2131&gt;J2131,"Over",IF(Q2131&lt;J2131,"Under","Push"))</f>
        <v>Over</v>
      </c>
    </row>
    <row r="2132" customFormat="false" ht="15" hidden="false" customHeight="false" outlineLevel="0" collapsed="false">
      <c r="A2132" s="1" t="s">
        <v>637</v>
      </c>
      <c r="B2132" s="1" t="n">
        <v>2017</v>
      </c>
      <c r="C2132" s="1" t="s">
        <v>238</v>
      </c>
      <c r="D2132" s="1" t="s">
        <v>103</v>
      </c>
      <c r="E2132" s="1" t="s">
        <v>55</v>
      </c>
      <c r="F2132" s="1" t="n">
        <v>15</v>
      </c>
      <c r="G2132" s="1" t="n">
        <v>10</v>
      </c>
      <c r="H2132" s="1" t="s">
        <v>56</v>
      </c>
      <c r="I2132" s="1" t="n">
        <v>-2.5</v>
      </c>
      <c r="J2132" s="1" t="n">
        <v>40</v>
      </c>
      <c r="K2132" s="1" t="s">
        <v>150</v>
      </c>
      <c r="L2132" s="1" t="b">
        <f aca="false">TRUE()</f>
        <v>1</v>
      </c>
      <c r="M2132" s="1" t="str">
        <f aca="false">VLOOKUP(D2132,'Team Reference'!$A:$B,2,FALSE())</f>
        <v>PHI</v>
      </c>
      <c r="N2132" s="1" t="str">
        <f aca="false">VLOOKUP(E2132,'Team Reference'!$A:$B,2,FALSE())</f>
        <v>ATL</v>
      </c>
      <c r="O2132" s="1" t="str">
        <f aca="false">IF(F2132&gt;G2132,M2132,IF(G2132&gt;F2132,N2132,"Tie"))</f>
        <v>PHI</v>
      </c>
      <c r="P2132" s="1" t="n">
        <f aca="false">F2132-G2132</f>
        <v>5</v>
      </c>
      <c r="Q2132" s="1" t="n">
        <f aca="false">F2132+G2132</f>
        <v>25</v>
      </c>
      <c r="R2132" s="1" t="str">
        <f aca="false">IF(H2132=M2132,"Home",IF(H2132=N2132,"Away",IF(H2132="PICK","Pick","N/A")))</f>
        <v>Away</v>
      </c>
      <c r="S2132" s="1" t="n">
        <f aca="false">IF(R2132="Home",P2132,IF(R2132="Away",-P2132,""))</f>
        <v>-5</v>
      </c>
      <c r="T2132" s="1" t="str">
        <f aca="false">IF(R2132="Pick","No Line",IF(S2132="","N/A",IF(S2132+I2132&gt;0,"Favorite Covered",IF(S2132+I2132&lt;0,"Underdog Covered","Push"))))</f>
        <v>Underdog Covered</v>
      </c>
      <c r="U2132" s="1" t="str">
        <f aca="false">IF(Q2132&gt;J2132,"Over",IF(Q2132&lt;J2132,"Under","Push"))</f>
        <v>Under</v>
      </c>
    </row>
    <row r="2133" customFormat="false" ht="15" hidden="false" customHeight="false" outlineLevel="0" collapsed="false">
      <c r="A2133" s="1" t="s">
        <v>638</v>
      </c>
      <c r="B2133" s="1" t="n">
        <v>2017</v>
      </c>
      <c r="C2133" s="1" t="s">
        <v>238</v>
      </c>
      <c r="D2133" s="1" t="s">
        <v>91</v>
      </c>
      <c r="E2133" s="1" t="s">
        <v>95</v>
      </c>
      <c r="F2133" s="1" t="n">
        <v>29</v>
      </c>
      <c r="G2133" s="1" t="n">
        <v>24</v>
      </c>
      <c r="H2133" s="1" t="s">
        <v>92</v>
      </c>
      <c r="I2133" s="1" t="n">
        <v>-5.5</v>
      </c>
      <c r="J2133" s="1" t="n">
        <v>46.5</v>
      </c>
      <c r="K2133" s="1" t="s">
        <v>525</v>
      </c>
      <c r="L2133" s="1" t="b">
        <f aca="false">TRUE()</f>
        <v>1</v>
      </c>
      <c r="M2133" s="1" t="str">
        <f aca="false">VLOOKUP(D2133,'Team Reference'!$A:$B,2,FALSE())</f>
        <v>MIN</v>
      </c>
      <c r="N2133" s="1" t="str">
        <f aca="false">VLOOKUP(E2133,'Team Reference'!$A:$B,2,FALSE())</f>
        <v>NO</v>
      </c>
      <c r="O2133" s="1" t="str">
        <f aca="false">IF(F2133&gt;G2133,M2133,IF(G2133&gt;F2133,N2133,"Tie"))</f>
        <v>MIN</v>
      </c>
      <c r="P2133" s="1" t="n">
        <f aca="false">F2133-G2133</f>
        <v>5</v>
      </c>
      <c r="Q2133" s="1" t="n">
        <f aca="false">F2133+G2133</f>
        <v>53</v>
      </c>
      <c r="R2133" s="1" t="str">
        <f aca="false">IF(H2133=M2133,"Home",IF(H2133=N2133,"Away",IF(H2133="PICK","Pick","N/A")))</f>
        <v>Home</v>
      </c>
      <c r="S2133" s="1" t="n">
        <f aca="false">IF(R2133="Home",P2133,IF(R2133="Away",-P2133,""))</f>
        <v>5</v>
      </c>
      <c r="T2133" s="1" t="str">
        <f aca="false">IF(R2133="Pick","No Line",IF(S2133="","N/A",IF(S2133+I2133&gt;0,"Favorite Covered",IF(S2133+I2133&lt;0,"Underdog Covered","Push"))))</f>
        <v>Underdog Covered</v>
      </c>
      <c r="U2133" s="1" t="str">
        <f aca="false">IF(Q2133&gt;J2133,"Over",IF(Q2133&lt;J2133,"Under","Push"))</f>
        <v>Over</v>
      </c>
    </row>
    <row r="2134" customFormat="false" ht="15" hidden="false" customHeight="false" outlineLevel="0" collapsed="false">
      <c r="A2134" s="1" t="s">
        <v>638</v>
      </c>
      <c r="B2134" s="1" t="n">
        <v>2017</v>
      </c>
      <c r="C2134" s="1" t="s">
        <v>238</v>
      </c>
      <c r="D2134" s="1" t="s">
        <v>105</v>
      </c>
      <c r="E2134" s="1" t="s">
        <v>81</v>
      </c>
      <c r="F2134" s="1" t="n">
        <v>42</v>
      </c>
      <c r="G2134" s="1" t="n">
        <v>45</v>
      </c>
      <c r="H2134" s="1" t="s">
        <v>106</v>
      </c>
      <c r="I2134" s="1" t="n">
        <v>-7</v>
      </c>
      <c r="J2134" s="1" t="n">
        <v>40.5</v>
      </c>
      <c r="K2134" s="1" t="s">
        <v>151</v>
      </c>
      <c r="L2134" s="1" t="b">
        <f aca="false">TRUE()</f>
        <v>1</v>
      </c>
      <c r="M2134" s="1" t="str">
        <f aca="false">VLOOKUP(D2134,'Team Reference'!$A:$B,2,FALSE())</f>
        <v>PIT</v>
      </c>
      <c r="N2134" s="1" t="str">
        <f aca="false">VLOOKUP(E2134,'Team Reference'!$A:$B,2,FALSE())</f>
        <v>JAX</v>
      </c>
      <c r="O2134" s="1" t="str">
        <f aca="false">IF(F2134&gt;G2134,M2134,IF(G2134&gt;F2134,N2134,"Tie"))</f>
        <v>JAX</v>
      </c>
      <c r="P2134" s="1" t="n">
        <f aca="false">F2134-G2134</f>
        <v>-3</v>
      </c>
      <c r="Q2134" s="1" t="n">
        <f aca="false">F2134+G2134</f>
        <v>87</v>
      </c>
      <c r="R2134" s="1" t="str">
        <f aca="false">IF(H2134=M2134,"Home",IF(H2134=N2134,"Away",IF(H2134="PICK","Pick","N/A")))</f>
        <v>Home</v>
      </c>
      <c r="S2134" s="1" t="n">
        <f aca="false">IF(R2134="Home",P2134,IF(R2134="Away",-P2134,""))</f>
        <v>-3</v>
      </c>
      <c r="T2134" s="1" t="str">
        <f aca="false">IF(R2134="Pick","No Line",IF(S2134="","N/A",IF(S2134+I2134&gt;0,"Favorite Covered",IF(S2134+I2134&lt;0,"Underdog Covered","Push"))))</f>
        <v>Underdog Covered</v>
      </c>
      <c r="U2134" s="1" t="str">
        <f aca="false">IF(Q2134&gt;J2134,"Over",IF(Q2134&lt;J2134,"Under","Push"))</f>
        <v>Over</v>
      </c>
    </row>
    <row r="2135" customFormat="false" ht="15" hidden="false" customHeight="false" outlineLevel="0" collapsed="false">
      <c r="A2135" s="1" t="s">
        <v>639</v>
      </c>
      <c r="B2135" s="1" t="n">
        <v>2017</v>
      </c>
      <c r="C2135" s="1" t="s">
        <v>241</v>
      </c>
      <c r="D2135" s="1" t="s">
        <v>93</v>
      </c>
      <c r="E2135" s="1" t="s">
        <v>81</v>
      </c>
      <c r="F2135" s="1" t="n">
        <v>24</v>
      </c>
      <c r="G2135" s="1" t="n">
        <v>20</v>
      </c>
      <c r="H2135" s="1" t="s">
        <v>94</v>
      </c>
      <c r="I2135" s="1" t="n">
        <v>-7.5</v>
      </c>
      <c r="J2135" s="1" t="n">
        <v>46</v>
      </c>
      <c r="K2135" s="1" t="s">
        <v>148</v>
      </c>
      <c r="L2135" s="1" t="b">
        <f aca="false">TRUE()</f>
        <v>1</v>
      </c>
      <c r="M2135" s="1" t="str">
        <f aca="false">VLOOKUP(D2135,'Team Reference'!$A:$B,2,FALSE())</f>
        <v>NE</v>
      </c>
      <c r="N2135" s="1" t="str">
        <f aca="false">VLOOKUP(E2135,'Team Reference'!$A:$B,2,FALSE())</f>
        <v>JAX</v>
      </c>
      <c r="O2135" s="1" t="str">
        <f aca="false">IF(F2135&gt;G2135,M2135,IF(G2135&gt;F2135,N2135,"Tie"))</f>
        <v>NE</v>
      </c>
      <c r="P2135" s="1" t="n">
        <f aca="false">F2135-G2135</f>
        <v>4</v>
      </c>
      <c r="Q2135" s="1" t="n">
        <f aca="false">F2135+G2135</f>
        <v>44</v>
      </c>
      <c r="R2135" s="1" t="str">
        <f aca="false">IF(H2135=M2135,"Home",IF(H2135=N2135,"Away",IF(H2135="PICK","Pick","N/A")))</f>
        <v>Home</v>
      </c>
      <c r="S2135" s="1" t="n">
        <f aca="false">IF(R2135="Home",P2135,IF(R2135="Away",-P2135,""))</f>
        <v>4</v>
      </c>
      <c r="T2135" s="1" t="str">
        <f aca="false">IF(R2135="Pick","No Line",IF(S2135="","N/A",IF(S2135+I2135&gt;0,"Favorite Covered",IF(S2135+I2135&lt;0,"Underdog Covered","Push"))))</f>
        <v>Underdog Covered</v>
      </c>
      <c r="U2135" s="1" t="str">
        <f aca="false">IF(Q2135&gt;J2135,"Over",IF(Q2135&lt;J2135,"Under","Push"))</f>
        <v>Under</v>
      </c>
    </row>
    <row r="2136" customFormat="false" ht="15" hidden="false" customHeight="false" outlineLevel="0" collapsed="false">
      <c r="A2136" s="1" t="s">
        <v>639</v>
      </c>
      <c r="B2136" s="1" t="n">
        <v>2017</v>
      </c>
      <c r="C2136" s="1" t="s">
        <v>241</v>
      </c>
      <c r="D2136" s="1" t="s">
        <v>103</v>
      </c>
      <c r="E2136" s="1" t="s">
        <v>91</v>
      </c>
      <c r="F2136" s="1" t="n">
        <v>38</v>
      </c>
      <c r="G2136" s="1" t="n">
        <v>7</v>
      </c>
      <c r="H2136" s="1" t="s">
        <v>92</v>
      </c>
      <c r="I2136" s="1" t="n">
        <v>-3</v>
      </c>
      <c r="J2136" s="1" t="n">
        <v>39</v>
      </c>
      <c r="K2136" s="1" t="s">
        <v>150</v>
      </c>
      <c r="L2136" s="1" t="b">
        <f aca="false">TRUE()</f>
        <v>1</v>
      </c>
      <c r="M2136" s="1" t="str">
        <f aca="false">VLOOKUP(D2136,'Team Reference'!$A:$B,2,FALSE())</f>
        <v>PHI</v>
      </c>
      <c r="N2136" s="1" t="str">
        <f aca="false">VLOOKUP(E2136,'Team Reference'!$A:$B,2,FALSE())</f>
        <v>MIN</v>
      </c>
      <c r="O2136" s="1" t="str">
        <f aca="false">IF(F2136&gt;G2136,M2136,IF(G2136&gt;F2136,N2136,"Tie"))</f>
        <v>PHI</v>
      </c>
      <c r="P2136" s="1" t="n">
        <f aca="false">F2136-G2136</f>
        <v>31</v>
      </c>
      <c r="Q2136" s="1" t="n">
        <f aca="false">F2136+G2136</f>
        <v>45</v>
      </c>
      <c r="R2136" s="1" t="str">
        <f aca="false">IF(H2136=M2136,"Home",IF(H2136=N2136,"Away",IF(H2136="PICK","Pick","N/A")))</f>
        <v>Away</v>
      </c>
      <c r="S2136" s="1" t="n">
        <f aca="false">IF(R2136="Home",P2136,IF(R2136="Away",-P2136,""))</f>
        <v>-31</v>
      </c>
      <c r="T2136" s="1" t="str">
        <f aca="false">IF(R2136="Pick","No Line",IF(S2136="","N/A",IF(S2136+I2136&gt;0,"Favorite Covered",IF(S2136+I2136&lt;0,"Underdog Covered","Push"))))</f>
        <v>Underdog Covered</v>
      </c>
      <c r="U2136" s="1" t="str">
        <f aca="false">IF(Q2136&gt;J2136,"Over",IF(Q2136&lt;J2136,"Under","Push"))</f>
        <v>Over</v>
      </c>
    </row>
    <row r="2137" customFormat="false" ht="15" hidden="false" customHeight="false" outlineLevel="0" collapsed="false">
      <c r="A2137" s="1" t="s">
        <v>640</v>
      </c>
      <c r="B2137" s="1" t="n">
        <v>2017</v>
      </c>
      <c r="C2137" s="1" t="s">
        <v>243</v>
      </c>
      <c r="D2137" s="1" t="s">
        <v>93</v>
      </c>
      <c r="E2137" s="1" t="s">
        <v>103</v>
      </c>
      <c r="F2137" s="1" t="n">
        <v>33</v>
      </c>
      <c r="G2137" s="1" t="n">
        <v>41</v>
      </c>
      <c r="H2137" s="1" t="s">
        <v>94</v>
      </c>
      <c r="I2137" s="1" t="n">
        <v>-4.5</v>
      </c>
      <c r="J2137" s="1" t="n">
        <v>48.5</v>
      </c>
      <c r="K2137" s="1" t="s">
        <v>525</v>
      </c>
      <c r="L2137" s="1" t="b">
        <f aca="false">TRUE()</f>
        <v>1</v>
      </c>
      <c r="M2137" s="1" t="str">
        <f aca="false">VLOOKUP(D2137,'Team Reference'!$A:$B,2,FALSE())</f>
        <v>NE</v>
      </c>
      <c r="N2137" s="1" t="str">
        <f aca="false">VLOOKUP(E2137,'Team Reference'!$A:$B,2,FALSE())</f>
        <v>PHI</v>
      </c>
      <c r="O2137" s="1" t="str">
        <f aca="false">IF(F2137&gt;G2137,M2137,IF(G2137&gt;F2137,N2137,"Tie"))</f>
        <v>PHI</v>
      </c>
      <c r="P2137" s="1" t="n">
        <f aca="false">F2137-G2137</f>
        <v>-8</v>
      </c>
      <c r="Q2137" s="1" t="n">
        <f aca="false">F2137+G2137</f>
        <v>74</v>
      </c>
      <c r="R2137" s="1" t="str">
        <f aca="false">IF(H2137=M2137,"Home",IF(H2137=N2137,"Away",IF(H2137="PICK","Pick","N/A")))</f>
        <v>Home</v>
      </c>
      <c r="S2137" s="1" t="n">
        <f aca="false">IF(R2137="Home",P2137,IF(R2137="Away",-P2137,""))</f>
        <v>-8</v>
      </c>
      <c r="T2137" s="1" t="str">
        <f aca="false">IF(R2137="Pick","No Line",IF(S2137="","N/A",IF(S2137+I2137&gt;0,"Favorite Covered",IF(S2137+I2137&lt;0,"Underdog Covered","Push"))))</f>
        <v>Underdog Covered</v>
      </c>
      <c r="U2137" s="1" t="str">
        <f aca="false">IF(Q2137&gt;J2137,"Over",IF(Q2137&lt;J2137,"Under","Push"))</f>
        <v>Over</v>
      </c>
    </row>
  </sheetData>
  <autoFilter ref="A1:U21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9"/>
    <col collapsed="false" customWidth="true" hidden="false" outlineLevel="0" max="3" min="3" style="1" width="8"/>
    <col collapsed="false" customWidth="true" hidden="false" outlineLevel="0" max="4" min="4" style="1" width="9"/>
    <col collapsed="false" customWidth="true" hidden="false" outlineLevel="0" max="5" min="5" style="1" width="16"/>
    <col collapsed="false" customWidth="true" hidden="false" outlineLevel="0" max="6" min="6" style="1" width="13"/>
    <col collapsed="false" customWidth="true" hidden="false" outlineLevel="0" max="7" min="7" style="1" width="18"/>
    <col collapsed="false" customWidth="true" hidden="false" outlineLevel="0" max="8" min="8" style="1" width="20"/>
  </cols>
  <sheetData>
    <row r="1" customFormat="false" ht="19.7" hidden="false" customHeight="false" outlineLevel="0" collapsed="false">
      <c r="A1" s="2" t="s">
        <v>641</v>
      </c>
    </row>
    <row r="2" customFormat="false" ht="15" hidden="false" customHeight="false" outlineLevel="0" collapsed="false">
      <c r="A2" s="3" t="s">
        <v>642</v>
      </c>
    </row>
    <row r="4" customFormat="false" ht="15" hidden="false" customHeight="false" outlineLevel="0" collapsed="false">
      <c r="A4" s="7" t="s">
        <v>643</v>
      </c>
      <c r="B4" s="7" t="s">
        <v>644</v>
      </c>
      <c r="C4" s="7" t="s">
        <v>645</v>
      </c>
      <c r="D4" s="7" t="s">
        <v>646</v>
      </c>
      <c r="E4" s="7" t="s">
        <v>647</v>
      </c>
      <c r="F4" s="7" t="s">
        <v>648</v>
      </c>
      <c r="G4" s="7" t="s">
        <v>649</v>
      </c>
      <c r="H4" s="7" t="s">
        <v>650</v>
      </c>
    </row>
    <row r="5" customFormat="false" ht="15" hidden="false" customHeight="false" outlineLevel="0" collapsed="false">
      <c r="A5" s="10" t="s">
        <v>54</v>
      </c>
      <c r="B5" s="11" t="n">
        <f aca="false">COUNTIF('Raw Data'!$M:$M,$A5)+COUNTIF('Raw Data'!$N:$N,$A5)</f>
        <v>131</v>
      </c>
      <c r="C5" s="11" t="n">
        <f aca="false">COUNTIF('Raw Data'!$O:$O,$A5)</f>
        <v>68</v>
      </c>
      <c r="D5" s="12" t="n">
        <f aca="false">IF(B5=0,0,C5/B5)</f>
        <v>0.519083969465649</v>
      </c>
      <c r="E5" s="11" t="n">
        <f aca="false">IFERROR(AVERAGEIF('Raw Data'!$M:$M,$A5,'Raw Data'!$P:$P),"N/A")</f>
        <v>3.49230769230769</v>
      </c>
      <c r="F5" s="11" t="n">
        <f aca="false">COUNTIFS('Raw Data'!$M:$M,$A5,'Raw Data'!$R:$R,"Home")+COUNTIFS('Raw Data'!$N:$N,$A5,'Raw Data'!$R:$R,"Away")</f>
        <v>65</v>
      </c>
      <c r="G5" s="11" t="n">
        <f aca="false">COUNTIFS('Raw Data'!$M:$M,$A5,'Raw Data'!$R:$R,"Home",'Raw Data'!$T:$T,"Favorite Covered")+COUNTIFS('Raw Data'!$N:$N,$A5,'Raw Data'!$R:$R,"Away",'Raw Data'!$T:$T,"Favorite Covered")</f>
        <v>28</v>
      </c>
      <c r="H5" s="12" t="n">
        <f aca="false">IF(F5=0,"N/A",G5/F5)</f>
        <v>0.430769230769231</v>
      </c>
    </row>
    <row r="6" customFormat="false" ht="15" hidden="false" customHeight="false" outlineLevel="0" collapsed="false">
      <c r="A6" s="10" t="s">
        <v>56</v>
      </c>
      <c r="B6" s="11" t="n">
        <f aca="false">COUNTIF('Raw Data'!$M:$M,$A6)+COUNTIF('Raw Data'!$N:$N,$A6)</f>
        <v>137</v>
      </c>
      <c r="C6" s="11" t="n">
        <f aca="false">COUNTIF('Raw Data'!$O:$O,$A6)</f>
        <v>79</v>
      </c>
      <c r="D6" s="12" t="n">
        <f aca="false">IF(B6=0,0,C6/B6)</f>
        <v>0.576642335766423</v>
      </c>
      <c r="E6" s="11" t="n">
        <f aca="false">IFERROR(AVERAGEIF('Raw Data'!$M:$M,$A6,'Raw Data'!$P:$P),"N/A")</f>
        <v>4.63768115942029</v>
      </c>
      <c r="F6" s="11" t="n">
        <f aca="false">COUNTIFS('Raw Data'!$M:$M,$A6,'Raw Data'!$R:$R,"Home")+COUNTIFS('Raw Data'!$N:$N,$A6,'Raw Data'!$R:$R,"Away")</f>
        <v>88</v>
      </c>
      <c r="G6" s="11" t="n">
        <f aca="false">COUNTIFS('Raw Data'!$M:$M,$A6,'Raw Data'!$R:$R,"Home",'Raw Data'!$T:$T,"Favorite Covered")+COUNTIFS('Raw Data'!$N:$N,$A6,'Raw Data'!$R:$R,"Away",'Raw Data'!$T:$T,"Favorite Covered")</f>
        <v>40</v>
      </c>
      <c r="H6" s="12" t="n">
        <f aca="false">IF(F6=0,"N/A",G6/F6)</f>
        <v>0.454545454545455</v>
      </c>
    </row>
    <row r="7" customFormat="false" ht="15" hidden="false" customHeight="false" outlineLevel="0" collapsed="false">
      <c r="A7" s="10" t="s">
        <v>58</v>
      </c>
      <c r="B7" s="11" t="n">
        <f aca="false">COUNTIF('Raw Data'!$M:$M,$A7)+COUNTIF('Raw Data'!$N:$N,$A7)</f>
        <v>138</v>
      </c>
      <c r="C7" s="11" t="n">
        <f aca="false">COUNTIF('Raw Data'!$O:$O,$A7)</f>
        <v>81</v>
      </c>
      <c r="D7" s="12" t="n">
        <f aca="false">IF(B7=0,0,C7/B7)</f>
        <v>0.586956521739131</v>
      </c>
      <c r="E7" s="11" t="n">
        <f aca="false">IFERROR(AVERAGEIF('Raw Data'!$M:$M,$A7,'Raw Data'!$P:$P),"N/A")</f>
        <v>6.78787878787879</v>
      </c>
      <c r="F7" s="11" t="n">
        <f aca="false">COUNTIFS('Raw Data'!$M:$M,$A7,'Raw Data'!$R:$R,"Home")+COUNTIFS('Raw Data'!$N:$N,$A7,'Raw Data'!$R:$R,"Away")</f>
        <v>81</v>
      </c>
      <c r="G7" s="11" t="n">
        <f aca="false">COUNTIFS('Raw Data'!$M:$M,$A7,'Raw Data'!$R:$R,"Home",'Raw Data'!$T:$T,"Favorite Covered")+COUNTIFS('Raw Data'!$N:$N,$A7,'Raw Data'!$R:$R,"Away",'Raw Data'!$T:$T,"Favorite Covered")</f>
        <v>34</v>
      </c>
      <c r="H7" s="12" t="n">
        <f aca="false">IF(F7=0,"N/A",G7/F7)</f>
        <v>0.419753086419753</v>
      </c>
    </row>
    <row r="8" customFormat="false" ht="15" hidden="false" customHeight="false" outlineLevel="0" collapsed="false">
      <c r="A8" s="10" t="s">
        <v>60</v>
      </c>
      <c r="B8" s="11" t="n">
        <f aca="false">COUNTIF('Raw Data'!$M:$M,$A8)+COUNTIF('Raw Data'!$N:$N,$A8)</f>
        <v>129</v>
      </c>
      <c r="C8" s="11" t="n">
        <f aca="false">COUNTIF('Raw Data'!$O:$O,$A8)</f>
        <v>55</v>
      </c>
      <c r="D8" s="12" t="n">
        <f aca="false">IF(B8=0,0,C8/B8)</f>
        <v>0.426356589147287</v>
      </c>
      <c r="E8" s="11" t="n">
        <f aca="false">IFERROR(AVERAGEIF('Raw Data'!$M:$M,$A8,'Raw Data'!$P:$P),"N/A")</f>
        <v>1.484375</v>
      </c>
      <c r="F8" s="11" t="n">
        <f aca="false">COUNTIFS('Raw Data'!$M:$M,$A8,'Raw Data'!$R:$R,"Home")+COUNTIFS('Raw Data'!$N:$N,$A8,'Raw Data'!$R:$R,"Away")</f>
        <v>46</v>
      </c>
      <c r="G8" s="11" t="n">
        <f aca="false">COUNTIFS('Raw Data'!$M:$M,$A8,'Raw Data'!$R:$R,"Home",'Raw Data'!$T:$T,"Favorite Covered")+COUNTIFS('Raw Data'!$N:$N,$A8,'Raw Data'!$R:$R,"Away",'Raw Data'!$T:$T,"Favorite Covered")</f>
        <v>21</v>
      </c>
      <c r="H8" s="12" t="n">
        <f aca="false">IF(F8=0,"N/A",G8/F8)</f>
        <v>0.456521739130435</v>
      </c>
    </row>
    <row r="9" customFormat="false" ht="15" hidden="false" customHeight="false" outlineLevel="0" collapsed="false">
      <c r="A9" s="10" t="s">
        <v>62</v>
      </c>
      <c r="B9" s="11" t="n">
        <f aca="false">COUNTIF('Raw Data'!$M:$M,$A9)+COUNTIF('Raw Data'!$N:$N,$A9)</f>
        <v>135</v>
      </c>
      <c r="C9" s="11" t="n">
        <f aca="false">COUNTIF('Raw Data'!$O:$O,$A9)</f>
        <v>69</v>
      </c>
      <c r="D9" s="12" t="n">
        <f aca="false">IF(B9=0,0,C9/B9)</f>
        <v>0.511111111111111</v>
      </c>
      <c r="E9" s="11" t="n">
        <f aca="false">IFERROR(AVERAGEIF('Raw Data'!$M:$M,$A9,'Raw Data'!$P:$P),"N/A")</f>
        <v>2.29411764705882</v>
      </c>
      <c r="F9" s="11" t="n">
        <f aca="false">COUNTIFS('Raw Data'!$M:$M,$A9,'Raw Data'!$R:$R,"Home")+COUNTIFS('Raw Data'!$N:$N,$A9,'Raw Data'!$R:$R,"Away")</f>
        <v>75</v>
      </c>
      <c r="G9" s="11" t="n">
        <f aca="false">COUNTIFS('Raw Data'!$M:$M,$A9,'Raw Data'!$R:$R,"Home",'Raw Data'!$T:$T,"Favorite Covered")+COUNTIFS('Raw Data'!$N:$N,$A9,'Raw Data'!$R:$R,"Away",'Raw Data'!$T:$T,"Favorite Covered")</f>
        <v>35</v>
      </c>
      <c r="H9" s="12" t="n">
        <f aca="false">IF(F9=0,"N/A",G9/F9)</f>
        <v>0.466666666666667</v>
      </c>
    </row>
    <row r="10" customFormat="false" ht="15" hidden="false" customHeight="false" outlineLevel="0" collapsed="false">
      <c r="A10" s="10" t="s">
        <v>64</v>
      </c>
      <c r="B10" s="11" t="n">
        <f aca="false">COUNTIF('Raw Data'!$M:$M,$A10)+COUNTIF('Raw Data'!$N:$N,$A10)</f>
        <v>130</v>
      </c>
      <c r="C10" s="11" t="n">
        <f aca="false">COUNTIF('Raw Data'!$O:$O,$A10)</f>
        <v>57</v>
      </c>
      <c r="D10" s="12" t="n">
        <f aca="false">IF(B10=0,0,C10/B10)</f>
        <v>0.438461538461538</v>
      </c>
      <c r="E10" s="11" t="n">
        <f aca="false">IFERROR(AVERAGEIF('Raw Data'!$M:$M,$A10,'Raw Data'!$P:$P),"N/A")</f>
        <v>0.0303030303030303</v>
      </c>
      <c r="F10" s="11" t="n">
        <f aca="false">COUNTIFS('Raw Data'!$M:$M,$A10,'Raw Data'!$R:$R,"Home")+COUNTIFS('Raw Data'!$N:$N,$A10,'Raw Data'!$R:$R,"Away")</f>
        <v>55</v>
      </c>
      <c r="G10" s="11" t="n">
        <f aca="false">COUNTIFS('Raw Data'!$M:$M,$A10,'Raw Data'!$R:$R,"Home",'Raw Data'!$T:$T,"Favorite Covered")+COUNTIFS('Raw Data'!$N:$N,$A10,'Raw Data'!$R:$R,"Away",'Raw Data'!$T:$T,"Favorite Covered")</f>
        <v>19</v>
      </c>
      <c r="H10" s="12" t="n">
        <f aca="false">IF(F10=0,"N/A",G10/F10)</f>
        <v>0.345454545454545</v>
      </c>
    </row>
    <row r="11" customFormat="false" ht="15" hidden="false" customHeight="false" outlineLevel="0" collapsed="false">
      <c r="A11" s="10" t="s">
        <v>66</v>
      </c>
      <c r="B11" s="11" t="n">
        <f aca="false">COUNTIF('Raw Data'!$M:$M,$A11)+COUNTIF('Raw Data'!$N:$N,$A11)</f>
        <v>133</v>
      </c>
      <c r="C11" s="11" t="n">
        <f aca="false">COUNTIF('Raw Data'!$O:$O,$A11)</f>
        <v>69</v>
      </c>
      <c r="D11" s="12" t="n">
        <f aca="false">IF(B11=0,0,C11/B11)</f>
        <v>0.518796992481203</v>
      </c>
      <c r="E11" s="11" t="n">
        <f aca="false">IFERROR(AVERAGEIF('Raw Data'!$M:$M,$A11,'Raw Data'!$P:$P),"N/A")</f>
        <v>3.62121212121212</v>
      </c>
      <c r="F11" s="11" t="n">
        <f aca="false">COUNTIFS('Raw Data'!$M:$M,$A11,'Raw Data'!$R:$R,"Home")+COUNTIFS('Raw Data'!$N:$N,$A11,'Raw Data'!$R:$R,"Away")</f>
        <v>69</v>
      </c>
      <c r="G11" s="11" t="n">
        <f aca="false">COUNTIFS('Raw Data'!$M:$M,$A11,'Raw Data'!$R:$R,"Home",'Raw Data'!$T:$T,"Favorite Covered")+COUNTIFS('Raw Data'!$N:$N,$A11,'Raw Data'!$R:$R,"Away",'Raw Data'!$T:$T,"Favorite Covered")</f>
        <v>35</v>
      </c>
      <c r="H11" s="12" t="n">
        <f aca="false">IF(F11=0,"N/A",G11/F11)</f>
        <v>0.507246376811594</v>
      </c>
    </row>
    <row r="12" customFormat="false" ht="15" hidden="false" customHeight="false" outlineLevel="0" collapsed="false">
      <c r="A12" s="10" t="s">
        <v>68</v>
      </c>
      <c r="B12" s="11" t="n">
        <f aca="false">COUNTIF('Raw Data'!$M:$M,$A12)+COUNTIF('Raw Data'!$N:$N,$A12)</f>
        <v>128</v>
      </c>
      <c r="C12" s="11" t="n">
        <f aca="false">COUNTIF('Raw Data'!$O:$O,$A12)</f>
        <v>29</v>
      </c>
      <c r="D12" s="12" t="n">
        <f aca="false">IF(B12=0,0,C12/B12)</f>
        <v>0.2265625</v>
      </c>
      <c r="E12" s="11" t="n">
        <f aca="false">IFERROR(AVERAGEIF('Raw Data'!$M:$M,$A12,'Raw Data'!$P:$P),"N/A")</f>
        <v>-5.265625</v>
      </c>
      <c r="F12" s="11" t="n">
        <f aca="false">COUNTIFS('Raw Data'!$M:$M,$A12,'Raw Data'!$R:$R,"Home")+COUNTIFS('Raw Data'!$N:$N,$A12,'Raw Data'!$R:$R,"Away")</f>
        <v>27</v>
      </c>
      <c r="G12" s="11" t="n">
        <f aca="false">COUNTIFS('Raw Data'!$M:$M,$A12,'Raw Data'!$R:$R,"Home",'Raw Data'!$T:$T,"Favorite Covered")+COUNTIFS('Raw Data'!$N:$N,$A12,'Raw Data'!$R:$R,"Away",'Raw Data'!$T:$T,"Favorite Covered")</f>
        <v>7</v>
      </c>
      <c r="H12" s="12" t="n">
        <f aca="false">IF(F12=0,"N/A",G12/F12)</f>
        <v>0.259259259259259</v>
      </c>
    </row>
    <row r="13" customFormat="false" ht="15" hidden="false" customHeight="false" outlineLevel="0" collapsed="false">
      <c r="A13" s="10" t="s">
        <v>70</v>
      </c>
      <c r="B13" s="11" t="n">
        <f aca="false">COUNTIF('Raw Data'!$M:$M,$A13)+COUNTIF('Raw Data'!$N:$N,$A13)</f>
        <v>131</v>
      </c>
      <c r="C13" s="11" t="n">
        <f aca="false">COUNTIF('Raw Data'!$O:$O,$A13)</f>
        <v>69</v>
      </c>
      <c r="D13" s="12" t="n">
        <f aca="false">IF(B13=0,0,C13/B13)</f>
        <v>0.526717557251908</v>
      </c>
      <c r="E13" s="11" t="n">
        <f aca="false">IFERROR(AVERAGEIF('Raw Data'!$M:$M,$A13,'Raw Data'!$P:$P),"N/A")</f>
        <v>1.10606060606061</v>
      </c>
      <c r="F13" s="11" t="n">
        <f aca="false">COUNTIFS('Raw Data'!$M:$M,$A13,'Raw Data'!$R:$R,"Home")+COUNTIFS('Raw Data'!$N:$N,$A13,'Raw Data'!$R:$R,"Away")</f>
        <v>68</v>
      </c>
      <c r="G13" s="11" t="n">
        <f aca="false">COUNTIFS('Raw Data'!$M:$M,$A13,'Raw Data'!$R:$R,"Home",'Raw Data'!$T:$T,"Favorite Covered")+COUNTIFS('Raw Data'!$N:$N,$A13,'Raw Data'!$R:$R,"Away",'Raw Data'!$T:$T,"Favorite Covered")</f>
        <v>26</v>
      </c>
      <c r="H13" s="12" t="n">
        <f aca="false">IF(F13=0,"N/A",G13/F13)</f>
        <v>0.382352941176471</v>
      </c>
    </row>
    <row r="14" customFormat="false" ht="15" hidden="false" customHeight="false" outlineLevel="0" collapsed="false">
      <c r="A14" s="10" t="s">
        <v>72</v>
      </c>
      <c r="B14" s="11" t="n">
        <f aca="false">COUNTIF('Raw Data'!$M:$M,$A14)+COUNTIF('Raw Data'!$N:$N,$A14)</f>
        <v>138</v>
      </c>
      <c r="C14" s="11" t="n">
        <f aca="false">COUNTIF('Raw Data'!$O:$O,$A14)</f>
        <v>82</v>
      </c>
      <c r="D14" s="12" t="n">
        <f aca="false">IF(B14=0,0,C14/B14)</f>
        <v>0.594202898550725</v>
      </c>
      <c r="E14" s="11" t="n">
        <f aca="false">IFERROR(AVERAGEIF('Raw Data'!$M:$M,$A14,'Raw Data'!$P:$P),"N/A")</f>
        <v>4.98630136986301</v>
      </c>
      <c r="F14" s="11" t="n">
        <f aca="false">COUNTIFS('Raw Data'!$M:$M,$A14,'Raw Data'!$R:$R,"Home")+COUNTIFS('Raw Data'!$N:$N,$A14,'Raw Data'!$R:$R,"Away")</f>
        <v>76</v>
      </c>
      <c r="G14" s="11" t="n">
        <f aca="false">COUNTIFS('Raw Data'!$M:$M,$A14,'Raw Data'!$R:$R,"Home",'Raw Data'!$T:$T,"Favorite Covered")+COUNTIFS('Raw Data'!$N:$N,$A14,'Raw Data'!$R:$R,"Away",'Raw Data'!$T:$T,"Favorite Covered")</f>
        <v>35</v>
      </c>
      <c r="H14" s="12" t="n">
        <f aca="false">IF(F14=0,"N/A",G14/F14)</f>
        <v>0.460526315789474</v>
      </c>
    </row>
    <row r="15" customFormat="false" ht="15" hidden="false" customHeight="false" outlineLevel="0" collapsed="false">
      <c r="A15" s="10" t="s">
        <v>74</v>
      </c>
      <c r="B15" s="11" t="n">
        <f aca="false">COUNTIF('Raw Data'!$M:$M,$A15)+COUNTIF('Raw Data'!$N:$N,$A15)</f>
        <v>131</v>
      </c>
      <c r="C15" s="11" t="n">
        <f aca="false">COUNTIF('Raw Data'!$O:$O,$A15)</f>
        <v>63</v>
      </c>
      <c r="D15" s="12" t="n">
        <f aca="false">IF(B15=0,0,C15/B15)</f>
        <v>0.480916030534351</v>
      </c>
      <c r="E15" s="11" t="n">
        <f aca="false">IFERROR(AVERAGEIF('Raw Data'!$M:$M,$A15,'Raw Data'!$P:$P),"N/A")</f>
        <v>3.9375</v>
      </c>
      <c r="F15" s="11" t="n">
        <f aca="false">COUNTIFS('Raw Data'!$M:$M,$A15,'Raw Data'!$R:$R,"Home")+COUNTIFS('Raw Data'!$N:$N,$A15,'Raw Data'!$R:$R,"Away")</f>
        <v>61</v>
      </c>
      <c r="G15" s="11" t="n">
        <f aca="false">COUNTIFS('Raw Data'!$M:$M,$A15,'Raw Data'!$R:$R,"Home",'Raw Data'!$T:$T,"Favorite Covered")+COUNTIFS('Raw Data'!$N:$N,$A15,'Raw Data'!$R:$R,"Away",'Raw Data'!$T:$T,"Favorite Covered")</f>
        <v>28</v>
      </c>
      <c r="H15" s="12" t="n">
        <f aca="false">IF(F15=0,"N/A",G15/F15)</f>
        <v>0.459016393442623</v>
      </c>
    </row>
    <row r="16" customFormat="false" ht="15" hidden="false" customHeight="false" outlineLevel="0" collapsed="false">
      <c r="A16" s="10" t="s">
        <v>76</v>
      </c>
      <c r="B16" s="11" t="n">
        <f aca="false">COUNTIF('Raw Data'!$M:$M,$A16)+COUNTIF('Raw Data'!$N:$N,$A16)</f>
        <v>143</v>
      </c>
      <c r="C16" s="11" t="n">
        <f aca="false">COUNTIF('Raw Data'!$O:$O,$A16)</f>
        <v>92</v>
      </c>
      <c r="D16" s="12" t="n">
        <f aca="false">IF(B16=0,0,C16/B16)</f>
        <v>0.643356643356643</v>
      </c>
      <c r="E16" s="11" t="n">
        <f aca="false">IFERROR(AVERAGEIF('Raw Data'!$M:$M,$A16,'Raw Data'!$P:$P),"N/A")</f>
        <v>9.38571428571429</v>
      </c>
      <c r="F16" s="11" t="n">
        <f aca="false">COUNTIFS('Raw Data'!$M:$M,$A16,'Raw Data'!$R:$R,"Home")+COUNTIFS('Raw Data'!$N:$N,$A16,'Raw Data'!$R:$R,"Away")</f>
        <v>93</v>
      </c>
      <c r="G16" s="11" t="n">
        <f aca="false">COUNTIFS('Raw Data'!$M:$M,$A16,'Raw Data'!$R:$R,"Home",'Raw Data'!$T:$T,"Favorite Covered")+COUNTIFS('Raw Data'!$N:$N,$A16,'Raw Data'!$R:$R,"Away",'Raw Data'!$T:$T,"Favorite Covered")</f>
        <v>52</v>
      </c>
      <c r="H16" s="12" t="n">
        <f aca="false">IF(F16=0,"N/A",G16/F16)</f>
        <v>0.559139784946237</v>
      </c>
    </row>
    <row r="17" customFormat="false" ht="15" hidden="false" customHeight="false" outlineLevel="0" collapsed="false">
      <c r="A17" s="10" t="s">
        <v>78</v>
      </c>
      <c r="B17" s="11" t="n">
        <f aca="false">COUNTIF('Raw Data'!$M:$M,$A17)+COUNTIF('Raw Data'!$N:$N,$A17)</f>
        <v>135</v>
      </c>
      <c r="C17" s="11" t="n">
        <f aca="false">COUNTIF('Raw Data'!$O:$O,$A17)</f>
        <v>64</v>
      </c>
      <c r="D17" s="12" t="n">
        <f aca="false">IF(B17=0,0,C17/B17)</f>
        <v>0.474074074074074</v>
      </c>
      <c r="E17" s="11" t="n">
        <f aca="false">IFERROR(AVERAGEIF('Raw Data'!$M:$M,$A17,'Raw Data'!$P:$P),"N/A")</f>
        <v>2.35294117647059</v>
      </c>
      <c r="F17" s="11" t="n">
        <f aca="false">COUNTIFS('Raw Data'!$M:$M,$A17,'Raw Data'!$R:$R,"Home")+COUNTIFS('Raw Data'!$N:$N,$A17,'Raw Data'!$R:$R,"Away")</f>
        <v>70</v>
      </c>
      <c r="G17" s="11" t="n">
        <f aca="false">COUNTIFS('Raw Data'!$M:$M,$A17,'Raw Data'!$R:$R,"Home",'Raw Data'!$T:$T,"Favorite Covered")+COUNTIFS('Raw Data'!$N:$N,$A17,'Raw Data'!$R:$R,"Away",'Raw Data'!$T:$T,"Favorite Covered")</f>
        <v>35</v>
      </c>
      <c r="H17" s="12" t="n">
        <f aca="false">IF(F17=0,"N/A",G17/F17)</f>
        <v>0.5</v>
      </c>
    </row>
    <row r="18" customFormat="false" ht="15" hidden="false" customHeight="false" outlineLevel="0" collapsed="false">
      <c r="A18" s="10" t="s">
        <v>80</v>
      </c>
      <c r="B18" s="11" t="n">
        <f aca="false">COUNTIF('Raw Data'!$M:$M,$A18)+COUNTIF('Raw Data'!$N:$N,$A18)</f>
        <v>135</v>
      </c>
      <c r="C18" s="11" t="n">
        <f aca="false">COUNTIF('Raw Data'!$O:$O,$A18)</f>
        <v>68</v>
      </c>
      <c r="D18" s="12" t="n">
        <f aca="false">IF(B18=0,0,C18/B18)</f>
        <v>0.503703703703704</v>
      </c>
      <c r="E18" s="11" t="n">
        <f aca="false">IFERROR(AVERAGEIF('Raw Data'!$M:$M,$A18,'Raw Data'!$P:$P),"N/A")</f>
        <v>1.37313432835821</v>
      </c>
      <c r="F18" s="11" t="n">
        <f aca="false">COUNTIFS('Raw Data'!$M:$M,$A18,'Raw Data'!$R:$R,"Home")+COUNTIFS('Raw Data'!$N:$N,$A18,'Raw Data'!$R:$R,"Away")</f>
        <v>51</v>
      </c>
      <c r="G18" s="11" t="n">
        <f aca="false">COUNTIFS('Raw Data'!$M:$M,$A18,'Raw Data'!$R:$R,"Home",'Raw Data'!$T:$T,"Favorite Covered")+COUNTIFS('Raw Data'!$N:$N,$A18,'Raw Data'!$R:$R,"Away",'Raw Data'!$T:$T,"Favorite Covered")</f>
        <v>23</v>
      </c>
      <c r="H18" s="12" t="n">
        <f aca="false">IF(F18=0,"N/A",G18/F18)</f>
        <v>0.450980392156863</v>
      </c>
    </row>
    <row r="19" customFormat="false" ht="15" hidden="false" customHeight="false" outlineLevel="0" collapsed="false">
      <c r="A19" s="10" t="s">
        <v>82</v>
      </c>
      <c r="B19" s="11" t="n">
        <f aca="false">COUNTIF('Raw Data'!$M:$M,$A19)+COUNTIF('Raw Data'!$N:$N,$A19)</f>
        <v>131</v>
      </c>
      <c r="C19" s="11" t="n">
        <f aca="false">COUNTIF('Raw Data'!$O:$O,$A19)</f>
        <v>42</v>
      </c>
      <c r="D19" s="12" t="n">
        <f aca="false">IF(B19=0,0,C19/B19)</f>
        <v>0.320610687022901</v>
      </c>
      <c r="E19" s="11" t="n">
        <f aca="false">IFERROR(AVERAGEIF('Raw Data'!$M:$M,$A19,'Raw Data'!$P:$P),"N/A")</f>
        <v>-3.81538461538462</v>
      </c>
      <c r="F19" s="11" t="n">
        <f aca="false">COUNTIFS('Raw Data'!$M:$M,$A19,'Raw Data'!$R:$R,"Home")+COUNTIFS('Raw Data'!$N:$N,$A19,'Raw Data'!$R:$R,"Away")</f>
        <v>40</v>
      </c>
      <c r="G19" s="11" t="n">
        <f aca="false">COUNTIFS('Raw Data'!$M:$M,$A19,'Raw Data'!$R:$R,"Home",'Raw Data'!$T:$T,"Favorite Covered")+COUNTIFS('Raw Data'!$N:$N,$A19,'Raw Data'!$R:$R,"Away",'Raw Data'!$T:$T,"Favorite Covered")</f>
        <v>14</v>
      </c>
      <c r="H19" s="12" t="n">
        <f aca="false">IF(F19=0,"N/A",G19/F19)</f>
        <v>0.35</v>
      </c>
    </row>
    <row r="20" customFormat="false" ht="15" hidden="false" customHeight="false" outlineLevel="0" collapsed="false">
      <c r="A20" s="10" t="s">
        <v>84</v>
      </c>
      <c r="B20" s="11" t="n">
        <f aca="false">COUNTIF('Raw Data'!$M:$M,$A20)+COUNTIF('Raw Data'!$N:$N,$A20)</f>
        <v>134</v>
      </c>
      <c r="C20" s="11" t="n">
        <f aca="false">COUNTIF('Raw Data'!$O:$O,$A20)</f>
        <v>73</v>
      </c>
      <c r="D20" s="12" t="n">
        <f aca="false">IF(B20=0,0,C20/B20)</f>
        <v>0.544776119402985</v>
      </c>
      <c r="E20" s="11" t="n">
        <f aca="false">IFERROR(AVERAGEIF('Raw Data'!$M:$M,$A20,'Raw Data'!$P:$P),"N/A")</f>
        <v>2.82089552238806</v>
      </c>
      <c r="F20" s="11" t="n">
        <f aca="false">COUNTIFS('Raw Data'!$M:$M,$A20,'Raw Data'!$R:$R,"Home")+COUNTIFS('Raw Data'!$N:$N,$A20,'Raw Data'!$R:$R,"Away")</f>
        <v>72</v>
      </c>
      <c r="G20" s="11" t="n">
        <f aca="false">COUNTIFS('Raw Data'!$M:$M,$A20,'Raw Data'!$R:$R,"Home",'Raw Data'!$T:$T,"Favorite Covered")+COUNTIFS('Raw Data'!$N:$N,$A20,'Raw Data'!$R:$R,"Away",'Raw Data'!$T:$T,"Favorite Covered")</f>
        <v>35</v>
      </c>
      <c r="H20" s="12" t="n">
        <f aca="false">IF(F20=0,"N/A",G20/F20)</f>
        <v>0.486111111111111</v>
      </c>
    </row>
    <row r="21" customFormat="false" ht="15" hidden="false" customHeight="false" outlineLevel="0" collapsed="false">
      <c r="A21" s="10" t="s">
        <v>86</v>
      </c>
      <c r="B21" s="11" t="n">
        <f aca="false">COUNTIF('Raw Data'!$M:$M,$A21)+COUNTIF('Raw Data'!$N:$N,$A21)</f>
        <v>130</v>
      </c>
      <c r="C21" s="11" t="n">
        <f aca="false">COUNTIF('Raw Data'!$O:$O,$A21)</f>
        <v>61</v>
      </c>
      <c r="D21" s="12" t="n">
        <f aca="false">IF(B21=0,0,C21/B21)</f>
        <v>0.469230769230769</v>
      </c>
      <c r="E21" s="11" t="n">
        <f aca="false">IFERROR(AVERAGEIF('Raw Data'!$M:$M,$A21,'Raw Data'!$P:$P),"N/A")</f>
        <v>4.625</v>
      </c>
      <c r="F21" s="11" t="n">
        <f aca="false">COUNTIFS('Raw Data'!$M:$M,$A21,'Raw Data'!$R:$R,"Home")+COUNTIFS('Raw Data'!$N:$N,$A21,'Raw Data'!$R:$R,"Away")</f>
        <v>69</v>
      </c>
      <c r="G21" s="11" t="n">
        <f aca="false">COUNTIFS('Raw Data'!$M:$M,$A21,'Raw Data'!$R:$R,"Home",'Raw Data'!$T:$T,"Favorite Covered")+COUNTIFS('Raw Data'!$N:$N,$A21,'Raw Data'!$R:$R,"Away",'Raw Data'!$T:$T,"Favorite Covered")</f>
        <v>29</v>
      </c>
      <c r="H21" s="12" t="n">
        <f aca="false">IF(F21=0,"N/A",G21/F21)</f>
        <v>0.420289855072464</v>
      </c>
    </row>
    <row r="22" customFormat="false" ht="15" hidden="false" customHeight="false" outlineLevel="0" collapsed="false">
      <c r="A22" s="10" t="s">
        <v>88</v>
      </c>
      <c r="B22" s="11" t="n">
        <f aca="false">COUNTIF('Raw Data'!$M:$M,$A22)+COUNTIF('Raw Data'!$N:$N,$A22)</f>
        <v>129</v>
      </c>
      <c r="C22" s="11" t="n">
        <f aca="false">COUNTIF('Raw Data'!$O:$O,$A22)</f>
        <v>51</v>
      </c>
      <c r="D22" s="12" t="n">
        <f aca="false">IF(B22=0,0,C22/B22)</f>
        <v>0.395348837209302</v>
      </c>
      <c r="E22" s="11" t="n">
        <f aca="false">IFERROR(AVERAGEIF('Raw Data'!$M:$M,$A22,'Raw Data'!$P:$P),"N/A")</f>
        <v>-2.1969696969697</v>
      </c>
      <c r="F22" s="11" t="n">
        <f aca="false">COUNTIFS('Raw Data'!$M:$M,$A22,'Raw Data'!$R:$R,"Home")+COUNTIFS('Raw Data'!$N:$N,$A22,'Raw Data'!$R:$R,"Away")</f>
        <v>47</v>
      </c>
      <c r="G22" s="11" t="n">
        <f aca="false">COUNTIFS('Raw Data'!$M:$M,$A22,'Raw Data'!$R:$R,"Home",'Raw Data'!$T:$T,"Favorite Covered")+COUNTIFS('Raw Data'!$N:$N,$A22,'Raw Data'!$R:$R,"Away",'Raw Data'!$T:$T,"Favorite Covered")</f>
        <v>17</v>
      </c>
      <c r="H22" s="12" t="n">
        <f aca="false">IF(F22=0,"N/A",G22/F22)</f>
        <v>0.361702127659575</v>
      </c>
    </row>
    <row r="23" customFormat="false" ht="15" hidden="false" customHeight="false" outlineLevel="0" collapsed="false">
      <c r="A23" s="10" t="s">
        <v>90</v>
      </c>
      <c r="B23" s="11" t="n">
        <f aca="false">COUNTIF('Raw Data'!$M:$M,$A23)+COUNTIF('Raw Data'!$N:$N,$A23)</f>
        <v>129</v>
      </c>
      <c r="C23" s="11" t="n">
        <f aca="false">COUNTIF('Raw Data'!$O:$O,$A23)</f>
        <v>58</v>
      </c>
      <c r="D23" s="12" t="n">
        <f aca="false">IF(B23=0,0,C23/B23)</f>
        <v>0.449612403100775</v>
      </c>
      <c r="E23" s="11" t="n">
        <f aca="false">IFERROR(AVERAGEIF('Raw Data'!$M:$M,$A23,'Raw Data'!$P:$P),"N/A")</f>
        <v>-0.5625</v>
      </c>
      <c r="F23" s="11" t="n">
        <f aca="false">COUNTIFS('Raw Data'!$M:$M,$A23,'Raw Data'!$R:$R,"Home")+COUNTIFS('Raw Data'!$N:$N,$A23,'Raw Data'!$R:$R,"Away")</f>
        <v>45</v>
      </c>
      <c r="G23" s="11" t="n">
        <f aca="false">COUNTIFS('Raw Data'!$M:$M,$A23,'Raw Data'!$R:$R,"Home",'Raw Data'!$T:$T,"Favorite Covered")+COUNTIFS('Raw Data'!$N:$N,$A23,'Raw Data'!$R:$R,"Away",'Raw Data'!$T:$T,"Favorite Covered")</f>
        <v>15</v>
      </c>
      <c r="H23" s="12" t="n">
        <f aca="false">IF(F23=0,"N/A",G23/F23)</f>
        <v>0.333333333333333</v>
      </c>
    </row>
    <row r="24" customFormat="false" ht="15" hidden="false" customHeight="false" outlineLevel="0" collapsed="false">
      <c r="A24" s="10" t="s">
        <v>92</v>
      </c>
      <c r="B24" s="11" t="n">
        <f aca="false">COUNTIF('Raw Data'!$M:$M,$A24)+COUNTIF('Raw Data'!$N:$N,$A24)</f>
        <v>132</v>
      </c>
      <c r="C24" s="11" t="n">
        <f aca="false">COUNTIF('Raw Data'!$O:$O,$A24)</f>
        <v>64</v>
      </c>
      <c r="D24" s="12" t="n">
        <f aca="false">IF(B24=0,0,C24/B24)</f>
        <v>0.484848484848485</v>
      </c>
      <c r="E24" s="11" t="n">
        <f aca="false">IFERROR(AVERAGEIF('Raw Data'!$M:$M,$A24,'Raw Data'!$P:$P),"N/A")</f>
        <v>2.46969696969697</v>
      </c>
      <c r="F24" s="11" t="n">
        <f aca="false">COUNTIFS('Raw Data'!$M:$M,$A24,'Raw Data'!$R:$R,"Home")+COUNTIFS('Raw Data'!$N:$N,$A24,'Raw Data'!$R:$R,"Away")</f>
        <v>63</v>
      </c>
      <c r="G24" s="11" t="n">
        <f aca="false">COUNTIFS('Raw Data'!$M:$M,$A24,'Raw Data'!$R:$R,"Home",'Raw Data'!$T:$T,"Favorite Covered")+COUNTIFS('Raw Data'!$N:$N,$A24,'Raw Data'!$R:$R,"Away",'Raw Data'!$T:$T,"Favorite Covered")</f>
        <v>31</v>
      </c>
      <c r="H24" s="12" t="n">
        <f aca="false">IF(F24=0,"N/A",G24/F24)</f>
        <v>0.492063492063492</v>
      </c>
    </row>
    <row r="25" customFormat="false" ht="15" hidden="false" customHeight="false" outlineLevel="0" collapsed="false">
      <c r="A25" s="10" t="s">
        <v>94</v>
      </c>
      <c r="B25" s="11" t="n">
        <f aca="false">COUNTIF('Raw Data'!$M:$M,$A25)+COUNTIF('Raw Data'!$N:$N,$A25)</f>
        <v>147</v>
      </c>
      <c r="C25" s="11" t="n">
        <f aca="false">COUNTIF('Raw Data'!$O:$O,$A25)</f>
        <v>115</v>
      </c>
      <c r="D25" s="12" t="n">
        <f aca="false">IF(B25=0,0,C25/B25)</f>
        <v>0.782312925170068</v>
      </c>
      <c r="E25" s="11" t="n">
        <f aca="false">IFERROR(AVERAGEIF('Raw Data'!$M:$M,$A25,'Raw Data'!$P:$P),"N/A")</f>
        <v>11.6543209876543</v>
      </c>
      <c r="F25" s="11" t="n">
        <f aca="false">COUNTIFS('Raw Data'!$M:$M,$A25,'Raw Data'!$R:$R,"Home")+COUNTIFS('Raw Data'!$N:$N,$A25,'Raw Data'!$R:$R,"Away")</f>
        <v>124</v>
      </c>
      <c r="G25" s="11" t="n">
        <f aca="false">COUNTIFS('Raw Data'!$M:$M,$A25,'Raw Data'!$R:$R,"Home",'Raw Data'!$T:$T,"Favorite Covered")+COUNTIFS('Raw Data'!$N:$N,$A25,'Raw Data'!$R:$R,"Away",'Raw Data'!$T:$T,"Favorite Covered")</f>
        <v>70</v>
      </c>
      <c r="H25" s="12" t="n">
        <f aca="false">IF(F25=0,"N/A",G25/F25)</f>
        <v>0.564516129032258</v>
      </c>
    </row>
    <row r="26" customFormat="false" ht="15" hidden="false" customHeight="false" outlineLevel="0" collapsed="false">
      <c r="A26" s="10" t="s">
        <v>96</v>
      </c>
      <c r="B26" s="11" t="n">
        <f aca="false">COUNTIF('Raw Data'!$M:$M,$A26)+COUNTIF('Raw Data'!$N:$N,$A26)</f>
        <v>135</v>
      </c>
      <c r="C26" s="11" t="n">
        <f aca="false">COUNTIF('Raw Data'!$O:$O,$A26)</f>
        <v>77</v>
      </c>
      <c r="D26" s="12" t="n">
        <f aca="false">IF(B26=0,0,C26/B26)</f>
        <v>0.57037037037037</v>
      </c>
      <c r="E26" s="11" t="n">
        <f aca="false">IFERROR(AVERAGEIF('Raw Data'!$M:$M,$A26,'Raw Data'!$P:$P),"N/A")</f>
        <v>7</v>
      </c>
      <c r="F26" s="11" t="n">
        <f aca="false">COUNTIFS('Raw Data'!$M:$M,$A26,'Raw Data'!$R:$R,"Home")+COUNTIFS('Raw Data'!$N:$N,$A26,'Raw Data'!$R:$R,"Away")</f>
        <v>83</v>
      </c>
      <c r="G26" s="11" t="n">
        <f aca="false">COUNTIFS('Raw Data'!$M:$M,$A26,'Raw Data'!$R:$R,"Home",'Raw Data'!$T:$T,"Favorite Covered")+COUNTIFS('Raw Data'!$N:$N,$A26,'Raw Data'!$R:$R,"Away",'Raw Data'!$T:$T,"Favorite Covered")</f>
        <v>42</v>
      </c>
      <c r="H26" s="12" t="n">
        <f aca="false">IF(F26=0,"N/A",G26/F26)</f>
        <v>0.506024096385542</v>
      </c>
    </row>
    <row r="27" customFormat="false" ht="15" hidden="false" customHeight="false" outlineLevel="0" collapsed="false">
      <c r="A27" s="10" t="s">
        <v>98</v>
      </c>
      <c r="B27" s="11" t="n">
        <f aca="false">COUNTIF('Raw Data'!$M:$M,$A27)+COUNTIF('Raw Data'!$N:$N,$A27)</f>
        <v>133</v>
      </c>
      <c r="C27" s="11" t="n">
        <f aca="false">COUNTIF('Raw Data'!$O:$O,$A27)</f>
        <v>65</v>
      </c>
      <c r="D27" s="12" t="n">
        <f aca="false">IF(B27=0,0,C27/B27)</f>
        <v>0.488721804511278</v>
      </c>
      <c r="E27" s="11" t="n">
        <f aca="false">IFERROR(AVERAGEIF('Raw Data'!$M:$M,$A27,'Raw Data'!$P:$P),"N/A")</f>
        <v>1.23076923076923</v>
      </c>
      <c r="F27" s="11" t="n">
        <f aca="false">COUNTIFS('Raw Data'!$M:$M,$A27,'Raw Data'!$R:$R,"Home")+COUNTIFS('Raw Data'!$N:$N,$A27,'Raw Data'!$R:$R,"Away")</f>
        <v>68</v>
      </c>
      <c r="G27" s="11" t="n">
        <f aca="false">COUNTIFS('Raw Data'!$M:$M,$A27,'Raw Data'!$R:$R,"Home",'Raw Data'!$T:$T,"Favorite Covered")+COUNTIFS('Raw Data'!$N:$N,$A27,'Raw Data'!$R:$R,"Away",'Raw Data'!$T:$T,"Favorite Covered")</f>
        <v>28</v>
      </c>
      <c r="H27" s="12" t="n">
        <f aca="false">IF(F27=0,"N/A",G27/F27)</f>
        <v>0.411764705882353</v>
      </c>
    </row>
    <row r="28" customFormat="false" ht="15" hidden="false" customHeight="false" outlineLevel="0" collapsed="false">
      <c r="A28" s="10" t="s">
        <v>100</v>
      </c>
      <c r="B28" s="11" t="n">
        <f aca="false">COUNTIF('Raw Data'!$M:$M,$A28)+COUNTIF('Raw Data'!$N:$N,$A28)</f>
        <v>131</v>
      </c>
      <c r="C28" s="11" t="n">
        <f aca="false">COUNTIF('Raw Data'!$O:$O,$A28)</f>
        <v>59</v>
      </c>
      <c r="D28" s="12" t="n">
        <f aca="false">IF(B28=0,0,C28/B28)</f>
        <v>0.450381679389313</v>
      </c>
      <c r="E28" s="11" t="n">
        <f aca="false">IFERROR(AVERAGEIF('Raw Data'!$M:$M,$A28,'Raw Data'!$P:$P),"N/A")</f>
        <v>0.953125</v>
      </c>
      <c r="F28" s="11" t="n">
        <f aca="false">COUNTIFS('Raw Data'!$M:$M,$A28,'Raw Data'!$R:$R,"Home")+COUNTIFS('Raw Data'!$N:$N,$A28,'Raw Data'!$R:$R,"Away")</f>
        <v>63</v>
      </c>
      <c r="G28" s="11" t="n">
        <f aca="false">COUNTIFS('Raw Data'!$M:$M,$A28,'Raw Data'!$R:$R,"Home",'Raw Data'!$T:$T,"Favorite Covered")+COUNTIFS('Raw Data'!$N:$N,$A28,'Raw Data'!$R:$R,"Away",'Raw Data'!$T:$T,"Favorite Covered")</f>
        <v>27</v>
      </c>
      <c r="H28" s="12" t="n">
        <f aca="false">IF(F28=0,"N/A",G28/F28)</f>
        <v>0.428571428571429</v>
      </c>
    </row>
    <row r="29" customFormat="false" ht="15" hidden="false" customHeight="false" outlineLevel="0" collapsed="false">
      <c r="A29" s="10" t="s">
        <v>102</v>
      </c>
      <c r="B29" s="11" t="n">
        <f aca="false">COUNTIF('Raw Data'!$M:$M,$A29)+COUNTIF('Raw Data'!$N:$N,$A29)</f>
        <v>129</v>
      </c>
      <c r="C29" s="11" t="n">
        <f aca="false">COUNTIF('Raw Data'!$O:$O,$A29)</f>
        <v>52</v>
      </c>
      <c r="D29" s="12" t="n">
        <f aca="false">IF(B29=0,0,C29/B29)</f>
        <v>0.403100775193798</v>
      </c>
      <c r="E29" s="11" t="n">
        <f aca="false">IFERROR(AVERAGEIF('Raw Data'!$M:$M,$A29,'Raw Data'!$P:$P),"N/A")</f>
        <v>-3.109375</v>
      </c>
      <c r="F29" s="11" t="n">
        <f aca="false">COUNTIFS('Raw Data'!$M:$M,$A29,'Raw Data'!$R:$R,"Home")+COUNTIFS('Raw Data'!$N:$N,$A29,'Raw Data'!$R:$R,"Away")</f>
        <v>51</v>
      </c>
      <c r="G29" s="11" t="n">
        <f aca="false">COUNTIFS('Raw Data'!$M:$M,$A29,'Raw Data'!$R:$R,"Home",'Raw Data'!$T:$T,"Favorite Covered")+COUNTIFS('Raw Data'!$N:$N,$A29,'Raw Data'!$R:$R,"Away",'Raw Data'!$T:$T,"Favorite Covered")</f>
        <v>16</v>
      </c>
      <c r="H29" s="12" t="n">
        <f aca="false">IF(F29=0,"N/A",G29/F29)</f>
        <v>0.313725490196078</v>
      </c>
    </row>
    <row r="30" customFormat="false" ht="15" hidden="false" customHeight="false" outlineLevel="0" collapsed="false">
      <c r="A30" s="10" t="s">
        <v>104</v>
      </c>
      <c r="B30" s="11" t="n">
        <f aca="false">COUNTIF('Raw Data'!$M:$M,$A30)+COUNTIF('Raw Data'!$N:$N,$A30)</f>
        <v>133</v>
      </c>
      <c r="C30" s="11" t="n">
        <f aca="false">COUNTIF('Raw Data'!$O:$O,$A30)</f>
        <v>72</v>
      </c>
      <c r="D30" s="12" t="n">
        <f aca="false">IF(B30=0,0,C30/B30)</f>
        <v>0.541353383458647</v>
      </c>
      <c r="E30" s="11" t="n">
        <f aca="false">IFERROR(AVERAGEIF('Raw Data'!$M:$M,$A30,'Raw Data'!$P:$P),"N/A")</f>
        <v>4.14705882352941</v>
      </c>
      <c r="F30" s="11" t="n">
        <f aca="false">COUNTIFS('Raw Data'!$M:$M,$A30,'Raw Data'!$R:$R,"Home")+COUNTIFS('Raw Data'!$N:$N,$A30,'Raw Data'!$R:$R,"Away")</f>
        <v>79</v>
      </c>
      <c r="G30" s="11" t="n">
        <f aca="false">COUNTIFS('Raw Data'!$M:$M,$A30,'Raw Data'!$R:$R,"Home",'Raw Data'!$T:$T,"Favorite Covered")+COUNTIFS('Raw Data'!$N:$N,$A30,'Raw Data'!$R:$R,"Away",'Raw Data'!$T:$T,"Favorite Covered")</f>
        <v>35</v>
      </c>
      <c r="H30" s="12" t="n">
        <f aca="false">IF(F30=0,"N/A",G30/F30)</f>
        <v>0.443037974683544</v>
      </c>
    </row>
    <row r="31" customFormat="false" ht="15" hidden="false" customHeight="false" outlineLevel="0" collapsed="false">
      <c r="A31" s="10" t="s">
        <v>106</v>
      </c>
      <c r="B31" s="11" t="n">
        <f aca="false">COUNTIF('Raw Data'!$M:$M,$A31)+COUNTIF('Raw Data'!$N:$N,$A31)</f>
        <v>139</v>
      </c>
      <c r="C31" s="11" t="n">
        <f aca="false">COUNTIF('Raw Data'!$O:$O,$A31)</f>
        <v>90</v>
      </c>
      <c r="D31" s="12" t="n">
        <f aca="false">IF(B31=0,0,C31/B31)</f>
        <v>0.647482014388489</v>
      </c>
      <c r="E31" s="11" t="n">
        <f aca="false">IFERROR(AVERAGEIF('Raw Data'!$M:$M,$A31,'Raw Data'!$P:$P),"N/A")</f>
        <v>7.40579710144928</v>
      </c>
      <c r="F31" s="11" t="n">
        <f aca="false">COUNTIFS('Raw Data'!$M:$M,$A31,'Raw Data'!$R:$R,"Home")+COUNTIFS('Raw Data'!$N:$N,$A31,'Raw Data'!$R:$R,"Away")</f>
        <v>92</v>
      </c>
      <c r="G31" s="11" t="n">
        <f aca="false">COUNTIFS('Raw Data'!$M:$M,$A31,'Raw Data'!$R:$R,"Home",'Raw Data'!$T:$T,"Favorite Covered")+COUNTIFS('Raw Data'!$N:$N,$A31,'Raw Data'!$R:$R,"Away",'Raw Data'!$T:$T,"Favorite Covered")</f>
        <v>45</v>
      </c>
      <c r="H31" s="12" t="n">
        <f aca="false">IF(F31=0,"N/A",G31/F31)</f>
        <v>0.489130434782609</v>
      </c>
    </row>
    <row r="32" customFormat="false" ht="15" hidden="false" customHeight="false" outlineLevel="0" collapsed="false">
      <c r="A32" s="10" t="s">
        <v>111</v>
      </c>
      <c r="B32" s="11" t="n">
        <f aca="false">COUNTIF('Raw Data'!$M:$M,$A32)+COUNTIF('Raw Data'!$N:$N,$A32)</f>
        <v>142</v>
      </c>
      <c r="C32" s="11" t="n">
        <f aca="false">COUNTIF('Raw Data'!$O:$O,$A32)</f>
        <v>88</v>
      </c>
      <c r="D32" s="12" t="n">
        <f aca="false">IF(B32=0,0,C32/B32)</f>
        <v>0.619718309859155</v>
      </c>
      <c r="E32" s="11" t="n">
        <f aca="false">IFERROR(AVERAGEIF('Raw Data'!$M:$M,$A32,'Raw Data'!$P:$P),"N/A")</f>
        <v>8.28571428571429</v>
      </c>
      <c r="F32" s="11" t="n">
        <f aca="false">COUNTIFS('Raw Data'!$M:$M,$A32,'Raw Data'!$R:$R,"Home")+COUNTIFS('Raw Data'!$N:$N,$A32,'Raw Data'!$R:$R,"Away")</f>
        <v>76</v>
      </c>
      <c r="G32" s="11" t="n">
        <f aca="false">COUNTIFS('Raw Data'!$M:$M,$A32,'Raw Data'!$R:$R,"Home",'Raw Data'!$T:$T,"Favorite Covered")+COUNTIFS('Raw Data'!$N:$N,$A32,'Raw Data'!$R:$R,"Away",'Raw Data'!$T:$T,"Favorite Covered")</f>
        <v>40</v>
      </c>
      <c r="H32" s="12" t="n">
        <f aca="false">IF(F32=0,"N/A",G32/F32)</f>
        <v>0.526315789473684</v>
      </c>
    </row>
    <row r="33" customFormat="false" ht="15" hidden="false" customHeight="false" outlineLevel="0" collapsed="false">
      <c r="A33" s="10" t="s">
        <v>109</v>
      </c>
      <c r="B33" s="11" t="n">
        <f aca="false">COUNTIF('Raw Data'!$M:$M,$A33)+COUNTIF('Raw Data'!$N:$N,$A33)</f>
        <v>136</v>
      </c>
      <c r="C33" s="11" t="n">
        <f aca="false">COUNTIF('Raw Data'!$O:$O,$A33)</f>
        <v>68</v>
      </c>
      <c r="D33" s="12" t="n">
        <f aca="false">IF(B33=0,0,C33/B33)</f>
        <v>0.5</v>
      </c>
      <c r="E33" s="11" t="n">
        <f aca="false">IFERROR(AVERAGEIF('Raw Data'!$M:$M,$A33,'Raw Data'!$P:$P),"N/A")</f>
        <v>2.47761194029851</v>
      </c>
      <c r="F33" s="11" t="n">
        <f aca="false">COUNTIFS('Raw Data'!$M:$M,$A33,'Raw Data'!$R:$R,"Home")+COUNTIFS('Raw Data'!$N:$N,$A33,'Raw Data'!$R:$R,"Away")</f>
        <v>63</v>
      </c>
      <c r="G33" s="11" t="n">
        <f aca="false">COUNTIFS('Raw Data'!$M:$M,$A33,'Raw Data'!$R:$R,"Home",'Raw Data'!$T:$T,"Favorite Covered")+COUNTIFS('Raw Data'!$N:$N,$A33,'Raw Data'!$R:$R,"Away",'Raw Data'!$T:$T,"Favorite Covered")</f>
        <v>33</v>
      </c>
      <c r="H33" s="12" t="n">
        <f aca="false">IF(F33=0,"N/A",G33/F33)</f>
        <v>0.523809523809524</v>
      </c>
    </row>
    <row r="34" customFormat="false" ht="15" hidden="false" customHeight="false" outlineLevel="0" collapsed="false">
      <c r="A34" s="10" t="s">
        <v>114</v>
      </c>
      <c r="B34" s="11" t="n">
        <f aca="false">COUNTIF('Raw Data'!$M:$M,$A34)+COUNTIF('Raw Data'!$N:$N,$A34)</f>
        <v>128</v>
      </c>
      <c r="C34" s="11" t="n">
        <f aca="false">COUNTIF('Raw Data'!$O:$O,$A34)</f>
        <v>47</v>
      </c>
      <c r="D34" s="12" t="n">
        <f aca="false">IF(B34=0,0,C34/B34)</f>
        <v>0.3671875</v>
      </c>
      <c r="E34" s="11" t="n">
        <f aca="false">IFERROR(AVERAGEIF('Raw Data'!$M:$M,$A34,'Raw Data'!$P:$P),"N/A")</f>
        <v>-3.078125</v>
      </c>
      <c r="F34" s="11" t="n">
        <f aca="false">COUNTIFS('Raw Data'!$M:$M,$A34,'Raw Data'!$R:$R,"Home")+COUNTIFS('Raw Data'!$N:$N,$A34,'Raw Data'!$R:$R,"Away")</f>
        <v>49</v>
      </c>
      <c r="G34" s="11" t="n">
        <f aca="false">COUNTIFS('Raw Data'!$M:$M,$A34,'Raw Data'!$R:$R,"Home",'Raw Data'!$T:$T,"Favorite Covered")+COUNTIFS('Raw Data'!$N:$N,$A34,'Raw Data'!$R:$R,"Away",'Raw Data'!$T:$T,"Favorite Covered")</f>
        <v>15</v>
      </c>
      <c r="H34" s="12" t="n">
        <f aca="false">IF(F34=0,"N/A",G34/F34)</f>
        <v>0.306122448979592</v>
      </c>
    </row>
    <row r="35" customFormat="false" ht="15" hidden="false" customHeight="false" outlineLevel="0" collapsed="false">
      <c r="A35" s="10" t="s">
        <v>116</v>
      </c>
      <c r="B35" s="11" t="n">
        <f aca="false">COUNTIF('Raw Data'!$M:$M,$A35)+COUNTIF('Raw Data'!$N:$N,$A35)</f>
        <v>130</v>
      </c>
      <c r="C35" s="11" t="n">
        <f aca="false">COUNTIF('Raw Data'!$O:$O,$A35)</f>
        <v>52</v>
      </c>
      <c r="D35" s="12" t="n">
        <f aca="false">IF(B35=0,0,C35/B35)</f>
        <v>0.4</v>
      </c>
      <c r="E35" s="11" t="n">
        <f aca="false">IFERROR(AVERAGEIF('Raw Data'!$M:$M,$A35,'Raw Data'!$P:$P),"N/A")</f>
        <v>-1.9375</v>
      </c>
      <c r="F35" s="11" t="n">
        <f aca="false">COUNTIFS('Raw Data'!$M:$M,$A35,'Raw Data'!$R:$R,"Home")+COUNTIFS('Raw Data'!$N:$N,$A35,'Raw Data'!$R:$R,"Away")</f>
        <v>64</v>
      </c>
      <c r="G35" s="11" t="n">
        <f aca="false">COUNTIFS('Raw Data'!$M:$M,$A35,'Raw Data'!$R:$R,"Home",'Raw Data'!$T:$T,"Favorite Covered")+COUNTIFS('Raw Data'!$N:$N,$A35,'Raw Data'!$R:$R,"Away",'Raw Data'!$T:$T,"Favorite Covered")</f>
        <v>20</v>
      </c>
      <c r="H35" s="12" t="n">
        <f aca="false">IF(F35=0,"N/A",G35/F35)</f>
        <v>0.3125</v>
      </c>
    </row>
    <row r="36" customFormat="false" ht="15" hidden="false" customHeight="false" outlineLevel="0" collapsed="false">
      <c r="A36" s="10" t="s">
        <v>118</v>
      </c>
      <c r="B36" s="11" t="n">
        <f aca="false">COUNTIF('Raw Data'!$M:$M,$A36)+COUNTIF('Raw Data'!$N:$N,$A36)</f>
        <v>130</v>
      </c>
      <c r="C36" s="11" t="n">
        <f aca="false">COUNTIF('Raw Data'!$O:$O,$A36)</f>
        <v>52</v>
      </c>
      <c r="D36" s="12" t="n">
        <f aca="false">IF(B36=0,0,C36/B36)</f>
        <v>0.4</v>
      </c>
      <c r="E36" s="11" t="n">
        <f aca="false">IFERROR(AVERAGEIF('Raw Data'!$M:$M,$A36,'Raw Data'!$P:$P),"N/A")</f>
        <v>-2.13636363636364</v>
      </c>
      <c r="F36" s="11" t="n">
        <f aca="false">COUNTIFS('Raw Data'!$M:$M,$A36,'Raw Data'!$R:$R,"Home")+COUNTIFS('Raw Data'!$N:$N,$A36,'Raw Data'!$R:$R,"Away")</f>
        <v>43</v>
      </c>
      <c r="G36" s="11" t="n">
        <f aca="false">COUNTIFS('Raw Data'!$M:$M,$A36,'Raw Data'!$R:$R,"Home",'Raw Data'!$T:$T,"Favorite Covered")+COUNTIFS('Raw Data'!$N:$N,$A36,'Raw Data'!$R:$R,"Away",'Raw Data'!$T:$T,"Favorite Covered")</f>
        <v>14</v>
      </c>
      <c r="H36" s="12" t="n">
        <f aca="false">IF(F36=0,"N/A",G36/F36)</f>
        <v>0.325581395348837</v>
      </c>
    </row>
  </sheetData>
  <conditionalFormatting sqref="D5:D36">
    <cfRule type="colorScale" priority="2">
      <colorScale>
        <cfvo type="min" val="0"/>
        <cfvo type="max" val="0"/>
        <color rgb="FFF8696B"/>
        <color rgb="FF63BE7B"/>
      </colorScale>
    </cfRule>
  </conditionalFormatting>
  <conditionalFormatting sqref="H5:H36">
    <cfRule type="colorScale" priority="3">
      <colorScale>
        <cfvo type="min" val="0"/>
        <cfvo type="max" val="0"/>
        <color rgb="FFF8696B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9"/>
    <col collapsed="false" customWidth="true" hidden="false" outlineLevel="0" max="3" min="3" style="1" width="12"/>
    <col collapsed="false" customWidth="true" hidden="false" outlineLevel="0" max="4" min="4" style="1" width="11"/>
    <col collapsed="false" customWidth="true" hidden="false" outlineLevel="0" max="5" min="5" style="1" width="15"/>
    <col collapsed="false" customWidth="true" hidden="false" outlineLevel="0" max="6" min="6" style="1" width="17"/>
    <col collapsed="false" customWidth="true" hidden="false" outlineLevel="0" max="7" min="7" style="1" width="18"/>
  </cols>
  <sheetData>
    <row r="1" customFormat="false" ht="19.7" hidden="false" customHeight="false" outlineLevel="0" collapsed="false">
      <c r="A1" s="2" t="s">
        <v>651</v>
      </c>
    </row>
    <row r="2" customFormat="false" ht="15" hidden="false" customHeight="false" outlineLevel="0" collapsed="false">
      <c r="A2" s="3" t="s">
        <v>652</v>
      </c>
    </row>
    <row r="4" customFormat="false" ht="15" hidden="false" customHeight="false" outlineLevel="0" collapsed="false">
      <c r="A4" s="7" t="s">
        <v>120</v>
      </c>
      <c r="B4" s="7" t="s">
        <v>644</v>
      </c>
      <c r="C4" s="7" t="s">
        <v>653</v>
      </c>
      <c r="D4" s="7" t="s">
        <v>654</v>
      </c>
      <c r="E4" s="7" t="s">
        <v>655</v>
      </c>
      <c r="F4" s="7" t="s">
        <v>656</v>
      </c>
      <c r="G4" s="7" t="s">
        <v>657</v>
      </c>
      <c r="I4" s="13" t="s">
        <v>658</v>
      </c>
    </row>
    <row r="5" customFormat="false" ht="15" hidden="false" customHeight="false" outlineLevel="0" collapsed="false">
      <c r="A5" s="10" t="n">
        <v>2010</v>
      </c>
      <c r="B5" s="11" t="n">
        <f aca="false">COUNTIF('Raw Data'!$B:$B,$A5)</f>
        <v>267</v>
      </c>
      <c r="C5" s="11" t="n">
        <f aca="false">COUNTIFS('Raw Data'!$B:$B,$A5,'Raw Data'!$U:$U,"Over")</f>
        <v>146</v>
      </c>
      <c r="D5" s="12" t="n">
        <f aca="false">IF(B5=0,0,C5/B5)</f>
        <v>0.546816479400749</v>
      </c>
      <c r="E5" s="11" t="n">
        <f aca="false">COUNTIFS('Raw Data'!$B:$B,$A5,'Raw Data'!$T:$T,"Favorite Covered")</f>
        <v>125</v>
      </c>
      <c r="F5" s="11" t="n">
        <f aca="false">COUNTIFS('Raw Data'!$B:$B,$A5,'Raw Data'!$T:$T,"Favorite Covered")+COUNTIFS('Raw Data'!$B:$B,$A5,'Raw Data'!$T:$T,"Underdog Covered")</f>
        <v>257</v>
      </c>
      <c r="G5" s="12" t="n">
        <f aca="false">IF(F5=0,0,E5/F5)</f>
        <v>0.486381322957198</v>
      </c>
    </row>
    <row r="6" customFormat="false" ht="15" hidden="false" customHeight="false" outlineLevel="0" collapsed="false">
      <c r="A6" s="10" t="n">
        <v>2011</v>
      </c>
      <c r="B6" s="11" t="n">
        <f aca="false">COUNTIF('Raw Data'!$B:$B,$A6)</f>
        <v>267</v>
      </c>
      <c r="C6" s="11" t="n">
        <f aca="false">COUNTIFS('Raw Data'!$B:$B,$A6,'Raw Data'!$U:$U,"Over")</f>
        <v>130</v>
      </c>
      <c r="D6" s="12" t="n">
        <f aca="false">IF(B6=0,0,C6/B6)</f>
        <v>0.48689138576779</v>
      </c>
      <c r="E6" s="11" t="n">
        <f aca="false">COUNTIFS('Raw Data'!$B:$B,$A6,'Raw Data'!$T:$T,"Favorite Covered")</f>
        <v>121</v>
      </c>
      <c r="F6" s="11" t="n">
        <f aca="false">COUNTIFS('Raw Data'!$B:$B,$A6,'Raw Data'!$T:$T,"Favorite Covered")+COUNTIFS('Raw Data'!$B:$B,$A6,'Raw Data'!$T:$T,"Underdog Covered")</f>
        <v>257</v>
      </c>
      <c r="G6" s="12" t="n">
        <f aca="false">IF(F6=0,0,E6/F6)</f>
        <v>0.470817120622568</v>
      </c>
      <c r="I6" s="14" t="s">
        <v>659</v>
      </c>
      <c r="J6" s="15" t="s">
        <v>139</v>
      </c>
      <c r="K6" s="16"/>
      <c r="L6" s="16"/>
      <c r="M6" s="17"/>
    </row>
    <row r="7" customFormat="false" ht="15" hidden="false" customHeight="false" outlineLevel="0" collapsed="false">
      <c r="A7" s="10" t="n">
        <v>2012</v>
      </c>
      <c r="B7" s="11" t="n">
        <f aca="false">COUNTIF('Raw Data'!$B:$B,$A7)</f>
        <v>267</v>
      </c>
      <c r="C7" s="11" t="n">
        <f aca="false">COUNTIFS('Raw Data'!$B:$B,$A7,'Raw Data'!$U:$U,"Over")</f>
        <v>129</v>
      </c>
      <c r="D7" s="12" t="n">
        <f aca="false">IF(B7=0,0,C7/B7)</f>
        <v>0.48314606741573</v>
      </c>
      <c r="E7" s="11" t="n">
        <f aca="false">COUNTIFS('Raw Data'!$B:$B,$A7,'Raw Data'!$T:$T,"Favorite Covered")</f>
        <v>124</v>
      </c>
      <c r="F7" s="11" t="n">
        <f aca="false">COUNTIFS('Raw Data'!$B:$B,$A7,'Raw Data'!$T:$T,"Favorite Covered")+COUNTIFS('Raw Data'!$B:$B,$A7,'Raw Data'!$T:$T,"Underdog Covered")</f>
        <v>261</v>
      </c>
      <c r="G7" s="12" t="n">
        <f aca="false">IF(F7=0,0,E7/F7)</f>
        <v>0.475095785440613</v>
      </c>
      <c r="I7" s="18" t="s">
        <v>120</v>
      </c>
      <c r="J7" s="19" t="s">
        <v>660</v>
      </c>
      <c r="K7" s="20" t="s">
        <v>661</v>
      </c>
      <c r="L7" s="20" t="s">
        <v>662</v>
      </c>
      <c r="M7" s="21" t="s">
        <v>663</v>
      </c>
    </row>
    <row r="8" customFormat="false" ht="15" hidden="false" customHeight="false" outlineLevel="0" collapsed="false">
      <c r="A8" s="10" t="n">
        <v>2013</v>
      </c>
      <c r="B8" s="11" t="n">
        <f aca="false">COUNTIF('Raw Data'!$B:$B,$A8)</f>
        <v>267</v>
      </c>
      <c r="C8" s="11" t="n">
        <f aca="false">COUNTIFS('Raw Data'!$B:$B,$A8,'Raw Data'!$U:$U,"Over")</f>
        <v>133</v>
      </c>
      <c r="D8" s="12" t="n">
        <f aca="false">IF(B8=0,0,C8/B8)</f>
        <v>0.49812734082397</v>
      </c>
      <c r="E8" s="11" t="n">
        <f aca="false">COUNTIFS('Raw Data'!$B:$B,$A8,'Raw Data'!$T:$T,"Favorite Covered")</f>
        <v>129</v>
      </c>
      <c r="F8" s="11" t="n">
        <f aca="false">COUNTIFS('Raw Data'!$B:$B,$A8,'Raw Data'!$T:$T,"Favorite Covered")+COUNTIFS('Raw Data'!$B:$B,$A8,'Raw Data'!$T:$T,"Underdog Covered")</f>
        <v>255</v>
      </c>
      <c r="G8" s="12" t="n">
        <f aca="false">IF(F8=0,0,E8/F8)</f>
        <v>0.505882352941176</v>
      </c>
      <c r="I8" s="22" t="n">
        <v>2010</v>
      </c>
      <c r="J8" s="23" t="n">
        <v>146</v>
      </c>
      <c r="K8" s="24" t="n">
        <v>4</v>
      </c>
      <c r="L8" s="25" t="n">
        <v>117</v>
      </c>
      <c r="M8" s="26" t="n">
        <v>267</v>
      </c>
    </row>
    <row r="9" customFormat="false" ht="15" hidden="false" customHeight="false" outlineLevel="0" collapsed="false">
      <c r="A9" s="10" t="n">
        <v>2014</v>
      </c>
      <c r="B9" s="11" t="n">
        <f aca="false">COUNTIF('Raw Data'!$B:$B,$A9)</f>
        <v>267</v>
      </c>
      <c r="C9" s="11" t="n">
        <f aca="false">COUNTIFS('Raw Data'!$B:$B,$A9,'Raw Data'!$U:$U,"Over")</f>
        <v>123</v>
      </c>
      <c r="D9" s="12" t="n">
        <f aca="false">IF(B9=0,0,C9/B9)</f>
        <v>0.460674157303371</v>
      </c>
      <c r="E9" s="11" t="n">
        <f aca="false">COUNTIFS('Raw Data'!$B:$B,$A9,'Raw Data'!$T:$T,"Favorite Covered")</f>
        <v>67</v>
      </c>
      <c r="F9" s="11" t="n">
        <f aca="false">COUNTIFS('Raw Data'!$B:$B,$A9,'Raw Data'!$T:$T,"Favorite Covered")+COUNTIFS('Raw Data'!$B:$B,$A9,'Raw Data'!$T:$T,"Underdog Covered")</f>
        <v>259</v>
      </c>
      <c r="G9" s="12" t="n">
        <f aca="false">IF(F9=0,0,E9/F9)</f>
        <v>0.258687258687259</v>
      </c>
      <c r="I9" s="27" t="n">
        <v>2011</v>
      </c>
      <c r="J9" s="28" t="n">
        <v>130</v>
      </c>
      <c r="K9" s="29" t="n">
        <v>5</v>
      </c>
      <c r="L9" s="30" t="n">
        <v>132</v>
      </c>
      <c r="M9" s="31" t="n">
        <v>267</v>
      </c>
    </row>
    <row r="10" customFormat="false" ht="15" hidden="false" customHeight="false" outlineLevel="0" collapsed="false">
      <c r="A10" s="10" t="n">
        <v>2015</v>
      </c>
      <c r="B10" s="11" t="n">
        <f aca="false">COUNTIF('Raw Data'!$B:$B,$A10)</f>
        <v>267</v>
      </c>
      <c r="C10" s="11" t="n">
        <f aca="false">COUNTIFS('Raw Data'!$B:$B,$A10,'Raw Data'!$U:$U,"Over")</f>
        <v>124</v>
      </c>
      <c r="D10" s="12" t="n">
        <f aca="false">IF(B10=0,0,C10/B10)</f>
        <v>0.464419475655431</v>
      </c>
      <c r="E10" s="11" t="n">
        <f aca="false">COUNTIFS('Raw Data'!$B:$B,$A10,'Raw Data'!$T:$T,"Favorite Covered")</f>
        <v>113</v>
      </c>
      <c r="F10" s="11" t="n">
        <f aca="false">COUNTIFS('Raw Data'!$B:$B,$A10,'Raw Data'!$T:$T,"Favorite Covered")+COUNTIFS('Raw Data'!$B:$B,$A10,'Raw Data'!$T:$T,"Underdog Covered")</f>
        <v>253</v>
      </c>
      <c r="G10" s="12" t="n">
        <f aca="false">IF(F10=0,0,E10/F10)</f>
        <v>0.446640316205534</v>
      </c>
      <c r="I10" s="27" t="n">
        <v>2012</v>
      </c>
      <c r="J10" s="28" t="n">
        <v>129</v>
      </c>
      <c r="K10" s="29" t="n">
        <v>5</v>
      </c>
      <c r="L10" s="30" t="n">
        <v>133</v>
      </c>
      <c r="M10" s="31" t="n">
        <v>267</v>
      </c>
    </row>
    <row r="11" customFormat="false" ht="15" hidden="false" customHeight="false" outlineLevel="0" collapsed="false">
      <c r="A11" s="10" t="n">
        <v>2016</v>
      </c>
      <c r="B11" s="11" t="n">
        <f aca="false">COUNTIF('Raw Data'!$B:$B,$A11)</f>
        <v>267</v>
      </c>
      <c r="C11" s="11" t="n">
        <f aca="false">COUNTIFS('Raw Data'!$B:$B,$A11,'Raw Data'!$U:$U,"Over")</f>
        <v>140</v>
      </c>
      <c r="D11" s="12" t="n">
        <f aca="false">IF(B11=0,0,C11/B11)</f>
        <v>0.52434456928839</v>
      </c>
      <c r="E11" s="11" t="n">
        <f aca="false">COUNTIFS('Raw Data'!$B:$B,$A11,'Raw Data'!$T:$T,"Favorite Covered")</f>
        <v>137</v>
      </c>
      <c r="F11" s="11" t="n">
        <f aca="false">COUNTIFS('Raw Data'!$B:$B,$A11,'Raw Data'!$T:$T,"Favorite Covered")+COUNTIFS('Raw Data'!$B:$B,$A11,'Raw Data'!$T:$T,"Underdog Covered")</f>
        <v>257</v>
      </c>
      <c r="G11" s="12" t="n">
        <f aca="false">IF(F11=0,0,E11/F11)</f>
        <v>0.53307392996109</v>
      </c>
      <c r="I11" s="27" t="n">
        <v>2013</v>
      </c>
      <c r="J11" s="28" t="n">
        <v>133</v>
      </c>
      <c r="K11" s="29" t="n">
        <v>6</v>
      </c>
      <c r="L11" s="30" t="n">
        <v>128</v>
      </c>
      <c r="M11" s="31" t="n">
        <v>267</v>
      </c>
    </row>
    <row r="12" customFormat="false" ht="15" hidden="false" customHeight="false" outlineLevel="0" collapsed="false">
      <c r="A12" s="10" t="n">
        <v>2017</v>
      </c>
      <c r="B12" s="11" t="n">
        <f aca="false">COUNTIF('Raw Data'!$B:$B,$A12)</f>
        <v>267</v>
      </c>
      <c r="C12" s="11" t="n">
        <f aca="false">COUNTIFS('Raw Data'!$B:$B,$A12,'Raw Data'!$U:$U,"Over")</f>
        <v>121</v>
      </c>
      <c r="D12" s="12" t="n">
        <f aca="false">IF(B12=0,0,C12/B12)</f>
        <v>0.453183520599251</v>
      </c>
      <c r="E12" s="11" t="n">
        <f aca="false">COUNTIFS('Raw Data'!$B:$B,$A12,'Raw Data'!$T:$T,"Favorite Covered")</f>
        <v>128</v>
      </c>
      <c r="F12" s="11" t="n">
        <f aca="false">COUNTIFS('Raw Data'!$B:$B,$A12,'Raw Data'!$T:$T,"Favorite Covered")+COUNTIFS('Raw Data'!$B:$B,$A12,'Raw Data'!$T:$T,"Underdog Covered")</f>
        <v>254</v>
      </c>
      <c r="G12" s="12" t="n">
        <f aca="false">IF(F12=0,0,E12/F12)</f>
        <v>0.503937007874016</v>
      </c>
      <c r="I12" s="27" t="n">
        <v>2014</v>
      </c>
      <c r="J12" s="28" t="n">
        <v>123</v>
      </c>
      <c r="K12" s="29" t="n">
        <v>4</v>
      </c>
      <c r="L12" s="30" t="n">
        <v>140</v>
      </c>
      <c r="M12" s="31" t="n">
        <v>267</v>
      </c>
    </row>
    <row r="13" customFormat="false" ht="15" hidden="false" customHeight="false" outlineLevel="0" collapsed="false">
      <c r="I13" s="27" t="n">
        <v>2015</v>
      </c>
      <c r="J13" s="28" t="n">
        <v>124</v>
      </c>
      <c r="K13" s="29" t="n">
        <v>4</v>
      </c>
      <c r="L13" s="30" t="n">
        <v>139</v>
      </c>
      <c r="M13" s="31" t="n">
        <v>267</v>
      </c>
    </row>
    <row r="14" customFormat="false" ht="15" hidden="false" customHeight="false" outlineLevel="0" collapsed="false">
      <c r="I14" s="27" t="n">
        <v>2016</v>
      </c>
      <c r="J14" s="28" t="n">
        <v>140</v>
      </c>
      <c r="K14" s="29" t="n">
        <v>5</v>
      </c>
      <c r="L14" s="30" t="n">
        <v>122</v>
      </c>
      <c r="M14" s="31" t="n">
        <v>267</v>
      </c>
    </row>
    <row r="15" customFormat="false" ht="15" hidden="false" customHeight="false" outlineLevel="0" collapsed="false">
      <c r="I15" s="27" t="n">
        <v>2017</v>
      </c>
      <c r="J15" s="32" t="n">
        <v>121</v>
      </c>
      <c r="K15" s="33" t="n">
        <v>1</v>
      </c>
      <c r="L15" s="34" t="n">
        <v>145</v>
      </c>
      <c r="M15" s="35" t="n">
        <v>267</v>
      </c>
    </row>
    <row r="16" customFormat="false" ht="15" hidden="false" customHeight="false" outlineLevel="0" collapsed="false">
      <c r="I16" s="36" t="s">
        <v>663</v>
      </c>
      <c r="J16" s="37" t="n">
        <v>1046</v>
      </c>
      <c r="K16" s="38" t="n">
        <v>34</v>
      </c>
      <c r="L16" s="39" t="n">
        <v>1056</v>
      </c>
      <c r="M16" s="40" t="n">
        <v>2136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2026-06-24T17:27:59Z</dcterms:created>
  <dc:creator>openpyxl</dc:creator>
  <dc:description/>
  <dc:language>en-US</dc:language>
  <cp:lastModifiedBy/>
  <dcterms:modified xsi:type="dcterms:W3CDTF">2026-06-24T17:53:47Z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